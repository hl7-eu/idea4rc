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16FD18BB-7F9A-4DC1-A86D-63D3D6B92B19}" xr6:coauthVersionLast="47" xr6:coauthVersionMax="47" xr10:uidLastSave="{00000000-0000-0000-0000-000000000000}"/>
  <bookViews>
    <workbookView xWindow="-90" yWindow="-21710" windowWidth="38620" windowHeight="21100" tabRatio="819" firstSheet="48" activeTab="56"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8" sheetId="185" r:id="rId8"/>
    <sheet name="Subject-ConceptMap-9" sheetId="246" r:id="rId9"/>
    <sheet name="Subject-CM-fsh" sheetId="181" r:id="rId10"/>
    <sheet name="HospitalPatientRecords" sheetId="225" r:id="rId11"/>
    <sheet name="HospitalPatientRecords-fsh" sheetId="226" r:id="rId12"/>
    <sheet name="HospitalPatientRec-ConceptMap-1" sheetId="227" r:id="rId13"/>
    <sheet name="HospitalPatientRecor-CM-fsh" sheetId="228" r:id="rId14"/>
    <sheet name="PatientFollowUp" sheetId="229" r:id="rId15"/>
    <sheet name="PatientFollowUp-fsh" sheetId="230" r:id="rId16"/>
    <sheet name="PatientFollowUp-ConceptMap-1" sheetId="231" r:id="rId17"/>
    <sheet name="PatientFollowUp-ConceptMap-2" sheetId="245"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M-fsh" sheetId="200" r:id="rId39"/>
    <sheet name="PathologicalReportInfo" sheetId="247" r:id="rId40"/>
    <sheet name="PathologicalReportInfo-fsh" sheetId="248" r:id="rId41"/>
    <sheet name="PathologicalReportInfo-CM" sheetId="249" r:id="rId42"/>
    <sheet name="PathologicalReportInfo-CM-fsh" sheetId="250" r:id="rId43"/>
    <sheet name="Surgery" sheetId="209" r:id="rId44"/>
    <sheet name="Surgery-fsh" sheetId="210" r:id="rId45"/>
    <sheet name="Surgery-ConceptMap-1" sheetId="213" r:id="rId46"/>
    <sheet name="Surgery-CM-fsh" sheetId="214" r:id="rId47"/>
    <sheet name="SystemicTreatment" sheetId="164" r:id="rId48"/>
    <sheet name="SystemicTreatment-fsh" sheetId="166" r:id="rId49"/>
    <sheet name="SystemicTreatm-ConceptMap-1" sheetId="217" r:id="rId50"/>
    <sheet name="SystemicTreatment-CM-fsh" sheetId="218" r:id="rId51"/>
    <sheet name="Radiotherapy" sheetId="211" r:id="rId52"/>
    <sheet name="Radiotherapy-fsh" sheetId="212" r:id="rId53"/>
    <sheet name="Radiotherapy-ConceptMap-1" sheetId="215" r:id="rId54"/>
    <sheet name="Radiotherapy-CM-fsh" sheetId="216" r:id="rId55"/>
    <sheet name="OtherTreatment" sheetId="251" r:id="rId56"/>
    <sheet name="OtherTreatment-fsh" sheetId="252" r:id="rId57"/>
    <sheet name="OtherTreatment-ConceptMap-1" sheetId="253" r:id="rId58"/>
    <sheet name="OtherTreatment-CM-fsh" sheetId="254"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ConvertOsiris" sheetId="138" r:id="rId68"/>
    <sheet name="Osiris" sheetId="141" r:id="rId69"/>
    <sheet name="Osiris-Map" sheetId="142" r:id="rId70"/>
    <sheet name="Osiris-fsh-noMap" sheetId="144" r:id="rId71"/>
    <sheet name="Osiris-fsh" sheetId="143" r:id="rId72"/>
    <sheet name="Osiris-ConceptMap" sheetId="145" r:id="rId73"/>
    <sheet name="Osiris-CM-fsh" sheetId="147" r:id="rId74"/>
    <sheet name="equivalence" sheetId="146" r:id="rId75"/>
    <sheet name="PathologicalStage" sheetId="189" r:id="rId76"/>
    <sheet name="PathologicalStage-fsh" sheetId="191" r:id="rId77"/>
    <sheet name="PathStage-ConceptMap-1" sheetId="204" r:id="rId78"/>
    <sheet name="PathStage-ConceptMap-2" sheetId="205" r:id="rId79"/>
    <sheet name="PathStage-ConceptMap-3" sheetId="206" r:id="rId80"/>
    <sheet name="PathStage-ConceptMap-4" sheetId="207" r:id="rId81"/>
    <sheet name="PathStage-CM-fsh" sheetId="208" r:id="rId82"/>
  </sheets>
  <externalReferences>
    <externalReference r:id="rId83"/>
  </externalReferences>
  <definedNames>
    <definedName name="_xlnm._FilterDatabase" localSheetId="63" hidden="1">AdverseEvent!$A$7:$O$32</definedName>
    <definedName name="_xlnm._FilterDatabase" localSheetId="19" hidden="1">CancerEpisode!$A$7:$O$67</definedName>
    <definedName name="_xlnm._FilterDatabase" localSheetId="67" hidden="1">ConvertOsiris!$D$2:$U$232</definedName>
    <definedName name="_xlnm._FilterDatabase" localSheetId="28" hidden="1">GeneticTestExpression!$A$7:$O$35</definedName>
    <definedName name="_xlnm._FilterDatabase" localSheetId="10" hidden="1">HospitalPatientRecords!$A$7:$O$35</definedName>
    <definedName name="_xlnm._FilterDatabase" localSheetId="39" hidden="1">PathologicalReportInfo!$A$7:$O$35</definedName>
    <definedName name="_xlnm._FilterDatabase" localSheetId="14" hidden="1">PatientFollowUp!$A$7:$O$35</definedName>
    <definedName name="_xlnm._FilterDatabase" localSheetId="51" hidden="1">Radiotherapy!$A$7:$O$34</definedName>
    <definedName name="_xlnm._FilterDatabase" localSheetId="1" hidden="1">Subject!$A$7:$O$40</definedName>
    <definedName name="_xlnm._FilterDatabase" localSheetId="59"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7" i="252" l="1"/>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4" i="169"/>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4" i="169"/>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162" i="181"/>
  <c r="B126" i="181"/>
  <c r="B127" i="181"/>
  <c r="B128" i="181"/>
  <c r="B129" i="181"/>
  <c r="B130" i="181"/>
  <c r="B131" i="181"/>
  <c r="B132" i="181"/>
  <c r="B133" i="181"/>
  <c r="C30" i="171"/>
  <c r="Q16" i="184"/>
  <c r="R16" i="184"/>
  <c r="Q17" i="184"/>
  <c r="S17" i="184" s="1" a="1"/>
  <c r="S17" i="184" s="1"/>
  <c r="B212" i="181" s="1"/>
  <c r="R17" i="184"/>
  <c r="Q18" i="184"/>
  <c r="R18" i="184"/>
  <c r="Q19" i="184"/>
  <c r="R19" i="184"/>
  <c r="S19" i="184" a="1"/>
  <c r="S19" i="184"/>
  <c r="B214" i="181" s="1"/>
  <c r="Q20" i="184"/>
  <c r="R20" i="184"/>
  <c r="Q21" i="184"/>
  <c r="R21" i="184"/>
  <c r="Q22" i="184"/>
  <c r="R22" i="184"/>
  <c r="Q23" i="184"/>
  <c r="S23" i="184" s="1" a="1"/>
  <c r="S23" i="184" s="1"/>
  <c r="B218" i="181" s="1"/>
  <c r="R23" i="184"/>
  <c r="Q24" i="184"/>
  <c r="R24" i="184"/>
  <c r="Q25" i="184"/>
  <c r="R25" i="184"/>
  <c r="Q26" i="184"/>
  <c r="R26" i="184"/>
  <c r="Q27" i="184"/>
  <c r="R27" i="184"/>
  <c r="Q28" i="184"/>
  <c r="R28" i="184"/>
  <c r="Q29" i="184"/>
  <c r="R29" i="184"/>
  <c r="Q30" i="184"/>
  <c r="R30" i="184"/>
  <c r="Q31" i="184"/>
  <c r="S31" i="184" s="1" a="1"/>
  <c r="S31" i="184" s="1"/>
  <c r="B226" i="181" s="1"/>
  <c r="R31" i="184"/>
  <c r="Q32" i="184"/>
  <c r="R32" i="184"/>
  <c r="Q33" i="184"/>
  <c r="R33" i="184"/>
  <c r="Q34" i="184"/>
  <c r="R34" i="184"/>
  <c r="Q35" i="184"/>
  <c r="S35" i="184" s="1" a="1"/>
  <c r="S35" i="184" s="1"/>
  <c r="B230" i="181" s="1"/>
  <c r="R35" i="184"/>
  <c r="B231" i="181"/>
  <c r="B232" i="181"/>
  <c r="Q36" i="184"/>
  <c r="S36" i="184" s="1" a="1"/>
  <c r="S36" i="184" s="1"/>
  <c r="B233" i="181" s="1"/>
  <c r="R36" i="184"/>
  <c r="Q37" i="184"/>
  <c r="R37" i="184"/>
  <c r="Q38" i="184"/>
  <c r="R38" i="184"/>
  <c r="Q39" i="184"/>
  <c r="R39" i="184"/>
  <c r="S39" i="184" a="1"/>
  <c r="S39" i="184" s="1"/>
  <c r="B236" i="181" s="1"/>
  <c r="Q40" i="184"/>
  <c r="R40" i="184"/>
  <c r="Q41" i="184"/>
  <c r="S41" i="184" s="1" a="1"/>
  <c r="S41" i="184" s="1"/>
  <c r="B238" i="181" s="1"/>
  <c r="R41" i="184"/>
  <c r="Q42" i="184"/>
  <c r="R42" i="184"/>
  <c r="Q43" i="184"/>
  <c r="R43" i="184"/>
  <c r="Q44" i="184"/>
  <c r="R44" i="184"/>
  <c r="Q45" i="184"/>
  <c r="R45" i="184"/>
  <c r="Q46" i="184"/>
  <c r="R46" i="184"/>
  <c r="Q47" i="184"/>
  <c r="R47" i="184"/>
  <c r="S47" i="184" s="1" a="1"/>
  <c r="S47" i="184" s="1"/>
  <c r="B244" i="181" s="1"/>
  <c r="Q48" i="184"/>
  <c r="R48" i="184"/>
  <c r="Q49" i="184"/>
  <c r="R49" i="184"/>
  <c r="Q50" i="184"/>
  <c r="R50" i="184"/>
  <c r="Q51" i="184"/>
  <c r="S51" i="184" s="1" a="1"/>
  <c r="S51" i="184" s="1"/>
  <c r="B248" i="181" s="1"/>
  <c r="R51" i="184"/>
  <c r="Q52" i="184"/>
  <c r="R52" i="184"/>
  <c r="Q53" i="184"/>
  <c r="S53" i="184" s="1" a="1"/>
  <c r="S53" i="184" s="1"/>
  <c r="B250" i="181" s="1"/>
  <c r="R53" i="184"/>
  <c r="Q54" i="184"/>
  <c r="R54" i="184"/>
  <c r="Q55" i="184"/>
  <c r="R55" i="184"/>
  <c r="Q56" i="184"/>
  <c r="R56" i="184"/>
  <c r="Q57" i="184"/>
  <c r="S57" i="184" s="1" a="1"/>
  <c r="S57" i="184" s="1"/>
  <c r="B254" i="181" s="1"/>
  <c r="R57" i="184"/>
  <c r="Q58" i="184"/>
  <c r="R58" i="184"/>
  <c r="Q59" i="184"/>
  <c r="R59" i="184"/>
  <c r="S59" i="184" a="1"/>
  <c r="S59" i="184" s="1"/>
  <c r="B256" i="181" s="1"/>
  <c r="Q60" i="184"/>
  <c r="R60" i="184"/>
  <c r="Q61" i="184"/>
  <c r="R61" i="184"/>
  <c r="Q62" i="184"/>
  <c r="R62" i="184"/>
  <c r="Q63" i="184"/>
  <c r="S63" i="184" s="1" a="1"/>
  <c r="S63" i="184" s="1"/>
  <c r="B260" i="181" s="1"/>
  <c r="R63" i="184"/>
  <c r="Q64" i="184"/>
  <c r="R64" i="184"/>
  <c r="Q65" i="184"/>
  <c r="R65" i="184"/>
  <c r="Q66" i="184"/>
  <c r="R66" i="184"/>
  <c r="Q67" i="184"/>
  <c r="R67" i="184"/>
  <c r="Q68" i="184"/>
  <c r="R68" i="184"/>
  <c r="Q69" i="184"/>
  <c r="R69" i="184"/>
  <c r="Q70" i="184"/>
  <c r="S70" i="184" s="1" a="1"/>
  <c r="S70" i="184" s="1"/>
  <c r="B267" i="181" s="1"/>
  <c r="R70" i="184"/>
  <c r="Q71" i="184"/>
  <c r="S71" i="184" s="1" a="1"/>
  <c r="S71" i="184" s="1"/>
  <c r="B268" i="181" s="1"/>
  <c r="R71" i="184"/>
  <c r="Q72" i="184"/>
  <c r="R72" i="184"/>
  <c r="Q73" i="184"/>
  <c r="R73" i="184"/>
  <c r="Q74" i="184"/>
  <c r="R74" i="184"/>
  <c r="Q75" i="184"/>
  <c r="S75" i="184" s="1" a="1"/>
  <c r="S75" i="184" s="1"/>
  <c r="B272" i="181" s="1"/>
  <c r="R75" i="184"/>
  <c r="Q76" i="184"/>
  <c r="R76" i="184"/>
  <c r="Q77" i="184"/>
  <c r="S77" i="184" s="1" a="1"/>
  <c r="S77" i="184" s="1"/>
  <c r="B274" i="181" s="1"/>
  <c r="R77" i="184"/>
  <c r="Q78" i="184"/>
  <c r="R78" i="184"/>
  <c r="Q79" i="184"/>
  <c r="R79" i="184"/>
  <c r="Q80" i="184"/>
  <c r="R80" i="184"/>
  <c r="Q81" i="184"/>
  <c r="R81" i="184"/>
  <c r="S81" i="184" s="1" a="1"/>
  <c r="S81" i="184" s="1"/>
  <c r="B278" i="181" s="1"/>
  <c r="Q82" i="184"/>
  <c r="R82" i="184"/>
  <c r="Q83" i="184"/>
  <c r="R83" i="184"/>
  <c r="S83" i="184" a="1"/>
  <c r="S83" i="184" s="1"/>
  <c r="B280" i="181" s="1"/>
  <c r="Q84" i="184"/>
  <c r="R84" i="184"/>
  <c r="Q85" i="184"/>
  <c r="R85" i="184"/>
  <c r="Q86" i="184"/>
  <c r="R86" i="184"/>
  <c r="Q87" i="184"/>
  <c r="S87" i="184" s="1" a="1"/>
  <c r="S87" i="184" s="1"/>
  <c r="B284" i="181" s="1"/>
  <c r="R87" i="184"/>
  <c r="Q88" i="184"/>
  <c r="R88" i="184"/>
  <c r="Q89" i="184"/>
  <c r="R89" i="184"/>
  <c r="Q90" i="184"/>
  <c r="R90" i="184"/>
  <c r="Q91" i="184"/>
  <c r="R91" i="184"/>
  <c r="Q92" i="184"/>
  <c r="R92" i="184"/>
  <c r="Q93" i="184"/>
  <c r="R93" i="184"/>
  <c r="S93" i="184" a="1"/>
  <c r="S93" i="184" s="1"/>
  <c r="B290" i="181" s="1"/>
  <c r="Q94" i="184"/>
  <c r="S94" i="184" s="1" a="1"/>
  <c r="S94" i="184" s="1"/>
  <c r="B291" i="181" s="1"/>
  <c r="R94" i="184"/>
  <c r="Q95" i="184"/>
  <c r="S95" i="184" s="1" a="1"/>
  <c r="S95" i="184" s="1"/>
  <c r="B292" i="181" s="1"/>
  <c r="R95" i="184"/>
  <c r="Q96" i="184"/>
  <c r="R96" i="184"/>
  <c r="Q97" i="184"/>
  <c r="R97" i="184"/>
  <c r="Q98" i="184"/>
  <c r="R98" i="184"/>
  <c r="Q99" i="184"/>
  <c r="S99" i="184" s="1" a="1"/>
  <c r="S99" i="184" s="1"/>
  <c r="B296" i="181" s="1"/>
  <c r="R99" i="184"/>
  <c r="Q100" i="184"/>
  <c r="R100" i="184"/>
  <c r="Q101" i="184"/>
  <c r="S101" i="184" s="1" a="1"/>
  <c r="S101" i="184" s="1"/>
  <c r="B298" i="181" s="1"/>
  <c r="R101" i="184"/>
  <c r="Q102" i="184"/>
  <c r="R102" i="184"/>
  <c r="Q103" i="184"/>
  <c r="R103" i="184"/>
  <c r="Q104" i="184"/>
  <c r="R104" i="184"/>
  <c r="Q105" i="184"/>
  <c r="R105" i="184"/>
  <c r="S105" i="184" s="1" a="1"/>
  <c r="S105" i="184" s="1"/>
  <c r="B302" i="181" s="1"/>
  <c r="Q106" i="184"/>
  <c r="R106" i="184"/>
  <c r="Q107" i="184"/>
  <c r="R107" i="184"/>
  <c r="S107" i="184" a="1"/>
  <c r="S107" i="184" s="1"/>
  <c r="B304" i="181" s="1"/>
  <c r="Q108" i="184"/>
  <c r="R108" i="184"/>
  <c r="Q109" i="184"/>
  <c r="R109" i="184"/>
  <c r="Q110" i="184"/>
  <c r="R110" i="184"/>
  <c r="Q111" i="184"/>
  <c r="S111" i="184" s="1" a="1"/>
  <c r="S111" i="184" s="1"/>
  <c r="B308" i="181" s="1"/>
  <c r="R111" i="184"/>
  <c r="Q112" i="184"/>
  <c r="R112" i="184"/>
  <c r="Q113" i="184"/>
  <c r="R113" i="184"/>
  <c r="Q114" i="184"/>
  <c r="S114" i="184" s="1" a="1"/>
  <c r="S114" i="184" s="1"/>
  <c r="B311" i="181" s="1"/>
  <c r="R114" i="184"/>
  <c r="Q115" i="184"/>
  <c r="R115" i="184"/>
  <c r="Q116" i="184"/>
  <c r="R116" i="184"/>
  <c r="Q117" i="184"/>
  <c r="R117" i="184"/>
  <c r="S117" i="184" a="1"/>
  <c r="S117" i="184" s="1"/>
  <c r="B314" i="181" s="1"/>
  <c r="Q118" i="184"/>
  <c r="R118" i="184"/>
  <c r="Q119" i="184"/>
  <c r="S119" i="184" s="1" a="1"/>
  <c r="S119" i="184" s="1"/>
  <c r="B316" i="181" s="1"/>
  <c r="R119" i="184"/>
  <c r="Q120" i="184"/>
  <c r="R120" i="184"/>
  <c r="Q121" i="184"/>
  <c r="R121" i="184"/>
  <c r="Q122" i="184"/>
  <c r="R122" i="184"/>
  <c r="Q123" i="184"/>
  <c r="R123" i="184"/>
  <c r="Q124" i="184"/>
  <c r="R124" i="184"/>
  <c r="Q125" i="184"/>
  <c r="R125" i="184"/>
  <c r="S125" i="184" s="1" a="1"/>
  <c r="S125" i="184" s="1"/>
  <c r="B322" i="181" s="1"/>
  <c r="Q126" i="184"/>
  <c r="R126" i="184"/>
  <c r="Q127" i="184"/>
  <c r="R127" i="184"/>
  <c r="Q128" i="184"/>
  <c r="R128" i="184"/>
  <c r="Q129" i="184"/>
  <c r="S129" i="184" s="1" a="1"/>
  <c r="S129" i="184" s="1"/>
  <c r="B326" i="181" s="1"/>
  <c r="R129" i="184"/>
  <c r="Q130" i="184"/>
  <c r="R130" i="184"/>
  <c r="Q131" i="184"/>
  <c r="S131" i="184" s="1" a="1"/>
  <c r="S131" i="184" s="1"/>
  <c r="B328" i="181" s="1"/>
  <c r="R131" i="184"/>
  <c r="Q132" i="184"/>
  <c r="R132" i="184"/>
  <c r="Q133" i="184"/>
  <c r="R133" i="184"/>
  <c r="Q134" i="184"/>
  <c r="R134" i="184"/>
  <c r="Q135" i="184"/>
  <c r="S135" i="184" s="1" a="1"/>
  <c r="S135" i="184" s="1"/>
  <c r="B332" i="181" s="1"/>
  <c r="R135" i="184"/>
  <c r="Q136" i="184"/>
  <c r="R136" i="184"/>
  <c r="Q137" i="184"/>
  <c r="R137" i="184"/>
  <c r="S137" i="184" a="1"/>
  <c r="S137" i="184" s="1"/>
  <c r="B334" i="181" s="1"/>
  <c r="Q138" i="184"/>
  <c r="S138" i="184" s="1" a="1"/>
  <c r="S138" i="184" s="1"/>
  <c r="B335" i="181" s="1"/>
  <c r="R138" i="184"/>
  <c r="Q139" i="184"/>
  <c r="S139" i="184" s="1" a="1"/>
  <c r="S139" i="184" s="1"/>
  <c r="B336" i="181" s="1"/>
  <c r="R139" i="184"/>
  <c r="Q140" i="184"/>
  <c r="R140" i="184"/>
  <c r="Q141" i="184"/>
  <c r="S141" i="184" s="1" a="1"/>
  <c r="S141" i="184" s="1"/>
  <c r="B338" i="181" s="1"/>
  <c r="R141" i="184"/>
  <c r="Q142" i="184"/>
  <c r="S142" i="184" s="1" a="1"/>
  <c r="S142" i="184" s="1"/>
  <c r="B339" i="181" s="1"/>
  <c r="R142" i="184"/>
  <c r="Q143" i="184"/>
  <c r="R143" i="184"/>
  <c r="S143" i="184" a="1"/>
  <c r="S143" i="184" s="1"/>
  <c r="B340" i="181" s="1"/>
  <c r="Q144" i="184"/>
  <c r="R144" i="184"/>
  <c r="Q145" i="184"/>
  <c r="R145" i="184"/>
  <c r="S145" i="184" s="1" a="1"/>
  <c r="S145" i="184" s="1"/>
  <c r="Q146" i="184"/>
  <c r="R146" i="184"/>
  <c r="Q147" i="184"/>
  <c r="S147" i="184" s="1" a="1"/>
  <c r="S147" i="184" s="1"/>
  <c r="R147" i="184"/>
  <c r="Q148" i="184"/>
  <c r="S148" i="184" s="1" a="1"/>
  <c r="S148" i="184" s="1"/>
  <c r="R148" i="184"/>
  <c r="Q149" i="184"/>
  <c r="R149" i="184"/>
  <c r="S149" i="184" a="1"/>
  <c r="S149" i="184" s="1"/>
  <c r="Q150" i="184"/>
  <c r="R150" i="184"/>
  <c r="Q151" i="184"/>
  <c r="R151" i="184"/>
  <c r="S151" i="184" s="1" a="1"/>
  <c r="S151" i="184" s="1"/>
  <c r="Q152" i="184"/>
  <c r="R152" i="184"/>
  <c r="Q153" i="184"/>
  <c r="R153" i="184"/>
  <c r="S153" i="184" a="1"/>
  <c r="S153" i="184" s="1"/>
  <c r="Q154" i="184"/>
  <c r="R154" i="184"/>
  <c r="Q155" i="184"/>
  <c r="S155" i="184" s="1" a="1"/>
  <c r="S155" i="184" s="1"/>
  <c r="R155" i="184"/>
  <c r="Q156" i="184"/>
  <c r="R156" i="184"/>
  <c r="Q157" i="184"/>
  <c r="S157" i="184" s="1" a="1"/>
  <c r="S157" i="184" s="1"/>
  <c r="R157" i="184"/>
  <c r="Q158" i="184"/>
  <c r="S158" i="184" s="1" a="1"/>
  <c r="S158" i="184" s="1"/>
  <c r="R158" i="184"/>
  <c r="Q159" i="184"/>
  <c r="R159" i="184"/>
  <c r="S159" i="184" a="1"/>
  <c r="S159" i="184" s="1"/>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S107" i="180" s="1" a="1"/>
  <c r="S107" i="180" s="1"/>
  <c r="B112" i="181" s="1"/>
  <c r="R107" i="180"/>
  <c r="Q108" i="180"/>
  <c r="R108" i="180"/>
  <c r="Q109" i="180"/>
  <c r="R109" i="180"/>
  <c r="Q110" i="180"/>
  <c r="R110" i="180"/>
  <c r="Q111" i="180"/>
  <c r="R111" i="180"/>
  <c r="Q112" i="180"/>
  <c r="R112" i="180"/>
  <c r="Q113" i="180"/>
  <c r="R113" i="180"/>
  <c r="S113" i="180" a="1"/>
  <c r="S113" i="180" s="1"/>
  <c r="B118" i="181" s="1"/>
  <c r="Q114" i="180"/>
  <c r="R114" i="180"/>
  <c r="Q115" i="180"/>
  <c r="R115" i="180"/>
  <c r="Q116" i="180"/>
  <c r="R116" i="180"/>
  <c r="Q117" i="180"/>
  <c r="R117" i="180"/>
  <c r="Q118" i="180"/>
  <c r="R118" i="180"/>
  <c r="Q84" i="180"/>
  <c r="R84" i="180"/>
  <c r="Q85" i="180"/>
  <c r="S85" i="180" s="1" a="1"/>
  <c r="S85" i="180" s="1"/>
  <c r="B90"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2"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4"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B33" i="181"/>
  <c r="Q29" i="180"/>
  <c r="R29" i="180"/>
  <c r="Q30" i="180"/>
  <c r="R30" i="180"/>
  <c r="Q31" i="180"/>
  <c r="S31" i="180" s="1" a="1"/>
  <c r="S31" i="180" s="1"/>
  <c r="B36" i="181" s="1"/>
  <c r="R31" i="180"/>
  <c r="Q32" i="180"/>
  <c r="R32" i="180"/>
  <c r="Q33" i="180"/>
  <c r="R33" i="180"/>
  <c r="Q34" i="180"/>
  <c r="R34" i="180"/>
  <c r="Q35" i="180"/>
  <c r="S35" i="180" s="1" a="1"/>
  <c r="S35" i="180" s="1"/>
  <c r="B40"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4"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2" i="181" s="1"/>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3" i="232"/>
  <c r="Q16" i="245"/>
  <c r="R16" i="245"/>
  <c r="Q17" i="245"/>
  <c r="R17" i="245"/>
  <c r="Q18" i="245"/>
  <c r="S18" i="245" s="1" a="1"/>
  <c r="S18" i="245" s="1"/>
  <c r="B68" i="232" s="1"/>
  <c r="R18" i="245"/>
  <c r="Q19" i="245"/>
  <c r="S19" i="245" s="1" a="1"/>
  <c r="S19" i="245" s="1"/>
  <c r="B69" i="232" s="1"/>
  <c r="R19" i="245"/>
  <c r="Q20" i="245"/>
  <c r="S20" i="245" s="1" a="1"/>
  <c r="S20" i="245" s="1"/>
  <c r="B70" i="232" s="1"/>
  <c r="R20" i="245"/>
  <c r="Q21" i="245"/>
  <c r="R21" i="245"/>
  <c r="Q22" i="245"/>
  <c r="R22" i="245"/>
  <c r="Q23" i="245"/>
  <c r="S23" i="245" s="1" a="1"/>
  <c r="S23" i="245" s="1"/>
  <c r="B73" i="232" s="1"/>
  <c r="R23" i="245"/>
  <c r="Q24" i="245"/>
  <c r="S24" i="245" s="1" a="1"/>
  <c r="S24" i="245" s="1"/>
  <c r="B74" i="232" s="1"/>
  <c r="R24" i="245"/>
  <c r="Q25" i="245"/>
  <c r="R25" i="245"/>
  <c r="Q26" i="245"/>
  <c r="S26" i="245" s="1" a="1"/>
  <c r="S26" i="245" s="1"/>
  <c r="B76" i="232" s="1"/>
  <c r="R26" i="245"/>
  <c r="Q27" i="245"/>
  <c r="R27" i="245"/>
  <c r="Q28" i="245"/>
  <c r="R28" i="245"/>
  <c r="Q29" i="245"/>
  <c r="R29" i="245"/>
  <c r="Q30" i="245"/>
  <c r="S30" i="245" s="1" a="1"/>
  <c r="S30" i="245" s="1"/>
  <c r="B80" i="232" s="1"/>
  <c r="R30" i="245"/>
  <c r="Q31" i="245"/>
  <c r="S31" i="245" s="1" a="1"/>
  <c r="S31" i="245" s="1"/>
  <c r="B81" i="232" s="1"/>
  <c r="R31" i="245"/>
  <c r="Q32" i="245"/>
  <c r="S32" i="245" s="1" a="1"/>
  <c r="S32" i="245" s="1"/>
  <c r="B82" i="232" s="1"/>
  <c r="R32" i="245"/>
  <c r="Q33" i="245"/>
  <c r="R33" i="245"/>
  <c r="Q34" i="245"/>
  <c r="R34" i="245"/>
  <c r="Q35" i="245"/>
  <c r="S35" i="245" s="1" a="1"/>
  <c r="S35" i="245" s="1"/>
  <c r="B85" i="232" s="1"/>
  <c r="R35" i="245"/>
  <c r="Q36" i="245"/>
  <c r="S36" i="245" s="1" a="1"/>
  <c r="S36" i="245" s="1"/>
  <c r="B86" i="232" s="1"/>
  <c r="R36" i="245"/>
  <c r="Q37" i="245"/>
  <c r="R37" i="245"/>
  <c r="Q38" i="245"/>
  <c r="S38" i="245" s="1" a="1"/>
  <c r="S38" i="245" s="1"/>
  <c r="B88" i="232" s="1"/>
  <c r="R38" i="245"/>
  <c r="Q39" i="245"/>
  <c r="R39" i="245"/>
  <c r="Q40" i="245"/>
  <c r="R40" i="245"/>
  <c r="Q41" i="245"/>
  <c r="R41" i="245"/>
  <c r="Q42" i="245"/>
  <c r="S42" i="245" s="1" a="1"/>
  <c r="S42" i="245" s="1"/>
  <c r="B92" i="232" s="1"/>
  <c r="R42" i="245"/>
  <c r="Q43" i="245"/>
  <c r="S43" i="245" s="1" a="1"/>
  <c r="S43" i="245" s="1"/>
  <c r="B93" i="232" s="1"/>
  <c r="R43" i="245"/>
  <c r="Q44" i="245"/>
  <c r="S44" i="245" s="1" a="1"/>
  <c r="S44" i="245" s="1"/>
  <c r="B94" i="232" s="1"/>
  <c r="R44" i="245"/>
  <c r="Q45" i="245"/>
  <c r="R45" i="245"/>
  <c r="Q46" i="245"/>
  <c r="R46" i="245"/>
  <c r="Q47" i="245"/>
  <c r="S47" i="245" s="1" a="1"/>
  <c r="S47" i="245" s="1"/>
  <c r="B97" i="232" s="1"/>
  <c r="R47" i="245"/>
  <c r="Q48" i="245"/>
  <c r="S48" i="245" s="1" a="1"/>
  <c r="S48" i="245" s="1"/>
  <c r="B98" i="232" s="1"/>
  <c r="R48" i="245"/>
  <c r="Q49" i="245"/>
  <c r="R49" i="245"/>
  <c r="Q50" i="245"/>
  <c r="S50" i="245" s="1" a="1"/>
  <c r="S50" i="245" s="1"/>
  <c r="B100" i="232" s="1"/>
  <c r="R50" i="245"/>
  <c r="Q51" i="245"/>
  <c r="S51" i="245" s="1" a="1"/>
  <c r="S51" i="245" s="1"/>
  <c r="B101" i="232" s="1"/>
  <c r="R51" i="245"/>
  <c r="Q52" i="245"/>
  <c r="S52" i="245" s="1" a="1"/>
  <c r="S52" i="245" s="1"/>
  <c r="B102" i="232"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s="1"/>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s="1"/>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s="1"/>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S17" i="231" s="1" a="1"/>
  <c r="S17" i="231" s="1"/>
  <c r="B21" i="232" s="1"/>
  <c r="R17" i="231"/>
  <c r="Q18" i="231"/>
  <c r="S18" i="231" s="1" a="1"/>
  <c r="S18" i="231" s="1"/>
  <c r="B22" i="232" s="1"/>
  <c r="R18" i="231"/>
  <c r="Q19" i="231"/>
  <c r="S19" i="231" s="1" a="1"/>
  <c r="S19" i="231" s="1"/>
  <c r="B23" i="232" s="1"/>
  <c r="R19" i="231"/>
  <c r="Q20" i="231"/>
  <c r="S20" i="231" s="1" a="1"/>
  <c r="S20" i="231" s="1"/>
  <c r="B24" i="232" s="1"/>
  <c r="R20" i="231"/>
  <c r="Q21" i="231"/>
  <c r="R21" i="231"/>
  <c r="Q22" i="231"/>
  <c r="R22" i="231"/>
  <c r="Q23" i="231"/>
  <c r="R23" i="231"/>
  <c r="Q24" i="231"/>
  <c r="S24" i="231" s="1" a="1"/>
  <c r="S24" i="231" s="1"/>
  <c r="B28" i="232" s="1"/>
  <c r="R24" i="231"/>
  <c r="Q25" i="231"/>
  <c r="R25" i="231"/>
  <c r="Q26" i="231"/>
  <c r="S26" i="231" s="1" a="1"/>
  <c r="S26" i="231" s="1"/>
  <c r="B30" i="232" s="1"/>
  <c r="R26" i="231"/>
  <c r="Q27" i="231"/>
  <c r="R27" i="231"/>
  <c r="Q28" i="231"/>
  <c r="R28" i="231"/>
  <c r="Q29" i="231"/>
  <c r="S29" i="231" s="1" a="1"/>
  <c r="S29" i="231" s="1"/>
  <c r="B33" i="232" s="1"/>
  <c r="R29" i="231"/>
  <c r="Q30" i="231"/>
  <c r="S30" i="231" s="1" a="1"/>
  <c r="S30" i="231" s="1"/>
  <c r="B34" i="232" s="1"/>
  <c r="R30" i="231"/>
  <c r="Q31" i="231"/>
  <c r="S31" i="231" s="1" a="1"/>
  <c r="S31" i="231" s="1"/>
  <c r="B35" i="232" s="1"/>
  <c r="R31" i="231"/>
  <c r="Q32" i="231"/>
  <c r="S32" i="231" s="1" a="1"/>
  <c r="S32" i="231" s="1"/>
  <c r="B36" i="232" s="1"/>
  <c r="R32" i="231"/>
  <c r="Q33" i="231"/>
  <c r="R33" i="231"/>
  <c r="Q34" i="231"/>
  <c r="R34" i="231"/>
  <c r="Q35" i="231"/>
  <c r="S35" i="231" s="1" a="1"/>
  <c r="S35" i="231" s="1"/>
  <c r="B39" i="232" s="1"/>
  <c r="R35" i="231"/>
  <c r="Q36" i="231"/>
  <c r="S36" i="231" s="1" a="1"/>
  <c r="S36" i="231" s="1"/>
  <c r="B40" i="232" s="1"/>
  <c r="R36" i="231"/>
  <c r="Q37" i="231"/>
  <c r="R37" i="231"/>
  <c r="Q38" i="231"/>
  <c r="S38" i="231" s="1" a="1"/>
  <c r="S38" i="231" s="1"/>
  <c r="B42" i="232" s="1"/>
  <c r="R38" i="231"/>
  <c r="Q39" i="231"/>
  <c r="R39" i="231"/>
  <c r="Q40" i="231"/>
  <c r="R40" i="231"/>
  <c r="Q41" i="231"/>
  <c r="R41" i="231"/>
  <c r="Q42" i="231"/>
  <c r="S42" i="231" s="1" a="1"/>
  <c r="S42" i="231" s="1"/>
  <c r="B46" i="232" s="1"/>
  <c r="R42" i="231"/>
  <c r="Q43" i="231"/>
  <c r="S43" i="231" s="1" a="1"/>
  <c r="S43" i="231" s="1"/>
  <c r="B47" i="232" s="1"/>
  <c r="R43" i="231"/>
  <c r="Q44" i="231"/>
  <c r="S44" i="231" s="1" a="1"/>
  <c r="S44" i="231" s="1"/>
  <c r="B48" i="232" s="1"/>
  <c r="R44" i="231"/>
  <c r="Q45" i="231"/>
  <c r="R45" i="231"/>
  <c r="Q46" i="231"/>
  <c r="R46" i="231"/>
  <c r="Q47" i="231"/>
  <c r="S47" i="231" s="1" a="1"/>
  <c r="S47" i="231" s="1"/>
  <c r="B51" i="232" s="1"/>
  <c r="R47" i="231"/>
  <c r="Q48" i="231"/>
  <c r="S48" i="231" s="1" a="1"/>
  <c r="S48" i="231" s="1"/>
  <c r="B52" i="232" s="1"/>
  <c r="R48" i="231"/>
  <c r="Q49" i="231"/>
  <c r="R49" i="231"/>
  <c r="Q50" i="231"/>
  <c r="S50" i="231" s="1" a="1"/>
  <c r="S50" i="231" s="1"/>
  <c r="B54" i="232" s="1"/>
  <c r="R50" i="231"/>
  <c r="Q51" i="231"/>
  <c r="S51" i="231" s="1" a="1"/>
  <c r="S51" i="231" s="1"/>
  <c r="B55" i="232" s="1"/>
  <c r="R51" i="231"/>
  <c r="Q52" i="231"/>
  <c r="S52" i="231" s="1" a="1"/>
  <c r="S52" i="231" s="1"/>
  <c r="B56" i="232"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S59" i="231" s="1"/>
  <c r="R59" i="231"/>
  <c r="Q60" i="231"/>
  <c r="S60" i="231" s="1" a="1"/>
  <c r="S60" i="231" s="1"/>
  <c r="R60" i="231"/>
  <c r="Q61" i="231"/>
  <c r="S61" i="231" s="1" a="1"/>
  <c r="S61" i="231" s="1"/>
  <c r="R61" i="231"/>
  <c r="Q62" i="231"/>
  <c r="S62" i="231" s="1" a="1"/>
  <c r="S62" i="231" s="1"/>
  <c r="R62" i="231"/>
  <c r="Q63" i="231"/>
  <c r="S63" i="231" s="1" a="1"/>
  <c r="S63" i="231" s="1"/>
  <c r="R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S75" i="231" s="1"/>
  <c r="R75" i="231"/>
  <c r="Q76" i="231"/>
  <c r="R76" i="231"/>
  <c r="Q77" i="231"/>
  <c r="S77" i="231" s="1" a="1"/>
  <c r="S77" i="231" s="1"/>
  <c r="R77" i="231"/>
  <c r="Q78" i="231"/>
  <c r="S78" i="231" s="1" a="1"/>
  <c r="S78" i="231" s="1"/>
  <c r="R78" i="231"/>
  <c r="Q79" i="231"/>
  <c r="S79" i="231" s="1" a="1"/>
  <c r="S79" i="231" s="1"/>
  <c r="R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S95" i="231" s="1"/>
  <c r="R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S111" i="231" s="1"/>
  <c r="R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S123" i="231" s="1"/>
  <c r="R123" i="231"/>
  <c r="Q124" i="231"/>
  <c r="R124" i="231"/>
  <c r="Q125" i="231"/>
  <c r="S125" i="231" s="1" a="1"/>
  <c r="S125" i="231" s="1"/>
  <c r="R125" i="231"/>
  <c r="Q126" i="231"/>
  <c r="S126" i="231" s="1" a="1"/>
  <c r="S126" i="231" s="1"/>
  <c r="R126" i="231"/>
  <c r="Q127" i="231"/>
  <c r="S127" i="231" s="1" a="1"/>
  <c r="S127" i="231" s="1"/>
  <c r="R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K16" i="231"/>
  <c r="L16" i="231"/>
  <c r="M16" i="231"/>
  <c r="N16" i="231"/>
  <c r="K17" i="231"/>
  <c r="L17" i="231"/>
  <c r="M17" i="231"/>
  <c r="N17" i="231"/>
  <c r="K18" i="231"/>
  <c r="L18" i="231"/>
  <c r="M18" i="231"/>
  <c r="N18" i="231"/>
  <c r="K19" i="231"/>
  <c r="L19" i="231"/>
  <c r="M19" i="231"/>
  <c r="N19" i="231"/>
  <c r="K20" i="231"/>
  <c r="L20" i="231"/>
  <c r="M20" i="231"/>
  <c r="N20" i="231"/>
  <c r="E7" i="245"/>
  <c r="C20" i="245"/>
  <c r="J20" i="245" s="1"/>
  <c r="B20" i="245"/>
  <c r="I20" i="245" s="1"/>
  <c r="C19" i="245"/>
  <c r="J19" i="245" s="1"/>
  <c r="B19" i="245"/>
  <c r="C18" i="245"/>
  <c r="J18" i="245" s="1"/>
  <c r="B18" i="245"/>
  <c r="I18" i="245" s="1"/>
  <c r="C17" i="245"/>
  <c r="J17" i="245" s="1"/>
  <c r="B17" i="245"/>
  <c r="C16" i="245"/>
  <c r="J16" i="245" s="1"/>
  <c r="B16" i="245"/>
  <c r="I16" i="245" s="1"/>
  <c r="R15" i="245"/>
  <c r="Q15" i="245"/>
  <c r="N15" i="245"/>
  <c r="M15" i="245"/>
  <c r="L15" i="245"/>
  <c r="K15" i="245"/>
  <c r="I15" i="245"/>
  <c r="S15" i="245" s="1" a="1"/>
  <c r="S15" i="245" s="1"/>
  <c r="B65" i="232" s="1"/>
  <c r="C15" i="245"/>
  <c r="J15" i="245" s="1"/>
  <c r="B15" i="245"/>
  <c r="B14" i="245"/>
  <c r="E3" i="245"/>
  <c r="E6" i="245" s="1"/>
  <c r="B62" i="232" s="1"/>
  <c r="C15" i="231"/>
  <c r="J15" i="231" s="1"/>
  <c r="C16" i="231"/>
  <c r="J16" i="231" s="1"/>
  <c r="C17" i="231"/>
  <c r="J17" i="231" s="1"/>
  <c r="C18" i="231"/>
  <c r="J18" i="231" s="1"/>
  <c r="C19" i="231"/>
  <c r="J19" i="231" s="1"/>
  <c r="C20" i="231"/>
  <c r="J20"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M15" i="231"/>
  <c r="L15" i="231"/>
  <c r="K15" i="231"/>
  <c r="B14" i="231"/>
  <c r="I19" i="231" s="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S25" i="184" s="1" a="1"/>
  <c r="S25" i="184" s="1"/>
  <c r="B220" i="181" s="1"/>
  <c r="N16" i="184"/>
  <c r="K17" i="184"/>
  <c r="S29" i="184" s="1" a="1"/>
  <c r="S29" i="184" s="1"/>
  <c r="B224" i="181" s="1"/>
  <c r="L17" i="184"/>
  <c r="M17" i="184"/>
  <c r="N17" i="184"/>
  <c r="K18" i="184"/>
  <c r="L18" i="184"/>
  <c r="M18" i="184"/>
  <c r="N18" i="184"/>
  <c r="K19" i="184"/>
  <c r="L19" i="184"/>
  <c r="M19" i="184"/>
  <c r="N19" i="184"/>
  <c r="K20" i="184"/>
  <c r="S45" i="184" s="1" a="1"/>
  <c r="S45" i="184" s="1"/>
  <c r="B242" i="181" s="1"/>
  <c r="L20" i="184"/>
  <c r="M20" i="184"/>
  <c r="N20" i="184"/>
  <c r="K21" i="184"/>
  <c r="L21" i="184"/>
  <c r="M21" i="184"/>
  <c r="N21" i="184"/>
  <c r="K22" i="184"/>
  <c r="L22" i="184"/>
  <c r="M22" i="184"/>
  <c r="N22" i="184"/>
  <c r="K23" i="184"/>
  <c r="L23" i="184"/>
  <c r="M23" i="184"/>
  <c r="S65" i="184" s="1" a="1"/>
  <c r="S65" i="184" s="1"/>
  <c r="B262" i="181" s="1"/>
  <c r="N23" i="184"/>
  <c r="K24" i="184"/>
  <c r="S69" i="184" s="1" a="1"/>
  <c r="S69" i="184" s="1"/>
  <c r="B266" i="181" s="1"/>
  <c r="L24" i="184"/>
  <c r="M24" i="184"/>
  <c r="N24" i="184"/>
  <c r="K25" i="184"/>
  <c r="L25" i="184"/>
  <c r="M25" i="184"/>
  <c r="N25" i="184"/>
  <c r="K26" i="184"/>
  <c r="L26" i="184"/>
  <c r="M26" i="184"/>
  <c r="N26" i="184"/>
  <c r="K27" i="184"/>
  <c r="L27" i="184"/>
  <c r="M27" i="184"/>
  <c r="S89" i="184" s="1" a="1"/>
  <c r="S89" i="184" s="1"/>
  <c r="B286" i="181" s="1"/>
  <c r="N27" i="184"/>
  <c r="K28" i="184"/>
  <c r="L28" i="184"/>
  <c r="M28" i="184"/>
  <c r="N28" i="184"/>
  <c r="S113" i="184" a="1"/>
  <c r="S113" i="184" s="1"/>
  <c r="B310" i="181" s="1"/>
  <c r="S123" i="184" a="1"/>
  <c r="S123" i="184" s="1"/>
  <c r="B320" i="181" s="1"/>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207" i="181"/>
  <c r="R15" i="184"/>
  <c r="Q15" i="184"/>
  <c r="N15" i="184"/>
  <c r="M15" i="184"/>
  <c r="L15" i="184"/>
  <c r="K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C8" i="212" l="1"/>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I17" i="245"/>
  <c r="S27" i="245" s="1" a="1"/>
  <c r="S27" i="245" s="1"/>
  <c r="B77" i="232" s="1"/>
  <c r="I19" i="245"/>
  <c r="C15" i="230"/>
  <c r="P15" i="229"/>
  <c r="R15" i="229"/>
  <c r="N10" i="229"/>
  <c r="C36" i="230" s="1"/>
  <c r="C14" i="230"/>
  <c r="P14" i="229"/>
  <c r="R14" i="229"/>
  <c r="N9" i="229"/>
  <c r="C35" i="230" s="1"/>
  <c r="C13" i="230"/>
  <c r="R13" i="229"/>
  <c r="P13" i="229"/>
  <c r="C9" i="230"/>
  <c r="I20" i="231"/>
  <c r="S45" i="231" s="1" a="1"/>
  <c r="S45" i="231" s="1"/>
  <c r="B49" i="232" s="1"/>
  <c r="I16" i="231"/>
  <c r="S21" i="231" s="1" a="1"/>
  <c r="S21" i="231" s="1"/>
  <c r="B25" i="232" s="1"/>
  <c r="S40" i="231" a="1"/>
  <c r="S40" i="231" s="1"/>
  <c r="B44" i="232" s="1"/>
  <c r="S28" i="231" a="1"/>
  <c r="S28" i="231" s="1"/>
  <c r="B32" i="232" s="1"/>
  <c r="S40" i="245" a="1"/>
  <c r="S40" i="245" s="1"/>
  <c r="B90" i="232" s="1"/>
  <c r="S28" i="245" a="1"/>
  <c r="S28" i="245" s="1"/>
  <c r="B78" i="232" s="1"/>
  <c r="S16" i="245" a="1"/>
  <c r="S16" i="245" s="1"/>
  <c r="B66" i="232" s="1"/>
  <c r="C16" i="230"/>
  <c r="I17" i="231"/>
  <c r="S27" i="231" s="1" a="1"/>
  <c r="S27" i="231" s="1"/>
  <c r="B31" i="232" s="1"/>
  <c r="S16" i="231" a="1"/>
  <c r="S16" i="231" s="1"/>
  <c r="B20" i="232" s="1"/>
  <c r="S46" i="231" a="1"/>
  <c r="S46" i="231" s="1"/>
  <c r="B50" i="232" s="1"/>
  <c r="S39" i="245" a="1"/>
  <c r="S39" i="245" s="1"/>
  <c r="B89" i="232" s="1"/>
  <c r="N14" i="229"/>
  <c r="C40" i="230" s="1"/>
  <c r="I18" i="231"/>
  <c r="S34" i="231" a="1"/>
  <c r="S34" i="231" s="1"/>
  <c r="B38" i="232" s="1"/>
  <c r="N13" i="229"/>
  <c r="C39" i="230" s="1"/>
  <c r="S46" i="245" a="1"/>
  <c r="S46" i="245" s="1"/>
  <c r="B96" i="232" s="1"/>
  <c r="S34" i="245" a="1"/>
  <c r="S34" i="245" s="1"/>
  <c r="B84" i="232" s="1"/>
  <c r="S22" i="245" a="1"/>
  <c r="S22" i="245" s="1"/>
  <c r="B72" i="232" s="1"/>
  <c r="N11" i="229"/>
  <c r="C37" i="230" s="1"/>
  <c r="S22" i="231" a="1"/>
  <c r="S22" i="231" s="1"/>
  <c r="B26" i="232"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50" i="184" a="1"/>
  <c r="S150" i="184" s="1"/>
  <c r="S144" i="184" a="1"/>
  <c r="S144" i="184" s="1"/>
  <c r="S26" i="184" a="1"/>
  <c r="S26" i="184" s="1"/>
  <c r="B221" i="181" s="1"/>
  <c r="S156" i="184" a="1"/>
  <c r="S156" i="184" s="1"/>
  <c r="S120" i="184" a="1"/>
  <c r="S120" i="184" s="1"/>
  <c r="B317" i="181" s="1"/>
  <c r="S100" i="184" a="1"/>
  <c r="S100" i="184" s="1"/>
  <c r="B297" i="181" s="1"/>
  <c r="S76" i="184" a="1"/>
  <c r="S76" i="184" s="1"/>
  <c r="B273" i="181" s="1"/>
  <c r="S42" i="184" a="1"/>
  <c r="S42" i="184" s="1"/>
  <c r="B239" i="181" s="1"/>
  <c r="S30" i="184" a="1"/>
  <c r="S30" i="184" s="1"/>
  <c r="B225" i="181" s="1"/>
  <c r="S124" i="184" a="1"/>
  <c r="S124" i="184" s="1"/>
  <c r="B321" i="181" s="1"/>
  <c r="S90" i="184" a="1"/>
  <c r="S90" i="184" s="1"/>
  <c r="B287" i="181" s="1"/>
  <c r="S66" i="184" a="1"/>
  <c r="S66" i="184" s="1"/>
  <c r="B263" i="181" s="1"/>
  <c r="S46" i="184" a="1"/>
  <c r="S46" i="184" s="1"/>
  <c r="B243" i="181" s="1"/>
  <c r="S146" i="184" a="1"/>
  <c r="S146" i="184" s="1"/>
  <c r="S140" i="184" a="1"/>
  <c r="S140" i="184" s="1"/>
  <c r="B337" i="181" s="1"/>
  <c r="S130" i="184" a="1"/>
  <c r="S130" i="184" s="1"/>
  <c r="B327" i="181" s="1"/>
  <c r="S96" i="184" a="1"/>
  <c r="S96" i="184" s="1"/>
  <c r="B293" i="181" s="1"/>
  <c r="S72" i="184" a="1"/>
  <c r="S72" i="184" s="1"/>
  <c r="B269" i="181" s="1"/>
  <c r="S52" i="184" a="1"/>
  <c r="S52" i="184" s="1"/>
  <c r="B249" i="181" s="1"/>
  <c r="S32" i="184" a="1"/>
  <c r="S32" i="184" s="1"/>
  <c r="B227" i="181" s="1"/>
  <c r="S152" i="184" a="1"/>
  <c r="S152" i="184" s="1"/>
  <c r="S126" i="184" a="1"/>
  <c r="S126" i="184" s="1"/>
  <c r="B323" i="181" s="1"/>
  <c r="S106" i="184" a="1"/>
  <c r="S106" i="184" s="1"/>
  <c r="B303" i="181" s="1"/>
  <c r="S82" i="184" a="1"/>
  <c r="S82" i="184" s="1"/>
  <c r="B279" i="181" s="1"/>
  <c r="S58" i="184" a="1"/>
  <c r="S58" i="184" s="1"/>
  <c r="B255" i="181" s="1"/>
  <c r="S48" i="184" a="1"/>
  <c r="S48" i="184" s="1"/>
  <c r="B245" i="181" s="1"/>
  <c r="S136" i="184" a="1"/>
  <c r="S136" i="184" s="1"/>
  <c r="B333" i="181" s="1"/>
  <c r="S102" i="184" a="1"/>
  <c r="S102" i="184" s="1"/>
  <c r="B299" i="181" s="1"/>
  <c r="S78" i="184" a="1"/>
  <c r="S78" i="184" s="1"/>
  <c r="B275" i="181" s="1"/>
  <c r="S18" i="184" a="1"/>
  <c r="S18" i="184" s="1"/>
  <c r="B213" i="181" s="1"/>
  <c r="S132" i="184" a="1"/>
  <c r="S132" i="184" s="1"/>
  <c r="B329" i="181" s="1"/>
  <c r="S112" i="184" a="1"/>
  <c r="S112" i="184" s="1"/>
  <c r="B309" i="181" s="1"/>
  <c r="S88" i="184" a="1"/>
  <c r="S88" i="184" s="1"/>
  <c r="B285" i="181" s="1"/>
  <c r="S64" i="184" a="1"/>
  <c r="S64" i="184" s="1"/>
  <c r="B261" i="181" s="1"/>
  <c r="S54" i="184" a="1"/>
  <c r="S54" i="184" s="1"/>
  <c r="B251" i="181" s="1"/>
  <c r="S24" i="184" a="1"/>
  <c r="S24" i="184" s="1"/>
  <c r="B219" i="181" s="1"/>
  <c r="S154" i="184" a="1"/>
  <c r="S154" i="184" s="1"/>
  <c r="S118" i="184" a="1"/>
  <c r="S118" i="184" s="1"/>
  <c r="B315" i="181" s="1"/>
  <c r="S108" i="184" a="1"/>
  <c r="S108" i="184" s="1"/>
  <c r="B305" i="181" s="1"/>
  <c r="S84" i="184" a="1"/>
  <c r="S84" i="184" s="1"/>
  <c r="B281" i="181" s="1"/>
  <c r="S60" i="184" a="1"/>
  <c r="S60" i="184" s="1"/>
  <c r="B257" i="181" s="1"/>
  <c r="S40" i="184" a="1"/>
  <c r="S40" i="184" s="1"/>
  <c r="B237" i="181" s="1"/>
  <c r="S20" i="184" a="1"/>
  <c r="S20" i="184" s="1"/>
  <c r="B215" i="181" s="1"/>
  <c r="S105" i="180" a="1"/>
  <c r="S105" i="180" s="1"/>
  <c r="B110" i="181" s="1"/>
  <c r="S29" i="180" a="1"/>
  <c r="S29" i="180" s="1"/>
  <c r="B34" i="181" s="1"/>
  <c r="S53" i="180" a="1"/>
  <c r="S53" i="180" s="1"/>
  <c r="B58" i="181" s="1"/>
  <c r="S41" i="180" a="1"/>
  <c r="S41" i="180" s="1"/>
  <c r="B46" i="181" s="1"/>
  <c r="S101" i="180" a="1"/>
  <c r="S101" i="180" s="1"/>
  <c r="B106" i="181" s="1"/>
  <c r="S115" i="180" a="1"/>
  <c r="S115" i="180" s="1"/>
  <c r="B120" i="181" s="1"/>
  <c r="S25" i="180" a="1"/>
  <c r="S25" i="180" s="1"/>
  <c r="B29" i="181" s="1"/>
  <c r="S17" i="180" a="1"/>
  <c r="S17" i="180" s="1"/>
  <c r="B21" i="181" s="1"/>
  <c r="S52" i="180" a="1"/>
  <c r="S52" i="180" s="1"/>
  <c r="B57" i="181" s="1"/>
  <c r="S48" i="180" a="1"/>
  <c r="S48" i="180" s="1"/>
  <c r="B53" i="181" s="1"/>
  <c r="S40" i="180" a="1"/>
  <c r="S40" i="180" s="1"/>
  <c r="B45" i="181" s="1"/>
  <c r="S83" i="180" a="1"/>
  <c r="S83" i="180" s="1"/>
  <c r="B88" i="181" s="1"/>
  <c r="S79" i="180" a="1"/>
  <c r="S79" i="180" s="1"/>
  <c r="B84" i="181" s="1"/>
  <c r="S71" i="180" a="1"/>
  <c r="S71" i="180" s="1"/>
  <c r="B76" i="181" s="1"/>
  <c r="S67" i="180" a="1"/>
  <c r="S67" i="180" s="1"/>
  <c r="B72" i="181" s="1"/>
  <c r="S59" i="180" a="1"/>
  <c r="S59" i="180" s="1"/>
  <c r="B64" i="181" s="1"/>
  <c r="S100" i="180" a="1"/>
  <c r="S100" i="180" s="1"/>
  <c r="B105" i="181" s="1"/>
  <c r="S96" i="180" a="1"/>
  <c r="S96" i="180" s="1"/>
  <c r="B101" i="181" s="1"/>
  <c r="S88" i="180" a="1"/>
  <c r="S88" i="180" s="1"/>
  <c r="B93" i="181" s="1"/>
  <c r="S84" i="180" a="1"/>
  <c r="S84" i="180" s="1"/>
  <c r="B89" i="181" s="1"/>
  <c r="S89" i="180" a="1"/>
  <c r="S89" i="180" s="1"/>
  <c r="B94" i="181" s="1"/>
  <c r="S36" i="180" a="1"/>
  <c r="S36" i="180" s="1"/>
  <c r="B41" i="181" s="1"/>
  <c r="S82" i="180" a="1"/>
  <c r="S82" i="180" s="1"/>
  <c r="B87" i="181" s="1"/>
  <c r="S78" i="180" a="1"/>
  <c r="S78" i="180" s="1"/>
  <c r="B83" i="181" s="1"/>
  <c r="S70" i="180" a="1"/>
  <c r="S70" i="180" s="1"/>
  <c r="B75" i="181" s="1"/>
  <c r="S66" i="180" a="1"/>
  <c r="S66" i="180" s="1"/>
  <c r="B71" i="181" s="1"/>
  <c r="S120" i="180" a="1"/>
  <c r="S120" i="180" s="1"/>
  <c r="B125" i="181" s="1"/>
  <c r="S24" i="180" a="1"/>
  <c r="S24" i="180" s="1"/>
  <c r="B28" i="181" s="1"/>
  <c r="S55" i="180" a="1"/>
  <c r="S55" i="180" s="1"/>
  <c r="B60" i="181" s="1"/>
  <c r="S47" i="180" a="1"/>
  <c r="S47" i="180" s="1"/>
  <c r="B52" i="181" s="1"/>
  <c r="S43" i="180" a="1"/>
  <c r="S43" i="180" s="1"/>
  <c r="B48" i="181" s="1"/>
  <c r="S91" i="180" a="1"/>
  <c r="S91" i="180" s="1"/>
  <c r="B96" i="181" s="1"/>
  <c r="S23" i="180" a="1"/>
  <c r="S23" i="180" s="1"/>
  <c r="B27" i="181" s="1"/>
  <c r="S19" i="180" a="1"/>
  <c r="S19" i="180" s="1"/>
  <c r="B23" i="181" s="1"/>
  <c r="S58" i="180" a="1"/>
  <c r="S58" i="180" s="1"/>
  <c r="B63" i="181" s="1"/>
  <c r="S54" i="180" a="1"/>
  <c r="S54" i="180" s="1"/>
  <c r="B59" i="181" s="1"/>
  <c r="S46" i="180" a="1"/>
  <c r="S46" i="180" s="1"/>
  <c r="B51" i="181" s="1"/>
  <c r="S42" i="180" a="1"/>
  <c r="S42" i="180" s="1"/>
  <c r="B47" i="181" s="1"/>
  <c r="S77" i="180" a="1"/>
  <c r="S77" i="180" s="1"/>
  <c r="B82" i="181" s="1"/>
  <c r="S73" i="180" a="1"/>
  <c r="S73" i="180" s="1"/>
  <c r="B78" i="181" s="1"/>
  <c r="S65" i="180" a="1"/>
  <c r="S65" i="180" s="1"/>
  <c r="B70" i="181" s="1"/>
  <c r="S61" i="180" a="1"/>
  <c r="S61" i="180" s="1"/>
  <c r="B66" i="181" s="1"/>
  <c r="S102" i="180" a="1"/>
  <c r="S102" i="180" s="1"/>
  <c r="B107" i="181" s="1"/>
  <c r="S94" i="180" a="1"/>
  <c r="S94" i="180" s="1"/>
  <c r="B99" i="181" s="1"/>
  <c r="S90" i="180" a="1"/>
  <c r="S90" i="180" s="1"/>
  <c r="B95" i="181" s="1"/>
  <c r="S111" i="180" a="1"/>
  <c r="S111" i="180" s="1"/>
  <c r="B116" i="181" s="1"/>
  <c r="S34" i="180" a="1"/>
  <c r="S34" i="180" s="1"/>
  <c r="B39" i="181" s="1"/>
  <c r="S30" i="180" a="1"/>
  <c r="S30" i="180" s="1"/>
  <c r="B35" i="181" s="1"/>
  <c r="S76" i="180" a="1"/>
  <c r="S76" i="180" s="1"/>
  <c r="B81" i="181" s="1"/>
  <c r="S72" i="180" a="1"/>
  <c r="S72" i="180" s="1"/>
  <c r="B77" i="181" s="1"/>
  <c r="S64" i="180" a="1"/>
  <c r="S64" i="180" s="1"/>
  <c r="B69" i="181" s="1"/>
  <c r="S60" i="180" a="1"/>
  <c r="S60" i="180" s="1"/>
  <c r="B65"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0" i="184" a="1"/>
  <c r="S110" i="184" s="1"/>
  <c r="B307" i="181" s="1"/>
  <c r="C15" i="171"/>
  <c r="C12" i="171"/>
  <c r="N35" i="169"/>
  <c r="C90" i="171" s="1"/>
  <c r="N19" i="169"/>
  <c r="C74" i="171" s="1"/>
  <c r="I27" i="180"/>
  <c r="S86" i="180" s="1" a="1"/>
  <c r="S86" i="180" s="1"/>
  <c r="B91" i="181" s="1"/>
  <c r="S86" i="184" a="1"/>
  <c r="S86" i="184" s="1"/>
  <c r="B283" i="181" s="1"/>
  <c r="C47" i="171"/>
  <c r="C39" i="171"/>
  <c r="N32" i="169"/>
  <c r="C87" i="171" s="1"/>
  <c r="I23" i="180"/>
  <c r="S22" i="180" a="1"/>
  <c r="S22" i="180" s="1"/>
  <c r="B26" i="181" s="1"/>
  <c r="S45" i="180" a="1"/>
  <c r="S45" i="180" s="1"/>
  <c r="B50" i="181" s="1"/>
  <c r="S62" i="184" a="1"/>
  <c r="S62" i="184" s="1"/>
  <c r="B259" i="181" s="1"/>
  <c r="N29" i="169"/>
  <c r="C84" i="171" s="1"/>
  <c r="C29" i="171"/>
  <c r="N21" i="169"/>
  <c r="C76" i="171" s="1"/>
  <c r="C21" i="171"/>
  <c r="N14" i="169"/>
  <c r="C69" i="171" s="1"/>
  <c r="C57" i="171"/>
  <c r="N57" i="169"/>
  <c r="C112" i="171" s="1"/>
  <c r="B368" i="181"/>
  <c r="I25" i="180"/>
  <c r="S74" i="180" s="1" a="1"/>
  <c r="S74" i="180" s="1"/>
  <c r="B79" i="181" s="1"/>
  <c r="S28" i="180" a="1"/>
  <c r="S28" i="180" s="1"/>
  <c r="B32" i="181" s="1"/>
  <c r="S16" i="180" a="1"/>
  <c r="S16" i="180" s="1"/>
  <c r="B20" i="181" s="1"/>
  <c r="S51" i="180" a="1"/>
  <c r="S51" i="180" s="1"/>
  <c r="B56" i="181" s="1"/>
  <c r="S39" i="180" a="1"/>
  <c r="S39" i="180" s="1"/>
  <c r="B44" i="181" s="1"/>
  <c r="S99" i="180" a="1"/>
  <c r="S99" i="180" s="1"/>
  <c r="B104" i="181" s="1"/>
  <c r="S87" i="180" a="1"/>
  <c r="S87" i="180" s="1"/>
  <c r="B92" i="181" s="1"/>
  <c r="S122" i="184" a="1"/>
  <c r="S122" i="184" s="1"/>
  <c r="B319" i="181" s="1"/>
  <c r="S98" i="184" a="1"/>
  <c r="S98" i="184" s="1"/>
  <c r="B295" i="181" s="1"/>
  <c r="S74" i="184" a="1"/>
  <c r="S74" i="184" s="1"/>
  <c r="B271" i="181" s="1"/>
  <c r="S50" i="184" a="1"/>
  <c r="S50" i="184" s="1"/>
  <c r="B247" i="181" s="1"/>
  <c r="S28" i="184" a="1"/>
  <c r="S28" i="184" s="1"/>
  <c r="B223" i="181" s="1"/>
  <c r="C34" i="171"/>
  <c r="C26" i="171"/>
  <c r="C18" i="171"/>
  <c r="I60" i="185"/>
  <c r="S60" i="185" s="1" a="1"/>
  <c r="S60" i="185" s="1"/>
  <c r="N40" i="169"/>
  <c r="C95" i="171" s="1"/>
  <c r="N13" i="169"/>
  <c r="C68" i="171" s="1"/>
  <c r="I26" i="180"/>
  <c r="S81" i="180" a="1"/>
  <c r="S81" i="180" s="1"/>
  <c r="B86" i="181" s="1"/>
  <c r="S69" i="180" a="1"/>
  <c r="S69" i="180" s="1"/>
  <c r="B74" i="181" s="1"/>
  <c r="S116" i="184" a="1"/>
  <c r="S116" i="184" s="1"/>
  <c r="B313" i="181" s="1"/>
  <c r="S92" i="184" a="1"/>
  <c r="S92" i="184" s="1"/>
  <c r="B289" i="181" s="1"/>
  <c r="S68" i="184" a="1"/>
  <c r="S68" i="184" s="1"/>
  <c r="B265" i="181" s="1"/>
  <c r="S44" i="184" a="1"/>
  <c r="S44" i="184" s="1"/>
  <c r="B241" i="181" s="1"/>
  <c r="S22" i="184" a="1"/>
  <c r="S22" i="184" s="1"/>
  <c r="B217" i="181" s="1"/>
  <c r="C46" i="171"/>
  <c r="I21" i="184"/>
  <c r="S49" i="184" s="1" a="1"/>
  <c r="S49" i="184" s="1"/>
  <c r="B246" i="181" s="1"/>
  <c r="I29" i="180"/>
  <c r="S80" i="180" a="1"/>
  <c r="S80" i="180" s="1"/>
  <c r="B85" i="181" s="1"/>
  <c r="S16" i="184" a="1"/>
  <c r="S16" i="184" s="1"/>
  <c r="B211" i="181" s="1"/>
  <c r="S33" i="180" a="1"/>
  <c r="S33" i="180" s="1"/>
  <c r="B38" i="181" s="1"/>
  <c r="S57" i="180" a="1"/>
  <c r="S57" i="180" s="1"/>
  <c r="B62" i="181" s="1"/>
  <c r="N36" i="169"/>
  <c r="C91" i="171" s="1"/>
  <c r="N28" i="169"/>
  <c r="C83" i="171" s="1"/>
  <c r="N20" i="169"/>
  <c r="C75" i="171" s="1"/>
  <c r="N10" i="169"/>
  <c r="C65" i="171" s="1"/>
  <c r="I30" i="180"/>
  <c r="S110" i="180" s="1" a="1"/>
  <c r="S110" i="180" s="1"/>
  <c r="B115" i="181" s="1"/>
  <c r="C11" i="171"/>
  <c r="I19" i="246"/>
  <c r="S134" i="184" a="1"/>
  <c r="S134" i="184" s="1"/>
  <c r="B331" i="181" s="1"/>
  <c r="S38" i="184" a="1"/>
  <c r="S38" i="184" s="1"/>
  <c r="B235" i="181" s="1"/>
  <c r="N9" i="169"/>
  <c r="C64" i="171" s="1"/>
  <c r="N56" i="169"/>
  <c r="C111" i="171" s="1"/>
  <c r="I28" i="180"/>
  <c r="S92" i="180" s="1" a="1"/>
  <c r="S92" i="180" s="1"/>
  <c r="B97" i="181" s="1"/>
  <c r="I24" i="180"/>
  <c r="S68" i="180" s="1" a="1"/>
  <c r="S68" i="180" s="1"/>
  <c r="B73" i="181" s="1"/>
  <c r="S56" i="180" a="1"/>
  <c r="S56" i="180" s="1"/>
  <c r="B61" i="181" s="1"/>
  <c r="S75" i="180" a="1"/>
  <c r="S75" i="180" s="1"/>
  <c r="B80" i="181" s="1"/>
  <c r="S63" i="180" a="1"/>
  <c r="S63" i="180" s="1"/>
  <c r="B68" i="181" s="1"/>
  <c r="S116" i="180" a="1"/>
  <c r="S116" i="180" s="1"/>
  <c r="B121" i="181" s="1"/>
  <c r="S128" i="184" a="1"/>
  <c r="S128" i="184" s="1"/>
  <c r="B325" i="181" s="1"/>
  <c r="S104" i="184" a="1"/>
  <c r="S104" i="184" s="1"/>
  <c r="B301" i="181" s="1"/>
  <c r="S80" i="184" a="1"/>
  <c r="S80" i="184" s="1"/>
  <c r="B277" i="181" s="1"/>
  <c r="S56" i="184" a="1"/>
  <c r="S56" i="184" s="1"/>
  <c r="B253" i="181" s="1"/>
  <c r="S34" i="184" a="1"/>
  <c r="S34" i="184" s="1"/>
  <c r="B229" i="181" s="1"/>
  <c r="N50" i="169"/>
  <c r="C105" i="171" s="1"/>
  <c r="I31" i="180"/>
  <c r="S62" i="180" a="1"/>
  <c r="S62" i="180" s="1"/>
  <c r="B67" i="181" s="1"/>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8" i="181" s="1"/>
  <c r="S97" i="180" a="1"/>
  <c r="S97" i="180" s="1"/>
  <c r="B102" i="181" s="1"/>
  <c r="S118" i="180" a="1"/>
  <c r="S118" i="180" s="1"/>
  <c r="B123" i="181" s="1"/>
  <c r="S112" i="180" a="1"/>
  <c r="S112" i="180" s="1"/>
  <c r="B117" i="181" s="1"/>
  <c r="S106" i="180" a="1"/>
  <c r="S106" i="180" s="1"/>
  <c r="B111" i="181" s="1"/>
  <c r="S119" i="180" a="1"/>
  <c r="S119" i="180" s="1"/>
  <c r="B124" i="181" s="1"/>
  <c r="S114" i="180" a="1"/>
  <c r="S114" i="180" s="1"/>
  <c r="B119" i="181" s="1"/>
  <c r="S108" i="180" a="1"/>
  <c r="S108" i="180" s="1"/>
  <c r="B113" i="181" s="1"/>
  <c r="S95" i="180" a="1"/>
  <c r="S95"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3" i="180" a="1"/>
  <c r="S93" i="180" s="1"/>
  <c r="B98" i="181" s="1"/>
  <c r="N17" i="169"/>
  <c r="C72" i="171" s="1"/>
  <c r="N16" i="169"/>
  <c r="C71" i="171" s="1"/>
  <c r="I16" i="182"/>
  <c r="S21" i="182" s="1" a="1"/>
  <c r="S21" i="182" s="1"/>
  <c r="B145" i="181" s="1"/>
  <c r="I18" i="182"/>
  <c r="B362" i="181"/>
  <c r="S21" i="183" a="1"/>
  <c r="S21" i="183" s="1"/>
  <c r="B192" i="181" s="1"/>
  <c r="I25" i="184"/>
  <c r="S73" i="184" s="1" a="1"/>
  <c r="S73" i="184" s="1"/>
  <c r="B270" i="181" s="1"/>
  <c r="S121" i="184" a="1"/>
  <c r="S121" i="184" s="1"/>
  <c r="B318" i="181" s="1"/>
  <c r="S97" i="184" a="1"/>
  <c r="S97" i="184" s="1"/>
  <c r="B294" i="181" s="1"/>
  <c r="I17" i="180"/>
  <c r="S27" i="180" s="1" a="1"/>
  <c r="S27" i="180" s="1"/>
  <c r="B31" i="181" s="1"/>
  <c r="I19" i="184"/>
  <c r="S37" i="184" s="1" a="1"/>
  <c r="S37" i="184" s="1"/>
  <c r="B234" i="181" s="1"/>
  <c r="I20" i="180"/>
  <c r="S44" i="180" s="1" a="1"/>
  <c r="S44" i="180" s="1"/>
  <c r="B49" i="181" s="1"/>
  <c r="I17" i="184"/>
  <c r="S27" i="184" s="1" a="1"/>
  <c r="S27" i="184" s="1"/>
  <c r="B222" i="181" s="1"/>
  <c r="I19" i="180"/>
  <c r="S38" i="180" s="1" a="1"/>
  <c r="S38" i="180" s="1"/>
  <c r="B43" i="181" s="1"/>
  <c r="I16" i="180"/>
  <c r="S21" i="180" s="1" a="1"/>
  <c r="S21" i="180" s="1"/>
  <c r="B25" i="181" s="1"/>
  <c r="S45" i="182" a="1"/>
  <c r="S45" i="182" s="1"/>
  <c r="B169" i="181" s="1"/>
  <c r="I17" i="182"/>
  <c r="S27" i="182" a="1"/>
  <c r="S27" i="182" s="1"/>
  <c r="B151" i="181" s="1"/>
  <c r="I15" i="184"/>
  <c r="S15" i="184" s="1" a="1"/>
  <c r="S15" i="184" s="1"/>
  <c r="B210" i="181" s="1"/>
  <c r="S115" i="184" a="1"/>
  <c r="S115" i="184" s="1"/>
  <c r="B312" i="181" s="1"/>
  <c r="I28" i="184"/>
  <c r="S91" i="184" s="1" a="1"/>
  <c r="S91" i="184" s="1"/>
  <c r="B288" i="181" s="1"/>
  <c r="I24" i="184"/>
  <c r="S67" i="184" s="1" a="1"/>
  <c r="S67" i="184" s="1"/>
  <c r="B264" i="181" s="1"/>
  <c r="I20" i="184"/>
  <c r="S43" i="184" s="1" a="1"/>
  <c r="S43" i="184" s="1"/>
  <c r="B240" i="181" s="1"/>
  <c r="I16" i="184"/>
  <c r="S21" i="184" s="1" a="1"/>
  <c r="S21" i="184" s="1"/>
  <c r="B216" i="181" s="1"/>
  <c r="S16" i="183" a="1"/>
  <c r="S16" i="183" s="1"/>
  <c r="B187" i="181" s="1"/>
  <c r="S33" i="182" a="1"/>
  <c r="S33" i="182" s="1"/>
  <c r="B157" i="181" s="1"/>
  <c r="I21" i="180"/>
  <c r="S50" i="180" s="1" a="1"/>
  <c r="S50" i="180" s="1"/>
  <c r="B55" i="181" s="1"/>
  <c r="I18" i="180"/>
  <c r="S32" i="180" s="1" a="1"/>
  <c r="S32" i="180" s="1"/>
  <c r="B37" i="181" s="1"/>
  <c r="S127" i="184" a="1"/>
  <c r="S127" i="184" s="1"/>
  <c r="B324" i="181" s="1"/>
  <c r="S103" i="184" a="1"/>
  <c r="S103" i="184" s="1"/>
  <c r="B300" i="181" s="1"/>
  <c r="I26" i="184"/>
  <c r="S79" i="184" s="1" a="1"/>
  <c r="S79" i="184" s="1"/>
  <c r="B276" i="181" s="1"/>
  <c r="I22" i="184"/>
  <c r="S55" i="184" s="1" a="1"/>
  <c r="S55" i="184" s="1"/>
  <c r="B252" i="181" s="1"/>
  <c r="I18" i="184"/>
  <c r="S33" i="184" s="1" a="1"/>
  <c r="S33" i="184" s="1"/>
  <c r="B228" i="181" s="1"/>
  <c r="S46" i="182" a="1"/>
  <c r="S46" i="182" s="1"/>
  <c r="B170" i="181" s="1"/>
  <c r="S133" i="184" a="1"/>
  <c r="S133" i="184" s="1"/>
  <c r="B330" i="181" s="1"/>
  <c r="S109" i="184" a="1"/>
  <c r="S109" i="184" s="1"/>
  <c r="B306" i="181" s="1"/>
  <c r="I27" i="184"/>
  <c r="S85" i="184" s="1" a="1"/>
  <c r="S85" i="184" s="1"/>
  <c r="B282" i="181" s="1"/>
  <c r="I23" i="184"/>
  <c r="S61" i="184" s="1" a="1"/>
  <c r="S61"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B103" i="232" s="1"/>
  <c r="S49" i="245" a="1"/>
  <c r="S49" i="245" s="1"/>
  <c r="B99" i="232" s="1"/>
  <c r="S45" i="245" a="1"/>
  <c r="S45" i="245" s="1"/>
  <c r="B95" i="232" s="1"/>
  <c r="S41" i="245" a="1"/>
  <c r="S41" i="245" s="1"/>
  <c r="B91" i="232" s="1"/>
  <c r="S37" i="245" a="1"/>
  <c r="S37" i="245" s="1"/>
  <c r="B87" i="232" s="1"/>
  <c r="S33" i="245" a="1"/>
  <c r="S33" i="245" s="1"/>
  <c r="B83" i="232" s="1"/>
  <c r="S29" i="245" a="1"/>
  <c r="S29" i="245" s="1"/>
  <c r="B79" i="232" s="1"/>
  <c r="S25" i="245" a="1"/>
  <c r="S25" i="245" s="1"/>
  <c r="B75" i="232" s="1"/>
  <c r="S21" i="245" a="1"/>
  <c r="S21" i="245" s="1"/>
  <c r="B71" i="232" s="1"/>
  <c r="S17" i="245" a="1"/>
  <c r="S17" i="245" s="1"/>
  <c r="B67" i="232"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B45" i="232" s="1"/>
  <c r="S25" i="231" a="1"/>
  <c r="S25" i="231" s="1"/>
  <c r="B29" i="232"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B57" i="232" s="1"/>
  <c r="S37" i="231" a="1"/>
  <c r="S37" i="231" s="1"/>
  <c r="B41" i="232"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B53" i="232" s="1"/>
  <c r="S33" i="231" a="1"/>
  <c r="S33" i="231" s="1"/>
  <c r="B37" i="232"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B43" i="232" s="1"/>
  <c r="S23" i="231" a="1"/>
  <c r="S23" i="231" s="1"/>
  <c r="B27" i="23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54" i="178" a="1"/>
  <c r="S54" i="178" s="1"/>
  <c r="B56" i="179"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14" i="179"/>
  <c r="E6" i="215" l="1"/>
  <c r="B16" i="216" s="1"/>
  <c r="S104" i="180" a="1"/>
  <c r="S104" i="180" s="1"/>
  <c r="B109" i="181" s="1"/>
  <c r="S98" i="180" a="1"/>
  <c r="S98" i="180" s="1"/>
  <c r="B103" i="181" s="1"/>
  <c r="S22" i="185"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<sst xmlns="http://schemas.openxmlformats.org/spreadsheetml/2006/main" count="6899" uniqueCount="2348">
  <si>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</si>
  <si>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</si>
  <si>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</si>
  <si>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</si>
  <si>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</si>
  <si>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</si>
  <si>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</si>
  <si>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</si>
  <si>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</si>
  <si>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</si>
  <si>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</si>
  <si>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</si>
  <si>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</si>
  <si>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</si>
  <si>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</si>
  <si>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</si>
  <si>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</si>
  <si>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</si>
  <si>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</si>
  <si>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</si>
  <si>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</si>
  <si>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</si>
  <si>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</si>
  <si>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</si>
  <si>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</si>
  <si>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</si>
  <si>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</si>
  <si>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</si>
  <si>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</si>
  <si>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</si>
  <si>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</si>
  <si>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</si>
  <si>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</si>
  <si>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</si>
  <si>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</si>
  <si>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</si>
  <si>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</si>
  <si>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</si>
  <si>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</si>
  <si>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</si>
  <si>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</si>
  <si>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</si>
  <si>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</si>
  <si>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</si>
  <si>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</si>
  <si>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</si>
  <si>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</si>
  <si>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</si>
  <si>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</si>
  <si>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</si>
  <si>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</si>
  <si>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</si>
  <si>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</si>
  <si>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</si>
  <si>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</si>
  <si>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</si>
  <si>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</si>
  <si>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</si>
  <si>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</si>
  <si>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</si>
  <si>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</si>
  <si>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</si>
  <si>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</si>
  <si>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</si>
  <si>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</si>
  <si>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</si>
  <si>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</si>
  <si>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</si>
  <si>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</si>
  <si>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</si>
  <si>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</si>
  <si>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</si>
  <si>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</si>
  <si>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</si>
  <si>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</si>
  <si>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</si>
  <si>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</si>
  <si>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</si>
  <si>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</si>
  <si>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</si>
  <si>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</si>
  <si>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</si>
  <si>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</si>
  <si>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</si>
  <si>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</si>
  <si>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</si>
  <si>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</si>
  <si>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</si>
  <si>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</si>
  <si>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</si>
  <si>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</si>
  <si>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</si>
  <si>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</si>
  <si>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</si>
  <si>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</si>
  <si>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</si>
  <si>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</si>
  <si>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</si>
  <si>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</si>
  <si>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</si>
  <si>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</si>
  <si>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</si>
  <si>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</si>
  <si>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</si>
  <si>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</si>
  <si>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</si>
  <si>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</si>
  <si>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</si>
  <si>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</si>
  <si>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</si>
  <si>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</si>
  <si>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</si>
  <si>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</si>
  <si>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</si>
  <si>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</si>
  <si>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</si>
  <si>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</si>
  <si>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</si>
  <si>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</si>
  <si>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</si>
  <si>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</si>
  <si>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</si>
  <si>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</si>
  <si>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</si>
  <si>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</si>
  <si>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</si>
  <si>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</si>
  <si>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</si>
  <si>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</si>
  <si>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</si>
  <si>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</si>
  <si>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</si>
  <si>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</si>
  <si>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</si>
  <si>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</si>
  <si>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</si>
  <si>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</si>
  <si>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</si>
  <si>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</si>
  <si>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</si>
  <si>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</si>
  <si>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</si>
  <si>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</si>
  <si>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</si>
  <si>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</si>
  <si>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</si>
  <si>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</si>
  <si>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</si>
  <si>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</si>
  <si>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</si>
  <si>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</si>
  <si>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</si>
  <si>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</si>
  <si>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</si>
  <si>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</si>
  <si>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</si>
  <si>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</si>
  <si>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</si>
  <si>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</si>
  <si>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</si>
  <si>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</si>
  <si>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</si>
  <si>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</si>
  <si>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</si>
  <si>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</si>
  <si>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</si>
  <si>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</si>
  <si>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</si>
  <si>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</si>
  <si>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</si>
  <si>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</si>
  <si>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</si>
  <si>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</si>
  <si>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</si>
  <si>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</si>
  <si>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</si>
  <si>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</si>
  <si>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</si>
  <si>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</si>
  <si>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</si>
  <si>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</si>
  <si>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</si>
  <si>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</si>
  <si>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</si>
  <si>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</si>
  <si>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</si>
  <si>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</si>
  <si>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</si>
  <si>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</si>
  <si>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</si>
  <si>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</si>
  <si>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</si>
  <si>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</si>
  <si>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</si>
  <si>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</si>
  <si>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</si>
  <si>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</si>
  <si>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</si>
  <si>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</si>
  <si>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</si>
  <si>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</si>
  <si>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</si>
  <si>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</si>
  <si>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</si>
  <si>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</si>
  <si>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</si>
  <si>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</si>
  <si>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</si>
  <si>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</si>
  <si>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</si>
  <si>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</si>
  <si>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</si>
  <si>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</si>
  <si>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</si>
  <si>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</si>
  <si>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</si>
  <si>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</si>
  <si>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</si>
  <si>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</si>
  <si>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</si>
  <si>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</si>
  <si>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</si>
  <si>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</si>
  <si>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</si>
  <si>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</si>
  <si>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</si>
  <si>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</si>
  <si>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</si>
  <si>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</si>
  <si>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</si>
  <si>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</si>
  <si>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</si>
  <si>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</si>
  <si>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</si>
  <si>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</si>
  <si>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</si>
  <si>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</si>
  <si>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</si>
  <si>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</si>
  <si>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</si>
  <si>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</si>
  <si>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</si>
  <si>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</si>
  <si>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</si>
  <si>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</si>
  <si>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</si>
  <si>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</si>
  <si>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</si>
  <si>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</si>
  <si>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</si>
  <si>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</si>
  <si>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</si>
  <si>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</si>
  <si>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</si>
  <si>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</si>
  <si>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</si>
  <si>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</si>
  <si>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</si>
  <si>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</si>
  <si>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</si>
  <si>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</si>
  <si>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</si>
  <si>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</si>
  <si>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</si>
  <si>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</si>
  <si>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</si>
  <si>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</si>
  <si>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</si>
  <si>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</si>
  <si>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</si>
  <si>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</si>
  <si>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</si>
  <si>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</si>
  <si>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</si>
  <si>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</si>
  <si>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</si>
  <si>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</si>
  <si>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</si>
  <si>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</si>
  <si>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</si>
  <si>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</si>
  <si>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</si>
  <si>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</si>
  <si>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</si>
  <si>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</si>
  <si>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</si>
  <si>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</si>
  <si>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</si>
  <si>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</si>
  <si>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</si>
  <si>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</si>
  <si>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</si>
  <si>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</si>
  <si>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</si>
  <si>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</si>
  <si>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</si>
  <si>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</si>
  <si>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</si>
  <si>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</si>
  <si>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</si>
  <si>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</si>
  <si>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</si>
  <si>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</si>
  <si>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</si>
  <si>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</si>
  <si>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</si>
  <si>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</si>
  <si>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</si>
  <si>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</si>
  <si>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</si>
  <si>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</si>
  <si>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</si>
  <si>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</si>
  <si>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</si>
  <si>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</si>
  <si>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</si>
  <si>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</si>
  <si>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</si>
  <si>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</si>
  <si>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</si>
  <si>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</si>
  <si>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</si>
  <si>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</si>
  <si>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</si>
  <si>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</si>
  <si>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</si>
  <si>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</si>
  <si>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</si>
  <si>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</si>
  <si>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</si>
  <si>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</si>
  <si>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</si>
  <si>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</si>
  <si>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</si>
  <si>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</si>
  <si>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</si>
  <si>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</si>
  <si>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</si>
  <si>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</si>
  <si>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</si>
  <si>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</si>
  <si>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</si>
  <si>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</si>
  <si>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</si>
  <si>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</si>
  <si>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</si>
  <si>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</si>
  <si>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</si>
  <si>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</si>
  <si>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</si>
  <si>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</si>
  <si>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</si>
  <si>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</si>
  <si>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</si>
  <si>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</si>
  <si>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</si>
  <si>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</si>
  <si>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</si>
  <si>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</si>
  <si>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</si>
  <si>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</si>
  <si>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</si>
  <si>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</si>
  <si>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</si>
  <si>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</si>
  <si>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</si>
  <si>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</si>
  <si>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</si>
  <si>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</si>
  <si>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</si>
  <si>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</si>
  <si>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</si>
  <si>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</si>
  <si>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</si>
  <si>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</si>
  <si>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</si>
  <si>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</si>
  <si>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</si>
  <si>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</si>
  <si>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</si>
  <si>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</si>
  <si>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</si>
  <si>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</si>
  <si>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</si>
  <si>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</si>
  <si>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</si>
  <si>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</si>
  <si>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</si>
  <si>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</si>
  <si>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</si>
  <si>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</si>
  <si>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</si>
  <si>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</si>
  <si>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</si>
  <si>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</si>
  <si>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</si>
  <si>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</si>
  <si>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</si>
  <si>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</si>
  <si>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</si>
  <si>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</si>
  <si>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</si>
  <si>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</si>
  <si>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</si>
  <si>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</si>
  <si>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</si>
  <si>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</si>
  <si>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</si>
  <si>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</si>
  <si>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</si>
  <si>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</si>
  <si>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</si>
  <si>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</si>
  <si>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</si>
  <si>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</si>
  <si>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</si>
  <si>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</si>
  <si>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</si>
  <si>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</si>
  <si>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</si>
  <si>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</si>
  <si>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</si>
  <si>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</si>
  <si>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</si>
  <si>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</si>
  <si>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</si>
  <si>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</si>
  <si>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</si>
  <si>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</si>
  <si>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</si>
  <si>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</si>
  <si>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</si>
  <si>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</si>
  <si>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</si>
  <si>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</si>
  <si>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</si>
  <si>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</si>
  <si>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</si>
  <si>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</si>
  <si>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</si>
  <si>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</si>
  <si>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</si>
  <si>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</si>
  <si>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</si>
  <si>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</si>
  <si>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</si>
  <si>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</si>
  <si>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</si>
  <si>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</si>
  <si>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</si>
  <si>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</si>
  <si>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</si>
  <si>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</si>
  <si>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</si>
  <si>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</si>
  <si>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</si>
  <si>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</si>
  <si>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</si>
  <si>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</si>
  <si>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</si>
  <si>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</si>
  <si>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</si>
  <si>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</si>
  <si>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</si>
  <si>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</si>
  <si>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</si>
  <si>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</si>
  <si>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</si>
  <si>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</si>
  <si>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</si>
  <si>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</si>
  <si>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</si>
  <si>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</si>
  <si>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</si>
  <si>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</si>
  <si>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</si>
  <si>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</si>
  <si>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</si>
  <si>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</si>
  <si>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</si>
  <si>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</si>
  <si>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</si>
  <si>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</si>
  <si>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</si>
  <si>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</si>
  <si>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</si>
  <si>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</si>
  <si>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</si>
  <si>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</si>
  <si>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</si>
  <si>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</si>
  <si>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</si>
  <si>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</si>
  <si>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</si>
  <si>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</si>
  <si>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</si>
  <si>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</si>
  <si>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</si>
  <si>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</si>
  <si>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</si>
  <si>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</si>
  <si>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</si>
  <si>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</si>
  <si>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</si>
  <si>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</si>
  <si>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</si>
  <si>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</si>
  <si>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</si>
  <si>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</si>
  <si>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</si>
  <si>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</si>
  <si>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</si>
  <si>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</si>
  <si>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</si>
  <si>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</si>
  <si>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</si>
  <si>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</si>
  <si>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</si>
  <si>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</si>
  <si>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</si>
  <si>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</si>
  <si>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</si>
  <si>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</si>
  <si>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</si>
  <si>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</si>
  <si>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</si>
  <si>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</si>
  <si>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</si>
  <si>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</si>
  <si>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</si>
  <si>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</si>
  <si>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</si>
  <si>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</si>
  <si>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</si>
  <si>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</si>
  <si>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</si>
  <si>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</si>
  <si>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</si>
  <si>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</si>
  <si>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</si>
  <si>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</si>
  <si>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</si>
  <si>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</si>
  <si>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</si>
  <si>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</si>
  <si>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</si>
  <si>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</si>
  <si>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</si>
  <si>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</si>
  <si>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</si>
  <si>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</si>
  <si>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</si>
  <si>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</si>
  <si>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</si>
  <si>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</si>
  <si>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</si>
  <si>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</si>
  <si>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</si>
  <si>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</si>
  <si>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</si>
  <si>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</si>
  <si>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</si>
  <si>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</si>
  <si>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</si>
  <si>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</si>
  <si>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</si>
  <si>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</si>
  <si>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</si>
  <si>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</si>
  <si>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</si>
  <si>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</si>
  <si>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</si>
  <si>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</si>
  <si>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</si>
  <si>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</si>
  <si>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</si>
  <si>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</si>
  <si>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</si>
  <si>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</si>
  <si>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</si>
  <si>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</si>
  <si>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</si>
  <si>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</si>
  <si>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</si>
  <si>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</si>
  <si>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</si>
  <si>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</si>
  <si>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</si>
  <si>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</si>
  <si>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</si>
  <si>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</si>
  <si>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</si>
  <si>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</si>
  <si>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</si>
  <si>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</si>
  <si>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</si>
  <si>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</si>
  <si>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</si>
  <si>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</si>
  <si>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</si>
  <si>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</si>
  <si>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</si>
  <si>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</si>
  <si>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</si>
  <si>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</si>
  <si>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</si>
  <si>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</si>
  <si>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</si>
  <si>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</si>
  <si>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</si>
  <si>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</si>
  <si>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</si>
  <si>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</si>
  <si>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</si>
  <si>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</si>
  <si>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</si>
  <si>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</si>
  <si>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</si>
  <si>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</si>
  <si>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</si>
  <si>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</si>
  <si>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</si>
  <si>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</si>
  <si>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</si>
  <si>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</si>
  <si>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</si>
  <si>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</si>
  <si>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</si>
  <si>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</si>
  <si>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</si>
  <si>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</si>
  <si>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</si>
  <si>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</si>
  <si>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</si>
  <si>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</si>
  <si>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</si>
  <si>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</si>
  <si>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</si>
  <si>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</si>
  <si>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</si>
  <si>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</si>
  <si>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</si>
  <si>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</si>
  <si>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</si>
  <si>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</si>
  <si>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</si>
  <si>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</si>
  <si>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</si>
  <si>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</si>
  <si>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</si>
  <si>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</si>
  <si>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</si>
  <si>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</si>
  <si>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</si>
  <si>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</si>
  <si>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</si>
  <si>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</si>
  <si>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</si>
  <si>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</si>
  <si>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</si>
  <si>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</si>
  <si>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</si>
  <si>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</si>
  <si>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</si>
  <si>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</si>
  <si>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</si>
  <si>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</si>
  <si>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</si>
  <si>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</si>
  <si>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</si>
  <si>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</si>
  <si>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</si>
  <si>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</si>
  <si>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</si>
  <si>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</si>
  <si>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</si>
  <si>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</si>
  <si>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</si>
  <si>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</si>
  <si>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</si>
  <si>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</si>
  <si>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</si>
  <si>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</si>
  <si>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</si>
  <si>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</si>
  <si>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</si>
  <si>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</si>
  <si>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</si>
  <si>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</si>
  <si>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</si>
  <si>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</si>
  <si>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</si>
  <si>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</si>
  <si>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</si>
  <si>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</si>
  <si>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</si>
  <si>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</si>
  <si>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</si>
  <si>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</si>
  <si>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</si>
  <si>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</si>
  <si>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</si>
  <si>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</si>
  <si>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</si>
  <si>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</si>
  <si>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</si>
  <si>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</si>
  <si>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</si>
  <si>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</si>
  <si>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</si>
  <si>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</si>
  <si>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</si>
  <si>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</si>
  <si>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</si>
  <si>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</si>
  <si>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</si>
  <si>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</si>
  <si>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</si>
  <si>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</si>
  <si>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</si>
  <si>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</si>
  <si>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</si>
  <si>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</si>
  <si>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</si>
  <si>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</si>
  <si>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</si>
  <si>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</si>
  <si>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</si>
  <si>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</si>
  <si>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</si>
  <si>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</si>
  <si>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</si>
  <si>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</si>
  <si>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</si>
  <si>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</si>
  <si>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</si>
  <si>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</si>
  <si>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</si>
  <si>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</si>
  <si>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</si>
  <si>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</si>
  <si>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</si>
  <si>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</si>
  <si>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</si>
  <si>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</si>
  <si>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</si>
  <si>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</si>
  <si>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</si>
  <si>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</si>
  <si>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</si>
  <si>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</si>
  <si>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</si>
  <si>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</si>
  <si>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</si>
  <si>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</si>
  <si>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</si>
  <si>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</si>
  <si>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</si>
  <si>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</si>
  <si>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</si>
  <si>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</si>
  <si>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</si>
  <si>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</si>
  <si>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</si>
  <si>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</si>
  <si>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</si>
  <si>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</si>
  <si>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</si>
  <si>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</si>
  <si>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</si>
  <si>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</si>
  <si>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</si>
  <si>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</si>
  <si>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</si>
  <si>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</si>
  <si>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</si>
  <si>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</si>
  <si>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</si>
  <si>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</si>
  <si>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</si>
  <si>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</si>
  <si>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</si>
  <si>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</si>
  <si>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</si>
  <si>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</si>
  <si>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</si>
  <si>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</si>
  <si>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</si>
  <si>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</si>
  <si>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</si>
  <si>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</si>
  <si>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</si>
  <si>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</si>
  <si>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</si>
  <si>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</si>
  <si>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</si>
  <si>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</si>
  <si>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</si>
  <si>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</si>
  <si>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</si>
  <si>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</si>
  <si>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</si>
  <si>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</si>
  <si>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</si>
  <si>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</si>
  <si>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</si>
  <si>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</si>
  <si>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</si>
  <si>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</si>
  <si>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</si>
  <si>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</si>
  <si>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</si>
  <si>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</si>
  <si>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</si>
  <si>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</si>
  <si>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</si>
  <si>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</si>
  <si>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</si>
  <si>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</si>
  <si>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</si>
  <si>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</si>
  <si>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</si>
  <si>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</si>
  <si>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</si>
  <si>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</si>
  <si>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</si>
  <si>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</si>
  <si>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</si>
  <si>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</si>
  <si>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</si>
  <si>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</si>
  <si>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</si>
  <si>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</si>
  <si>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</si>
  <si>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</si>
  <si>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</si>
  <si>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</si>
  <si>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</si>
  <si>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</si>
  <si>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</si>
  <si>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</si>
  <si>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</si>
  <si>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</si>
  <si>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</si>
  <si>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</si>
  <si>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</si>
  <si>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</si>
  <si>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</si>
  <si>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</si>
  <si>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</si>
  <si>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</si>
  <si>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</si>
  <si>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</si>
  <si>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</si>
  <si>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</si>
  <si>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</si>
  <si>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</si>
  <si>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</si>
  <si>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</si>
  <si>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</si>
  <si>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</si>
  <si>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</si>
  <si>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</si>
  <si>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</si>
  <si>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</si>
  <si>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</si>
  <si>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</si>
  <si>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</si>
  <si>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</si>
  <si>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</si>
  <si>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</si>
  <si>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</si>
  <si>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</si>
  <si>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</si>
  <si>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</si>
  <si>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</si>
  <si>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</si>
  <si>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</si>
  <si>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</si>
  <si>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</si>
  <si>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</si>
  <si>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</si>
  <si>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</si>
  <si>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</si>
  <si>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</si>
  <si>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</si>
  <si>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</si>
  <si>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</si>
  <si>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</si>
  <si>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</si>
  <si>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</si>
  <si>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</si>
  <si>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</si>
  <si>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</si>
  <si>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</si>
  <si>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</si>
  <si>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</si>
  <si>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</si>
  <si>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</si>
  <si>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</si>
  <si>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</si>
  <si>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</si>
  <si>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</si>
  <si>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</si>
  <si>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</si>
  <si>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</si>
  <si>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</si>
  <si>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</si>
  <si>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</si>
  <si>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</si>
  <si>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</si>
  <si>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</si>
  <si>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</si>
  <si>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</si>
  <si>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</si>
  <si>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</si>
  <si>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</si>
  <si>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</si>
  <si>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</si>
  <si>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</si>
  <si>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</si>
  <si>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</si>
  <si>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</si>
  <si>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</si>
  <si>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</si>
  <si>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</si>
  <si>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</si>
  <si>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</si>
  <si>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</si>
  <si>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</si>
  <si>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</si>
  <si>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</si>
  <si>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</si>
  <si>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</si>
  <si>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</si>
  <si>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</si>
  <si>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</si>
  <si>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</si>
  <si>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</si>
  <si>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</si>
  <si>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</si>
  <si>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</si>
  <si>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</si>
  <si>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</si>
  <si>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</si>
  <si>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</si>
  <si>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</si>
  <si>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</si>
  <si>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</si>
  <si>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</si>
  <si>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</si>
  <si>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</si>
  <si>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</si>
  <si>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</si>
  <si>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</si>
  <si>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</si>
  <si>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</si>
  <si>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</si>
  <si>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</si>
  <si>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</si>
  <si>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</si>
  <si>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</si>
  <si>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</si>
  <si>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</si>
  <si>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</si>
  <si>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</si>
  <si>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</si>
  <si>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</si>
  <si>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</si>
  <si>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</si>
  <si>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</si>
  <si>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</si>
  <si>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</si>
  <si>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</si>
  <si>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</si>
  <si>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</si>
  <si>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</si>
  <si>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</si>
  <si>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</si>
  <si>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</si>
  <si>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</si>
  <si>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</si>
  <si>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</si>
  <si>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</si>
  <si>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</si>
  <si>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</si>
  <si>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</si>
  <si>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</si>
  <si>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</si>
  <si>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</si>
  <si>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</si>
  <si>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</si>
  <si>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</si>
  <si>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</si>
  <si>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</si>
  <si>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</si>
  <si>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</si>
  <si>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</si>
  <si>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</si>
  <si>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</si>
  <si>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</si>
  <si>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</si>
  <si>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</si>
  <si>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</si>
  <si>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</si>
  <si>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</si>
  <si>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</si>
  <si>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</si>
  <si>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</si>
  <si>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</si>
  <si>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</si>
  <si>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</si>
  <si>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</si>
  <si>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</si>
  <si>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</si>
  <si>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</si>
  <si>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</si>
  <si>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</si>
  <si>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</si>
  <si>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</si>
  <si>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</si>
  <si>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</si>
  <si>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</si>
  <si>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</si>
  <si>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</si>
  <si>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</si>
  <si>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</si>
  <si>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</si>
  <si>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</si>
  <si>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</si>
  <si>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</si>
  <si>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</si>
  <si>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</si>
  <si>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</si>
  <si>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</si>
  <si>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</si>
  <si>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</si>
  <si>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</si>
  <si>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</si>
  <si>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</si>
  <si>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</si>
  <si>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</si>
  <si>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</si>
  <si>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</si>
  <si>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</si>
  <si>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</si>
  <si>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</si>
  <si>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</si>
  <si>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</si>
  <si>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</si>
  <si>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</si>
  <si>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</si>
  <si>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</si>
  <si>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</si>
  <si>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</si>
  <si>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</si>
  <si>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</si>
  <si>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</si>
  <si>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</si>
  <si>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</si>
  <si>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</si>
  <si>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</si>
  <si>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</si>
  <si>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</si>
  <si>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</si>
  <si>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</si>
  <si>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</si>
  <si>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</si>
  <si>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</si>
  <si>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</si>
  <si>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</si>
  <si>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</si>
  <si>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</si>
  <si>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</si>
  <si>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</si>
  <si>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</si>
  <si>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</si>
  <si>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</si>
  <si>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</si>
  <si>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</si>
  <si>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</si>
  <si>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</si>
  <si>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</si>
  <si>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</si>
  <si>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</si>
  <si>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</si>
  <si>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</si>
  <si>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</si>
  <si>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</si>
  <si>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</si>
  <si>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</si>
  <si>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</si>
  <si>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</si>
  <si>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</si>
  <si>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</si>
  <si>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</si>
  <si>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</si>
  <si>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</si>
  <si>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</si>
  <si>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</si>
  <si>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</si>
  <si>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</si>
  <si>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</si>
  <si>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</si>
  <si>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</si>
  <si>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</si>
  <si>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</si>
  <si>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</si>
  <si>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</si>
  <si>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</si>
  <si>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</si>
  <si>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</si>
  <si>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</si>
  <si>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</si>
  <si>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</si>
  <si>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</si>
  <si>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</si>
  <si>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</si>
  <si>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</si>
  <si>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</si>
  <si>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</si>
  <si>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</si>
  <si>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</si>
  <si>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</si>
  <si>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</si>
  <si>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</si>
  <si>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</si>
  <si>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</si>
  <si>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</si>
  <si>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</si>
  <si>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</si>
  <si>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</si>
  <si>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</si>
  <si>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</si>
  <si>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</si>
  <si>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</si>
  <si>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</si>
  <si>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</si>
  <si>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</si>
  <si>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</si>
  <si>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</si>
  <si>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</si>
  <si>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</si>
  <si>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</si>
  <si>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</si>
  <si>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</si>
  <si>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</si>
  <si>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</si>
  <si>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</si>
  <si>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</si>
  <si>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</si>
  <si>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</si>
  <si>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</si>
  <si>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</si>
  <si>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</si>
  <si>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</si>
  <si>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</si>
  <si>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</si>
  <si>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</si>
  <si>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</si>
  <si>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</si>
  <si>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</si>
  <si>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</si>
  <si>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</si>
  <si>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</si>
  <si>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</si>
  <si>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</si>
  <si>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</si>
  <si>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</si>
  <si>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</si>
  <si>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</si>
  <si>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</si>
  <si>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</si>
  <si>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</si>
  <si>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</si>
  <si>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</si>
  <si>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</si>
  <si>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</si>
  <si>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</si>
  <si>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</si>
  <si>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</si>
  <si>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</si>
  <si>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</si>
  <si>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</si>
  <si>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</si>
  <si>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</si>
  <si>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</si>
  <si>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</si>
  <si>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</si>
  <si>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</si>
  <si>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</si>
  <si>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</si>
  <si>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</si>
  <si>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</si>
  <si>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</si>
  <si>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</si>
  <si>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</si>
  <si>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</si>
  <si>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</si>
  <si>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</si>
  <si>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</si>
  <si>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</si>
  <si>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</si>
  <si>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</si>
  <si>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</si>
  <si>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</si>
  <si>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</si>
  <si>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</si>
  <si>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</si>
  <si>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</si>
  <si>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</si>
  <si>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</si>
  <si>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</si>
  <si>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</si>
  <si>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</si>
  <si>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</si>
  <si>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</si>
  <si>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</si>
  <si>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</si>
  <si>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</si>
  <si>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</si>
  <si>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</si>
  <si>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</si>
  <si>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</si>
  <si>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</si>
  <si>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</si>
  <si>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</si>
  <si>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</si>
  <si>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</si>
  <si>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</si>
  <si>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</si>
  <si>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</si>
  <si>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</si>
  <si>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</si>
  <si>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</si>
  <si>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</si>
  <si>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</si>
  <si>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</si>
  <si>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</si>
  <si>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</si>
  <si>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</si>
  <si>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</si>
  <si>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</si>
  <si>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</si>
  <si>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</si>
  <si>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</si>
  <si>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</si>
  <si>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</si>
  <si>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</si>
  <si>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</si>
  <si>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</si>
  <si>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</si>
  <si>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</si>
  <si>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</si>
  <si>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</si>
  <si>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</si>
  <si>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</si>
  <si>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</si>
  <si>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</si>
  <si>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</si>
  <si>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</si>
  <si>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</si>
  <si>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</si>
  <si>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</si>
  <si>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</si>
  <si>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</si>
  <si>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</si>
  <si>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</si>
  <si>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</si>
  <si>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</si>
  <si>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</si>
  <si>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</si>
  <si>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</si>
  <si>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</si>
  <si>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</si>
  <si>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</si>
  <si>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</si>
  <si>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</si>
  <si>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</si>
  <si>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</si>
  <si>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</si>
  <si>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</si>
  <si>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</si>
  <si>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</si>
  <si>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</si>
  <si>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</si>
  <si>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</si>
  <si>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</si>
  <si>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</si>
  <si>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</si>
  <si>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</si>
  <si>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</si>
  <si>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</si>
  <si>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</si>
  <si>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</si>
  <si>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</si>
  <si>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</si>
  <si>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</si>
  <si>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</si>
  <si>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</si>
  <si>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</si>
  <si>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</si>
  <si>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</si>
  <si>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</si>
  <si>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</si>
  <si>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</si>
  <si>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</si>
  <si>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</si>
  <si>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</si>
  <si>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</si>
  <si>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</si>
  <si>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</si>
  <si>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</si>
  <si>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</si>
  <si>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</si>
  <si>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</si>
  <si>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</si>
  <si>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</si>
  <si>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</si>
  <si>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</si>
  <si>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</si>
  <si>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</si>
  <si>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</si>
  <si>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</si>
  <si>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</si>
  <si>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</si>
  <si>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</si>
  <si>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</si>
  <si>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</si>
  <si>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</si>
  <si>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</si>
  <si>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</si>
  <si>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</si>
  <si>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</si>
  <si>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</si>
  <si>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</si>
  <si>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</si>
  <si>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</si>
  <si>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</si>
  <si>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</si>
  <si>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</si>
  <si>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</si>
  <si>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</si>
  <si>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</si>
  <si>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</si>
  <si>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</si>
  <si>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</si>
  <si>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</si>
  <si>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</si>
  <si>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</si>
  <si>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</si>
  <si>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</si>
  <si>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</si>
  <si>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</si>
  <si>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</si>
  <si>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</si>
  <si>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</si>
  <si>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</si>
  <si>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</si>
  <si>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</si>
  <si>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</si>
  <si>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</si>
  <si>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</si>
  <si>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</si>
  <si>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</si>
  <si>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</si>
  <si>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</si>
  <si>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</si>
  <si>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</si>
  <si>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</si>
  <si>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</si>
  <si>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</si>
  <si>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</si>
  <si>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</si>
  <si>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</si>
  <si>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</si>
  <si>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</si>
  <si>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</si>
  <si>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</si>
  <si>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</si>
  <si>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</si>
  <si>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</si>
  <si>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</si>
  <si>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</si>
  <si>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</si>
  <si>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</si>
  <si>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</si>
  <si>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</si>
  <si>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</si>
  <si>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</si>
  <si>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</si>
  <si>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</si>
  <si>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</si>
  <si>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</si>
  <si>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</si>
  <si>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</si>
  <si>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</si>
  <si>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</si>
  <si>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</si>
  <si>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</si>
  <si>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</si>
  <si>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</si>
  <si>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</si>
  <si>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</si>
  <si>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</si>
  <si>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</si>
  <si>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</si>
  <si>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</si>
  <si>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</si>
  <si>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</si>
  <si>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</si>
  <si>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</si>
  <si>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</si>
  <si>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</si>
  <si>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</si>
  <si>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</si>
  <si>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</si>
  <si>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</si>
  <si>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</si>
  <si>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</si>
  <si>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</si>
  <si>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</si>
  <si>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</si>
  <si>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</si>
  <si>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</si>
  <si>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</si>
  <si>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</si>
  <si>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</si>
  <si>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</si>
  <si>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</si>
  <si>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</si>
  <si>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</si>
  <si>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</si>
  <si>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</si>
  <si>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</si>
  <si>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</si>
  <si>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</si>
  <si>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</si>
  <si>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</si>
  <si>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</si>
  <si>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</si>
  <si>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</si>
  <si>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</si>
  <si>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</si>
  <si>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</si>
  <si>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</si>
  <si>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</si>
  <si>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</si>
  <si>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</si>
  <si>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</si>
  <si>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</si>
  <si>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</si>
  <si>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</si>
  <si>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</si>
  <si>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</si>
  <si>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</si>
  <si>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</si>
  <si>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</si>
  <si>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</si>
  <si>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</si>
  <si>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</si>
  <si>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</si>
  <si>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</si>
  <si>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</si>
  <si>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</si>
  <si>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</si>
  <si>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</si>
  <si>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</si>
  <si>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</si>
  <si>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</si>
  <si>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</si>
  <si>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</si>
  <si>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</si>
  <si>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</si>
  <si>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</si>
  <si>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</si>
  <si>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</si>
  <si>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</si>
  <si>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</si>
  <si>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</si>
  <si>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</si>
  <si>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</si>
  <si>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</si>
  <si>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</si>
  <si>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</si>
  <si>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</si>
  <si>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</si>
  <si>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</si>
  <si>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</si>
  <si>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</si>
  <si>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</si>
  <si>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</si>
  <si>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</si>
  <si>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</si>
  <si>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</si>
  <si>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</si>
  <si>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</si>
  <si>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</si>
  <si>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</si>
  <si>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</si>
  <si>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</si>
  <si>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</si>
  <si>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</si>
  <si>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</si>
  <si>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</si>
  <si>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</si>
  <si>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</si>
  <si>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</si>
  <si>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</si>
  <si>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</si>
  <si>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</si>
  <si>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</si>
  <si>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</si>
  <si>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</si>
  <si>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</si>
  <si>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</si>
  <si>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</si>
  <si>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</si>
  <si>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</si>
  <si>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</si>
  <si>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</si>
  <si>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</si>
  <si>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</si>
  <si>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</si>
  <si>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</si>
  <si>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</si>
  <si>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</si>
  <si>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</si>
  <si>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</si>
  <si>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</si>
  <si>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</si>
  <si>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</si>
  <si>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</si>
  <si>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</si>
  <si>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</si>
  <si>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</si>
  <si>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</si>
  <si>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</si>
  <si>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</si>
  <si>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</si>
  <si>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</si>
  <si>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</si>
  <si>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</si>
  <si>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</si>
  <si>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</si>
  <si>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</si>
  <si>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</si>
  <si>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</si>
  <si>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</si>
  <si>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</si>
  <si>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</si>
  <si>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</si>
  <si>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</si>
  <si>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</si>
  <si>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</si>
  <si>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</si>
  <si>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</si>
  <si>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</si>
  <si>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</si>
  <si>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</si>
  <si>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</si>
  <si>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</si>
  <si>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</si>
  <si>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</si>
  <si>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</si>
  <si>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</si>
  <si>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</si>
  <si>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</si>
  <si>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</si>
  <si>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</si>
  <si>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</si>
  <si>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</si>
  <si>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</si>
  <si>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</si>
  <si>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</si>
  <si>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</si>
  <si>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</si>
  <si>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</si>
  <si>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</si>
  <si>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</si>
  <si>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</si>
  <si>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</si>
  <si>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</si>
  <si>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</si>
  <si>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</si>
  <si>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</si>
  <si>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</si>
  <si>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</si>
  <si>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</si>
  <si>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</si>
  <si>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</si>
  <si>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</si>
  <si>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</si>
  <si>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</si>
  <si>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</si>
  <si>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</si>
  <si>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</si>
  <si>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</si>
  <si>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</si>
  <si>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</si>
  <si>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</si>
  <si>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</si>
  <si>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</si>
  <si>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</si>
  <si>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</si>
  <si>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</si>
  <si>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</si>
  <si>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</si>
  <si>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</si>
  <si>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</si>
  <si>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</si>
  <si>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</si>
  <si>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</si>
  <si>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</si>
  <si>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</si>
  <si>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</si>
  <si>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</si>
  <si>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</si>
  <si>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</si>
  <si>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</si>
  <si>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</si>
  <si>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</si>
  <si>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</si>
  <si>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</si>
  <si>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</si>
  <si>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</si>
  <si>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</si>
  <si>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</si>
  <si>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</si>
  <si>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</si>
  <si>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</si>
  <si>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</si>
  <si>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</si>
  <si>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</si>
  <si>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</si>
  <si>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</si>
  <si>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</si>
  <si>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</si>
  <si>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</si>
  <si>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</si>
  <si>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</si>
  <si>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</si>
  <si>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</si>
  <si>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</si>
  <si>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</si>
  <si>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</si>
  <si>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</si>
  <si>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</si>
  <si>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</si>
  <si>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</si>
  <si>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</si>
  <si>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</si>
  <si>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</si>
  <si>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</si>
  <si>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</si>
  <si>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</si>
  <si>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</si>
  <si>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</si>
  <si>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</si>
  <si>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</si>
  <si>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</si>
  <si>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</si>
  <si>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</si>
  <si>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</si>
  <si>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</si>
  <si>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</si>
  <si>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</si>
  <si>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</si>
  <si>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</si>
  <si>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</si>
  <si>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</si>
  <si>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</si>
  <si>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</si>
  <si>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</si>
  <si>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</si>
  <si>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</si>
  <si>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</si>
  <si>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</si>
  <si>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</si>
  <si>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</si>
  <si>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</si>
  <si>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</si>
  <si>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</si>
  <si>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</si>
  <si>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</si>
  <si>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</si>
  <si>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</si>
  <si>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</si>
  <si>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</si>
  <si>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</si>
  <si>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</si>
  <si>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</si>
  <si>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</si>
  <si>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</si>
  <si>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</si>
  <si>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</si>
  <si>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</si>
  <si>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</si>
  <si>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</si>
  <si>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</si>
  <si>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</si>
  <si>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</si>
  <si>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</si>
  <si>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</si>
  <si>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</si>
  <si>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</si>
  <si>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</si>
  <si>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</si>
  <si>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</si>
  <si>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</si>
  <si>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</si>
  <si>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</si>
  <si>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</si>
  <si>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</si>
  <si>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</si>
  <si>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</si>
  <si>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</si>
  <si>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</si>
  <si>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</si>
  <si>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</si>
  <si>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</si>
  <si>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</si>
  <si>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</si>
  <si>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</si>
  <si>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</si>
  <si>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</si>
  <si>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</si>
  <si>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</si>
  <si>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</si>
  <si>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</si>
  <si>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</si>
  <si>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</si>
  <si>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</si>
  <si>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</si>
  <si>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</si>
  <si>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</si>
  <si>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</si>
  <si>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</si>
  <si>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</si>
  <si>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</si>
  <si>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</si>
  <si>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</si>
  <si>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</si>
  <si>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</si>
  <si>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</si>
  <si>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</si>
  <si>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</si>
  <si>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</si>
  <si>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</si>
  <si>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</si>
  <si>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</si>
  <si>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</si>
  <si>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</si>
  <si>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</si>
  <si>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</si>
  <si>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</si>
  <si>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</si>
  <si>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</si>
  <si>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</si>
  <si>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</si>
  <si>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</si>
  <si>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</si>
  <si>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</si>
  <si>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</si>
  <si>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</si>
  <si>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</si>
  <si>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</si>
  <si>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</si>
  <si>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</si>
  <si>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</si>
  <si>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</si>
  <si>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</si>
  <si>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</si>
  <si>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</si>
  <si>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</si>
  <si>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</si>
  <si>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</si>
  <si>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</si>
  <si>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</si>
  <si>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</si>
  <si>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</si>
  <si>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</si>
  <si>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</si>
  <si>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</si>
  <si>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</si>
  <si>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</si>
  <si>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</si>
  <si>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</si>
  <si>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</si>
  <si>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</si>
  <si>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</si>
  <si>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</si>
  <si>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</si>
  <si>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</si>
  <si>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</si>
  <si>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</si>
  <si>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</si>
  <si>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</si>
  <si>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</si>
  <si>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</si>
  <si>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</si>
  <si>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</si>
  <si>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</si>
  <si>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</si>
  <si>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</si>
  <si>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</si>
  <si>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</si>
  <si>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</si>
  <si>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</si>
  <si>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</si>
  <si>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</si>
  <si>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</si>
  <si>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</si>
  <si>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</si>
  <si>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</si>
  <si>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</si>
  <si>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</si>
  <si>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</si>
  <si>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</si>
  <si>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</si>
  <si>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</si>
  <si>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</si>
  <si>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</si>
  <si>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</si>
  <si>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</si>
  <si>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</si>
  <si>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</si>
  <si>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</si>
  <si>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</si>
  <si>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</si>
  <si>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</si>
  <si>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</si>
  <si>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</si>
  <si>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</si>
  <si>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</si>
  <si>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</si>
  <si>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</si>
  <si>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</si>
  <si>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</si>
  <si>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</si>
  <si>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</si>
  <si>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</si>
  <si>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</si>
  <si>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</si>
  <si>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</si>
  <si>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</si>
  <si>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</si>
  <si>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</si>
  <si>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</si>
  <si>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</si>
  <si>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</si>
  <si>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</si>
  <si>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</si>
  <si>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</si>
  <si>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</si>
  <si>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</si>
  <si>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</si>
  <si>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</si>
  <si>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</si>
  <si>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</si>
  <si>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</si>
  <si>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</si>
  <si>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</si>
  <si>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</si>
  <si>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</si>
  <si>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</si>
  <si>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</si>
  <si>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</si>
  <si>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</si>
  <si>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</si>
  <si>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</si>
  <si>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</si>
  <si>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</si>
  <si>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</si>
  <si>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</si>
  <si>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</si>
  <si>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</si>
  <si>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</si>
  <si>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</si>
  <si>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</si>
  <si>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</si>
  <si>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</si>
  <si>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</si>
  <si>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</si>
  <si>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</si>
  <si>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</si>
  <si>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</si>
  <si>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</si>
  <si>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</si>
  <si>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</si>
  <si>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</si>
  <si>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</si>
  <si>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</si>
  <si>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</si>
  <si>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</si>
  <si>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</si>
  <si>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</si>
  <si>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</si>
  <si>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</si>
  <si>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</si>
  <si>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</si>
  <si>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</si>
  <si>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</si>
  <si>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</si>
  <si>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</si>
  <si>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</si>
  <si>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</si>
  <si>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</si>
  <si>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</si>
  <si>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</si>
  <si>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</si>
  <si>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</si>
  <si>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</si>
  <si>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</si>
  <si>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</si>
  <si>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</si>
  <si>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</si>
  <si>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</si>
  <si>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</si>
  <si>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</si>
  <si>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</si>
  <si>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</si>
  <si>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</si>
  <si>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</si>
  <si>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</si>
  <si>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</si>
  <si>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</si>
  <si>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</si>
  <si>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</si>
  <si>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</si>
  <si>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</si>
  <si>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</si>
  <si>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</si>
  <si>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</si>
  <si>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</si>
  <si>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</si>
  <si>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</si>
  <si>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</si>
  <si>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relatedTo</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</si>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</sst>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6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3"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xf numFmtId="0" fontId="0" fillId="0" borderId="1" xfId="0" applyFill="1" applyBorder="1" applyAlignment="1">
      <alignment wrapText="1"/>
    </xf>
    <xf numFmtId="0" fontId="0" fillId="0" borderId="1" xfId="0" applyFill="1" applyBorder="1"/>
    <xf numFmtId="0" fontId="0" fillId="0" borderId="23" xfId="0" applyFill="1" applyBorder="1"/>
    <xf numFmtId="0" fontId="3" fillId="0" borderId="23" xfId="0" applyFont="1" applyFill="1" applyBorder="1" applyAlignment="1">
      <alignment wrapText="1"/>
    </xf>
    <xf numFmtId="0" fontId="0" fillId="0" borderId="0" xfId="0" applyFill="1"/>
    <xf numFmtId="0" fontId="0" fillId="0" borderId="0" xfId="0" applyFill="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D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6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8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A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0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0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2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4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4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6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8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8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A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C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C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1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3.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6.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I1" zoomScaleNormal="10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4" t="s">
        <v>2148</v>
      </c>
      <c r="J7" s="134" t="s">
        <v>2149</v>
      </c>
      <c r="L7" s="17" t="str">
        <f>CONCATENATE("Description: "," ##334#",B7,"##334#",)</f>
        <v>Description:  ##334#Subject of care 
Maturity Level: 0 Draft##334#</v>
      </c>
    </row>
    <row r="8" spans="1:18" ht="59" x14ac:dyDescent="0.75">
      <c r="A8" s="110">
        <v>0</v>
      </c>
      <c r="B8" s="111" t="s">
        <v>1528</v>
      </c>
      <c r="C8" s="2" t="s">
        <v>78</v>
      </c>
      <c r="D8" s="2" t="s">
        <v>23</v>
      </c>
      <c r="E8" s="3">
        <v>1</v>
      </c>
      <c r="F8" s="3">
        <v>1</v>
      </c>
      <c r="G8" s="112"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3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3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35" t="s">
        <v>2050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3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3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3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35" t="s">
        <v>2051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2000</v>
      </c>
      <c r="C16" s="11" t="s">
        <v>2001</v>
      </c>
      <c r="D16" s="11" t="s">
        <v>2002</v>
      </c>
      <c r="E16" s="11">
        <v>0</v>
      </c>
      <c r="F16" s="11">
        <v>1</v>
      </c>
      <c r="G16" s="67" t="s">
        <v>2056</v>
      </c>
      <c r="H16" s="13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2003</v>
      </c>
      <c r="C17" s="11" t="s">
        <v>2004</v>
      </c>
      <c r="D17" s="11" t="s">
        <v>2005</v>
      </c>
      <c r="E17" s="11">
        <v>0</v>
      </c>
      <c r="F17" s="11">
        <v>1</v>
      </c>
      <c r="G17" s="67" t="s">
        <v>1383</v>
      </c>
      <c r="H17" s="13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2155</v>
      </c>
      <c r="E18" s="6">
        <v>1</v>
      </c>
      <c r="F18" s="6">
        <v>1</v>
      </c>
      <c r="G18" s="4" t="s">
        <v>1</v>
      </c>
      <c r="H18" s="13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3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2008</v>
      </c>
      <c r="E20" s="11">
        <v>0</v>
      </c>
      <c r="F20" s="11">
        <v>1</v>
      </c>
      <c r="G20" s="67" t="s">
        <v>44</v>
      </c>
      <c r="H20" s="13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2009</v>
      </c>
      <c r="E21" s="11">
        <v>0</v>
      </c>
      <c r="F21" s="11">
        <v>1</v>
      </c>
      <c r="G21" s="67" t="s">
        <v>44</v>
      </c>
      <c r="H21" s="13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2010</v>
      </c>
      <c r="E22" s="11">
        <v>0</v>
      </c>
      <c r="F22" s="11">
        <v>1</v>
      </c>
      <c r="G22" s="67" t="s">
        <v>44</v>
      </c>
      <c r="H22" s="13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2011</v>
      </c>
      <c r="E23" s="11">
        <v>0</v>
      </c>
      <c r="F23" s="11">
        <v>1</v>
      </c>
      <c r="G23" s="67" t="s">
        <v>44</v>
      </c>
      <c r="H23" s="13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2012</v>
      </c>
      <c r="E24" s="11">
        <v>0</v>
      </c>
      <c r="F24" s="11">
        <v>1</v>
      </c>
      <c r="G24" s="67" t="s">
        <v>44</v>
      </c>
      <c r="H24" s="13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2013</v>
      </c>
      <c r="E25" s="11">
        <v>0</v>
      </c>
      <c r="F25" s="11">
        <v>1</v>
      </c>
      <c r="G25" s="67" t="s">
        <v>44</v>
      </c>
      <c r="H25" s="13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2014</v>
      </c>
      <c r="E26" s="11">
        <v>0</v>
      </c>
      <c r="F26" s="11">
        <v>1</v>
      </c>
      <c r="G26" s="67" t="s">
        <v>44</v>
      </c>
      <c r="H26" s="13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2015</v>
      </c>
      <c r="E27" s="11">
        <v>0</v>
      </c>
      <c r="F27" s="11">
        <v>1</v>
      </c>
      <c r="G27" s="67" t="s">
        <v>44</v>
      </c>
      <c r="H27" s="13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2016</v>
      </c>
      <c r="E28" s="11">
        <v>0</v>
      </c>
      <c r="F28" s="11">
        <v>1</v>
      </c>
      <c r="G28" s="67" t="s">
        <v>44</v>
      </c>
      <c r="H28" s="13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2017</v>
      </c>
      <c r="E29" s="11">
        <v>0</v>
      </c>
      <c r="F29" s="11">
        <v>1</v>
      </c>
      <c r="G29" s="67" t="s">
        <v>44</v>
      </c>
      <c r="H29" s="13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2018</v>
      </c>
      <c r="E30" s="11">
        <v>0</v>
      </c>
      <c r="F30" s="11">
        <v>1</v>
      </c>
      <c r="G30" s="67" t="s">
        <v>44</v>
      </c>
      <c r="H30" s="13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2019</v>
      </c>
      <c r="E31" s="11">
        <v>0</v>
      </c>
      <c r="F31" s="11">
        <v>1</v>
      </c>
      <c r="G31" s="67" t="s">
        <v>44</v>
      </c>
      <c r="H31" s="13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2020</v>
      </c>
      <c r="E32" s="11">
        <v>0</v>
      </c>
      <c r="F32" s="11">
        <v>1</v>
      </c>
      <c r="G32" s="67" t="s">
        <v>44</v>
      </c>
      <c r="H32" s="13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2021</v>
      </c>
      <c r="E33" s="11">
        <v>0</v>
      </c>
      <c r="F33" s="11">
        <v>1</v>
      </c>
      <c r="G33" s="67" t="s">
        <v>44</v>
      </c>
      <c r="H33" s="13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2022</v>
      </c>
      <c r="E34" s="11">
        <v>0</v>
      </c>
      <c r="F34" s="11">
        <v>1</v>
      </c>
      <c r="G34" s="67" t="s">
        <v>44</v>
      </c>
      <c r="H34" s="13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2023</v>
      </c>
      <c r="E35" s="11">
        <v>0</v>
      </c>
      <c r="F35" s="11">
        <v>1</v>
      </c>
      <c r="G35" s="67" t="s">
        <v>44</v>
      </c>
      <c r="H35" s="13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2006</v>
      </c>
      <c r="C36" s="12" t="s">
        <v>2024</v>
      </c>
      <c r="D36" s="67" t="s">
        <v>2025</v>
      </c>
      <c r="E36" s="11">
        <v>0</v>
      </c>
      <c r="F36" s="11">
        <v>1</v>
      </c>
      <c r="G36" s="67" t="s">
        <v>44</v>
      </c>
      <c r="H36" s="13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2007</v>
      </c>
      <c r="C37" s="12" t="s">
        <v>2026</v>
      </c>
      <c r="D37" s="67" t="s">
        <v>2027</v>
      </c>
      <c r="E37" s="11">
        <v>0</v>
      </c>
      <c r="F37" s="11">
        <v>1</v>
      </c>
      <c r="G37" s="67" t="s">
        <v>44</v>
      </c>
      <c r="H37" s="13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2028</v>
      </c>
      <c r="E38" s="11">
        <v>0</v>
      </c>
      <c r="F38" s="11">
        <v>1</v>
      </c>
      <c r="G38" s="67" t="s">
        <v>44</v>
      </c>
      <c r="H38" s="13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35" t="s">
        <v>2052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35" t="s">
        <v>2053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2029</v>
      </c>
      <c r="C41" s="11" t="s">
        <v>2030</v>
      </c>
      <c r="D41" s="12" t="s">
        <v>2154</v>
      </c>
      <c r="E41" s="11">
        <v>1</v>
      </c>
      <c r="F41" s="11">
        <v>1</v>
      </c>
      <c r="G41" s="11" t="s">
        <v>1</v>
      </c>
      <c r="H41" s="13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39" t="s">
        <v>2156</v>
      </c>
      <c r="C42" s="11" t="s">
        <v>2031</v>
      </c>
      <c r="D42" s="11" t="s">
        <v>2031</v>
      </c>
      <c r="E42" s="11">
        <v>1</v>
      </c>
      <c r="F42" s="11">
        <v>1</v>
      </c>
      <c r="G42" s="11" t="s">
        <v>44</v>
      </c>
      <c r="H42" s="13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39" t="s">
        <v>2157</v>
      </c>
      <c r="C43" s="11" t="s">
        <v>2032</v>
      </c>
      <c r="D43" s="11" t="s">
        <v>2032</v>
      </c>
      <c r="E43" s="11">
        <v>1</v>
      </c>
      <c r="F43" s="11">
        <v>1</v>
      </c>
      <c r="G43" s="11" t="s">
        <v>44</v>
      </c>
      <c r="H43" s="13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39" t="s">
        <v>2158</v>
      </c>
      <c r="C44" s="11" t="s">
        <v>2033</v>
      </c>
      <c r="D44" s="11" t="s">
        <v>2033</v>
      </c>
      <c r="E44" s="11">
        <v>1</v>
      </c>
      <c r="F44" s="11">
        <v>1</v>
      </c>
      <c r="G44" s="11" t="s">
        <v>44</v>
      </c>
      <c r="H44" s="13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39" t="s">
        <v>2159</v>
      </c>
      <c r="C45" s="11" t="s">
        <v>2034</v>
      </c>
      <c r="D45" s="11" t="s">
        <v>2034</v>
      </c>
      <c r="E45" s="11">
        <v>1</v>
      </c>
      <c r="F45" s="11">
        <v>1</v>
      </c>
      <c r="G45" s="11" t="s">
        <v>44</v>
      </c>
      <c r="H45" s="13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39" t="s">
        <v>2160</v>
      </c>
      <c r="C46" s="11" t="s">
        <v>2035</v>
      </c>
      <c r="D46" s="11" t="s">
        <v>2035</v>
      </c>
      <c r="E46" s="11">
        <v>1</v>
      </c>
      <c r="F46" s="11">
        <v>1</v>
      </c>
      <c r="G46" s="11" t="s">
        <v>44</v>
      </c>
      <c r="H46" s="13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39" t="s">
        <v>2161</v>
      </c>
      <c r="C47" s="11" t="s">
        <v>2036</v>
      </c>
      <c r="D47" s="11" t="s">
        <v>2049</v>
      </c>
      <c r="E47" s="11">
        <v>1</v>
      </c>
      <c r="F47" s="11">
        <v>1</v>
      </c>
      <c r="G47" s="11" t="s">
        <v>44</v>
      </c>
      <c r="H47" s="13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39" t="s">
        <v>2162</v>
      </c>
      <c r="C48" s="11" t="s">
        <v>2037</v>
      </c>
      <c r="D48" s="11" t="s">
        <v>2037</v>
      </c>
      <c r="E48" s="11">
        <v>1</v>
      </c>
      <c r="F48" s="11">
        <v>1</v>
      </c>
      <c r="G48" s="11" t="s">
        <v>44</v>
      </c>
      <c r="H48" s="13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39" t="s">
        <v>2163</v>
      </c>
      <c r="C49" s="11" t="s">
        <v>2038</v>
      </c>
      <c r="D49" s="11" t="s">
        <v>2038</v>
      </c>
      <c r="E49" s="11">
        <v>1</v>
      </c>
      <c r="F49" s="11">
        <v>1</v>
      </c>
      <c r="G49" s="11" t="s">
        <v>44</v>
      </c>
      <c r="H49" s="13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39" t="s">
        <v>2164</v>
      </c>
      <c r="C50" s="11" t="s">
        <v>2039</v>
      </c>
      <c r="D50" s="11" t="s">
        <v>2039</v>
      </c>
      <c r="E50" s="11">
        <v>1</v>
      </c>
      <c r="F50" s="11">
        <v>1</v>
      </c>
      <c r="G50" s="11" t="s">
        <v>44</v>
      </c>
      <c r="H50" s="13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39" t="s">
        <v>2165</v>
      </c>
      <c r="C51" s="11" t="s">
        <v>2040</v>
      </c>
      <c r="D51" s="11" t="s">
        <v>2040</v>
      </c>
      <c r="E51" s="11">
        <v>1</v>
      </c>
      <c r="F51" s="11">
        <v>1</v>
      </c>
      <c r="G51" s="11" t="s">
        <v>44</v>
      </c>
      <c r="H51" s="13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39" t="s">
        <v>2166</v>
      </c>
      <c r="C52" s="11" t="s">
        <v>2041</v>
      </c>
      <c r="D52" s="11" t="s">
        <v>2041</v>
      </c>
      <c r="E52" s="11">
        <v>1</v>
      </c>
      <c r="F52" s="11">
        <v>1</v>
      </c>
      <c r="G52" s="11" t="s">
        <v>44</v>
      </c>
      <c r="H52" s="13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2042</v>
      </c>
      <c r="C53" s="11" t="s">
        <v>2043</v>
      </c>
      <c r="D53" s="11" t="s">
        <v>2153</v>
      </c>
      <c r="E53" s="11">
        <v>1</v>
      </c>
      <c r="F53" s="11">
        <v>1</v>
      </c>
      <c r="G53" s="11" t="s">
        <v>44</v>
      </c>
      <c r="H53" s="13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2044</v>
      </c>
      <c r="C54" s="11" t="s">
        <v>2045</v>
      </c>
      <c r="D54" s="11" t="s">
        <v>2045</v>
      </c>
      <c r="E54" s="11">
        <v>1</v>
      </c>
      <c r="F54" s="11">
        <v>1</v>
      </c>
      <c r="G54" s="11" t="s">
        <v>1474</v>
      </c>
      <c r="H54" s="135" t="s">
        <v>2054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2046</v>
      </c>
      <c r="C55" s="11" t="s">
        <v>2047</v>
      </c>
      <c r="D55" s="11" t="s">
        <v>2048</v>
      </c>
      <c r="E55" s="11">
        <v>1</v>
      </c>
      <c r="F55" s="11">
        <v>1</v>
      </c>
      <c r="G55" s="11" t="s">
        <v>2057</v>
      </c>
      <c r="H55" s="13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6" t="str">
        <f>Subject!P1</f>
        <v>// -------------------------------------------------------------------------------</v>
      </c>
    </row>
    <row r="116" spans="3:3" x14ac:dyDescent="0.75">
      <c r="C116" s="136" t="str">
        <f>Subject!P2</f>
        <v>// Obligations H&amp;N</v>
      </c>
    </row>
    <row r="117" spans="3:3" x14ac:dyDescent="0.75">
      <c r="C117" s="13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6" t="str">
        <f>Subject!R1</f>
        <v>// -------------------------------------------------------------------------------</v>
      </c>
    </row>
    <row r="175" spans="3:3" x14ac:dyDescent="0.75">
      <c r="C175" s="136" t="str">
        <f>Subject!R2</f>
        <v>// Obligations Sarcoma</v>
      </c>
    </row>
    <row r="176" spans="3:3" x14ac:dyDescent="0.75">
      <c r="C176" s="13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0" t="s">
        <v>1565</v>
      </c>
      <c r="F4" s="151"/>
      <c r="G4" s="151"/>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1565</v>
      </c>
      <c r="F7" s="151"/>
      <c r="G7" s="151"/>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2152</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1546</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1547</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F21" s="49" t="s">
        <v>1311</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F22" s="49" t="s">
        <v>1311</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F23" s="49" t="s">
        <v>1311</v>
      </c>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F24" s="49" t="s">
        <v>1311</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F25" s="49" t="s">
        <v>1311</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F26" s="49" t="s">
        <v>1311</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F27" s="49" t="s">
        <v>1311</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F28" s="49" t="s">
        <v>1311</v>
      </c>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F29" s="49" t="s">
        <v>1294</v>
      </c>
      <c r="G29" s="58" t="s">
        <v>2060</v>
      </c>
      <c r="I29" s="12" t="str">
        <f t="shared" si="15"/>
        <v>* group[=].element[+].code = #Subject.occurrenceOfOtherCancer</v>
      </c>
      <c r="J29" s="12" t="str">
        <f t="shared" si="16"/>
        <v>* group[=].element[=].display = ##34#Occurrence of other cancer##34#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F30" s="49" t="s">
        <v>1294</v>
      </c>
      <c r="G30" s="58" t="s">
        <v>2060</v>
      </c>
      <c r="I30" s="12" t="str">
        <f t="shared" si="15"/>
        <v>* group[=].element[+].code = #Subject.previousCancerTreatment</v>
      </c>
      <c r="J30" s="12" t="str">
        <f t="shared" si="16"/>
        <v>* group[=].element[=].display = ##34#Previous cancer treatment##34#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F31" s="49" t="s">
        <v>1294</v>
      </c>
      <c r="G31" s="58" t="s">
        <v>2060</v>
      </c>
      <c r="I31" s="12" t="str">
        <f t="shared" si="15"/>
        <v>* group[=].element[+].code = #Subject.lastContact</v>
      </c>
      <c r="J31" s="12" t="str">
        <f t="shared" si="16"/>
        <v>* group[=].element[=].display = ##34#Last Contact##34#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18</v>
      </c>
      <c r="Q31" s="11">
        <f t="shared" si="13"/>
        <v>2</v>
      </c>
      <c r="R31" s="11">
        <f t="shared" si="14"/>
        <v>6</v>
      </c>
      <c r="S31" s="12" t="str" cm="1">
        <f t="array" ref="S31">INDEX('Subject-ConceptMap-1'!$I$15:$N$69,Q31+1,R31)</f>
        <v/>
      </c>
    </row>
    <row r="32" spans="1:19" x14ac:dyDescent="0.75">
      <c r="B32" s="11"/>
      <c r="C32" s="12"/>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group[=].element[=].target.code = #Patient.</v>
      </c>
    </row>
    <row r="101" spans="16:19" x14ac:dyDescent="0.75">
      <c r="P101" s="11">
        <v>88</v>
      </c>
      <c r="Q101" s="11">
        <f t="shared" si="23"/>
        <v>14</v>
      </c>
      <c r="R101" s="11">
        <f t="shared" si="24"/>
        <v>4</v>
      </c>
      <c r="S101" s="12" t="str" cm="1">
        <f t="array" ref="S101">INDEX('Subject-ConceptMap-1'!$I$15:$N$69,Q101+1,R101)</f>
        <v>* group[=].element[=].target.display = ##34###34#</v>
      </c>
    </row>
    <row r="102" spans="16:19" x14ac:dyDescent="0.75">
      <c r="P102" s="11">
        <v>89</v>
      </c>
      <c r="Q102" s="11">
        <f t="shared" si="23"/>
        <v>14</v>
      </c>
      <c r="R102" s="11">
        <f t="shared" si="24"/>
        <v>5</v>
      </c>
      <c r="S102" s="12" t="str" cm="1">
        <f t="array" ref="S102">INDEX('Subject-ConceptMap-1'!$I$15:$N$69,Q102+1,R102)</f>
        <v>* group[=].element[=].target.equivalence = #relatedto</v>
      </c>
    </row>
    <row r="103" spans="16:19" x14ac:dyDescent="0.75">
      <c r="P103" s="11">
        <v>90</v>
      </c>
      <c r="Q103" s="11">
        <f t="shared" si="23"/>
        <v>14</v>
      </c>
      <c r="R103" s="11">
        <f t="shared" si="24"/>
        <v>6</v>
      </c>
      <c r="S103" s="12" t="str" cm="1">
        <f t="array" ref="S103">INDEX('Subject-ConceptMap-1'!$I$15:$N$69,Q103+1,R103)</f>
        <v>* group[=].element[=].target.comment = ##34#TO BE MAPPED##34#</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group[=].element[=].target.code = #Patient.</v>
      </c>
    </row>
    <row r="107" spans="16:19" x14ac:dyDescent="0.75">
      <c r="P107" s="11">
        <v>94</v>
      </c>
      <c r="Q107" s="11">
        <f t="shared" si="23"/>
        <v>15</v>
      </c>
      <c r="R107" s="11">
        <f t="shared" si="24"/>
        <v>4</v>
      </c>
      <c r="S107" s="12" t="str" cm="1">
        <f t="array" ref="S107">INDEX('Subject-ConceptMap-1'!$I$15:$N$69,Q107+1,R107)</f>
        <v>* group[=].element[=].target.display = ##34###34#</v>
      </c>
    </row>
    <row r="108" spans="16:19" x14ac:dyDescent="0.75">
      <c r="P108" s="11">
        <v>95</v>
      </c>
      <c r="Q108" s="11">
        <f t="shared" si="23"/>
        <v>15</v>
      </c>
      <c r="R108" s="11">
        <f t="shared" si="24"/>
        <v>5</v>
      </c>
      <c r="S108" s="12" t="str" cm="1">
        <f t="array" ref="S108">INDEX('Subject-ConceptMap-1'!$I$15:$N$69,Q108+1,R108)</f>
        <v>* group[=].element[=].target.equivalence = #relatedto</v>
      </c>
    </row>
    <row r="109" spans="16:19" x14ac:dyDescent="0.75">
      <c r="P109" s="11">
        <v>96</v>
      </c>
      <c r="Q109" s="11">
        <f t="shared" si="23"/>
        <v>15</v>
      </c>
      <c r="R109" s="11">
        <f t="shared" si="24"/>
        <v>6</v>
      </c>
      <c r="S109" s="12" t="str" cm="1">
        <f t="array" ref="S109">INDEX('Subject-ConceptMap-1'!$I$15:$N$69,Q109+1,R109)</f>
        <v>* group[=].element[=].target.comment = ##34#TO BE MAPPED##34#</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group[=].element[=].target.code = #Patient.</v>
      </c>
    </row>
    <row r="113" spans="16:19" x14ac:dyDescent="0.75">
      <c r="P113" s="11">
        <v>100</v>
      </c>
      <c r="Q113" s="11">
        <f t="shared" si="23"/>
        <v>16</v>
      </c>
      <c r="R113" s="11">
        <f t="shared" si="24"/>
        <v>4</v>
      </c>
      <c r="S113" s="12" t="str" cm="1">
        <f t="array" ref="S113">INDEX('Subject-ConceptMap-1'!$I$15:$N$69,Q113+1,R113)</f>
        <v>* group[=].element[=].target.display = ##34###34#</v>
      </c>
    </row>
    <row r="114" spans="16:19" x14ac:dyDescent="0.75">
      <c r="P114" s="11">
        <v>101</v>
      </c>
      <c r="Q114" s="11">
        <f t="shared" si="23"/>
        <v>16</v>
      </c>
      <c r="R114" s="11">
        <f t="shared" si="24"/>
        <v>5</v>
      </c>
      <c r="S114" s="12" t="str" cm="1">
        <f t="array" ref="S114">INDEX('Subject-ConceptMap-1'!$I$15:$N$69,Q114+1,R114)</f>
        <v>* group[=].element[=].target.equivalence = #relatedto</v>
      </c>
    </row>
    <row r="115" spans="16:19" x14ac:dyDescent="0.75">
      <c r="P115" s="11">
        <v>102</v>
      </c>
      <c r="Q115" s="11">
        <f t="shared" si="23"/>
        <v>16</v>
      </c>
      <c r="R115" s="11">
        <f t="shared" si="24"/>
        <v>6</v>
      </c>
      <c r="S115" s="12" t="str" cm="1">
        <f t="array" ref="S115">INDEX('Subject-ConceptMap-1'!$I$15:$N$69,Q115+1,R115)</f>
        <v>* group[=].element[=].target.comment = ##34#TO BE MAPPED##34#</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1548</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88.5" x14ac:dyDescent="0.75">
      <c r="A15" s="44"/>
      <c r="B15" s="11" t="str">
        <f>Subject!B11</f>
        <v>smoking</v>
      </c>
      <c r="C15" s="11" t="str">
        <f>Subject!C11</f>
        <v>Smoking</v>
      </c>
      <c r="D15" s="12" t="s">
        <v>1551</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1550</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1552</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1553</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1554</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73.75" x14ac:dyDescent="0.75">
      <c r="A15" s="44"/>
      <c r="B15" s="11" t="str">
        <f>Subject!B15</f>
        <v>alcohol</v>
      </c>
      <c r="C15" s="11" t="str">
        <f>Subject!C15</f>
        <v>Alcohol</v>
      </c>
      <c r="D15" s="12" t="s">
        <v>1555</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59"/>
  <sheetViews>
    <sheetView topLeftCell="A36" zoomScale="70" zoomScaleNormal="70"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1556</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2055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1557</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77" si="13">IF(MOD(P16,$Q$8)=0,P16/$Q$8-1,INT(P16/$Q$8))</f>
        <v>0</v>
      </c>
      <c r="R16" s="11">
        <f t="shared" ref="R16:R7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1557</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1557</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1557</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INDEX('Subject-ConceptMap-4'!$I$15:$N$121,Q19+1,R19)</f>
        <v>* group[=].element[=].target.equivalence = #relatedto</v>
      </c>
    </row>
    <row r="20" spans="1:19" ht="118" x14ac:dyDescent="0.75">
      <c r="A20" s="44"/>
      <c r="B20" s="11" t="str">
        <f>Subject!B23</f>
        <v>comorbidity.dementia</v>
      </c>
      <c r="C20" s="11" t="str">
        <f>Subject!C23</f>
        <v>Dementia</v>
      </c>
      <c r="D20" s="12" t="s">
        <v>1557</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1557</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1557</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1557</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1557</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1557</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1557</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1557</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1557</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1557</v>
      </c>
      <c r="E29" s="12"/>
      <c r="F29" s="49" t="s">
        <v>1316</v>
      </c>
      <c r="G29" s="81"/>
      <c r="H29" s="43"/>
      <c r="I29" s="12" t="str">
        <f t="shared" ref="I29:I47" si="15">"* group[=].element[+].code = #"&amp;$B$14&amp;"."&amp;B29</f>
        <v>* group[=].element[+].code = #Subject.comorbidity.moderateToSevereRenalDisease</v>
      </c>
      <c r="J29" s="12" t="str">
        <f t="shared" ref="J29:J47" si="16">"* group[=].element[=].display = ##34#"&amp;C29&amp;"##34#"</f>
        <v>* group[=].element[=].display = ##34#Moderate to severe renal disease##34#</v>
      </c>
      <c r="K29" s="12" t="str">
        <f t="shared" ref="K29:K47" si="17">IF(F29="unmatched","//-- unmatched","* group[=].element[=].target.code = #"&amp;$D$14&amp;"."&amp;D29)</f>
        <v>* group[=].element[=].target.code = #Observation.extension:comorbidConditionPresent</v>
      </c>
      <c r="L29" s="12" t="str">
        <f t="shared" ref="L29:L47" si="18">IF(F29="unmatched","//-- unmatched","* group[=].element[=].target.display = ##34#"&amp;E29&amp;"##34#")</f>
        <v>* group[=].element[=].target.display = ##34###34#</v>
      </c>
      <c r="M29" s="12" t="str">
        <f t="shared" ref="M29:M47" si="19">"* group[=].element[=].target.equivalence = #"&amp;F29</f>
        <v>* group[=].element[=].target.equivalence = #equivalent</v>
      </c>
      <c r="N29" s="12" t="str">
        <f t="shared" ref="N29:N47" si="20">IF(G29&lt;&gt;"",CONCATENATE("* group[=].element[=].target.comment = ","##34#",G29,"##34#"),"")</f>
        <v/>
      </c>
      <c r="P29" s="11">
        <v>15</v>
      </c>
      <c r="Q29" s="11">
        <f t="shared" si="13"/>
        <v>2</v>
      </c>
      <c r="R29" s="11">
        <f t="shared" si="14"/>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1557</v>
      </c>
      <c r="E30" s="12"/>
      <c r="F30" s="49" t="s">
        <v>1316</v>
      </c>
      <c r="G30" s="81"/>
      <c r="H30" s="43"/>
      <c r="I30" s="12" t="str">
        <f t="shared" si="15"/>
        <v>* group[=].element[+].code = #Subject.comorbidity.solidTumorNonMetastatic</v>
      </c>
      <c r="J30" s="12" t="str">
        <f t="shared" si="16"/>
        <v>* group[=].element[=].display = ##34#Solid tumor (non metastatic)##34#</v>
      </c>
      <c r="K30" s="12" t="str">
        <f t="shared" si="17"/>
        <v>* group[=].element[=].target.code = #Observation.extension:comorbidConditionPresent</v>
      </c>
      <c r="L30" s="12" t="str">
        <f t="shared" si="18"/>
        <v>* group[=].element[=].target.display = ##34###34#</v>
      </c>
      <c r="M30" s="12" t="str">
        <f t="shared" si="19"/>
        <v>* group[=].element[=].target.equivalence = #equivalent</v>
      </c>
      <c r="N30" s="12" t="str">
        <f t="shared" si="20"/>
        <v/>
      </c>
      <c r="P30" s="11">
        <v>16</v>
      </c>
      <c r="Q30" s="11">
        <f t="shared" si="13"/>
        <v>2</v>
      </c>
      <c r="R30" s="11">
        <f t="shared" si="14"/>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1557</v>
      </c>
      <c r="E31" s="12"/>
      <c r="F31" s="49" t="s">
        <v>1316</v>
      </c>
      <c r="G31" s="81"/>
      <c r="H31" s="43"/>
      <c r="I31" s="12" t="str">
        <f t="shared" si="15"/>
        <v>* group[=].element[+].code = #Subject.comorbidity.metastaticSolidTumor</v>
      </c>
      <c r="J31" s="12" t="str">
        <f t="shared" si="16"/>
        <v>* group[=].element[=].display = ##34#Metastatic solid tumor##34#</v>
      </c>
      <c r="K31" s="12" t="str">
        <f t="shared" si="17"/>
        <v>* group[=].element[=].target.code = #Observation.extension:comorbidConditionPresent</v>
      </c>
      <c r="L31" s="12" t="str">
        <f t="shared" si="18"/>
        <v>* group[=].element[=].target.display = ##34###34#</v>
      </c>
      <c r="M31" s="12" t="str">
        <f t="shared" si="19"/>
        <v>* group[=].element[=].target.equivalence = #equivalent</v>
      </c>
      <c r="N31" s="12" t="str">
        <f t="shared" si="20"/>
        <v/>
      </c>
      <c r="P31" s="11">
        <v>17</v>
      </c>
      <c r="Q31" s="11">
        <f t="shared" si="13"/>
        <v>2</v>
      </c>
      <c r="R31" s="11">
        <f t="shared" si="14"/>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1557</v>
      </c>
      <c r="E32" s="12"/>
      <c r="F32" s="49" t="s">
        <v>1316</v>
      </c>
      <c r="G32" s="81"/>
      <c r="H32" s="43"/>
      <c r="I32" s="12" t="str">
        <f t="shared" si="15"/>
        <v>* group[=].element[+].code = #Subject.comorbidity.leukemia</v>
      </c>
      <c r="J32" s="12" t="str">
        <f t="shared" si="16"/>
        <v>* group[=].element[=].display = ##34#Leukemia##34#</v>
      </c>
      <c r="K32" s="12" t="str">
        <f t="shared" si="17"/>
        <v>* group[=].element[=].target.code = #Observation.extension:comorbidConditionPresent</v>
      </c>
      <c r="L32" s="12" t="str">
        <f t="shared" si="18"/>
        <v>* group[=].element[=].target.display = ##34###34#</v>
      </c>
      <c r="M32" s="12" t="str">
        <f t="shared" si="19"/>
        <v>* group[=].element[=].target.equivalence = #equivalent</v>
      </c>
      <c r="N32" s="12" t="str">
        <f t="shared" si="20"/>
        <v/>
      </c>
      <c r="P32" s="11">
        <v>18</v>
      </c>
      <c r="Q32" s="11">
        <f t="shared" si="13"/>
        <v>2</v>
      </c>
      <c r="R32" s="11">
        <f t="shared" si="14"/>
        <v>6</v>
      </c>
      <c r="S32" s="12" t="str" cm="1">
        <f t="array" ref="S32">INDEX('Subject-ConceptMap-4'!$I$15:$N$121,Q32+1,R32)</f>
        <v/>
      </c>
    </row>
    <row r="33" spans="1:19" ht="73.75" x14ac:dyDescent="0.75">
      <c r="B33" s="11" t="str">
        <f>Subject!B36</f>
        <v>comorbidity.lymphoma</v>
      </c>
      <c r="C33" s="11" t="str">
        <f>Subject!C36</f>
        <v>Lymphoma</v>
      </c>
      <c r="D33" s="12" t="s">
        <v>1557</v>
      </c>
      <c r="E33" s="12"/>
      <c r="F33" s="49" t="s">
        <v>1316</v>
      </c>
      <c r="G33" s="81"/>
      <c r="H33" s="43"/>
      <c r="I33" s="12" t="str">
        <f t="shared" si="15"/>
        <v>* group[=].element[+].code = #Subject.comorbidity.lymphoma</v>
      </c>
      <c r="J33" s="12" t="str">
        <f t="shared" si="16"/>
        <v>* group[=].element[=].display = ##34#Lymphoma##34#</v>
      </c>
      <c r="K33" s="12" t="str">
        <f t="shared" si="17"/>
        <v>* group[=].element[=].target.code = #Observation.extension:comorbidConditionPresent</v>
      </c>
      <c r="L33" s="12" t="str">
        <f t="shared" si="18"/>
        <v>* group[=].element[=].target.display = ##34###34#</v>
      </c>
      <c r="M33" s="12" t="str">
        <f t="shared" si="19"/>
        <v>* group[=].element[=].target.equivalence = #equivalent</v>
      </c>
      <c r="N33" s="12" t="str">
        <f t="shared" si="20"/>
        <v/>
      </c>
      <c r="P33" s="11">
        <v>19</v>
      </c>
      <c r="Q33" s="11">
        <f t="shared" si="13"/>
        <v>3</v>
      </c>
      <c r="R33" s="11">
        <f t="shared" si="14"/>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1557</v>
      </c>
      <c r="E34" s="12"/>
      <c r="F34" s="49" t="s">
        <v>1316</v>
      </c>
      <c r="G34" s="81"/>
      <c r="H34" s="43"/>
      <c r="I34" s="12" t="str">
        <f t="shared" si="15"/>
        <v>* group[=].element[+].code = #Subject.comorbidity.multipleMyeloma</v>
      </c>
      <c r="J34" s="12" t="str">
        <f t="shared" si="16"/>
        <v>* group[=].element[=].display = ##34#Multiple myeloma##34#</v>
      </c>
      <c r="K34" s="12" t="str">
        <f t="shared" si="17"/>
        <v>* group[=].element[=].target.code = #Observation.extension:comorbidConditionPresent</v>
      </c>
      <c r="L34" s="12" t="str">
        <f t="shared" si="18"/>
        <v>* group[=].element[=].target.display = ##34###34#</v>
      </c>
      <c r="M34" s="12" t="str">
        <f t="shared" si="19"/>
        <v>* group[=].element[=].target.equivalence = #equivalent</v>
      </c>
      <c r="N34" s="12" t="str">
        <f t="shared" si="20"/>
        <v/>
      </c>
      <c r="P34" s="11">
        <v>20</v>
      </c>
      <c r="Q34" s="11">
        <f t="shared" si="13"/>
        <v>3</v>
      </c>
      <c r="R34" s="11">
        <f t="shared" si="14"/>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1557</v>
      </c>
      <c r="E35" s="12"/>
      <c r="F35" s="49" t="s">
        <v>1316</v>
      </c>
      <c r="G35" s="81"/>
      <c r="H35" s="43"/>
      <c r="I35" s="12" t="str">
        <f t="shared" si="15"/>
        <v>* group[=].element[+].code = #Subject.comorbidity.aids</v>
      </c>
      <c r="J35" s="12" t="str">
        <f t="shared" si="16"/>
        <v>* group[=].element[=].display = ##34#AIDS##34#</v>
      </c>
      <c r="K35" s="12" t="str">
        <f t="shared" si="17"/>
        <v>* group[=].element[=].target.code = #Observation.extension:comorbidConditionPresent</v>
      </c>
      <c r="L35" s="12" t="str">
        <f t="shared" si="18"/>
        <v>* group[=].element[=].target.display = ##34###34#</v>
      </c>
      <c r="M35" s="12" t="str">
        <f t="shared" si="19"/>
        <v>* group[=].element[=].target.equivalence = #equivalent</v>
      </c>
      <c r="N35" s="12" t="str">
        <f t="shared" si="20"/>
        <v/>
      </c>
      <c r="P35" s="11">
        <v>21</v>
      </c>
      <c r="Q35" s="11">
        <f t="shared" si="13"/>
        <v>3</v>
      </c>
      <c r="R35" s="11">
        <f t="shared" si="14"/>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1557</v>
      </c>
      <c r="E36" s="12"/>
      <c r="F36" s="49" t="s">
        <v>1316</v>
      </c>
      <c r="G36" s="81" t="s">
        <v>2055</v>
      </c>
      <c r="H36" s="43"/>
      <c r="I36" s="12" t="str">
        <f t="shared" si="15"/>
        <v>* group[=].element[+].code = #Subject.noGeneticSyndromeWho2020</v>
      </c>
      <c r="J36" s="12" t="str">
        <f t="shared" si="16"/>
        <v>* group[=].element[=].display = ##34#No Genetic syndrome WHO 2020 ##34#</v>
      </c>
      <c r="K36" s="12" t="str">
        <f t="shared" si="17"/>
        <v>* group[=].element[=].target.code = #Observation.extension:comorbidConditionPresent</v>
      </c>
      <c r="L36" s="12" t="str">
        <f t="shared" si="18"/>
        <v>* group[=].element[=].target.display = ##34###34#</v>
      </c>
      <c r="M36" s="12" t="str">
        <f t="shared" si="19"/>
        <v>* group[=].element[=].target.equivalence = #equivalent</v>
      </c>
      <c r="N36" s="12" t="str">
        <f t="shared" si="20"/>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24</v>
      </c>
      <c r="Q36" s="11">
        <f t="shared" si="13"/>
        <v>3</v>
      </c>
      <c r="R36" s="11">
        <f t="shared" si="14"/>
        <v>6</v>
      </c>
      <c r="S36" s="12" t="str" cm="1">
        <f t="array" ref="S36">INDEX('Subject-ConceptMap-4'!$I$15:$N$121,Q36+1,R36)</f>
        <v/>
      </c>
    </row>
    <row r="37" spans="1:19" s="2" customFormat="1" ht="73.75" x14ac:dyDescent="0.75">
      <c r="A37"/>
      <c r="B37" s="11" t="str">
        <f>Subject!B42</f>
        <v>noGeneticSyndromeWho2020.olliersDisease</v>
      </c>
      <c r="C37" s="11" t="str">
        <f>Subject!C42</f>
        <v>Olliers disease</v>
      </c>
      <c r="D37" s="12" t="s">
        <v>1557</v>
      </c>
      <c r="E37" s="12"/>
      <c r="F37" s="49" t="s">
        <v>1316</v>
      </c>
      <c r="G37" s="49"/>
      <c r="H37" s="43"/>
      <c r="I37" s="12" t="str">
        <f t="shared" si="15"/>
        <v>* group[=].element[+].code = #Subject.noGeneticSyndromeWho2020.olliersDisease</v>
      </c>
      <c r="J37" s="12" t="str">
        <f t="shared" si="16"/>
        <v>* group[=].element[=].display = ##34#Olliers disease##34#</v>
      </c>
      <c r="K37" s="12" t="str">
        <f t="shared" si="17"/>
        <v>* group[=].element[=].target.code = #Observation.extension:comorbidConditionPresent</v>
      </c>
      <c r="L37" s="12" t="str">
        <f t="shared" si="18"/>
        <v>* group[=].element[=].target.display = ##34###34#</v>
      </c>
      <c r="M37" s="12" t="str">
        <f t="shared" si="19"/>
        <v>* group[=].element[=].target.equivalence = #equivalent</v>
      </c>
      <c r="N37" s="12" t="str">
        <f t="shared" si="20"/>
        <v/>
      </c>
      <c r="P37" s="11">
        <v>25</v>
      </c>
      <c r="Q37" s="11">
        <f t="shared" si="13"/>
        <v>4</v>
      </c>
      <c r="R37" s="11">
        <f t="shared" si="14"/>
        <v>1</v>
      </c>
      <c r="S37" s="12" t="str" cm="1">
        <f t="array" ref="S37">INDEX('Subject-ConceptMap-4'!$I$15:$N$121,Q37+1,R37)</f>
        <v>* group[=].element[+].code = #Subject.comorbidity.cerebrovascularAccidentExceptHemiplegia</v>
      </c>
    </row>
    <row r="38" spans="1:19" s="2" customFormat="1" ht="73.75" x14ac:dyDescent="0.75">
      <c r="A38"/>
      <c r="B38" s="11" t="str">
        <f>Subject!B43</f>
        <v>noGeneticSyndromeWho2020.maffuciSyndrome</v>
      </c>
      <c r="C38" s="11" t="str">
        <f>Subject!C43</f>
        <v>Maffuci syndrome</v>
      </c>
      <c r="D38" s="12" t="s">
        <v>1557</v>
      </c>
      <c r="E38" s="12"/>
      <c r="F38" s="49" t="s">
        <v>1316</v>
      </c>
      <c r="G38" s="49"/>
      <c r="H38" s="43"/>
      <c r="I38" s="12" t="str">
        <f t="shared" si="15"/>
        <v>* group[=].element[+].code = #Subject.noGeneticSyndromeWho2020.maffuciSyndrome</v>
      </c>
      <c r="J38" s="12" t="str">
        <f t="shared" si="16"/>
        <v>* group[=].element[=].display = ##34#Maffuci syndrome##34#</v>
      </c>
      <c r="K38" s="12" t="str">
        <f t="shared" si="17"/>
        <v>* group[=].element[=].target.code = #Observation.extension:comorbidConditionPresent</v>
      </c>
      <c r="L38" s="12" t="str">
        <f t="shared" si="18"/>
        <v>* group[=].element[=].target.display = ##34###34#</v>
      </c>
      <c r="M38" s="12" t="str">
        <f t="shared" si="19"/>
        <v>* group[=].element[=].target.equivalence = #equivalent</v>
      </c>
      <c r="N38" s="12" t="str">
        <f t="shared" si="20"/>
        <v/>
      </c>
      <c r="P38" s="11">
        <v>26</v>
      </c>
      <c r="Q38" s="11">
        <f t="shared" si="13"/>
        <v>4</v>
      </c>
      <c r="R38" s="11">
        <f t="shared" si="14"/>
        <v>2</v>
      </c>
      <c r="S38" s="12" t="str" cm="1">
        <f t="array" ref="S38">INDEX('Subject-ConceptMap-4'!$I$15:$N$121,Q38+1,R38)</f>
        <v>* group[=].element[=].display = ##34#Cerebrovascular accident  (except hemiplegia)##34#</v>
      </c>
    </row>
    <row r="39" spans="1:19" s="2" customFormat="1" ht="73.75" x14ac:dyDescent="0.75">
      <c r="A39"/>
      <c r="B39" s="11" t="str">
        <f>Subject!B44</f>
        <v>noGeneticSyndromeWho2020.liFraumeniSyndrome</v>
      </c>
      <c r="C39" s="11" t="str">
        <f>Subject!C44</f>
        <v>Li-Fraumeni syndrome</v>
      </c>
      <c r="D39" s="12" t="s">
        <v>1557</v>
      </c>
      <c r="E39" s="12"/>
      <c r="F39" s="49" t="s">
        <v>1316</v>
      </c>
      <c r="G39" s="49"/>
      <c r="H39" s="43"/>
      <c r="I39" s="12" t="str">
        <f t="shared" si="15"/>
        <v>* group[=].element[+].code = #Subject.noGeneticSyndromeWho2020.liFraumeniSyndrome</v>
      </c>
      <c r="J39" s="12" t="str">
        <f t="shared" si="16"/>
        <v>* group[=].element[=].display = ##34#Li-Fraumeni syndrome##34#</v>
      </c>
      <c r="K39" s="12" t="str">
        <f t="shared" si="17"/>
        <v>* group[=].element[=].target.code = #Observation.extension:comorbidConditionPresent</v>
      </c>
      <c r="L39" s="12" t="str">
        <f t="shared" si="18"/>
        <v>* group[=].element[=].target.display = ##34###34#</v>
      </c>
      <c r="M39" s="12" t="str">
        <f t="shared" si="19"/>
        <v>* group[=].element[=].target.equivalence = #equivalent</v>
      </c>
      <c r="N39" s="12" t="str">
        <f t="shared" si="20"/>
        <v/>
      </c>
      <c r="P39" s="11">
        <v>27</v>
      </c>
      <c r="Q39" s="11">
        <f t="shared" si="13"/>
        <v>4</v>
      </c>
      <c r="R39" s="11">
        <f t="shared" si="14"/>
        <v>3</v>
      </c>
      <c r="S39" s="12" t="str" cm="1">
        <f t="array" ref="S39">INDEX('Subject-ConceptMap-4'!$I$15:$N$121,Q39+1,R39)</f>
        <v>* group[=].element[=].target.code = #Observation.extension:comorbidConditionPresent</v>
      </c>
    </row>
    <row r="40" spans="1:19" s="2" customFormat="1" ht="73.75" x14ac:dyDescent="0.75">
      <c r="A40"/>
      <c r="B40" s="11" t="str">
        <f>Subject!B45</f>
        <v>noGeneticSyndromeWho2020.mcCuneAlbrightSyndrome</v>
      </c>
      <c r="C40" s="11" t="str">
        <f>Subject!C45</f>
        <v>McCune-Albright syndrome</v>
      </c>
      <c r="D40" s="12" t="s">
        <v>1557</v>
      </c>
      <c r="E40" s="12"/>
      <c r="F40" s="49" t="s">
        <v>1316</v>
      </c>
      <c r="G40" s="49"/>
      <c r="H40" s="43"/>
      <c r="I40" s="12" t="str">
        <f t="shared" si="15"/>
        <v>* group[=].element[+].code = #Subject.noGeneticSyndromeWho2020.mcCuneAlbrightSyndrome</v>
      </c>
      <c r="J40" s="12" t="str">
        <f t="shared" si="16"/>
        <v>* group[=].element[=].display = ##34#McCune-Albright syndrome##34#</v>
      </c>
      <c r="K40" s="12" t="str">
        <f t="shared" si="17"/>
        <v>* group[=].element[=].target.code = #Observation.extension:comorbidConditionPresent</v>
      </c>
      <c r="L40" s="12" t="str">
        <f t="shared" si="18"/>
        <v>* group[=].element[=].target.display = ##34###34#</v>
      </c>
      <c r="M40" s="12" t="str">
        <f t="shared" si="19"/>
        <v>* group[=].element[=].target.equivalence = #equivalent</v>
      </c>
      <c r="N40" s="12" t="str">
        <f t="shared" si="20"/>
        <v/>
      </c>
      <c r="P40" s="11">
        <v>28</v>
      </c>
      <c r="Q40" s="11">
        <f t="shared" si="13"/>
        <v>4</v>
      </c>
      <c r="R40" s="11">
        <f t="shared" si="14"/>
        <v>4</v>
      </c>
      <c r="S40" s="12" t="str" cm="1">
        <f t="array" ref="S40">INDEX('Subject-ConceptMap-4'!$I$15:$N$121,Q40+1,R40)</f>
        <v>* group[=].element[=].target.display = ##34###34#</v>
      </c>
    </row>
    <row r="41" spans="1:19" s="2" customFormat="1" ht="73.75" x14ac:dyDescent="0.75">
      <c r="A41"/>
      <c r="B41" s="11" t="str">
        <f>Subject!B46</f>
        <v>noGeneticSyndromeWho2020.multipleOsteochondromas</v>
      </c>
      <c r="C41" s="11" t="str">
        <f>Subject!C46</f>
        <v>Multiple osteochondromas</v>
      </c>
      <c r="D41" s="12" t="s">
        <v>1557</v>
      </c>
      <c r="E41" s="12"/>
      <c r="F41" s="49" t="s">
        <v>1316</v>
      </c>
      <c r="G41" s="49"/>
      <c r="H41" s="43"/>
      <c r="I41" s="12" t="str">
        <f t="shared" si="15"/>
        <v>* group[=].element[+].code = #Subject.noGeneticSyndromeWho2020.multipleOsteochondromas</v>
      </c>
      <c r="J41" s="12" t="str">
        <f t="shared" si="16"/>
        <v>* group[=].element[=].display = ##34#Multiple osteochondromas##34#</v>
      </c>
      <c r="K41" s="12" t="str">
        <f t="shared" si="17"/>
        <v>* group[=].element[=].target.code = #Observation.extension:comorbidConditionPresent</v>
      </c>
      <c r="L41" s="12" t="str">
        <f t="shared" si="18"/>
        <v>* group[=].element[=].target.display = ##34###34#</v>
      </c>
      <c r="M41" s="12" t="str">
        <f t="shared" si="19"/>
        <v>* group[=].element[=].target.equivalence = #equivalent</v>
      </c>
      <c r="N41" s="12" t="str">
        <f t="shared" si="20"/>
        <v/>
      </c>
      <c r="P41" s="11">
        <v>29</v>
      </c>
      <c r="Q41" s="11">
        <f t="shared" si="13"/>
        <v>4</v>
      </c>
      <c r="R41" s="11">
        <f t="shared" si="14"/>
        <v>5</v>
      </c>
      <c r="S41" s="12" t="str" cm="1">
        <f t="array" ref="S41">INDEX('Subject-ConceptMap-4'!$I$15:$N$121,Q41+1,R41)</f>
        <v>* group[=].element[=].target.equivalence = #equivalent</v>
      </c>
    </row>
    <row r="42" spans="1:19" ht="73.75" x14ac:dyDescent="0.75">
      <c r="B42" s="11" t="str">
        <f>Subject!B47</f>
        <v>noGeneticSyndromeWho2020.neurofibromatosisType1</v>
      </c>
      <c r="C42" s="11" t="str">
        <f>Subject!C47</f>
        <v>Neurofibromatosis type 1</v>
      </c>
      <c r="D42" s="12" t="s">
        <v>1557</v>
      </c>
      <c r="E42" s="12"/>
      <c r="F42" s="49" t="s">
        <v>1316</v>
      </c>
      <c r="G42" s="11"/>
      <c r="I42" s="12" t="str">
        <f t="shared" si="15"/>
        <v>* group[=].element[+].code = #Subject.noGeneticSyndromeWho2020.neurofibromatosisType1</v>
      </c>
      <c r="J42" s="12" t="str">
        <f t="shared" si="16"/>
        <v>* group[=].element[=].display = ##34#Neurofibromatosis type 1##34#</v>
      </c>
      <c r="K42" s="12" t="str">
        <f t="shared" si="17"/>
        <v>* group[=].element[=].target.code = #Observation.extension:comorbidConditionPresent</v>
      </c>
      <c r="L42" s="12" t="str">
        <f t="shared" si="18"/>
        <v>* group[=].element[=].target.display = ##34###34#</v>
      </c>
      <c r="M42" s="12" t="str">
        <f t="shared" si="19"/>
        <v>* group[=].element[=].target.equivalence = #equivalent</v>
      </c>
      <c r="N42" s="12" t="str">
        <f t="shared" si="20"/>
        <v/>
      </c>
      <c r="P42" s="11">
        <v>30</v>
      </c>
      <c r="Q42" s="11">
        <f t="shared" si="13"/>
        <v>4</v>
      </c>
      <c r="R42" s="11">
        <f t="shared" si="14"/>
        <v>6</v>
      </c>
      <c r="S42" s="12" t="str" cm="1">
        <f t="array" ref="S42">INDEX('Subject-ConceptMap-4'!$I$15:$N$121,Q42+1,R42)</f>
        <v/>
      </c>
    </row>
    <row r="43" spans="1:19" ht="73.75" x14ac:dyDescent="0.75">
      <c r="B43" s="11" t="str">
        <f>Subject!B48</f>
        <v>noGeneticSyndromeWho2020.rothmundThomsonSyndrome</v>
      </c>
      <c r="C43" s="11" t="str">
        <f>Subject!C48</f>
        <v>Rothmund-Thomson syndrome</v>
      </c>
      <c r="D43" s="12" t="s">
        <v>1557</v>
      </c>
      <c r="E43" s="12"/>
      <c r="F43" s="49" t="s">
        <v>1316</v>
      </c>
      <c r="G43" s="11"/>
      <c r="I43" s="12" t="str">
        <f t="shared" si="15"/>
        <v>* group[=].element[+].code = #Subject.noGeneticSyndromeWho2020.rothmundThomsonSyndrome</v>
      </c>
      <c r="J43" s="12" t="str">
        <f t="shared" si="16"/>
        <v>* group[=].element[=].display = ##34#Rothmund-Thomson syndrome##34#</v>
      </c>
      <c r="K43" s="12" t="str">
        <f t="shared" si="17"/>
        <v>* group[=].element[=].target.code = #Observation.extension:comorbidConditionPresent</v>
      </c>
      <c r="L43" s="12" t="str">
        <f t="shared" si="18"/>
        <v>* group[=].element[=].target.display = ##34###34#</v>
      </c>
      <c r="M43" s="12" t="str">
        <f t="shared" si="19"/>
        <v>* group[=].element[=].target.equivalence = #equivalent</v>
      </c>
      <c r="N43" s="12" t="str">
        <f t="shared" si="20"/>
        <v/>
      </c>
      <c r="P43" s="11">
        <v>31</v>
      </c>
      <c r="Q43" s="11">
        <f t="shared" si="13"/>
        <v>5</v>
      </c>
      <c r="R43" s="11">
        <f t="shared" si="14"/>
        <v>1</v>
      </c>
      <c r="S43" s="12" t="str" cm="1">
        <f t="array" ref="S43">INDEX('Subject-ConceptMap-4'!$I$15:$N$121,Q43+1,R43)</f>
        <v>* group[=].element[+].code = #Subject.comorbidity.dementia</v>
      </c>
    </row>
    <row r="44" spans="1:19" ht="73.75" x14ac:dyDescent="0.75">
      <c r="B44" s="11" t="str">
        <f>Subject!B49</f>
        <v>noGeneticSyndromeWho2020.wernerSyndrome</v>
      </c>
      <c r="C44" s="11" t="str">
        <f>Subject!C49</f>
        <v>Werner syndrome</v>
      </c>
      <c r="D44" s="12" t="s">
        <v>1557</v>
      </c>
      <c r="E44" s="12"/>
      <c r="F44" s="49" t="s">
        <v>1316</v>
      </c>
      <c r="G44" s="11"/>
      <c r="I44" s="12" t="str">
        <f t="shared" si="15"/>
        <v>* group[=].element[+].code = #Subject.noGeneticSyndromeWho2020.wernerSyndrome</v>
      </c>
      <c r="J44" s="12" t="str">
        <f t="shared" si="16"/>
        <v>* group[=].element[=].display = ##34#Werner syndrome##34#</v>
      </c>
      <c r="K44" s="12" t="str">
        <f t="shared" si="17"/>
        <v>* group[=].element[=].target.code = #Observation.extension:comorbidConditionPresent</v>
      </c>
      <c r="L44" s="12" t="str">
        <f t="shared" si="18"/>
        <v>* group[=].element[=].target.display = ##34###34#</v>
      </c>
      <c r="M44" s="12" t="str">
        <f t="shared" si="19"/>
        <v>* group[=].element[=].target.equivalence = #equivalent</v>
      </c>
      <c r="N44" s="12" t="str">
        <f t="shared" si="20"/>
        <v/>
      </c>
      <c r="P44" s="11">
        <v>32</v>
      </c>
      <c r="Q44" s="11">
        <f t="shared" si="13"/>
        <v>5</v>
      </c>
      <c r="R44" s="11">
        <f t="shared" si="14"/>
        <v>2</v>
      </c>
      <c r="S44" s="12" t="str" cm="1">
        <f t="array" ref="S44">INDEX('Subject-ConceptMap-4'!$I$15:$N$121,Q44+1,R44)</f>
        <v>* group[=].element[=].display = ##34#Dementia##34#</v>
      </c>
    </row>
    <row r="45" spans="1:19" ht="73.75" x14ac:dyDescent="0.75">
      <c r="B45" s="11" t="str">
        <f>Subject!B50</f>
        <v>noGeneticSyndromeWho2020.retinoblastoma</v>
      </c>
      <c r="C45" s="11" t="str">
        <f>Subject!C50</f>
        <v>Retinoblastoma</v>
      </c>
      <c r="D45" s="12" t="s">
        <v>1557</v>
      </c>
      <c r="E45" s="12"/>
      <c r="F45" s="49" t="s">
        <v>1316</v>
      </c>
      <c r="G45" s="11"/>
      <c r="I45" s="12" t="str">
        <f t="shared" si="15"/>
        <v>* group[=].element[+].code = #Subject.noGeneticSyndromeWho2020.retinoblastoma</v>
      </c>
      <c r="J45" s="12" t="str">
        <f t="shared" si="16"/>
        <v>* group[=].element[=].display = ##34#Retinoblastoma##34#</v>
      </c>
      <c r="K45" s="12" t="str">
        <f t="shared" si="17"/>
        <v>* group[=].element[=].target.code = #Observation.extension:comorbidConditionPresent</v>
      </c>
      <c r="L45" s="12" t="str">
        <f t="shared" si="18"/>
        <v>* group[=].element[=].target.display = ##34###34#</v>
      </c>
      <c r="M45" s="12" t="str">
        <f t="shared" si="19"/>
        <v>* group[=].element[=].target.equivalence = #equivalent</v>
      </c>
      <c r="N45" s="12" t="str">
        <f t="shared" si="20"/>
        <v/>
      </c>
      <c r="P45" s="11">
        <v>33</v>
      </c>
      <c r="Q45" s="11">
        <f t="shared" si="13"/>
        <v>5</v>
      </c>
      <c r="R45" s="11">
        <f t="shared" si="14"/>
        <v>3</v>
      </c>
      <c r="S45" s="12" t="str" cm="1">
        <f t="array" ref="S45">INDEX('Subject-ConceptMap-4'!$I$15:$N$121,Q45+1,R45)</f>
        <v>* group[=].element[=].target.code = #Observation.extension:comorbidConditionPresent</v>
      </c>
    </row>
    <row r="46" spans="1:19" ht="73.75" x14ac:dyDescent="0.75">
      <c r="B46" s="11" t="str">
        <f>Subject!B51</f>
        <v>noGeneticSyndromeWho2020.pagetDisease</v>
      </c>
      <c r="C46" s="11" t="str">
        <f>Subject!C51</f>
        <v>Paget disease</v>
      </c>
      <c r="D46" s="12" t="s">
        <v>1557</v>
      </c>
      <c r="E46" s="12"/>
      <c r="F46" s="49" t="s">
        <v>1316</v>
      </c>
      <c r="G46" s="11"/>
      <c r="I46" s="12" t="str">
        <f t="shared" si="15"/>
        <v>* group[=].element[+].code = #Subject.noGeneticSyndromeWho2020.pagetDisease</v>
      </c>
      <c r="J46" s="12" t="str">
        <f t="shared" si="16"/>
        <v>* group[=].element[=].display = ##34#Paget disease##34#</v>
      </c>
      <c r="K46" s="12" t="str">
        <f t="shared" si="17"/>
        <v>* group[=].element[=].target.code = #Observation.extension:comorbidConditionPresent</v>
      </c>
      <c r="L46" s="12" t="str">
        <f t="shared" si="18"/>
        <v>* group[=].element[=].target.display = ##34###34#</v>
      </c>
      <c r="M46" s="12" t="str">
        <f t="shared" si="19"/>
        <v>* group[=].element[=].target.equivalence = #equivalent</v>
      </c>
      <c r="N46" s="12" t="str">
        <f t="shared" si="20"/>
        <v/>
      </c>
      <c r="P46" s="11">
        <v>34</v>
      </c>
      <c r="Q46" s="11">
        <f t="shared" si="13"/>
        <v>5</v>
      </c>
      <c r="R46" s="11">
        <f t="shared" si="14"/>
        <v>4</v>
      </c>
      <c r="S46" s="12" t="str" cm="1">
        <f t="array" ref="S46">INDEX('Subject-ConceptMap-4'!$I$15:$N$121,Q46+1,R46)</f>
        <v>* group[=].element[=].target.display = ##34###34#</v>
      </c>
    </row>
    <row r="47" spans="1:19" ht="73.75" x14ac:dyDescent="0.75">
      <c r="B47" s="11" t="str">
        <f>Subject!B52</f>
        <v>noGeneticSyndromeWho2020.otherSyndromes</v>
      </c>
      <c r="C47" s="11" t="str">
        <f>Subject!C52</f>
        <v xml:space="preserve">Other Genetic syndrome WHO 2020 </v>
      </c>
      <c r="D47" s="12" t="s">
        <v>1557</v>
      </c>
      <c r="E47" s="12"/>
      <c r="F47" s="49" t="s">
        <v>1316</v>
      </c>
      <c r="G47" s="11"/>
      <c r="I47" s="12" t="str">
        <f t="shared" si="15"/>
        <v>* group[=].element[+].code = #Subject.noGeneticSyndromeWho2020.otherSyndromes</v>
      </c>
      <c r="J47" s="12" t="str">
        <f t="shared" si="16"/>
        <v>* group[=].element[=].display = ##34#Other Genetic syndrome WHO 2020 ##34#</v>
      </c>
      <c r="K47" s="12" t="str">
        <f t="shared" si="17"/>
        <v>* group[=].element[=].target.code = #Observation.extension:comorbidConditionPresent</v>
      </c>
      <c r="L47" s="12" t="str">
        <f t="shared" si="18"/>
        <v>* group[=].element[=].target.display = ##34###34#</v>
      </c>
      <c r="M47" s="12" t="str">
        <f t="shared" si="19"/>
        <v>* group[=].element[=].target.equivalence = #equivalent</v>
      </c>
      <c r="N47" s="12" t="str">
        <f t="shared" si="20"/>
        <v/>
      </c>
      <c r="P47" s="11">
        <v>35</v>
      </c>
      <c r="Q47" s="11">
        <f t="shared" si="13"/>
        <v>5</v>
      </c>
      <c r="R47" s="11">
        <f t="shared" si="14"/>
        <v>5</v>
      </c>
      <c r="S47" s="12" t="str" cm="1">
        <f t="array" ref="S47">INDEX('Subject-ConceptMap-4'!$I$15:$N$121,Q47+1,R47)</f>
        <v>* group[=].element[=].target.equivalence = #equivalent</v>
      </c>
    </row>
    <row r="48" spans="1:19" x14ac:dyDescent="0.75">
      <c r="P48" s="11">
        <v>36</v>
      </c>
      <c r="Q48" s="11">
        <f t="shared" si="13"/>
        <v>5</v>
      </c>
      <c r="R48" s="11">
        <f t="shared" si="14"/>
        <v>6</v>
      </c>
      <c r="S48" s="12" t="str" cm="1">
        <f t="array" ref="S48">INDEX('Subject-ConceptMap-4'!$I$15:$N$121,Q48+1,R48)</f>
        <v/>
      </c>
    </row>
    <row r="49" spans="16:19" x14ac:dyDescent="0.75">
      <c r="P49" s="11">
        <v>37</v>
      </c>
      <c r="Q49" s="11">
        <f t="shared" si="13"/>
        <v>6</v>
      </c>
      <c r="R49" s="11">
        <f t="shared" si="14"/>
        <v>1</v>
      </c>
      <c r="S49" s="12" t="str" cm="1">
        <f t="array" ref="S49">INDEX('Subject-ConceptMap-4'!$I$15:$N$121,Q49+1,R49)</f>
        <v>* group[=].element[+].code = #Subject.comorbidity.chronicPulmonaryDisease</v>
      </c>
    </row>
    <row r="50" spans="16:19" x14ac:dyDescent="0.75">
      <c r="P50" s="11">
        <v>38</v>
      </c>
      <c r="Q50" s="11">
        <f t="shared" si="13"/>
        <v>6</v>
      </c>
      <c r="R50" s="11">
        <f t="shared" si="14"/>
        <v>2</v>
      </c>
      <c r="S50" s="12" t="str" cm="1">
        <f t="array" ref="S50">INDEX('Subject-ConceptMap-4'!$I$15:$N$121,Q50+1,R50)</f>
        <v>* group[=].element[=].display = ##34#Chronic pulmonary disease##34#</v>
      </c>
    </row>
    <row r="51" spans="16:19" ht="29.5" x14ac:dyDescent="0.75">
      <c r="P51" s="11">
        <v>39</v>
      </c>
      <c r="Q51" s="11">
        <f t="shared" si="13"/>
        <v>6</v>
      </c>
      <c r="R51" s="11">
        <f t="shared" si="14"/>
        <v>3</v>
      </c>
      <c r="S51" s="12" t="str" cm="1">
        <f t="array" ref="S51">INDEX('Subject-ConceptMap-4'!$I$15:$N$121,Q51+1,R51)</f>
        <v>* group[=].element[=].target.code = #Observation.extension:comorbidConditionPresent</v>
      </c>
    </row>
    <row r="52" spans="16:19" x14ac:dyDescent="0.75">
      <c r="P52" s="11">
        <v>40</v>
      </c>
      <c r="Q52" s="11">
        <f t="shared" si="13"/>
        <v>6</v>
      </c>
      <c r="R52" s="11">
        <f t="shared" si="14"/>
        <v>4</v>
      </c>
      <c r="S52" s="12" t="str" cm="1">
        <f t="array" ref="S52">INDEX('Subject-ConceptMap-4'!$I$15:$N$121,Q52+1,R52)</f>
        <v>* group[=].element[=].target.display = ##34###34#</v>
      </c>
    </row>
    <row r="53" spans="16:19" x14ac:dyDescent="0.75">
      <c r="P53" s="11">
        <v>41</v>
      </c>
      <c r="Q53" s="11">
        <f t="shared" si="13"/>
        <v>6</v>
      </c>
      <c r="R53" s="11">
        <f t="shared" si="14"/>
        <v>5</v>
      </c>
      <c r="S53" s="12" t="str" cm="1">
        <f t="array" ref="S53">INDEX('Subject-ConceptMap-4'!$I$15:$N$121,Q53+1,R53)</f>
        <v>* group[=].element[=].target.equivalence = #equivalent</v>
      </c>
    </row>
    <row r="54" spans="16:19" x14ac:dyDescent="0.75">
      <c r="P54" s="11">
        <v>42</v>
      </c>
      <c r="Q54" s="11">
        <f t="shared" si="13"/>
        <v>6</v>
      </c>
      <c r="R54" s="11">
        <f t="shared" si="14"/>
        <v>6</v>
      </c>
      <c r="S54" s="12" t="str" cm="1">
        <f t="array" ref="S54">INDEX('Subject-ConceptMap-4'!$I$15:$N$121,Q54+1,R54)</f>
        <v/>
      </c>
    </row>
    <row r="55" spans="16:19" x14ac:dyDescent="0.75">
      <c r="P55" s="11">
        <v>43</v>
      </c>
      <c r="Q55" s="11">
        <f t="shared" si="13"/>
        <v>7</v>
      </c>
      <c r="R55" s="11">
        <f t="shared" si="14"/>
        <v>1</v>
      </c>
      <c r="S55" s="12" t="str" cm="1">
        <f t="array" ref="S55">INDEX('Subject-ConceptMap-4'!$I$15:$N$121,Q55+1,R55)</f>
        <v>* group[=].element[+].code = #Subject.comorbidity.connectiveTissueDisease</v>
      </c>
    </row>
    <row r="56" spans="16:19" x14ac:dyDescent="0.75">
      <c r="P56" s="11">
        <v>44</v>
      </c>
      <c r="Q56" s="11">
        <f t="shared" si="13"/>
        <v>7</v>
      </c>
      <c r="R56" s="11">
        <f t="shared" si="14"/>
        <v>2</v>
      </c>
      <c r="S56" s="12" t="str" cm="1">
        <f t="array" ref="S56">INDEX('Subject-ConceptMap-4'!$I$15:$N$121,Q56+1,R56)</f>
        <v>* group[=].element[=].display = ##34#Connective tissue disease##34#</v>
      </c>
    </row>
    <row r="57" spans="16:19" ht="29.5" x14ac:dyDescent="0.75">
      <c r="P57" s="11">
        <v>45</v>
      </c>
      <c r="Q57" s="11">
        <f t="shared" si="13"/>
        <v>7</v>
      </c>
      <c r="R57" s="11">
        <f t="shared" si="14"/>
        <v>3</v>
      </c>
      <c r="S57" s="12" t="str" cm="1">
        <f t="array" ref="S57">INDEX('Subject-ConceptMap-4'!$I$15:$N$121,Q57+1,R57)</f>
        <v>* group[=].element[=].target.code = #Observation.extension:comorbidConditionPresent</v>
      </c>
    </row>
    <row r="58" spans="16:19" x14ac:dyDescent="0.75">
      <c r="P58" s="11">
        <v>46</v>
      </c>
      <c r="Q58" s="11">
        <f t="shared" si="13"/>
        <v>7</v>
      </c>
      <c r="R58" s="11">
        <f t="shared" si="14"/>
        <v>4</v>
      </c>
      <c r="S58" s="12" t="str" cm="1">
        <f t="array" ref="S58">INDEX('Subject-ConceptMap-4'!$I$15:$N$121,Q58+1,R58)</f>
        <v>* group[=].element[=].target.display = ##34###34#</v>
      </c>
    </row>
    <row r="59" spans="16:19" x14ac:dyDescent="0.75">
      <c r="P59" s="11">
        <v>47</v>
      </c>
      <c r="Q59" s="11">
        <f t="shared" si="13"/>
        <v>7</v>
      </c>
      <c r="R59" s="11">
        <f t="shared" si="14"/>
        <v>5</v>
      </c>
      <c r="S59" s="12" t="str" cm="1">
        <f t="array" ref="S59">INDEX('Subject-ConceptMap-4'!$I$15:$N$121,Q59+1,R59)</f>
        <v>* group[=].element[=].target.equivalence = #equivalent</v>
      </c>
    </row>
    <row r="60" spans="16:19" x14ac:dyDescent="0.75">
      <c r="P60" s="11">
        <v>48</v>
      </c>
      <c r="Q60" s="11">
        <f t="shared" si="13"/>
        <v>7</v>
      </c>
      <c r="R60" s="11">
        <f t="shared" si="14"/>
        <v>6</v>
      </c>
      <c r="S60" s="12" t="str" cm="1">
        <f t="array" ref="S60">INDEX('Subject-ConceptMap-4'!$I$15:$N$121,Q60+1,R60)</f>
        <v/>
      </c>
    </row>
    <row r="61" spans="16:19" x14ac:dyDescent="0.75">
      <c r="P61" s="11">
        <v>49</v>
      </c>
      <c r="Q61" s="11">
        <f t="shared" si="13"/>
        <v>8</v>
      </c>
      <c r="R61" s="11">
        <f t="shared" si="14"/>
        <v>1</v>
      </c>
      <c r="S61" s="12" t="str" cm="1">
        <f t="array" ref="S61">INDEX('Subject-ConceptMap-4'!$I$15:$N$121,Q61+1,R61)</f>
        <v>* group[=].element[+].code = #Subject.comorbidity.ulcer</v>
      </c>
    </row>
    <row r="62" spans="16:19" x14ac:dyDescent="0.75">
      <c r="P62" s="11">
        <v>50</v>
      </c>
      <c r="Q62" s="11">
        <f t="shared" si="13"/>
        <v>8</v>
      </c>
      <c r="R62" s="11">
        <f t="shared" si="14"/>
        <v>2</v>
      </c>
      <c r="S62" s="12" t="str" cm="1">
        <f t="array" ref="S62">INDEX('Subject-ConceptMap-4'!$I$15:$N$121,Q62+1,R62)</f>
        <v>* group[=].element[=].display = ##34#Ulcer##34#</v>
      </c>
    </row>
    <row r="63" spans="16:19" ht="29.5" x14ac:dyDescent="0.75">
      <c r="P63" s="11">
        <v>51</v>
      </c>
      <c r="Q63" s="11">
        <f t="shared" si="13"/>
        <v>8</v>
      </c>
      <c r="R63" s="11">
        <f t="shared" si="14"/>
        <v>3</v>
      </c>
      <c r="S63" s="12" t="str" cm="1">
        <f t="array" ref="S63">INDEX('Subject-ConceptMap-4'!$I$15:$N$121,Q63+1,R63)</f>
        <v>* group[=].element[=].target.code = #Observation.extension:comorbidConditionPresent</v>
      </c>
    </row>
    <row r="64" spans="16:19" x14ac:dyDescent="0.75">
      <c r="P64" s="11">
        <v>52</v>
      </c>
      <c r="Q64" s="11">
        <f t="shared" si="13"/>
        <v>8</v>
      </c>
      <c r="R64" s="11">
        <f t="shared" si="14"/>
        <v>4</v>
      </c>
      <c r="S64" s="12" t="str" cm="1">
        <f t="array" ref="S64">INDEX('Subject-ConceptMap-4'!$I$15:$N$121,Q64+1,R64)</f>
        <v>* group[=].element[=].target.display = ##34###34#</v>
      </c>
    </row>
    <row r="65" spans="16:19" x14ac:dyDescent="0.75">
      <c r="P65" s="11">
        <v>53</v>
      </c>
      <c r="Q65" s="11">
        <f t="shared" si="13"/>
        <v>8</v>
      </c>
      <c r="R65" s="11">
        <f t="shared" si="14"/>
        <v>5</v>
      </c>
      <c r="S65" s="12" t="str" cm="1">
        <f t="array" ref="S65">INDEX('Subject-ConceptMap-4'!$I$15:$N$121,Q65+1,R65)</f>
        <v>* group[=].element[=].target.equivalence = #equivalent</v>
      </c>
    </row>
    <row r="66" spans="16:19" x14ac:dyDescent="0.75">
      <c r="P66" s="11">
        <v>54</v>
      </c>
      <c r="Q66" s="11">
        <f t="shared" si="13"/>
        <v>8</v>
      </c>
      <c r="R66" s="11">
        <f t="shared" si="14"/>
        <v>6</v>
      </c>
      <c r="S66" s="12" t="str" cm="1">
        <f t="array" ref="S66">INDEX('Subject-ConceptMap-4'!$I$15:$N$121,Q66+1,R66)</f>
        <v/>
      </c>
    </row>
    <row r="67" spans="16:19" x14ac:dyDescent="0.75">
      <c r="P67" s="11">
        <v>55</v>
      </c>
      <c r="Q67" s="11">
        <f t="shared" si="13"/>
        <v>9</v>
      </c>
      <c r="R67" s="11">
        <f t="shared" si="14"/>
        <v>1</v>
      </c>
      <c r="S67" s="12" t="str" cm="1">
        <f t="array" ref="S67">INDEX('Subject-ConceptMap-4'!$I$15:$N$121,Q67+1,R67)</f>
        <v>* group[=].element[+].code = #Subject.comorbidity.mildLiverDisease</v>
      </c>
    </row>
    <row r="68" spans="16:19" x14ac:dyDescent="0.75">
      <c r="P68" s="11">
        <v>56</v>
      </c>
      <c r="Q68" s="11">
        <f t="shared" si="13"/>
        <v>9</v>
      </c>
      <c r="R68" s="11">
        <f t="shared" si="14"/>
        <v>2</v>
      </c>
      <c r="S68" s="12" t="str" cm="1">
        <f t="array" ref="S68">INDEX('Subject-ConceptMap-4'!$I$15:$N$121,Q68+1,R68)</f>
        <v>* group[=].element[=].display = ##34#Mild liver disease##34#</v>
      </c>
    </row>
    <row r="69" spans="16:19" ht="29.5" x14ac:dyDescent="0.75">
      <c r="P69" s="11">
        <v>57</v>
      </c>
      <c r="Q69" s="11">
        <f t="shared" si="13"/>
        <v>9</v>
      </c>
      <c r="R69" s="11">
        <f t="shared" si="14"/>
        <v>3</v>
      </c>
      <c r="S69" s="12" t="str" cm="1">
        <f t="array" ref="S69">INDEX('Subject-ConceptMap-4'!$I$15:$N$121,Q69+1,R69)</f>
        <v>* group[=].element[=].target.code = #Observation.extension:comorbidConditionPresent</v>
      </c>
    </row>
    <row r="70" spans="16:19" x14ac:dyDescent="0.75">
      <c r="P70" s="11">
        <v>58</v>
      </c>
      <c r="Q70" s="11">
        <f t="shared" si="13"/>
        <v>9</v>
      </c>
      <c r="R70" s="11">
        <f t="shared" si="14"/>
        <v>4</v>
      </c>
      <c r="S70" s="12" t="str" cm="1">
        <f t="array" ref="S70">INDEX('Subject-ConceptMap-4'!$I$15:$N$121,Q70+1,R70)</f>
        <v>* group[=].element[=].target.display = ##34###34#</v>
      </c>
    </row>
    <row r="71" spans="16:19" x14ac:dyDescent="0.75">
      <c r="P71" s="11">
        <v>59</v>
      </c>
      <c r="Q71" s="11">
        <f t="shared" si="13"/>
        <v>9</v>
      </c>
      <c r="R71" s="11">
        <f t="shared" si="14"/>
        <v>5</v>
      </c>
      <c r="S71" s="12" t="str" cm="1">
        <f t="array" ref="S71">INDEX('Subject-ConceptMap-4'!$I$15:$N$121,Q71+1,R71)</f>
        <v>* group[=].element[=].target.equivalence = #equivalent</v>
      </c>
    </row>
    <row r="72" spans="16:19" x14ac:dyDescent="0.75">
      <c r="P72" s="11">
        <v>60</v>
      </c>
      <c r="Q72" s="11">
        <f t="shared" si="13"/>
        <v>9</v>
      </c>
      <c r="R72" s="11">
        <f t="shared" si="14"/>
        <v>6</v>
      </c>
      <c r="S72" s="12" t="str" cm="1">
        <f t="array" ref="S72">INDEX('Subject-ConceptMap-4'!$I$15:$N$121,Q72+1,R72)</f>
        <v/>
      </c>
    </row>
    <row r="73" spans="16:19" x14ac:dyDescent="0.75">
      <c r="P73" s="11">
        <v>61</v>
      </c>
      <c r="Q73" s="11">
        <f t="shared" si="13"/>
        <v>10</v>
      </c>
      <c r="R73" s="11">
        <f t="shared" si="14"/>
        <v>1</v>
      </c>
      <c r="S73" s="12" t="str" cm="1">
        <f t="array" ref="S73">INDEX('Subject-ConceptMap-4'!$I$15:$N$121,Q73+1,R73)</f>
        <v>* group[=].element[+].code = #Subject.comorbidity.moderateToSevereLiverDisease</v>
      </c>
    </row>
    <row r="74" spans="16:19" x14ac:dyDescent="0.75">
      <c r="P74" s="11">
        <v>62</v>
      </c>
      <c r="Q74" s="11">
        <f t="shared" si="13"/>
        <v>10</v>
      </c>
      <c r="R74" s="11">
        <f t="shared" si="14"/>
        <v>2</v>
      </c>
      <c r="S74" s="12" t="str" cm="1">
        <f t="array" ref="S74">INDEX('Subject-ConceptMap-4'!$I$15:$N$121,Q74+1,R74)</f>
        <v>* group[=].element[=].display = ##34#Moderate to severe liver disease##34#</v>
      </c>
    </row>
    <row r="75" spans="16:19" ht="29.5" x14ac:dyDescent="0.75">
      <c r="P75" s="11">
        <v>63</v>
      </c>
      <c r="Q75" s="11">
        <f t="shared" si="13"/>
        <v>10</v>
      </c>
      <c r="R75" s="11">
        <f t="shared" si="14"/>
        <v>3</v>
      </c>
      <c r="S75" s="12" t="str" cm="1">
        <f t="array" ref="S75">INDEX('Subject-ConceptMap-4'!$I$15:$N$121,Q75+1,R75)</f>
        <v>* group[=].element[=].target.code = #Observation.extension:comorbidConditionPresent</v>
      </c>
    </row>
    <row r="76" spans="16:19" x14ac:dyDescent="0.75">
      <c r="P76" s="11">
        <v>64</v>
      </c>
      <c r="Q76" s="11">
        <f t="shared" si="13"/>
        <v>10</v>
      </c>
      <c r="R76" s="11">
        <f t="shared" si="14"/>
        <v>4</v>
      </c>
      <c r="S76" s="12" t="str" cm="1">
        <f t="array" ref="S76">INDEX('Subject-ConceptMap-4'!$I$15:$N$121,Q76+1,R76)</f>
        <v>* group[=].element[=].target.display = ##34###34#</v>
      </c>
    </row>
    <row r="77" spans="16:19" x14ac:dyDescent="0.75">
      <c r="P77" s="11">
        <v>65</v>
      </c>
      <c r="Q77" s="11">
        <f t="shared" si="13"/>
        <v>10</v>
      </c>
      <c r="R77" s="11">
        <f t="shared" si="14"/>
        <v>5</v>
      </c>
      <c r="S77" s="12" t="str" cm="1">
        <f t="array" ref="S77">INDEX('Subject-ConceptMap-4'!$I$15:$N$121,Q77+1,R77)</f>
        <v>* group[=].element[=].target.equivalence = #equivalent</v>
      </c>
    </row>
    <row r="78" spans="16:19" x14ac:dyDescent="0.75">
      <c r="P78" s="11">
        <v>66</v>
      </c>
      <c r="Q78" s="11">
        <f t="shared" ref="Q78:Q141" si="21">IF(MOD(P78,$Q$8)=0,P78/$Q$8-1,INT(P78/$Q$8))</f>
        <v>10</v>
      </c>
      <c r="R78" s="11">
        <f t="shared" ref="R78:R141" si="22">IF(MOD(P78,$Q$8)=0,$Q$8,MOD(P78,$Q$8))</f>
        <v>6</v>
      </c>
      <c r="S78" s="12" t="str" cm="1">
        <f t="array" ref="S78">INDEX('Subject-ConceptMap-4'!$I$15:$N$121,Q78+1,R78)</f>
        <v/>
      </c>
    </row>
    <row r="79" spans="16:19" x14ac:dyDescent="0.75">
      <c r="P79" s="11">
        <v>67</v>
      </c>
      <c r="Q79" s="11">
        <f t="shared" si="21"/>
        <v>11</v>
      </c>
      <c r="R79" s="11">
        <f t="shared" si="22"/>
        <v>1</v>
      </c>
      <c r="S79" s="12" t="str" cm="1">
        <f t="array" ref="S79">INDEX('Subject-ConceptMap-4'!$I$15:$N$121,Q79+1,R79)</f>
        <v>* group[=].element[+].code = #Subject.comorbidity.diabetesWithoutComplications</v>
      </c>
    </row>
    <row r="80" spans="16:19" x14ac:dyDescent="0.75">
      <c r="P80" s="11">
        <v>68</v>
      </c>
      <c r="Q80" s="11">
        <f t="shared" si="21"/>
        <v>11</v>
      </c>
      <c r="R80" s="11">
        <f t="shared" si="22"/>
        <v>2</v>
      </c>
      <c r="S80" s="12" t="str" cm="1">
        <f t="array" ref="S80">INDEX('Subject-ConceptMap-4'!$I$15:$N$121,Q80+1,R80)</f>
        <v>* group[=].element[=].display = ##34#Diabetes (without complications)##34#</v>
      </c>
    </row>
    <row r="81" spans="16:19" ht="29.5" x14ac:dyDescent="0.75">
      <c r="P81" s="11">
        <v>69</v>
      </c>
      <c r="Q81" s="11">
        <f t="shared" si="21"/>
        <v>11</v>
      </c>
      <c r="R81" s="11">
        <f t="shared" si="22"/>
        <v>3</v>
      </c>
      <c r="S81" s="12" t="str" cm="1">
        <f t="array" ref="S81">INDEX('Subject-ConceptMap-4'!$I$15:$N$121,Q81+1,R81)</f>
        <v>* group[=].element[=].target.code = #Observation.extension:comorbidConditionPresent</v>
      </c>
    </row>
    <row r="82" spans="16:19" x14ac:dyDescent="0.75">
      <c r="P82" s="11">
        <v>70</v>
      </c>
      <c r="Q82" s="11">
        <f t="shared" si="21"/>
        <v>11</v>
      </c>
      <c r="R82" s="11">
        <f t="shared" si="22"/>
        <v>4</v>
      </c>
      <c r="S82" s="12" t="str" cm="1">
        <f t="array" ref="S82">INDEX('Subject-ConceptMap-4'!$I$15:$N$121,Q82+1,R82)</f>
        <v>* group[=].element[=].target.display = ##34###34#</v>
      </c>
    </row>
    <row r="83" spans="16:19" x14ac:dyDescent="0.75">
      <c r="P83" s="11">
        <v>71</v>
      </c>
      <c r="Q83" s="11">
        <f t="shared" si="21"/>
        <v>11</v>
      </c>
      <c r="R83" s="11">
        <f t="shared" si="22"/>
        <v>5</v>
      </c>
      <c r="S83" s="12" t="str" cm="1">
        <f t="array" ref="S83">INDEX('Subject-ConceptMap-4'!$I$15:$N$121,Q83+1,R83)</f>
        <v>* group[=].element[=].target.equivalence = #equivalent</v>
      </c>
    </row>
    <row r="84" spans="16:19" x14ac:dyDescent="0.75">
      <c r="P84" s="11">
        <v>72</v>
      </c>
      <c r="Q84" s="11">
        <f t="shared" si="21"/>
        <v>11</v>
      </c>
      <c r="R84" s="11">
        <f t="shared" si="22"/>
        <v>6</v>
      </c>
      <c r="S84" s="12" t="str" cm="1">
        <f t="array" ref="S84">INDEX('Subject-ConceptMap-4'!$I$15:$N$121,Q84+1,R84)</f>
        <v/>
      </c>
    </row>
    <row r="85" spans="16:19" x14ac:dyDescent="0.75">
      <c r="P85" s="11">
        <v>73</v>
      </c>
      <c r="Q85" s="11">
        <f t="shared" si="21"/>
        <v>12</v>
      </c>
      <c r="R85" s="11">
        <f t="shared" si="22"/>
        <v>1</v>
      </c>
      <c r="S85" s="12" t="str" cm="1">
        <f t="array" ref="S85">INDEX('Subject-ConceptMap-4'!$I$15:$N$121,Q85+1,R85)</f>
        <v>* group[=].element[+].code = #Subject.comorbidity.diabetesWithEndOrganDamage</v>
      </c>
    </row>
    <row r="86" spans="16:19" x14ac:dyDescent="0.75">
      <c r="P86" s="11">
        <v>74</v>
      </c>
      <c r="Q86" s="11">
        <f t="shared" si="21"/>
        <v>12</v>
      </c>
      <c r="R86" s="11">
        <f t="shared" si="22"/>
        <v>2</v>
      </c>
      <c r="S86" s="12" t="str" cm="1">
        <f t="array" ref="S86">INDEX('Subject-ConceptMap-4'!$I$15:$N$121,Q86+1,R86)</f>
        <v>* group[=].element[=].display = ##34#Diabetes with end organ damage##34#</v>
      </c>
    </row>
    <row r="87" spans="16:19" ht="29.5" x14ac:dyDescent="0.75">
      <c r="P87" s="11">
        <v>75</v>
      </c>
      <c r="Q87" s="11">
        <f t="shared" si="21"/>
        <v>12</v>
      </c>
      <c r="R87" s="11">
        <f t="shared" si="22"/>
        <v>3</v>
      </c>
      <c r="S87" s="12" t="str" cm="1">
        <f t="array" ref="S87">INDEX('Subject-ConceptMap-4'!$I$15:$N$121,Q87+1,R87)</f>
        <v>* group[=].element[=].target.code = #Observation.extension:comorbidConditionPresent</v>
      </c>
    </row>
    <row r="88" spans="16:19" x14ac:dyDescent="0.75">
      <c r="P88" s="11">
        <v>76</v>
      </c>
      <c r="Q88" s="11">
        <f t="shared" si="21"/>
        <v>12</v>
      </c>
      <c r="R88" s="11">
        <f t="shared" si="22"/>
        <v>4</v>
      </c>
      <c r="S88" s="12" t="str" cm="1">
        <f t="array" ref="S88">INDEX('Subject-ConceptMap-4'!$I$15:$N$121,Q88+1,R88)</f>
        <v>* group[=].element[=].target.display = ##34###34#</v>
      </c>
    </row>
    <row r="89" spans="16:19" x14ac:dyDescent="0.75">
      <c r="P89" s="11">
        <v>77</v>
      </c>
      <c r="Q89" s="11">
        <f t="shared" si="21"/>
        <v>12</v>
      </c>
      <c r="R89" s="11">
        <f t="shared" si="22"/>
        <v>5</v>
      </c>
      <c r="S89" s="12" t="str" cm="1">
        <f t="array" ref="S89">INDEX('Subject-ConceptMap-4'!$I$15:$N$121,Q89+1,R89)</f>
        <v>* group[=].element[=].target.equivalence = #equivalent</v>
      </c>
    </row>
    <row r="90" spans="16:19" x14ac:dyDescent="0.75">
      <c r="P90" s="11">
        <v>78</v>
      </c>
      <c r="Q90" s="11">
        <f t="shared" si="21"/>
        <v>12</v>
      </c>
      <c r="R90" s="11">
        <f t="shared" si="22"/>
        <v>6</v>
      </c>
      <c r="S90" s="12" t="str" cm="1">
        <f t="array" ref="S90">INDEX('Subject-ConceptMap-4'!$I$15:$N$121,Q90+1,R90)</f>
        <v/>
      </c>
    </row>
    <row r="91" spans="16:19" x14ac:dyDescent="0.75">
      <c r="P91" s="11">
        <v>79</v>
      </c>
      <c r="Q91" s="11">
        <f t="shared" si="21"/>
        <v>13</v>
      </c>
      <c r="R91" s="11">
        <f t="shared" si="22"/>
        <v>1</v>
      </c>
      <c r="S91" s="12" t="str" cm="1">
        <f t="array" ref="S91">INDEX('Subject-ConceptMap-4'!$I$15:$N$121,Q91+1,R91)</f>
        <v>* group[=].element[+].code = #Subject.comorbidity.hemiplegia</v>
      </c>
    </row>
    <row r="92" spans="16:19" x14ac:dyDescent="0.75">
      <c r="P92" s="11">
        <v>80</v>
      </c>
      <c r="Q92" s="11">
        <f t="shared" si="21"/>
        <v>13</v>
      </c>
      <c r="R92" s="11">
        <f t="shared" si="22"/>
        <v>2</v>
      </c>
      <c r="S92" s="12" t="str" cm="1">
        <f t="array" ref="S92">INDEX('Subject-ConceptMap-4'!$I$15:$N$121,Q92+1,R92)</f>
        <v>* group[=].element[=].display = ##34#Hemiplegia##34#</v>
      </c>
    </row>
    <row r="93" spans="16:19" ht="29.5" x14ac:dyDescent="0.75">
      <c r="P93" s="11">
        <v>81</v>
      </c>
      <c r="Q93" s="11">
        <f t="shared" si="21"/>
        <v>13</v>
      </c>
      <c r="R93" s="11">
        <f t="shared" si="22"/>
        <v>3</v>
      </c>
      <c r="S93" s="12" t="str" cm="1">
        <f t="array" ref="S93">INDEX('Subject-ConceptMap-4'!$I$15:$N$121,Q93+1,R93)</f>
        <v>* group[=].element[=].target.code = #Observation.extension:comorbidConditionPresent</v>
      </c>
    </row>
    <row r="94" spans="16:19" x14ac:dyDescent="0.75">
      <c r="P94" s="11">
        <v>82</v>
      </c>
      <c r="Q94" s="11">
        <f t="shared" si="21"/>
        <v>13</v>
      </c>
      <c r="R94" s="11">
        <f t="shared" si="22"/>
        <v>4</v>
      </c>
      <c r="S94" s="12" t="str" cm="1">
        <f t="array" ref="S94">INDEX('Subject-ConceptMap-4'!$I$15:$N$121,Q94+1,R94)</f>
        <v>* group[=].element[=].target.display = ##34###34#</v>
      </c>
    </row>
    <row r="95" spans="16:19" x14ac:dyDescent="0.75">
      <c r="P95" s="11">
        <v>83</v>
      </c>
      <c r="Q95" s="11">
        <f t="shared" si="21"/>
        <v>13</v>
      </c>
      <c r="R95" s="11">
        <f t="shared" si="22"/>
        <v>5</v>
      </c>
      <c r="S95" s="12" t="str" cm="1">
        <f t="array" ref="S95">INDEX('Subject-ConceptMap-4'!$I$15:$N$121,Q95+1,R95)</f>
        <v>* group[=].element[=].target.equivalence = #equivalent</v>
      </c>
    </row>
    <row r="96" spans="16:19" x14ac:dyDescent="0.75">
      <c r="P96" s="11">
        <v>84</v>
      </c>
      <c r="Q96" s="11">
        <f t="shared" si="21"/>
        <v>13</v>
      </c>
      <c r="R96" s="11">
        <f t="shared" si="22"/>
        <v>6</v>
      </c>
      <c r="S96" s="12" t="str" cm="1">
        <f t="array" ref="S96">INDEX('Subject-ConceptMap-4'!$I$15:$N$121,Q96+1,R96)</f>
        <v/>
      </c>
    </row>
    <row r="97" spans="16:19" x14ac:dyDescent="0.75">
      <c r="P97" s="11">
        <v>85</v>
      </c>
      <c r="Q97" s="11">
        <f t="shared" si="21"/>
        <v>14</v>
      </c>
      <c r="R97" s="11">
        <f t="shared" si="22"/>
        <v>1</v>
      </c>
      <c r="S97" s="12" t="str" cm="1">
        <f t="array" ref="S97">INDEX('Subject-ConceptMap-4'!$I$15:$N$121,Q97+1,R97)</f>
        <v>* group[=].element[+].code = #Subject.comorbidity.moderateToSevereRenalDisease</v>
      </c>
    </row>
    <row r="98" spans="16:19" x14ac:dyDescent="0.75">
      <c r="P98" s="11">
        <v>86</v>
      </c>
      <c r="Q98" s="11">
        <f t="shared" si="21"/>
        <v>14</v>
      </c>
      <c r="R98" s="11">
        <f t="shared" si="22"/>
        <v>2</v>
      </c>
      <c r="S98" s="12" t="str" cm="1">
        <f t="array" ref="S98">INDEX('Subject-ConceptMap-4'!$I$15:$N$121,Q98+1,R98)</f>
        <v>* group[=].element[=].display = ##34#Moderate to severe renal disease##34#</v>
      </c>
    </row>
    <row r="99" spans="16:19" ht="29.5" x14ac:dyDescent="0.75">
      <c r="P99" s="11">
        <v>87</v>
      </c>
      <c r="Q99" s="11">
        <f t="shared" si="21"/>
        <v>14</v>
      </c>
      <c r="R99" s="11">
        <f t="shared" si="22"/>
        <v>3</v>
      </c>
      <c r="S99" s="12" t="str" cm="1">
        <f t="array" ref="S99">INDEX('Subject-ConceptMap-4'!$I$15:$N$121,Q99+1,R99)</f>
        <v>* group[=].element[=].target.code = #Observation.extension:comorbidConditionPresent</v>
      </c>
    </row>
    <row r="100" spans="16:19" x14ac:dyDescent="0.75">
      <c r="P100" s="11">
        <v>88</v>
      </c>
      <c r="Q100" s="11">
        <f t="shared" si="21"/>
        <v>14</v>
      </c>
      <c r="R100" s="11">
        <f t="shared" si="22"/>
        <v>4</v>
      </c>
      <c r="S100" s="12" t="str" cm="1">
        <f t="array" ref="S100">INDEX('Subject-ConceptMap-4'!$I$15:$N$121,Q100+1,R100)</f>
        <v>* group[=].element[=].target.display = ##34###34#</v>
      </c>
    </row>
    <row r="101" spans="16:19" x14ac:dyDescent="0.75">
      <c r="P101" s="11">
        <v>89</v>
      </c>
      <c r="Q101" s="11">
        <f t="shared" si="21"/>
        <v>14</v>
      </c>
      <c r="R101" s="11">
        <f t="shared" si="22"/>
        <v>5</v>
      </c>
      <c r="S101" s="12" t="str" cm="1">
        <f t="array" ref="S101">INDEX('Subject-ConceptMap-4'!$I$15:$N$121,Q101+1,R101)</f>
        <v>* group[=].element[=].target.equivalence = #equivalent</v>
      </c>
    </row>
    <row r="102" spans="16:19" x14ac:dyDescent="0.75">
      <c r="P102" s="11">
        <v>90</v>
      </c>
      <c r="Q102" s="11">
        <f t="shared" si="21"/>
        <v>14</v>
      </c>
      <c r="R102" s="11">
        <f t="shared" si="22"/>
        <v>6</v>
      </c>
      <c r="S102" s="12" t="str" cm="1">
        <f t="array" ref="S102">INDEX('Subject-ConceptMap-4'!$I$15:$N$121,Q102+1,R102)</f>
        <v/>
      </c>
    </row>
    <row r="103" spans="16:19" x14ac:dyDescent="0.75">
      <c r="P103" s="11">
        <v>91</v>
      </c>
      <c r="Q103" s="11">
        <f t="shared" si="21"/>
        <v>15</v>
      </c>
      <c r="R103" s="11">
        <f t="shared" si="22"/>
        <v>1</v>
      </c>
      <c r="S103" s="12" t="str" cm="1">
        <f t="array" ref="S103">INDEX('Subject-ConceptMap-4'!$I$15:$N$121,Q103+1,R103)</f>
        <v>* group[=].element[+].code = #Subject.comorbidity.solidTumorNonMetastatic</v>
      </c>
    </row>
    <row r="104" spans="16:19" x14ac:dyDescent="0.75">
      <c r="P104" s="11">
        <v>92</v>
      </c>
      <c r="Q104" s="11">
        <f t="shared" si="21"/>
        <v>15</v>
      </c>
      <c r="R104" s="11">
        <f t="shared" si="22"/>
        <v>2</v>
      </c>
      <c r="S104" s="12" t="str" cm="1">
        <f t="array" ref="S104">INDEX('Subject-ConceptMap-4'!$I$15:$N$121,Q104+1,R104)</f>
        <v>* group[=].element[=].display = ##34#Solid tumor (non metastatic)##34#</v>
      </c>
    </row>
    <row r="105" spans="16:19" ht="29.5" x14ac:dyDescent="0.75">
      <c r="P105" s="11">
        <v>93</v>
      </c>
      <c r="Q105" s="11">
        <f t="shared" si="21"/>
        <v>15</v>
      </c>
      <c r="R105" s="11">
        <f t="shared" si="22"/>
        <v>3</v>
      </c>
      <c r="S105" s="12" t="str" cm="1">
        <f t="array" ref="S105">INDEX('Subject-ConceptMap-4'!$I$15:$N$121,Q105+1,R105)</f>
        <v>* group[=].element[=].target.code = #Observation.extension:comorbidConditionPresent</v>
      </c>
    </row>
    <row r="106" spans="16:19" x14ac:dyDescent="0.75">
      <c r="P106" s="11">
        <v>94</v>
      </c>
      <c r="Q106" s="11">
        <f t="shared" si="21"/>
        <v>15</v>
      </c>
      <c r="R106" s="11">
        <f t="shared" si="22"/>
        <v>4</v>
      </c>
      <c r="S106" s="12" t="str" cm="1">
        <f t="array" ref="S106">INDEX('Subject-ConceptMap-4'!$I$15:$N$121,Q106+1,R106)</f>
        <v>* group[=].element[=].target.display = ##34###34#</v>
      </c>
    </row>
    <row r="107" spans="16:19" x14ac:dyDescent="0.75">
      <c r="P107" s="11">
        <v>95</v>
      </c>
      <c r="Q107" s="11">
        <f t="shared" si="21"/>
        <v>15</v>
      </c>
      <c r="R107" s="11">
        <f t="shared" si="22"/>
        <v>5</v>
      </c>
      <c r="S107" s="12" t="str" cm="1">
        <f t="array" ref="S107">INDEX('Subject-ConceptMap-4'!$I$15:$N$121,Q107+1,R107)</f>
        <v>* group[=].element[=].target.equivalence = #equivalent</v>
      </c>
    </row>
    <row r="108" spans="16:19" x14ac:dyDescent="0.75">
      <c r="P108" s="11">
        <v>96</v>
      </c>
      <c r="Q108" s="11">
        <f t="shared" si="21"/>
        <v>15</v>
      </c>
      <c r="R108" s="11">
        <f t="shared" si="22"/>
        <v>6</v>
      </c>
      <c r="S108" s="12" t="str" cm="1">
        <f t="array" ref="S108">INDEX('Subject-ConceptMap-4'!$I$15:$N$121,Q108+1,R108)</f>
        <v/>
      </c>
    </row>
    <row r="109" spans="16:19" x14ac:dyDescent="0.75">
      <c r="P109" s="11">
        <v>97</v>
      </c>
      <c r="Q109" s="11">
        <f t="shared" si="21"/>
        <v>16</v>
      </c>
      <c r="R109" s="11">
        <f t="shared" si="22"/>
        <v>1</v>
      </c>
      <c r="S109" s="12" t="str" cm="1">
        <f t="array" ref="S109">INDEX('Subject-ConceptMap-4'!$I$15:$N$121,Q109+1,R109)</f>
        <v>* group[=].element[+].code = #Subject.comorbidity.metastaticSolidTumor</v>
      </c>
    </row>
    <row r="110" spans="16:19" x14ac:dyDescent="0.75">
      <c r="P110" s="11">
        <v>98</v>
      </c>
      <c r="Q110" s="11">
        <f t="shared" si="21"/>
        <v>16</v>
      </c>
      <c r="R110" s="11">
        <f t="shared" si="22"/>
        <v>2</v>
      </c>
      <c r="S110" s="12" t="str" cm="1">
        <f t="array" ref="S110">INDEX('Subject-ConceptMap-4'!$I$15:$N$121,Q110+1,R110)</f>
        <v>* group[=].element[=].display = ##34#Metastatic solid tumor##34#</v>
      </c>
    </row>
    <row r="111" spans="16:19" ht="29.5" x14ac:dyDescent="0.75">
      <c r="P111" s="11">
        <v>99</v>
      </c>
      <c r="Q111" s="11">
        <f t="shared" si="21"/>
        <v>16</v>
      </c>
      <c r="R111" s="11">
        <f t="shared" si="22"/>
        <v>3</v>
      </c>
      <c r="S111" s="12" t="str" cm="1">
        <f t="array" ref="S111">INDEX('Subject-ConceptMap-4'!$I$15:$N$121,Q111+1,R111)</f>
        <v>* group[=].element[=].target.code = #Observation.extension:comorbidConditionPresent</v>
      </c>
    </row>
    <row r="112" spans="16:19" x14ac:dyDescent="0.75">
      <c r="P112" s="11">
        <v>100</v>
      </c>
      <c r="Q112" s="11">
        <f t="shared" si="21"/>
        <v>16</v>
      </c>
      <c r="R112" s="11">
        <f t="shared" si="22"/>
        <v>4</v>
      </c>
      <c r="S112" s="12" t="str" cm="1">
        <f t="array" ref="S112">INDEX('Subject-ConceptMap-4'!$I$15:$N$121,Q112+1,R112)</f>
        <v>* group[=].element[=].target.display = ##34###34#</v>
      </c>
    </row>
    <row r="113" spans="16:19" x14ac:dyDescent="0.75">
      <c r="P113" s="11">
        <v>101</v>
      </c>
      <c r="Q113" s="11">
        <f t="shared" si="21"/>
        <v>16</v>
      </c>
      <c r="R113" s="11">
        <f t="shared" si="22"/>
        <v>5</v>
      </c>
      <c r="S113" s="12" t="str" cm="1">
        <f t="array" ref="S113">INDEX('Subject-ConceptMap-4'!$I$15:$N$121,Q113+1,R113)</f>
        <v>* group[=].element[=].target.equivalence = #equivalent</v>
      </c>
    </row>
    <row r="114" spans="16:19" x14ac:dyDescent="0.75">
      <c r="P114" s="11">
        <v>102</v>
      </c>
      <c r="Q114" s="11">
        <f t="shared" si="21"/>
        <v>16</v>
      </c>
      <c r="R114" s="11">
        <f t="shared" si="22"/>
        <v>6</v>
      </c>
      <c r="S114" s="12" t="str" cm="1">
        <f t="array" ref="S114">INDEX('Subject-ConceptMap-4'!$I$15:$N$121,Q114+1,R114)</f>
        <v/>
      </c>
    </row>
    <row r="115" spans="16:19" x14ac:dyDescent="0.75">
      <c r="P115" s="11">
        <v>103</v>
      </c>
      <c r="Q115" s="11">
        <f t="shared" si="21"/>
        <v>17</v>
      </c>
      <c r="R115" s="11">
        <f t="shared" si="22"/>
        <v>1</v>
      </c>
      <c r="S115" s="12" t="str" cm="1">
        <f t="array" ref="S115">INDEX('Subject-ConceptMap-4'!$I$15:$N$121,Q115+1,R115)</f>
        <v>* group[=].element[+].code = #Subject.comorbidity.leukemia</v>
      </c>
    </row>
    <row r="116" spans="16:19" x14ac:dyDescent="0.75">
      <c r="P116" s="11">
        <v>104</v>
      </c>
      <c r="Q116" s="11">
        <f t="shared" si="21"/>
        <v>17</v>
      </c>
      <c r="R116" s="11">
        <f t="shared" si="22"/>
        <v>2</v>
      </c>
      <c r="S116" s="12" t="str" cm="1">
        <f t="array" ref="S116">INDEX('Subject-ConceptMap-4'!$I$15:$N$121,Q116+1,R116)</f>
        <v>* group[=].element[=].display = ##34#Leukemia##34#</v>
      </c>
    </row>
    <row r="117" spans="16:19" ht="29.5" x14ac:dyDescent="0.75">
      <c r="P117" s="11">
        <v>105</v>
      </c>
      <c r="Q117" s="11">
        <f t="shared" si="21"/>
        <v>17</v>
      </c>
      <c r="R117" s="11">
        <f t="shared" si="22"/>
        <v>3</v>
      </c>
      <c r="S117" s="12" t="str" cm="1">
        <f t="array" ref="S117">INDEX('Subject-ConceptMap-4'!$I$15:$N$121,Q117+1,R117)</f>
        <v>* group[=].element[=].target.code = #Observation.extension:comorbidConditionPresent</v>
      </c>
    </row>
    <row r="118" spans="16:19" x14ac:dyDescent="0.75">
      <c r="P118" s="11">
        <v>106</v>
      </c>
      <c r="Q118" s="11">
        <f t="shared" si="21"/>
        <v>17</v>
      </c>
      <c r="R118" s="11">
        <f t="shared" si="22"/>
        <v>4</v>
      </c>
      <c r="S118" s="12" t="str" cm="1">
        <f t="array" ref="S118">INDEX('Subject-ConceptMap-4'!$I$15:$N$121,Q118+1,R118)</f>
        <v>* group[=].element[=].target.display = ##34###34#</v>
      </c>
    </row>
    <row r="119" spans="16:19" x14ac:dyDescent="0.75">
      <c r="P119" s="11">
        <v>107</v>
      </c>
      <c r="Q119" s="11">
        <f t="shared" si="21"/>
        <v>17</v>
      </c>
      <c r="R119" s="11">
        <f t="shared" si="22"/>
        <v>5</v>
      </c>
      <c r="S119" s="12" t="str" cm="1">
        <f t="array" ref="S119">INDEX('Subject-ConceptMap-4'!$I$15:$N$121,Q119+1,R119)</f>
        <v>* group[=].element[=].target.equivalence = #equivalent</v>
      </c>
    </row>
    <row r="120" spans="16:19" x14ac:dyDescent="0.75">
      <c r="P120" s="11">
        <v>108</v>
      </c>
      <c r="Q120" s="11">
        <f t="shared" si="21"/>
        <v>17</v>
      </c>
      <c r="R120" s="11">
        <f t="shared" si="22"/>
        <v>6</v>
      </c>
      <c r="S120" s="12" t="str" cm="1">
        <f t="array" ref="S120">INDEX('Subject-ConceptMap-4'!$I$15:$N$121,Q120+1,R120)</f>
        <v/>
      </c>
    </row>
    <row r="121" spans="16:19" x14ac:dyDescent="0.75">
      <c r="P121" s="11">
        <v>109</v>
      </c>
      <c r="Q121" s="11">
        <f t="shared" si="21"/>
        <v>18</v>
      </c>
      <c r="R121" s="11">
        <f t="shared" si="22"/>
        <v>1</v>
      </c>
      <c r="S121" s="12" t="str" cm="1">
        <f t="array" ref="S121">INDEX('Subject-ConceptMap-4'!$I$15:$N$121,Q121+1,R121)</f>
        <v>* group[=].element[+].code = #Subject.comorbidity.lymphoma</v>
      </c>
    </row>
    <row r="122" spans="16:19" x14ac:dyDescent="0.75">
      <c r="P122" s="11">
        <v>110</v>
      </c>
      <c r="Q122" s="11">
        <f t="shared" si="21"/>
        <v>18</v>
      </c>
      <c r="R122" s="11">
        <f t="shared" si="22"/>
        <v>2</v>
      </c>
      <c r="S122" s="12" t="str" cm="1">
        <f t="array" ref="S122">INDEX('Subject-ConceptMap-4'!$I$15:$N$121,Q122+1,R122)</f>
        <v>* group[=].element[=].display = ##34#Lymphoma##34#</v>
      </c>
    </row>
    <row r="123" spans="16:19" ht="29.5" x14ac:dyDescent="0.75">
      <c r="P123" s="11">
        <v>111</v>
      </c>
      <c r="Q123" s="11">
        <f t="shared" si="21"/>
        <v>18</v>
      </c>
      <c r="R123" s="11">
        <f t="shared" si="22"/>
        <v>3</v>
      </c>
      <c r="S123" s="12" t="str" cm="1">
        <f t="array" ref="S123">INDEX('Subject-ConceptMap-4'!$I$15:$N$121,Q123+1,R123)</f>
        <v>* group[=].element[=].target.code = #Observation.extension:comorbidConditionPresent</v>
      </c>
    </row>
    <row r="124" spans="16:19" x14ac:dyDescent="0.75">
      <c r="P124" s="11">
        <v>112</v>
      </c>
      <c r="Q124" s="11">
        <f t="shared" si="21"/>
        <v>18</v>
      </c>
      <c r="R124" s="11">
        <f t="shared" si="22"/>
        <v>4</v>
      </c>
      <c r="S124" s="12" t="str" cm="1">
        <f t="array" ref="S124">INDEX('Subject-ConceptMap-4'!$I$15:$N$121,Q124+1,R124)</f>
        <v>* group[=].element[=].target.display = ##34###34#</v>
      </c>
    </row>
    <row r="125" spans="16:19" x14ac:dyDescent="0.75">
      <c r="P125" s="11">
        <v>113</v>
      </c>
      <c r="Q125" s="11">
        <f t="shared" si="21"/>
        <v>18</v>
      </c>
      <c r="R125" s="11">
        <f t="shared" si="22"/>
        <v>5</v>
      </c>
      <c r="S125" s="12" t="str" cm="1">
        <f t="array" ref="S125">INDEX('Subject-ConceptMap-4'!$I$15:$N$121,Q125+1,R125)</f>
        <v>* group[=].element[=].target.equivalence = #equivalent</v>
      </c>
    </row>
    <row r="126" spans="16:19" x14ac:dyDescent="0.75">
      <c r="P126" s="11">
        <v>114</v>
      </c>
      <c r="Q126" s="11">
        <f t="shared" si="21"/>
        <v>18</v>
      </c>
      <c r="R126" s="11">
        <f t="shared" si="22"/>
        <v>6</v>
      </c>
      <c r="S126" s="12" t="str" cm="1">
        <f t="array" ref="S126">INDEX('Subject-ConceptMap-4'!$I$15:$N$121,Q126+1,R126)</f>
        <v/>
      </c>
    </row>
    <row r="127" spans="16:19" x14ac:dyDescent="0.75">
      <c r="P127" s="11">
        <v>115</v>
      </c>
      <c r="Q127" s="11">
        <f t="shared" si="21"/>
        <v>19</v>
      </c>
      <c r="R127" s="11">
        <f t="shared" si="22"/>
        <v>1</v>
      </c>
      <c r="S127" s="12" t="str" cm="1">
        <f t="array" ref="S127">INDEX('Subject-ConceptMap-4'!$I$15:$N$121,Q127+1,R127)</f>
        <v>* group[=].element[+].code = #Subject.comorbidity.multipleMyeloma</v>
      </c>
    </row>
    <row r="128" spans="16:19" x14ac:dyDescent="0.75">
      <c r="P128" s="11">
        <v>116</v>
      </c>
      <c r="Q128" s="11">
        <f t="shared" si="21"/>
        <v>19</v>
      </c>
      <c r="R128" s="11">
        <f t="shared" si="22"/>
        <v>2</v>
      </c>
      <c r="S128" s="12" t="str" cm="1">
        <f t="array" ref="S128">INDEX('Subject-ConceptMap-4'!$I$15:$N$121,Q128+1,R128)</f>
        <v>* group[=].element[=].display = ##34#Multiple myeloma##34#</v>
      </c>
    </row>
    <row r="129" spans="16:19" ht="29.5" x14ac:dyDescent="0.75">
      <c r="P129" s="11">
        <v>117</v>
      </c>
      <c r="Q129" s="11">
        <f t="shared" si="21"/>
        <v>19</v>
      </c>
      <c r="R129" s="11">
        <f t="shared" si="22"/>
        <v>3</v>
      </c>
      <c r="S129" s="12" t="str" cm="1">
        <f t="array" ref="S129">INDEX('Subject-ConceptMap-4'!$I$15:$N$121,Q129+1,R129)</f>
        <v>* group[=].element[=].target.code = #Observation.extension:comorbidConditionPresent</v>
      </c>
    </row>
    <row r="130" spans="16:19" x14ac:dyDescent="0.75">
      <c r="P130" s="11">
        <v>118</v>
      </c>
      <c r="Q130" s="11">
        <f t="shared" si="21"/>
        <v>19</v>
      </c>
      <c r="R130" s="11">
        <f t="shared" si="22"/>
        <v>4</v>
      </c>
      <c r="S130" s="12" t="str" cm="1">
        <f t="array" ref="S130">INDEX('Subject-ConceptMap-4'!$I$15:$N$121,Q130+1,R130)</f>
        <v>* group[=].element[=].target.display = ##34###34#</v>
      </c>
    </row>
    <row r="131" spans="16:19" x14ac:dyDescent="0.75">
      <c r="P131" s="11">
        <v>119</v>
      </c>
      <c r="Q131" s="11">
        <f t="shared" si="21"/>
        <v>19</v>
      </c>
      <c r="R131" s="11">
        <f t="shared" si="22"/>
        <v>5</v>
      </c>
      <c r="S131" s="12" t="str" cm="1">
        <f t="array" ref="S131">INDEX('Subject-ConceptMap-4'!$I$15:$N$121,Q131+1,R131)</f>
        <v>* group[=].element[=].target.equivalence = #equivalent</v>
      </c>
    </row>
    <row r="132" spans="16:19" x14ac:dyDescent="0.75">
      <c r="P132" s="11">
        <v>120</v>
      </c>
      <c r="Q132" s="11">
        <f t="shared" si="21"/>
        <v>19</v>
      </c>
      <c r="R132" s="11">
        <f t="shared" si="22"/>
        <v>6</v>
      </c>
      <c r="S132" s="12" t="str" cm="1">
        <f t="array" ref="S132">INDEX('Subject-ConceptMap-4'!$I$15:$N$121,Q132+1,R132)</f>
        <v/>
      </c>
    </row>
    <row r="133" spans="16:19" x14ac:dyDescent="0.75">
      <c r="P133" s="11">
        <v>121</v>
      </c>
      <c r="Q133" s="11">
        <f t="shared" si="21"/>
        <v>20</v>
      </c>
      <c r="R133" s="11">
        <f t="shared" si="22"/>
        <v>1</v>
      </c>
      <c r="S133" s="12" t="str" cm="1">
        <f t="array" ref="S133">INDEX('Subject-ConceptMap-4'!$I$15:$N$121,Q133+1,R133)</f>
        <v>* group[=].element[+].code = #Subject.comorbidity.aids</v>
      </c>
    </row>
    <row r="134" spans="16:19" x14ac:dyDescent="0.75">
      <c r="P134" s="11">
        <v>122</v>
      </c>
      <c r="Q134" s="11">
        <f t="shared" si="21"/>
        <v>20</v>
      </c>
      <c r="R134" s="11">
        <f t="shared" si="22"/>
        <v>2</v>
      </c>
      <c r="S134" s="12" t="str" cm="1">
        <f t="array" ref="S134">INDEX('Subject-ConceptMap-4'!$I$15:$N$121,Q134+1,R134)</f>
        <v>* group[=].element[=].display = ##34#AIDS##34#</v>
      </c>
    </row>
    <row r="135" spans="16:19" ht="29.5" x14ac:dyDescent="0.75">
      <c r="P135" s="11">
        <v>123</v>
      </c>
      <c r="Q135" s="11">
        <f t="shared" si="21"/>
        <v>20</v>
      </c>
      <c r="R135" s="11">
        <f t="shared" si="22"/>
        <v>3</v>
      </c>
      <c r="S135" s="12" t="str" cm="1">
        <f t="array" ref="S135">INDEX('Subject-ConceptMap-4'!$I$15:$N$121,Q135+1,R135)</f>
        <v>* group[=].element[=].target.code = #Observation.extension:comorbidConditionPresent</v>
      </c>
    </row>
    <row r="136" spans="16:19" x14ac:dyDescent="0.75">
      <c r="P136" s="11">
        <v>124</v>
      </c>
      <c r="Q136" s="11">
        <f t="shared" si="21"/>
        <v>20</v>
      </c>
      <c r="R136" s="11">
        <f t="shared" si="22"/>
        <v>4</v>
      </c>
      <c r="S136" s="12" t="str" cm="1">
        <f t="array" ref="S136">INDEX('Subject-ConceptMap-4'!$I$15:$N$121,Q136+1,R136)</f>
        <v>* group[=].element[=].target.display = ##34###34#</v>
      </c>
    </row>
    <row r="137" spans="16:19" x14ac:dyDescent="0.75">
      <c r="P137" s="11">
        <v>125</v>
      </c>
      <c r="Q137" s="11">
        <f t="shared" si="21"/>
        <v>20</v>
      </c>
      <c r="R137" s="11">
        <f t="shared" si="22"/>
        <v>5</v>
      </c>
      <c r="S137" s="12" t="str" cm="1">
        <f t="array" ref="S137">INDEX('Subject-ConceptMap-4'!$I$15:$N$121,Q137+1,R137)</f>
        <v>* group[=].element[=].target.equivalence = #equivalent</v>
      </c>
    </row>
    <row r="138" spans="16:19" x14ac:dyDescent="0.75">
      <c r="P138" s="11">
        <v>126</v>
      </c>
      <c r="Q138" s="11">
        <f t="shared" si="21"/>
        <v>20</v>
      </c>
      <c r="R138" s="11">
        <f t="shared" si="22"/>
        <v>6</v>
      </c>
      <c r="S138" s="12" t="str" cm="1">
        <f t="array" ref="S138">INDEX('Subject-ConceptMap-4'!$I$15:$N$121,Q138+1,R138)</f>
        <v/>
      </c>
    </row>
    <row r="139" spans="16:19" x14ac:dyDescent="0.75">
      <c r="P139" s="11">
        <v>127</v>
      </c>
      <c r="Q139" s="11">
        <f t="shared" si="21"/>
        <v>21</v>
      </c>
      <c r="R139" s="11">
        <f t="shared" si="22"/>
        <v>1</v>
      </c>
      <c r="S139" s="12" t="str" cm="1">
        <f t="array" ref="S139">INDEX('Subject-ConceptMap-4'!$I$15:$N$121,Q139+1,R139)</f>
        <v>* group[=].element[+].code = #Subject.noGeneticSyndromeWho2020</v>
      </c>
    </row>
    <row r="140" spans="16:19" x14ac:dyDescent="0.75">
      <c r="P140" s="11">
        <v>128</v>
      </c>
      <c r="Q140" s="11">
        <f t="shared" si="21"/>
        <v>21</v>
      </c>
      <c r="R140" s="11">
        <f t="shared" si="22"/>
        <v>2</v>
      </c>
      <c r="S140" s="12" t="str" cm="1">
        <f t="array" ref="S140">INDEX('Subject-ConceptMap-4'!$I$15:$N$121,Q140+1,R140)</f>
        <v>* group[=].element[=].display = ##34#No Genetic syndrome WHO 2020 ##34#</v>
      </c>
    </row>
    <row r="141" spans="16:19" ht="29.5" x14ac:dyDescent="0.75">
      <c r="P141" s="11">
        <v>129</v>
      </c>
      <c r="Q141" s="11">
        <f t="shared" si="21"/>
        <v>21</v>
      </c>
      <c r="R141" s="11">
        <f t="shared" si="22"/>
        <v>3</v>
      </c>
      <c r="S141" s="12" t="str" cm="1">
        <f t="array" ref="S141">INDEX('Subject-ConceptMap-4'!$I$15:$N$121,Q141+1,R141)</f>
        <v>* group[=].element[=].target.code = #Observation.extension:comorbidConditionPresent</v>
      </c>
    </row>
    <row r="142" spans="16:19" x14ac:dyDescent="0.75">
      <c r="P142" s="11">
        <v>130</v>
      </c>
      <c r="Q142" s="11">
        <f t="shared" ref="Q142:Q159" si="23">IF(MOD(P142,$Q$8)=0,P142/$Q$8-1,INT(P142/$Q$8))</f>
        <v>21</v>
      </c>
      <c r="R142" s="11">
        <f t="shared" ref="R142:R159" si="24">IF(MOD(P142,$Q$8)=0,$Q$8,MOD(P142,$Q$8))</f>
        <v>4</v>
      </c>
      <c r="S142" s="12" t="str" cm="1">
        <f t="array" ref="S142">INDEX('Subject-ConceptMap-4'!$I$15:$N$121,Q142+1,R142)</f>
        <v>* group[=].element[=].target.display = ##34###34#</v>
      </c>
    </row>
    <row r="143" spans="16:19" x14ac:dyDescent="0.75">
      <c r="P143" s="11">
        <v>131</v>
      </c>
      <c r="Q143" s="11">
        <f t="shared" si="23"/>
        <v>21</v>
      </c>
      <c r="R143" s="11">
        <f t="shared" si="24"/>
        <v>5</v>
      </c>
      <c r="S143" s="12" t="str" cm="1">
        <f t="array" ref="S143">INDEX('Subject-ConceptMap-4'!$I$15:$N$121,Q143+1,R143)</f>
        <v>* group[=].element[=].target.equivalence = #equivalent</v>
      </c>
    </row>
    <row r="144" spans="16:19" ht="118" x14ac:dyDescent="0.75">
      <c r="P144" s="11">
        <v>132</v>
      </c>
      <c r="Q144" s="11">
        <f t="shared" si="23"/>
        <v>21</v>
      </c>
      <c r="R144" s="11">
        <f t="shared" si="24"/>
        <v>6</v>
      </c>
      <c r="S144" s="12" t="str" cm="1">
        <f t="array" ref="S144">INDEX('Subject-ConceptMap-4'!$I$15:$N$121,Q144+1,R144)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5" spans="16:19" x14ac:dyDescent="0.75">
      <c r="P145" s="11">
        <v>133</v>
      </c>
      <c r="Q145" s="11">
        <f t="shared" si="23"/>
        <v>22</v>
      </c>
      <c r="R145" s="11">
        <f t="shared" si="24"/>
        <v>1</v>
      </c>
      <c r="S145" s="12" t="str" cm="1">
        <f t="array" ref="S145">INDEX('Subject-ConceptMap-4'!$I$15:$N$121,Q145+1,R145)</f>
        <v>* group[=].element[+].code = #Subject.noGeneticSyndromeWho2020.olliersDisease</v>
      </c>
    </row>
    <row r="146" spans="16:19" x14ac:dyDescent="0.75">
      <c r="P146" s="11">
        <v>134</v>
      </c>
      <c r="Q146" s="11">
        <f t="shared" si="23"/>
        <v>22</v>
      </c>
      <c r="R146" s="11">
        <f t="shared" si="24"/>
        <v>2</v>
      </c>
      <c r="S146" s="12" t="str" cm="1">
        <f t="array" ref="S146">INDEX('Subject-ConceptMap-4'!$I$15:$N$121,Q146+1,R146)</f>
        <v>* group[=].element[=].display = ##34#Olliers disease##34#</v>
      </c>
    </row>
    <row r="147" spans="16:19" ht="29.5" x14ac:dyDescent="0.75">
      <c r="P147" s="11">
        <v>135</v>
      </c>
      <c r="Q147" s="11">
        <f t="shared" si="23"/>
        <v>22</v>
      </c>
      <c r="R147" s="11">
        <f t="shared" si="24"/>
        <v>3</v>
      </c>
      <c r="S147" s="12" t="str" cm="1">
        <f t="array" ref="S147">INDEX('Subject-ConceptMap-4'!$I$15:$N$121,Q147+1,R147)</f>
        <v>* group[=].element[=].target.code = #Observation.extension:comorbidConditionPresent</v>
      </c>
    </row>
    <row r="148" spans="16:19" x14ac:dyDescent="0.75">
      <c r="P148" s="11">
        <v>136</v>
      </c>
      <c r="Q148" s="11">
        <f t="shared" si="23"/>
        <v>22</v>
      </c>
      <c r="R148" s="11">
        <f t="shared" si="24"/>
        <v>4</v>
      </c>
      <c r="S148" s="12" t="str" cm="1">
        <f t="array" ref="S148">INDEX('Subject-ConceptMap-4'!$I$15:$N$121,Q148+1,R148)</f>
        <v>* group[=].element[=].target.display = ##34###34#</v>
      </c>
    </row>
    <row r="149" spans="16:19" x14ac:dyDescent="0.75">
      <c r="P149" s="11">
        <v>137</v>
      </c>
      <c r="Q149" s="11">
        <f t="shared" si="23"/>
        <v>22</v>
      </c>
      <c r="R149" s="11">
        <f t="shared" si="24"/>
        <v>5</v>
      </c>
      <c r="S149" s="12" t="str" cm="1">
        <f t="array" ref="S149">INDEX('Subject-ConceptMap-4'!$I$15:$N$121,Q149+1,R149)</f>
        <v>* group[=].element[=].target.equivalence = #equivalent</v>
      </c>
    </row>
    <row r="150" spans="16:19" x14ac:dyDescent="0.75">
      <c r="P150" s="11">
        <v>138</v>
      </c>
      <c r="Q150" s="11">
        <f t="shared" si="23"/>
        <v>22</v>
      </c>
      <c r="R150" s="11">
        <f t="shared" si="24"/>
        <v>6</v>
      </c>
      <c r="S150" s="12" t="str" cm="1">
        <f t="array" ref="S150">INDEX('Subject-ConceptMap-4'!$I$15:$N$121,Q150+1,R150)</f>
        <v/>
      </c>
    </row>
    <row r="151" spans="16:19" ht="29.5" x14ac:dyDescent="0.75">
      <c r="P151" s="11">
        <v>139</v>
      </c>
      <c r="Q151" s="11">
        <f t="shared" si="23"/>
        <v>23</v>
      </c>
      <c r="R151" s="11">
        <f t="shared" si="24"/>
        <v>1</v>
      </c>
      <c r="S151" s="12" t="str" cm="1">
        <f t="array" ref="S151">INDEX('Subject-ConceptMap-4'!$I$15:$N$121,Q151+1,R151)</f>
        <v>* group[=].element[+].code = #Subject.noGeneticSyndromeWho2020.maffuciSyndrome</v>
      </c>
    </row>
    <row r="152" spans="16:19" x14ac:dyDescent="0.75">
      <c r="P152" s="11">
        <v>140</v>
      </c>
      <c r="Q152" s="11">
        <f t="shared" si="23"/>
        <v>23</v>
      </c>
      <c r="R152" s="11">
        <f t="shared" si="24"/>
        <v>2</v>
      </c>
      <c r="S152" s="12" t="str" cm="1">
        <f t="array" ref="S152">INDEX('Subject-ConceptMap-4'!$I$15:$N$121,Q152+1,R152)</f>
        <v>* group[=].element[=].display = ##34#Maffuci syndrome##34#</v>
      </c>
    </row>
    <row r="153" spans="16:19" ht="29.5" x14ac:dyDescent="0.75">
      <c r="P153" s="11">
        <v>141</v>
      </c>
      <c r="Q153" s="11">
        <f t="shared" si="23"/>
        <v>23</v>
      </c>
      <c r="R153" s="11">
        <f t="shared" si="24"/>
        <v>3</v>
      </c>
      <c r="S153" s="12" t="str" cm="1">
        <f t="array" ref="S153">INDEX('Subject-ConceptMap-4'!$I$15:$N$121,Q153+1,R153)</f>
        <v>* group[=].element[=].target.code = #Observation.extension:comorbidConditionPresent</v>
      </c>
    </row>
    <row r="154" spans="16:19" x14ac:dyDescent="0.75">
      <c r="P154" s="11">
        <v>142</v>
      </c>
      <c r="Q154" s="11">
        <f t="shared" si="23"/>
        <v>23</v>
      </c>
      <c r="R154" s="11">
        <f t="shared" si="24"/>
        <v>4</v>
      </c>
      <c r="S154" s="12" t="str" cm="1">
        <f t="array" ref="S154">INDEX('Subject-ConceptMap-4'!$I$15:$N$121,Q154+1,R154)</f>
        <v>* group[=].element[=].target.display = ##34###34#</v>
      </c>
    </row>
    <row r="155" spans="16:19" x14ac:dyDescent="0.75">
      <c r="P155" s="11">
        <v>143</v>
      </c>
      <c r="Q155" s="11">
        <f t="shared" si="23"/>
        <v>23</v>
      </c>
      <c r="R155" s="11">
        <f t="shared" si="24"/>
        <v>5</v>
      </c>
      <c r="S155" s="12" t="str" cm="1">
        <f t="array" ref="S155">INDEX('Subject-ConceptMap-4'!$I$15:$N$121,Q155+1,R155)</f>
        <v>* group[=].element[=].target.equivalence = #equivalent</v>
      </c>
    </row>
    <row r="156" spans="16:19" x14ac:dyDescent="0.75">
      <c r="P156" s="11">
        <v>144</v>
      </c>
      <c r="Q156" s="11">
        <f t="shared" si="23"/>
        <v>23</v>
      </c>
      <c r="R156" s="11">
        <f t="shared" si="24"/>
        <v>6</v>
      </c>
      <c r="S156" s="12" t="str" cm="1">
        <f t="array" ref="S156">INDEX('Subject-ConceptMap-4'!$I$15:$N$121,Q156+1,R156)</f>
        <v/>
      </c>
    </row>
    <row r="157" spans="16:19" ht="29.5" x14ac:dyDescent="0.75">
      <c r="P157" s="11">
        <v>145</v>
      </c>
      <c r="Q157" s="11">
        <f t="shared" si="23"/>
        <v>24</v>
      </c>
      <c r="R157" s="11">
        <f t="shared" si="24"/>
        <v>1</v>
      </c>
      <c r="S157" s="12" t="str" cm="1">
        <f t="array" ref="S157">INDEX('Subject-ConceptMap-4'!$I$15:$N$121,Q157+1,R157)</f>
        <v>* group[=].element[+].code = #Subject.noGeneticSyndromeWho2020.liFraumeniSyndrome</v>
      </c>
    </row>
    <row r="158" spans="16:19" x14ac:dyDescent="0.75">
      <c r="P158" s="11">
        <v>146</v>
      </c>
      <c r="Q158" s="11">
        <f t="shared" si="23"/>
        <v>24</v>
      </c>
      <c r="R158" s="11">
        <f t="shared" si="24"/>
        <v>2</v>
      </c>
      <c r="S158" s="12" t="str" cm="1">
        <f t="array" ref="S158">INDEX('Subject-ConceptMap-4'!$I$15:$N$121,Q158+1,R158)</f>
        <v>* group[=].element[=].display = ##34#Li-Fraumeni syndrome##34#</v>
      </c>
    </row>
    <row r="159" spans="16:19" ht="29.5" x14ac:dyDescent="0.75">
      <c r="P159" s="11">
        <v>147</v>
      </c>
      <c r="Q159" s="11">
        <f t="shared" si="23"/>
        <v>24</v>
      </c>
      <c r="R159" s="11">
        <f t="shared" si="24"/>
        <v>3</v>
      </c>
      <c r="S159" s="12" t="str" cm="1">
        <f t="array" ref="S159">INDEX('Subject-ConceptMap-4'!$I$15:$N$121,Q159+1,R159)</f>
        <v>* group[=].element[=].target.code = #Observation.extension:comorbidConditionPresent</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1558</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1559</v>
      </c>
      <c r="E15" s="12"/>
      <c r="F15" s="49" t="s">
        <v>1317</v>
      </c>
      <c r="G15" s="81"/>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INDEX('Subject-ConceptMap-5-8'!$I$15:$N$17,Q18+1,R18)</f>
        <v>* group[=].element[=].target.display = ##34###34#</v>
      </c>
    </row>
    <row r="19" spans="1:19" x14ac:dyDescent="0.75">
      <c r="A19" s="44"/>
      <c r="B19" s="69"/>
      <c r="C19" s="69"/>
      <c r="D19" s="92" t="s">
        <v>1481</v>
      </c>
      <c r="E19" s="93" t="str">
        <f>$E$3</f>
        <v>http://hl7.eu/fhir/ig/idea4rc/StructureDefinition/Subject</v>
      </c>
      <c r="F19" s="94"/>
      <c r="G19" s="95"/>
      <c r="H19" s="43"/>
      <c r="I19" s="95"/>
      <c r="J19" s="95"/>
      <c r="K19" s="95"/>
      <c r="L19" s="95"/>
      <c r="M19" s="95"/>
      <c r="N19" s="12" t="str">
        <f t="shared" si="4"/>
        <v/>
      </c>
      <c r="P19" s="11">
        <v>5</v>
      </c>
      <c r="Q19" s="11">
        <f t="shared" si="5"/>
        <v>0</v>
      </c>
      <c r="R19" s="11">
        <f t="shared" si="6"/>
        <v>5</v>
      </c>
      <c r="S19" s="12" t="str" cm="1">
        <f t="array" ref="S19">INDEX('Subject-ConceptMap-5-8'!$I$15:$N$17,Q19+1,R19)</f>
        <v>* group[=].element[=].target.equivalence = #equal</v>
      </c>
    </row>
    <row r="20" spans="1:19" ht="44.25" customHeight="1" x14ac:dyDescent="0.75">
      <c r="A20" s="44"/>
      <c r="B20" s="69"/>
      <c r="C20" s="69"/>
      <c r="D20" s="92" t="s">
        <v>1482</v>
      </c>
      <c r="E20" s="93" t="s">
        <v>1560</v>
      </c>
      <c r="F20" s="94"/>
      <c r="G20" s="95"/>
      <c r="H20" s="43"/>
      <c r="I20" s="95"/>
      <c r="J20" s="95"/>
      <c r="K20" s="95"/>
      <c r="L20" s="95"/>
      <c r="M20" s="95"/>
      <c r="N20" s="12" t="str">
        <f t="shared" si="4"/>
        <v/>
      </c>
      <c r="P20" s="11">
        <v>6</v>
      </c>
      <c r="Q20" s="11">
        <f t="shared" si="5"/>
        <v>0</v>
      </c>
      <c r="R20" s="11">
        <f t="shared" si="6"/>
        <v>6</v>
      </c>
      <c r="S20" s="12" t="str" cm="1">
        <f t="array" ref="S20">INDEX('Subject-ConceptMap-5-8'!$I$15:$N$17,Q20+1,R20)</f>
        <v/>
      </c>
    </row>
    <row r="21" spans="1:19" ht="44.25" customHeight="1" x14ac:dyDescent="0.75">
      <c r="A21" s="44"/>
      <c r="B21" s="69"/>
      <c r="C21" s="69"/>
      <c r="D21" s="92"/>
      <c r="E21" s="93"/>
      <c r="F21" s="94"/>
      <c r="G21" s="95"/>
      <c r="H21" s="43"/>
      <c r="I21" s="95"/>
      <c r="J21" s="95"/>
      <c r="K21" s="95"/>
      <c r="L21" s="95"/>
      <c r="M21" s="95"/>
      <c r="N21" s="12"/>
      <c r="P21" s="69"/>
      <c r="Q21" s="69"/>
      <c r="R21" s="69"/>
      <c r="S21" s="70"/>
    </row>
    <row r="22" spans="1:19" ht="88.5" customHeight="1" x14ac:dyDescent="0.75">
      <c r="A22" s="44"/>
      <c r="B22" s="11" t="str">
        <f>Subject!B39</f>
        <v>ecogPsAtDiagnosis</v>
      </c>
      <c r="C22" s="12" t="str">
        <f>Subject!C39</f>
        <v>Eastern Cooperative Oncology Group performance status (ECOG PS)  at diagnosis</v>
      </c>
      <c r="D22" s="12" t="s">
        <v>1656</v>
      </c>
      <c r="E22" s="12"/>
      <c r="F22" s="49" t="s">
        <v>1317</v>
      </c>
      <c r="G22" s="81"/>
      <c r="H22" s="43"/>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x14ac:dyDescent="0.75">
      <c r="A23" s="44"/>
      <c r="B23" s="11"/>
      <c r="C23" s="11"/>
      <c r="D23" s="12"/>
      <c r="E23" s="11"/>
      <c r="F23" s="49"/>
      <c r="G23" s="81"/>
      <c r="H23" s="43"/>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x14ac:dyDescent="0.75">
      <c r="A24" s="44"/>
      <c r="B24" s="11"/>
      <c r="C24" s="11"/>
      <c r="D24" s="12"/>
      <c r="E24" s="11"/>
      <c r="F24" s="49"/>
      <c r="G24" s="81"/>
      <c r="H24" s="43"/>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x14ac:dyDescent="0.75">
      <c r="A25" s="44"/>
      <c r="B25" s="11"/>
      <c r="C25" s="11"/>
      <c r="D25" s="12"/>
      <c r="E25" s="11"/>
      <c r="F25" s="49"/>
      <c r="G25" s="81"/>
      <c r="H25" s="43"/>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x14ac:dyDescent="0.75">
      <c r="A26" s="44"/>
      <c r="B26" s="11"/>
      <c r="C26" s="11"/>
      <c r="D26" s="12"/>
      <c r="E26" s="12"/>
      <c r="F26" s="49"/>
      <c r="G26" s="81"/>
      <c r="H26" s="43"/>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x14ac:dyDescent="0.75">
      <c r="A27" s="44"/>
      <c r="B27" s="11"/>
      <c r="C27" s="11"/>
      <c r="D27" s="12"/>
      <c r="E27" s="12"/>
      <c r="F27" s="49"/>
      <c r="G27" s="81"/>
      <c r="H27" s="43"/>
      <c r="I27" s="12"/>
      <c r="J27" s="12"/>
      <c r="K27" s="12"/>
      <c r="L27" s="12"/>
      <c r="M27" s="12"/>
      <c r="N27" s="12"/>
      <c r="P27" s="11">
        <v>6</v>
      </c>
      <c r="Q27" s="11">
        <f t="shared" si="10"/>
        <v>0</v>
      </c>
      <c r="R27" s="11">
        <f t="shared" si="11"/>
        <v>6</v>
      </c>
      <c r="S27" s="12" t="str" cm="1">
        <f t="array" ref="S27">INDEX('Subject-ConceptMap-5-8'!$I$22:$N$39,Q27+1,R27)</f>
        <v/>
      </c>
    </row>
    <row r="28" spans="1:19" x14ac:dyDescent="0.75">
      <c r="B28" s="11"/>
      <c r="C28" s="11"/>
      <c r="D28" s="12"/>
      <c r="E28" s="12"/>
      <c r="F28" s="49"/>
      <c r="G28" s="81"/>
      <c r="H28" s="43"/>
      <c r="I28" s="12"/>
      <c r="J28" s="12"/>
      <c r="K28" s="12"/>
      <c r="L28" s="12"/>
      <c r="M28" s="12"/>
      <c r="N28" s="12"/>
      <c r="P28" s="11">
        <v>7</v>
      </c>
      <c r="Q28" s="11">
        <f t="shared" si="10"/>
        <v>1</v>
      </c>
      <c r="R28" s="11">
        <f t="shared" si="11"/>
        <v>1</v>
      </c>
      <c r="S28" s="12" cm="1">
        <f t="array" ref="S28">INDEX('Subject-ConceptMap-5-8'!$I$22:$N$39,Q28+1,R28)</f>
        <v>0</v>
      </c>
    </row>
    <row r="29" spans="1:19" x14ac:dyDescent="0.75">
      <c r="B29" s="11"/>
      <c r="C29" s="11"/>
      <c r="D29" s="12"/>
      <c r="E29" s="12"/>
      <c r="F29" s="49"/>
      <c r="G29" s="81"/>
      <c r="H29" s="43"/>
      <c r="I29" s="12"/>
      <c r="J29" s="12"/>
      <c r="K29" s="12"/>
      <c r="L29" s="12"/>
      <c r="M29" s="12"/>
      <c r="N29" s="12"/>
      <c r="P29" s="11">
        <v>8</v>
      </c>
      <c r="Q29" s="11">
        <f t="shared" si="10"/>
        <v>1</v>
      </c>
      <c r="R29" s="11">
        <f t="shared" si="11"/>
        <v>2</v>
      </c>
      <c r="S29" s="12" cm="1">
        <f t="array" ref="S29">INDEX('Subject-ConceptMap-5-8'!$I$22:$N$39,Q29+1,R29)</f>
        <v>0</v>
      </c>
    </row>
    <row r="30" spans="1:19" x14ac:dyDescent="0.75">
      <c r="B30" s="11"/>
      <c r="C30" s="11"/>
      <c r="D30" s="12"/>
      <c r="E30" s="12"/>
      <c r="F30" s="49"/>
      <c r="G30" s="81"/>
      <c r="H30" s="43"/>
      <c r="I30" s="12"/>
      <c r="J30" s="12"/>
      <c r="K30" s="12"/>
      <c r="L30" s="12"/>
      <c r="M30" s="12"/>
      <c r="N30" s="12"/>
      <c r="P30" s="11">
        <v>9</v>
      </c>
      <c r="Q30" s="11">
        <f t="shared" si="10"/>
        <v>1</v>
      </c>
      <c r="R30" s="11">
        <f t="shared" si="11"/>
        <v>3</v>
      </c>
      <c r="S30" s="12" cm="1">
        <f t="array" ref="S30">INDEX('Subject-ConceptMap-5-8'!$I$22:$N$39,Q30+1,R30)</f>
        <v>0</v>
      </c>
    </row>
    <row r="31" spans="1:19" x14ac:dyDescent="0.75">
      <c r="B31" s="11"/>
      <c r="C31" s="11"/>
      <c r="D31" s="12"/>
      <c r="E31" s="12"/>
      <c r="F31" s="49"/>
      <c r="G31" s="81"/>
      <c r="H31" s="43"/>
      <c r="I31" s="12"/>
      <c r="J31" s="12"/>
      <c r="K31" s="12"/>
      <c r="L31" s="12"/>
      <c r="M31" s="12"/>
      <c r="N31" s="12"/>
      <c r="P31" s="11">
        <v>10</v>
      </c>
      <c r="Q31" s="11">
        <f t="shared" si="10"/>
        <v>1</v>
      </c>
      <c r="R31" s="11">
        <f t="shared" si="11"/>
        <v>4</v>
      </c>
      <c r="S31" s="12" cm="1">
        <f t="array" ref="S31">INDEX('Subject-ConceptMap-5-8'!$I$22:$N$39,Q31+1,R31)</f>
        <v>0</v>
      </c>
    </row>
    <row r="32" spans="1:19" x14ac:dyDescent="0.75">
      <c r="B32" s="11"/>
      <c r="C32" s="11"/>
      <c r="D32" s="12"/>
      <c r="E32" s="12"/>
      <c r="F32" s="49"/>
      <c r="G32" s="81"/>
      <c r="H32" s="43"/>
      <c r="I32" s="12"/>
      <c r="J32" s="12"/>
      <c r="K32" s="12"/>
      <c r="L32" s="12"/>
      <c r="M32" s="12"/>
      <c r="N32" s="12"/>
      <c r="P32" s="11">
        <v>11</v>
      </c>
      <c r="Q32" s="11">
        <f t="shared" si="10"/>
        <v>1</v>
      </c>
      <c r="R32" s="11">
        <f t="shared" si="11"/>
        <v>5</v>
      </c>
      <c r="S32" s="12" cm="1">
        <f t="array" ref="S32">INDEX('Subject-ConceptMap-5-8'!$I$22:$N$39,Q32+1,R32)</f>
        <v>0</v>
      </c>
    </row>
    <row r="33" spans="1:19" x14ac:dyDescent="0.75">
      <c r="B33" s="11"/>
      <c r="C33" s="11"/>
      <c r="D33" s="12"/>
      <c r="E33" s="12"/>
      <c r="F33" s="49"/>
      <c r="G33" s="81"/>
      <c r="H33" s="43"/>
      <c r="I33" s="12"/>
      <c r="J33" s="12"/>
      <c r="K33" s="12"/>
      <c r="L33" s="12"/>
      <c r="M33" s="12"/>
      <c r="N33" s="12"/>
      <c r="P33" s="11">
        <v>12</v>
      </c>
      <c r="Q33" s="11">
        <f t="shared" si="10"/>
        <v>1</v>
      </c>
      <c r="R33" s="11">
        <f t="shared" si="11"/>
        <v>6</v>
      </c>
      <c r="S33" s="12" cm="1">
        <f t="array" ref="S33">INDEX('Subject-ConceptMap-5-8'!$I$22:$N$39,Q33+1,R33)</f>
        <v>0</v>
      </c>
    </row>
    <row r="34" spans="1:19" x14ac:dyDescent="0.75">
      <c r="B34" s="11"/>
      <c r="C34" s="11"/>
      <c r="D34" s="12"/>
      <c r="E34" s="12"/>
      <c r="F34" s="49"/>
      <c r="G34" s="81"/>
      <c r="H34" s="43"/>
      <c r="I34" s="12"/>
      <c r="J34" s="12"/>
      <c r="K34" s="12"/>
      <c r="L34" s="12"/>
      <c r="M34" s="12"/>
      <c r="N34" s="12"/>
      <c r="P34" s="11">
        <v>13</v>
      </c>
      <c r="Q34" s="11">
        <f t="shared" si="10"/>
        <v>2</v>
      </c>
      <c r="R34" s="11">
        <f t="shared" si="11"/>
        <v>1</v>
      </c>
      <c r="S34" s="12" cm="1">
        <f t="array" ref="S34">INDEX('Subject-ConceptMap-5-8'!$I$22:$N$39,Q34+1,R34)</f>
        <v>0</v>
      </c>
    </row>
    <row r="35" spans="1:19" x14ac:dyDescent="0.75">
      <c r="B35" s="11"/>
      <c r="C35" s="11"/>
      <c r="D35" s="12"/>
      <c r="E35" s="12"/>
      <c r="F35" s="49"/>
      <c r="G35" s="81"/>
      <c r="H35" s="43"/>
      <c r="I35" s="12"/>
      <c r="J35" s="12"/>
      <c r="K35" s="12"/>
      <c r="L35" s="12"/>
      <c r="M35" s="12"/>
      <c r="N35" s="12"/>
      <c r="P35" s="11">
        <v>14</v>
      </c>
      <c r="Q35" s="11">
        <f t="shared" si="10"/>
        <v>2</v>
      </c>
      <c r="R35" s="11">
        <f t="shared" si="11"/>
        <v>2</v>
      </c>
      <c r="S35" s="12" cm="1">
        <f t="array" ref="S35">INDEX('Subject-ConceptMap-5-8'!$I$22:$N$39,Q35+1,R35)</f>
        <v>0</v>
      </c>
    </row>
    <row r="36" spans="1:19" x14ac:dyDescent="0.75">
      <c r="B36" s="11"/>
      <c r="C36" s="11"/>
      <c r="D36" s="12"/>
      <c r="E36" s="12"/>
      <c r="F36" s="49"/>
      <c r="G36" s="81"/>
      <c r="H36" s="43"/>
      <c r="I36" s="12"/>
      <c r="J36" s="12"/>
      <c r="K36" s="12"/>
      <c r="L36" s="12"/>
      <c r="M36" s="12"/>
      <c r="N36" s="12"/>
      <c r="P36" s="11">
        <v>15</v>
      </c>
      <c r="Q36" s="11">
        <f t="shared" si="10"/>
        <v>2</v>
      </c>
      <c r="R36" s="11">
        <f t="shared" si="11"/>
        <v>3</v>
      </c>
      <c r="S36" s="12" cm="1">
        <f t="array" ref="S36">INDEX('Subject-ConceptMap-5-8'!$I$22:$N$39,Q36+1,R36)</f>
        <v>0</v>
      </c>
    </row>
    <row r="37" spans="1:19" x14ac:dyDescent="0.75">
      <c r="B37" s="11"/>
      <c r="C37" s="11"/>
      <c r="D37" s="12"/>
      <c r="E37" s="12"/>
      <c r="F37" s="49"/>
      <c r="G37" s="49"/>
      <c r="H37" s="43"/>
      <c r="I37" s="12"/>
      <c r="J37" s="12"/>
      <c r="K37" s="12"/>
      <c r="L37" s="12"/>
      <c r="M37" s="12"/>
      <c r="N37" s="12"/>
      <c r="P37" s="11"/>
      <c r="Q37" s="11"/>
      <c r="R37" s="11"/>
      <c r="S37" s="12"/>
    </row>
    <row r="38" spans="1:19" x14ac:dyDescent="0.75">
      <c r="B38" s="11"/>
      <c r="C38" s="11"/>
      <c r="D38" s="12"/>
      <c r="E38" s="12"/>
      <c r="F38" s="49"/>
      <c r="G38" s="49"/>
      <c r="H38" s="43"/>
      <c r="K38" s="43"/>
      <c r="L38" s="43"/>
      <c r="M38" s="51"/>
      <c r="N38" s="51"/>
      <c r="P38" s="11"/>
      <c r="Q38" s="11"/>
      <c r="R38" s="11"/>
      <c r="S38" s="12"/>
    </row>
    <row r="39" spans="1:19" x14ac:dyDescent="0.75">
      <c r="B39" s="11"/>
      <c r="C39" s="11"/>
      <c r="D39" s="12"/>
      <c r="E39" s="12"/>
      <c r="F39" s="49"/>
      <c r="G39" s="49"/>
      <c r="H39" s="43"/>
      <c r="K39" s="43"/>
      <c r="L39" s="43"/>
      <c r="M39" s="51"/>
      <c r="N39" s="51"/>
      <c r="P39" s="11"/>
      <c r="Q39" s="11"/>
      <c r="R39" s="11"/>
      <c r="S39" s="12"/>
    </row>
    <row r="40" spans="1:19" x14ac:dyDescent="0.75">
      <c r="A40" s="44"/>
      <c r="B40" s="69"/>
      <c r="C40" s="69"/>
      <c r="D40" s="92" t="s">
        <v>1481</v>
      </c>
      <c r="E40" s="93" t="str">
        <f>$E$3</f>
        <v>http://hl7.eu/fhir/ig/idea4rc/StructureDefinition/Subject</v>
      </c>
      <c r="F40" s="94"/>
      <c r="G40" s="95"/>
      <c r="H40" s="43"/>
      <c r="I40" s="95"/>
      <c r="J40" s="95"/>
      <c r="K40" s="95"/>
      <c r="L40" s="95"/>
      <c r="M40" s="95"/>
      <c r="N40" s="12" t="str">
        <f t="shared" ref="N40:N41" si="12">IF(G40&lt;&gt;"",CONCATENATE("* group[=].element[=].target.comment = ","##34#",G40,"##34#"),"")</f>
        <v/>
      </c>
      <c r="P40" s="11"/>
      <c r="Q40" s="11"/>
      <c r="R40" s="11"/>
      <c r="S40" s="12"/>
    </row>
    <row r="41" spans="1:19" ht="44.25" customHeight="1" x14ac:dyDescent="0.75">
      <c r="A41" s="44"/>
      <c r="B41" s="69"/>
      <c r="C41" s="69"/>
      <c r="D41" s="92" t="s">
        <v>1482</v>
      </c>
      <c r="E41" s="93" t="s">
        <v>2058</v>
      </c>
      <c r="F41" s="94"/>
      <c r="G41" s="95"/>
      <c r="H41" s="43"/>
      <c r="I41" s="95"/>
      <c r="J41" s="95"/>
      <c r="K41" s="95"/>
      <c r="L41" s="95"/>
      <c r="M41" s="95"/>
      <c r="N41" s="12" t="str">
        <f t="shared" si="12"/>
        <v/>
      </c>
      <c r="P41" s="11"/>
      <c r="Q41" s="11"/>
      <c r="R41" s="11"/>
      <c r="S41" s="12"/>
    </row>
    <row r="42" spans="1:19" ht="44.25" customHeight="1" x14ac:dyDescent="0.75">
      <c r="A42" s="44"/>
      <c r="B42" s="69"/>
      <c r="C42" s="69"/>
      <c r="D42" s="92"/>
      <c r="E42" s="93"/>
      <c r="F42" s="94"/>
      <c r="G42" s="95"/>
      <c r="H42" s="43"/>
      <c r="I42" s="95"/>
      <c r="J42" s="95"/>
      <c r="K42" s="95"/>
      <c r="L42" s="95"/>
      <c r="M42" s="95"/>
      <c r="N42" s="12"/>
      <c r="P42" s="69"/>
      <c r="Q42" s="69"/>
      <c r="R42" s="69"/>
      <c r="S42" s="70"/>
    </row>
    <row r="43" spans="1:19" s="2" customFormat="1" ht="44.25" x14ac:dyDescent="0.75">
      <c r="A43"/>
      <c r="B43" s="11" t="str">
        <f>Subject!B17</f>
        <v>charlsonComorbidityIndex</v>
      </c>
      <c r="C43" s="11" t="str">
        <f>Subject!C17</f>
        <v>Charlson Comorbidity index</v>
      </c>
      <c r="D43" s="12" t="s">
        <v>1559</v>
      </c>
      <c r="E43" s="12"/>
      <c r="F43" s="49" t="s">
        <v>1317</v>
      </c>
      <c r="G43" s="43"/>
      <c r="H43" s="43"/>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51"/>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x14ac:dyDescent="0.75">
      <c r="A44"/>
      <c r="B44" s="11"/>
      <c r="C44" s="12"/>
      <c r="F44" s="49"/>
      <c r="G44" s="43"/>
      <c r="H44" s="43"/>
      <c r="J44" s="43"/>
      <c r="K44" s="43"/>
      <c r="L44" s="43"/>
      <c r="M44" s="51"/>
      <c r="N44" s="51"/>
      <c r="P44" s="11">
        <v>2</v>
      </c>
      <c r="Q44" s="11">
        <f t="shared" si="18"/>
        <v>0</v>
      </c>
      <c r="R44" s="11">
        <f t="shared" si="19"/>
        <v>2</v>
      </c>
      <c r="S44" s="12" t="str" cm="1">
        <f t="array" ref="S44">INDEX('Subject-ConceptMap-5-8'!$I$43:$N$56,Q44+1,R44)</f>
        <v>* group[=].element[=].display = ##34#Charlson Comorbidity index##34#</v>
      </c>
    </row>
    <row r="45" spans="1:19" x14ac:dyDescent="0.75">
      <c r="B45" s="11"/>
      <c r="C45" s="12"/>
      <c r="F45" s="49"/>
      <c r="P45" s="11">
        <v>3</v>
      </c>
      <c r="Q45" s="11">
        <f t="shared" si="18"/>
        <v>0</v>
      </c>
      <c r="R45" s="11">
        <f t="shared" si="19"/>
        <v>3</v>
      </c>
      <c r="S45" s="12" t="str" cm="1">
        <f t="array" ref="S45">INDEX('Subject-ConceptMap-5-8'!$I$43:$N$56,Q45+1,R45)</f>
        <v>* group[=].element[=].target.code = #Observation.valueInteger</v>
      </c>
    </row>
    <row r="46" spans="1:19" x14ac:dyDescent="0.75">
      <c r="B46" s="11"/>
      <c r="C46" s="12"/>
      <c r="F46" s="49"/>
      <c r="P46" s="11">
        <v>4</v>
      </c>
      <c r="Q46" s="11">
        <f t="shared" si="18"/>
        <v>0</v>
      </c>
      <c r="R46" s="11">
        <f t="shared" si="19"/>
        <v>4</v>
      </c>
      <c r="S46" s="12" t="str" cm="1">
        <f t="array" ref="S46">INDEX('Subject-ConceptMap-5-8'!$I$43:$N$56,Q46+1,R46)</f>
        <v>* group[=].element[=].target.display = ##34###34#</v>
      </c>
    </row>
    <row r="47" spans="1:19" x14ac:dyDescent="0.75">
      <c r="B47" s="11"/>
      <c r="C47" s="12"/>
      <c r="P47" s="11">
        <v>5</v>
      </c>
      <c r="Q47" s="11">
        <f t="shared" si="18"/>
        <v>0</v>
      </c>
      <c r="R47" s="11">
        <f t="shared" si="19"/>
        <v>5</v>
      </c>
      <c r="S47" s="12" t="str" cm="1">
        <f t="array" ref="S47">INDEX('Subject-ConceptMap-5-8'!$I$43:$N$56,Q47+1,R47)</f>
        <v>* group[=].element[=].target.equivalence = #equal</v>
      </c>
    </row>
    <row r="48" spans="1:19" x14ac:dyDescent="0.75">
      <c r="B48" s="11"/>
      <c r="C48" s="12"/>
      <c r="P48" s="11">
        <v>6</v>
      </c>
      <c r="Q48" s="11">
        <f t="shared" si="18"/>
        <v>0</v>
      </c>
      <c r="R48" s="11">
        <f t="shared" si="19"/>
        <v>6</v>
      </c>
      <c r="S48" s="12" cm="1">
        <f t="array" ref="S48">INDEX('Subject-ConceptMap-5-8'!$I$43:$N$56,Q48+1,R48)</f>
        <v>0</v>
      </c>
    </row>
    <row r="49" spans="1:19" x14ac:dyDescent="0.75">
      <c r="P49" s="11">
        <v>7</v>
      </c>
      <c r="Q49" s="11">
        <f t="shared" si="18"/>
        <v>1</v>
      </c>
      <c r="R49" s="11">
        <f t="shared" si="19"/>
        <v>1</v>
      </c>
      <c r="S49" s="12" cm="1">
        <f t="array" ref="S49">INDEX('Subject-ConceptMap-5-8'!$I$43:$N$56,Q49+1,R49)</f>
        <v>0</v>
      </c>
    </row>
    <row r="50" spans="1:19" x14ac:dyDescent="0.75">
      <c r="P50" s="11">
        <v>8</v>
      </c>
      <c r="Q50" s="11">
        <f t="shared" si="18"/>
        <v>1</v>
      </c>
      <c r="R50" s="11">
        <f t="shared" si="19"/>
        <v>2</v>
      </c>
      <c r="S50" s="12" cm="1">
        <f t="array" ref="S50">INDEX('Subject-ConceptMap-5-8'!$I$43:$N$56,Q50+1,R50)</f>
        <v>0</v>
      </c>
    </row>
    <row r="51" spans="1:19" x14ac:dyDescent="0.75">
      <c r="P51" s="11">
        <v>9</v>
      </c>
      <c r="Q51" s="11">
        <f t="shared" si="18"/>
        <v>1</v>
      </c>
      <c r="R51" s="11">
        <f t="shared" si="19"/>
        <v>3</v>
      </c>
      <c r="S51" s="12" cm="1">
        <f t="array" ref="S51">INDEX('Subject-ConceptMap-5-8'!$I$43:$N$56,Q51+1,R51)</f>
        <v>0</v>
      </c>
    </row>
    <row r="52" spans="1:19" x14ac:dyDescent="0.75">
      <c r="P52" s="11">
        <v>10</v>
      </c>
      <c r="Q52" s="11">
        <f t="shared" si="18"/>
        <v>1</v>
      </c>
      <c r="R52" s="11">
        <f t="shared" si="19"/>
        <v>4</v>
      </c>
      <c r="S52" s="12" cm="1">
        <f t="array" ref="S52">INDEX('Subject-ConceptMap-5-8'!$I$43:$N$56,Q52+1,R52)</f>
        <v>0</v>
      </c>
    </row>
    <row r="53" spans="1:19" x14ac:dyDescent="0.75">
      <c r="P53" s="11">
        <v>11</v>
      </c>
      <c r="Q53" s="11">
        <f t="shared" si="18"/>
        <v>1</v>
      </c>
      <c r="R53" s="11">
        <f t="shared" si="19"/>
        <v>5</v>
      </c>
      <c r="S53" s="12" cm="1">
        <f t="array" ref="S53">INDEX('Subject-ConceptMap-5-8'!$I$43:$N$56,Q53+1,R53)</f>
        <v>0</v>
      </c>
    </row>
    <row r="54" spans="1:19" x14ac:dyDescent="0.75">
      <c r="P54" s="11">
        <v>12</v>
      </c>
      <c r="Q54" s="11">
        <f t="shared" si="18"/>
        <v>1</v>
      </c>
      <c r="R54" s="11">
        <f t="shared" si="19"/>
        <v>6</v>
      </c>
      <c r="S54" s="12" cm="1">
        <f t="array" ref="S54">INDEX('Subject-ConceptMap-5-8'!$I$43:$N$56,Q54+1,R54)</f>
        <v>0</v>
      </c>
    </row>
    <row r="55" spans="1:19" x14ac:dyDescent="0.75">
      <c r="P55" s="11"/>
      <c r="Q55" s="11"/>
      <c r="R55" s="11"/>
      <c r="S55" s="12"/>
    </row>
    <row r="56" spans="1:19" x14ac:dyDescent="0.75">
      <c r="P56" s="11"/>
      <c r="Q56" s="11"/>
      <c r="R56" s="11"/>
      <c r="S56" s="12"/>
    </row>
    <row r="57" spans="1:19" x14ac:dyDescent="0.75">
      <c r="A57" s="44"/>
      <c r="B57" s="69"/>
      <c r="C57" s="69"/>
      <c r="D57" s="92" t="s">
        <v>1481</v>
      </c>
      <c r="E57" s="93" t="str">
        <f>$E$3</f>
        <v>http://hl7.eu/fhir/ig/idea4rc/StructureDefinition/Subject</v>
      </c>
      <c r="F57" s="94"/>
      <c r="G57" s="95"/>
      <c r="H57" s="43"/>
      <c r="I57" s="95"/>
      <c r="J57" s="95"/>
      <c r="K57" s="95"/>
      <c r="L57" s="95"/>
      <c r="M57" s="95"/>
      <c r="N57" s="12" t="str">
        <f t="shared" ref="N57:N58" si="20">IF(G57&lt;&gt;"",CONCATENATE("* group[=].element[=].target.comment = ","##34#",G57,"##34#"),"")</f>
        <v/>
      </c>
      <c r="P57" s="11"/>
      <c r="Q57" s="11"/>
      <c r="R57" s="11"/>
      <c r="S57" s="12"/>
    </row>
    <row r="58" spans="1:19" ht="44.25" customHeight="1" x14ac:dyDescent="0.75">
      <c r="A58" s="44"/>
      <c r="B58" s="69"/>
      <c r="C58" s="69"/>
      <c r="D58" s="92" t="s">
        <v>1482</v>
      </c>
      <c r="E58" s="93" t="s">
        <v>2059</v>
      </c>
      <c r="F58" s="94"/>
      <c r="G58" s="95"/>
      <c r="H58" s="43"/>
      <c r="I58" s="95"/>
      <c r="J58" s="95"/>
      <c r="K58" s="95"/>
      <c r="L58" s="95"/>
      <c r="M58" s="95"/>
      <c r="N58" s="12" t="str">
        <f t="shared" si="20"/>
        <v/>
      </c>
      <c r="P58" s="11"/>
      <c r="Q58" s="11"/>
      <c r="R58" s="11"/>
      <c r="S58" s="12"/>
    </row>
    <row r="59" spans="1:19" ht="44.25" customHeight="1" x14ac:dyDescent="0.75">
      <c r="A59" s="44"/>
      <c r="B59" s="69"/>
      <c r="C59" s="69"/>
      <c r="D59" s="92"/>
      <c r="E59" s="93"/>
      <c r="F59" s="94"/>
      <c r="G59" s="95"/>
      <c r="H59" s="43"/>
      <c r="I59" s="95"/>
      <c r="J59" s="95"/>
      <c r="K59" s="95"/>
      <c r="L59" s="95"/>
      <c r="M59" s="95"/>
      <c r="N59" s="12"/>
      <c r="P59" s="69"/>
      <c r="Q59" s="69"/>
      <c r="R59" s="69"/>
      <c r="S59" s="70"/>
    </row>
    <row r="60" spans="1:19" s="2" customFormat="1" ht="73.75" x14ac:dyDescent="0.75">
      <c r="A60"/>
      <c r="B60" s="11" t="str">
        <f>Subject!B16</f>
        <v>bMI</v>
      </c>
      <c r="C60" s="11" t="str">
        <f>Subject!C16</f>
        <v xml:space="preserve">Height/weight (BMI)
</v>
      </c>
      <c r="D60" s="12" t="s">
        <v>1656</v>
      </c>
      <c r="E60" s="12"/>
      <c r="F60" s="49" t="s">
        <v>1317</v>
      </c>
      <c r="G60" s="43"/>
      <c r="H60" s="43"/>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51"/>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x14ac:dyDescent="0.75">
      <c r="A61"/>
      <c r="B61" s="11"/>
      <c r="C61" s="12"/>
      <c r="F61" s="49"/>
      <c r="G61" s="43"/>
      <c r="H61" s="43"/>
      <c r="J61" s="43"/>
      <c r="K61" s="43"/>
      <c r="L61" s="43"/>
      <c r="M61" s="51"/>
      <c r="N61" s="51"/>
      <c r="P61" s="11">
        <v>2</v>
      </c>
      <c r="Q61" s="11">
        <f t="shared" si="26"/>
        <v>0</v>
      </c>
      <c r="R61" s="11">
        <f t="shared" si="27"/>
        <v>2</v>
      </c>
      <c r="S61" s="12" t="str" cm="1">
        <f t="array" ref="S61">INDEX('Subject-ConceptMap-5-8'!$I$60:$N$71,Q61+1,R61)</f>
        <v>* group[=].element[=].display = ##34#Height/weight (BMI)
##34#</v>
      </c>
    </row>
    <row r="62" spans="1:19" x14ac:dyDescent="0.75">
      <c r="B62" s="11"/>
      <c r="C62" s="12"/>
      <c r="F62" s="49"/>
      <c r="P62" s="11">
        <v>3</v>
      </c>
      <c r="Q62" s="11">
        <f t="shared" si="26"/>
        <v>0</v>
      </c>
      <c r="R62" s="11">
        <f t="shared" si="27"/>
        <v>3</v>
      </c>
      <c r="S62" s="12" t="str" cm="1">
        <f t="array" ref="S62">INDEX('Subject-ConceptMap-5-8'!$I$60:$N$71,Q62+1,R62)</f>
        <v>* group[=].element[=].target.code = #Observation.valueCodeableConcept</v>
      </c>
    </row>
    <row r="63" spans="1:19" x14ac:dyDescent="0.75">
      <c r="B63" s="11"/>
      <c r="C63" s="12"/>
      <c r="F63" s="49"/>
      <c r="P63" s="11">
        <v>4</v>
      </c>
      <c r="Q63" s="11">
        <f t="shared" si="26"/>
        <v>0</v>
      </c>
      <c r="R63" s="11">
        <f t="shared" si="27"/>
        <v>4</v>
      </c>
      <c r="S63" s="12" t="str" cm="1">
        <f t="array" ref="S63">INDEX('Subject-ConceptMap-5-8'!$I$60:$N$71,Q63+1,R63)</f>
        <v>* group[=].element[=].target.display = ##34###34#</v>
      </c>
    </row>
    <row r="64" spans="1:19" x14ac:dyDescent="0.75">
      <c r="B64" s="11"/>
      <c r="C64" s="12"/>
      <c r="P64" s="11">
        <v>5</v>
      </c>
      <c r="Q64" s="11">
        <f t="shared" si="26"/>
        <v>0</v>
      </c>
      <c r="R64" s="11">
        <f t="shared" si="27"/>
        <v>5</v>
      </c>
      <c r="S64" s="12" t="str" cm="1">
        <f t="array" ref="S64">INDEX('Subject-ConceptMap-5-8'!$I$60:$N$71,Q64+1,R64)</f>
        <v>* group[=].element[=].target.equivalence = #equal</v>
      </c>
    </row>
    <row r="65" spans="2:19" x14ac:dyDescent="0.75">
      <c r="B65" s="11"/>
      <c r="C65" s="12"/>
      <c r="P65" s="11">
        <v>6</v>
      </c>
      <c r="Q65" s="11">
        <f t="shared" si="26"/>
        <v>0</v>
      </c>
      <c r="R65" s="11">
        <f t="shared" si="27"/>
        <v>6</v>
      </c>
      <c r="S65" s="12" cm="1">
        <f t="array" ref="S65">INDEX('Subject-ConceptMap-5-8'!$I$60:$N$71,Q65+1,R65)</f>
        <v>0</v>
      </c>
    </row>
    <row r="66" spans="2:19" x14ac:dyDescent="0.75">
      <c r="P66" s="11">
        <v>7</v>
      </c>
      <c r="Q66" s="11">
        <f t="shared" si="26"/>
        <v>1</v>
      </c>
      <c r="R66" s="11">
        <f t="shared" si="27"/>
        <v>1</v>
      </c>
      <c r="S66" s="12" cm="1">
        <f t="array" ref="S66">INDEX('Subject-ConceptMap-5-8'!$I$60:$N$71,Q66+1,R66)</f>
        <v>0</v>
      </c>
    </row>
    <row r="67" spans="2:19" x14ac:dyDescent="0.75">
      <c r="P67" s="11">
        <v>8</v>
      </c>
      <c r="Q67" s="11">
        <f t="shared" si="26"/>
        <v>1</v>
      </c>
      <c r="R67" s="11">
        <f t="shared" si="27"/>
        <v>2</v>
      </c>
      <c r="S67" s="12" cm="1">
        <f t="array" ref="S67">INDEX('Subject-ConceptMap-5-8'!$I$60:$N$71,Q67+1,R67)</f>
        <v>0</v>
      </c>
    </row>
    <row r="68" spans="2:19" x14ac:dyDescent="0.75">
      <c r="P68" s="11">
        <v>9</v>
      </c>
      <c r="Q68" s="11">
        <f t="shared" si="26"/>
        <v>1</v>
      </c>
      <c r="R68" s="11">
        <f t="shared" si="27"/>
        <v>3</v>
      </c>
      <c r="S68" s="12" cm="1">
        <f t="array" ref="S68">INDEX('Subject-ConceptMap-5-8'!$I$60:$N$71,Q68+1,R68)</f>
        <v>0</v>
      </c>
    </row>
    <row r="69" spans="2:19" x14ac:dyDescent="0.75">
      <c r="P69" s="11">
        <v>10</v>
      </c>
      <c r="Q69" s="11">
        <f t="shared" si="26"/>
        <v>1</v>
      </c>
      <c r="R69" s="11">
        <f t="shared" si="27"/>
        <v>4</v>
      </c>
      <c r="S69" s="12" cm="1">
        <f t="array" ref="S69">INDEX('Subject-ConceptMap-5-8'!$I$60:$N$71,Q69+1,R69)</f>
        <v>0</v>
      </c>
    </row>
    <row r="70" spans="2:19" x14ac:dyDescent="0.75">
      <c r="P70" s="11">
        <v>11</v>
      </c>
      <c r="Q70" s="11">
        <f t="shared" si="26"/>
        <v>1</v>
      </c>
      <c r="R70" s="11">
        <f t="shared" si="27"/>
        <v>5</v>
      </c>
      <c r="S70" s="12" cm="1">
        <f t="array" ref="S70">INDEX('Subject-ConceptMap-5-8'!$I$60:$N$71,Q70+1,R70)</f>
        <v>0</v>
      </c>
    </row>
    <row r="71" spans="2:19" x14ac:dyDescent="0.75">
      <c r="P71" s="11">
        <v>12</v>
      </c>
      <c r="Q71" s="11">
        <f t="shared" si="26"/>
        <v>1</v>
      </c>
      <c r="R71" s="11">
        <f t="shared" si="27"/>
        <v>6</v>
      </c>
      <c r="S71" s="12" cm="1">
        <f t="array" ref="S71">INDEX('Subject-ConceptMap-5-8'!$I$60:$N$71,Q71+1,R71)</f>
        <v>0</v>
      </c>
    </row>
    <row r="72" spans="2:19" x14ac:dyDescent="0.75">
      <c r="P72" s="11"/>
      <c r="Q72" s="11"/>
      <c r="R72" s="11"/>
      <c r="S72" s="12"/>
    </row>
    <row r="73" spans="2:19" x14ac:dyDescent="0.75">
      <c r="P73" s="11"/>
      <c r="Q73" s="11"/>
      <c r="R73" s="11"/>
      <c r="S73" s="12"/>
    </row>
    <row r="74" spans="2:19" x14ac:dyDescent="0.75">
      <c r="P74" s="11"/>
      <c r="Q74" s="11"/>
      <c r="R74" s="11"/>
      <c r="S74" s="12"/>
    </row>
    <row r="75" spans="2:19" x14ac:dyDescent="0.75">
      <c r="P75" s="11"/>
      <c r="Q75" s="11"/>
      <c r="R75" s="11"/>
      <c r="S75" s="12"/>
    </row>
    <row r="76" spans="2:19" x14ac:dyDescent="0.75">
      <c r="P76" s="11"/>
      <c r="Q76" s="11"/>
      <c r="R76" s="11"/>
      <c r="S76" s="12"/>
    </row>
    <row r="77" spans="2:19" x14ac:dyDescent="0.75">
      <c r="P77" s="11"/>
      <c r="Q77" s="11"/>
      <c r="R77" s="11"/>
      <c r="S77" s="12"/>
    </row>
    <row r="78" spans="2:19" x14ac:dyDescent="0.75">
      <c r="P78" s="11"/>
      <c r="Q78" s="11"/>
      <c r="R78" s="11"/>
      <c r="S78" s="12"/>
    </row>
    <row r="79" spans="2:19" x14ac:dyDescent="0.75">
      <c r="P79" s="11"/>
      <c r="Q79" s="11"/>
      <c r="R79" s="11"/>
      <c r="S79" s="12"/>
    </row>
    <row r="80" spans="2:19" x14ac:dyDescent="0.75">
      <c r="P80" s="11"/>
      <c r="Q80" s="11"/>
      <c r="R80" s="11"/>
      <c r="S80" s="12"/>
    </row>
    <row r="81" spans="16:19" x14ac:dyDescent="0.75">
      <c r="P81" s="11"/>
      <c r="Q81" s="11"/>
      <c r="R81" s="11"/>
      <c r="S81" s="12"/>
    </row>
    <row r="82" spans="16:19" x14ac:dyDescent="0.75">
      <c r="P82" s="11"/>
      <c r="Q82" s="11"/>
      <c r="R82" s="11"/>
      <c r="S82" s="12"/>
    </row>
    <row r="83" spans="16:19" x14ac:dyDescent="0.75">
      <c r="P83" s="11"/>
      <c r="Q83" s="11"/>
      <c r="R83" s="11"/>
      <c r="S83" s="12"/>
    </row>
    <row r="84" spans="16:19" x14ac:dyDescent="0.75">
      <c r="P84" s="11"/>
      <c r="Q84" s="11"/>
      <c r="R84" s="11"/>
      <c r="S84" s="12"/>
    </row>
    <row r="85" spans="16:19" x14ac:dyDescent="0.75">
      <c r="P85" s="11"/>
      <c r="Q85" s="11"/>
      <c r="R85" s="11"/>
      <c r="S85" s="12"/>
    </row>
    <row r="86" spans="16:19" x14ac:dyDescent="0.75">
      <c r="P86" s="11"/>
      <c r="Q86" s="11"/>
      <c r="R86" s="11"/>
      <c r="S86" s="12"/>
    </row>
    <row r="87" spans="16:19" x14ac:dyDescent="0.75">
      <c r="P87" s="11"/>
      <c r="Q87" s="11"/>
      <c r="R87" s="11"/>
      <c r="S87" s="12"/>
    </row>
    <row r="88" spans="16:19" x14ac:dyDescent="0.75">
      <c r="P88" s="11"/>
      <c r="Q88" s="11"/>
      <c r="R88" s="11"/>
      <c r="S88" s="12"/>
    </row>
    <row r="89" spans="16:19" x14ac:dyDescent="0.75">
      <c r="P89" s="11"/>
      <c r="Q89" s="11"/>
      <c r="R89" s="11"/>
      <c r="S89" s="12"/>
    </row>
    <row r="90" spans="16:19" x14ac:dyDescent="0.75">
      <c r="P90" s="11"/>
      <c r="Q90" s="11"/>
      <c r="R90" s="11"/>
      <c r="S90" s="12"/>
    </row>
    <row r="91" spans="16:19" x14ac:dyDescent="0.75">
      <c r="P91" s="11"/>
      <c r="Q91" s="11"/>
      <c r="R91" s="11"/>
      <c r="S91" s="12"/>
    </row>
    <row r="92" spans="16:19" x14ac:dyDescent="0.75">
      <c r="P92" s="11"/>
      <c r="Q92" s="11"/>
      <c r="R92" s="11"/>
      <c r="S92" s="12"/>
    </row>
    <row r="93" spans="16:19" x14ac:dyDescent="0.75">
      <c r="P93" s="11"/>
      <c r="Q93" s="11"/>
      <c r="R93" s="11"/>
      <c r="S93" s="12"/>
    </row>
    <row r="94" spans="16:19" x14ac:dyDescent="0.75">
      <c r="P94" s="11"/>
      <c r="Q94" s="11"/>
      <c r="R94" s="11"/>
      <c r="S94" s="12"/>
    </row>
    <row r="95" spans="16:19" x14ac:dyDescent="0.75">
      <c r="P95" s="11"/>
      <c r="Q95" s="11"/>
      <c r="R95" s="11"/>
      <c r="S95" s="12"/>
    </row>
    <row r="96" spans="16:19" x14ac:dyDescent="0.75">
      <c r="P96" s="11"/>
      <c r="Q96" s="11"/>
      <c r="R96" s="11"/>
      <c r="S96" s="12"/>
    </row>
    <row r="97" spans="16:19" x14ac:dyDescent="0.75">
      <c r="P97" s="11"/>
      <c r="Q97" s="11"/>
      <c r="R97" s="11"/>
      <c r="S97" s="12"/>
    </row>
    <row r="98" spans="16:19" x14ac:dyDescent="0.75">
      <c r="P98" s="11"/>
      <c r="Q98" s="11"/>
      <c r="R98" s="11"/>
      <c r="S98" s="12"/>
    </row>
    <row r="99" spans="16:19" x14ac:dyDescent="0.75">
      <c r="P99" s="11"/>
      <c r="Q99" s="11"/>
      <c r="R99" s="11"/>
      <c r="S99" s="12"/>
    </row>
    <row r="100" spans="16:19" x14ac:dyDescent="0.75">
      <c r="P100" s="11"/>
      <c r="Q100" s="11"/>
      <c r="R100" s="11"/>
      <c r="S100" s="12"/>
    </row>
    <row r="101" spans="16:19" x14ac:dyDescent="0.75">
      <c r="P101" s="11"/>
      <c r="Q101" s="11"/>
      <c r="R101" s="11"/>
      <c r="S101" s="12"/>
    </row>
    <row r="102" spans="16:19" x14ac:dyDescent="0.75">
      <c r="P102" s="11"/>
      <c r="Q102" s="11"/>
      <c r="R102" s="11"/>
      <c r="S102" s="12"/>
    </row>
    <row r="103" spans="16:19" x14ac:dyDescent="0.75">
      <c r="P103" s="11"/>
      <c r="Q103" s="11"/>
      <c r="R103" s="11"/>
      <c r="S103" s="12"/>
    </row>
    <row r="104" spans="16:19" x14ac:dyDescent="0.75">
      <c r="P104" s="11"/>
      <c r="Q104" s="11"/>
      <c r="R104" s="11"/>
      <c r="S104" s="12"/>
    </row>
    <row r="105" spans="16:19" x14ac:dyDescent="0.75">
      <c r="P105" s="11"/>
      <c r="Q105" s="11"/>
      <c r="R105" s="11"/>
      <c r="S105" s="12"/>
    </row>
    <row r="106" spans="16:19" x14ac:dyDescent="0.75">
      <c r="P106" s="11"/>
      <c r="Q106" s="11"/>
      <c r="R106" s="11"/>
      <c r="S106" s="12"/>
    </row>
    <row r="107" spans="16:19" x14ac:dyDescent="0.75">
      <c r="P107" s="11"/>
      <c r="Q107" s="11"/>
      <c r="R107" s="11"/>
      <c r="S107" s="12"/>
    </row>
    <row r="108" spans="16:19" x14ac:dyDescent="0.75">
      <c r="P108" s="11"/>
      <c r="Q108" s="11"/>
      <c r="R108" s="11"/>
      <c r="S108" s="12"/>
    </row>
    <row r="109" spans="16:19" x14ac:dyDescent="0.75">
      <c r="P109" s="11"/>
      <c r="Q109" s="11"/>
      <c r="R109" s="11"/>
      <c r="S109" s="12"/>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0" t="s">
        <v>1565</v>
      </c>
      <c r="F4" s="151"/>
      <c r="G4" s="151"/>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1565</v>
      </c>
      <c r="F7" s="151"/>
      <c r="G7" s="151"/>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1544</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x14ac:dyDescent="0.75">
      <c r="B16" s="11" t="str">
        <f>Subject!B41</f>
        <v>noGeneticSyndromeWho2020</v>
      </c>
      <c r="C16" s="12" t="str">
        <f>Subject!C41</f>
        <v xml:space="preserve">No Genetic syndrome WHO 2020 </v>
      </c>
      <c r="D16" s="12"/>
      <c r="E16" s="12"/>
      <c r="F16" s="49" t="s">
        <v>1938</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x14ac:dyDescent="0.75">
      <c r="B17" s="11" t="str">
        <f>Subject!B52</f>
        <v>noGeneticSyndromeWho2020.otherSyndromes</v>
      </c>
      <c r="C17" s="12" t="str">
        <f>Subject!C52</f>
        <v xml:space="preserve">Other Genetic syndrome WHO 2020 </v>
      </c>
      <c r="D17" s="12"/>
      <c r="E17" s="12"/>
      <c r="F17" s="49" t="s">
        <v>1311</v>
      </c>
      <c r="G17" s="11"/>
      <c r="I17" s="12" t="str">
        <f t="shared" si="7"/>
        <v>* group[=].element[+].code = #Subject.noGeneticSyndromeWho2020.otherSyndromes</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x14ac:dyDescent="0.75">
      <c r="B18" s="11" t="str">
        <f>Subject!B53</f>
        <v>occurrenceOfOtherCancer</v>
      </c>
      <c r="C18" s="12" t="str">
        <f>Subject!C53</f>
        <v>Occurrence of other cancer</v>
      </c>
      <c r="D18" s="12"/>
      <c r="E18" s="12"/>
      <c r="F18" s="49" t="s">
        <v>1311</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x14ac:dyDescent="0.75">
      <c r="B19" s="11" t="str">
        <f>Subject!B54</f>
        <v>previousCancerTreatment</v>
      </c>
      <c r="C19" s="12" t="str">
        <f>Subject!C54</f>
        <v>Previous cancer treatment</v>
      </c>
      <c r="D19" s="12"/>
      <c r="E19" s="12"/>
      <c r="F19" s="49" t="s">
        <v>1311</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x14ac:dyDescent="0.75">
      <c r="B20" s="11" t="str">
        <f>Subject!B55</f>
        <v>lastContact</v>
      </c>
      <c r="C20" s="12" t="str">
        <f>Subject!C55</f>
        <v>Last Contact</v>
      </c>
      <c r="D20" s="12"/>
      <c r="E20" s="12"/>
      <c r="F20" s="49" t="s">
        <v>1311</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x14ac:dyDescent="0.75">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x14ac:dyDescent="0.75">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x14ac:dyDescent="0.75">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x14ac:dyDescent="0.75">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x14ac:dyDescent="0.75">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x14ac:dyDescent="0.75">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x14ac:dyDescent="0.75">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x14ac:dyDescent="0.75">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x14ac:dyDescent="0.75">
      <c r="I29" s="12"/>
      <c r="J29" s="12"/>
      <c r="K29" s="12"/>
      <c r="L29" s="12"/>
      <c r="M29" s="12"/>
      <c r="N29" s="12" t="str">
        <f t="shared" si="4"/>
        <v/>
      </c>
      <c r="P29" s="11">
        <v>27</v>
      </c>
      <c r="Q29" s="11">
        <f t="shared" si="5"/>
        <v>4</v>
      </c>
      <c r="R29" s="11">
        <f t="shared" si="6"/>
        <v>3</v>
      </c>
      <c r="S29" s="12" t="str" cm="1">
        <f t="array" ref="S29">INDEX('Subject-ConceptMap-9'!$I$15:$N$58,Q29+1,R29)</f>
        <v>//-- unmatched</v>
      </c>
    </row>
    <row r="30" spans="2:19" x14ac:dyDescent="0.75">
      <c r="I30" s="12"/>
      <c r="J30" s="12"/>
      <c r="K30" s="12"/>
      <c r="L30" s="12"/>
      <c r="M30" s="12"/>
      <c r="N30" s="12" t="str">
        <f t="shared" si="4"/>
        <v/>
      </c>
      <c r="P30" s="11">
        <v>28</v>
      </c>
      <c r="Q30" s="11">
        <f t="shared" si="5"/>
        <v>4</v>
      </c>
      <c r="R30" s="11">
        <f t="shared" si="6"/>
        <v>4</v>
      </c>
      <c r="S30" s="12" t="str" cm="1">
        <f t="array" ref="S30">INDEX('Subject-ConceptMap-9'!$I$15:$N$58,Q30+1,R30)</f>
        <v>//-- unmatched</v>
      </c>
    </row>
    <row r="31" spans="2:19" x14ac:dyDescent="0.75">
      <c r="P31" s="11">
        <v>29</v>
      </c>
      <c r="Q31" s="11">
        <f t="shared" si="5"/>
        <v>4</v>
      </c>
      <c r="R31" s="11">
        <f t="shared" si="6"/>
        <v>5</v>
      </c>
      <c r="S31" s="12" t="str" cm="1">
        <f t="array" ref="S31">INDEX('Subject-ConceptMap-9'!$I$15:$N$58,Q31+1,R31)</f>
        <v>* group[=].element[=].target.equivalence = #unmatched</v>
      </c>
    </row>
    <row r="32" spans="2:19" x14ac:dyDescent="0.75">
      <c r="P32" s="11">
        <v>30</v>
      </c>
      <c r="Q32" s="11">
        <f t="shared" si="5"/>
        <v>4</v>
      </c>
      <c r="R32" s="11">
        <f t="shared" si="6"/>
        <v>6</v>
      </c>
      <c r="S32" s="12" t="str" cm="1">
        <f t="array" ref="S32">INDEX('Subject-ConceptMap-9'!$I$15:$N$58,Q32+1,R32)</f>
        <v/>
      </c>
    </row>
    <row r="33" spans="16:19" x14ac:dyDescent="0.75">
      <c r="P33" s="11">
        <v>31</v>
      </c>
      <c r="Q33" s="11">
        <f t="shared" si="5"/>
        <v>5</v>
      </c>
      <c r="R33" s="11">
        <f t="shared" si="6"/>
        <v>1</v>
      </c>
      <c r="S33" s="12" t="str" cm="1">
        <f t="array" ref="S33">INDEX('Subject-ConceptMap-9'!$I$15:$N$58,Q33+1,R33)</f>
        <v>* group[=].element[+].code = #Subject.lastContact</v>
      </c>
    </row>
    <row r="34" spans="16:19" x14ac:dyDescent="0.75">
      <c r="P34" s="11">
        <v>32</v>
      </c>
      <c r="Q34" s="11">
        <f t="shared" si="5"/>
        <v>5</v>
      </c>
      <c r="R34" s="11">
        <f t="shared" si="6"/>
        <v>2</v>
      </c>
      <c r="S34" s="12" t="str" cm="1">
        <f t="array" ref="S34">INDEX('Subject-ConceptMap-9'!$I$15:$N$58,Q34+1,R34)</f>
        <v>* group[=].element[=].display = ##34#Last Contact##34#</v>
      </c>
    </row>
    <row r="35" spans="16:19" x14ac:dyDescent="0.75">
      <c r="P35" s="11">
        <v>33</v>
      </c>
      <c r="Q35" s="11">
        <f t="shared" si="5"/>
        <v>5</v>
      </c>
      <c r="R35" s="11">
        <f t="shared" si="6"/>
        <v>3</v>
      </c>
      <c r="S35" s="12" t="str" cm="1">
        <f t="array" ref="S35">INDEX('Subject-ConceptMap-9'!$I$15:$N$58,Q35+1,R35)</f>
        <v>//-- unmatched</v>
      </c>
    </row>
    <row r="36" spans="16:19" x14ac:dyDescent="0.75">
      <c r="P36" s="11">
        <v>34</v>
      </c>
      <c r="Q36" s="11">
        <f t="shared" si="5"/>
        <v>5</v>
      </c>
      <c r="R36" s="11">
        <f t="shared" si="6"/>
        <v>4</v>
      </c>
      <c r="S36" s="12" t="str" cm="1">
        <f t="array" ref="S36">INDEX('Subject-ConceptMap-9'!$I$15:$N$58,Q36+1,R36)</f>
        <v>//-- unmatched</v>
      </c>
    </row>
    <row r="37" spans="16:19" x14ac:dyDescent="0.75">
      <c r="P37" s="11">
        <v>35</v>
      </c>
      <c r="Q37" s="11">
        <f t="shared" si="5"/>
        <v>5</v>
      </c>
      <c r="R37" s="11">
        <f t="shared" si="6"/>
        <v>5</v>
      </c>
      <c r="S37" s="12" t="str" cm="1">
        <f t="array" ref="S37">INDEX('Subject-ConceptMap-9'!$I$15:$N$58,Q37+1,R37)</f>
        <v>* group[=].element[=].target.equivalence = #unmatched</v>
      </c>
    </row>
    <row r="38" spans="16:19" x14ac:dyDescent="0.75">
      <c r="P38" s="11">
        <v>36</v>
      </c>
      <c r="Q38" s="11">
        <f t="shared" si="5"/>
        <v>5</v>
      </c>
      <c r="R38" s="11">
        <f t="shared" si="6"/>
        <v>6</v>
      </c>
      <c r="S38" s="12" t="str" cm="1">
        <f t="array" ref="S38">INDEX('Subject-ConceptMap-9'!$I$15:$N$58,Q38+1,R38)</f>
        <v/>
      </c>
    </row>
    <row r="39" spans="16:19" x14ac:dyDescent="0.75">
      <c r="P39" s="11">
        <v>37</v>
      </c>
      <c r="Q39" s="11">
        <f t="shared" si="5"/>
        <v>6</v>
      </c>
      <c r="R39" s="11">
        <f t="shared" si="6"/>
        <v>1</v>
      </c>
      <c r="S39" s="12" cm="1">
        <f t="array" ref="S39">INDEX('Subject-ConceptMap-9'!$I$15:$N$58,Q39+1,R39)</f>
        <v>0</v>
      </c>
    </row>
    <row r="40" spans="16:19" x14ac:dyDescent="0.75">
      <c r="P40" s="11">
        <v>38</v>
      </c>
      <c r="Q40" s="11">
        <f t="shared" si="5"/>
        <v>6</v>
      </c>
      <c r="R40" s="11">
        <f t="shared" si="6"/>
        <v>2</v>
      </c>
      <c r="S40" s="12" cm="1">
        <f t="array" ref="S40">INDEX('Subject-ConceptMap-9'!$I$15:$N$58,Q40+1,R40)</f>
        <v>0</v>
      </c>
    </row>
    <row r="41" spans="16:19" x14ac:dyDescent="0.75">
      <c r="P41" s="11">
        <v>39</v>
      </c>
      <c r="Q41" s="11">
        <f t="shared" si="5"/>
        <v>6</v>
      </c>
      <c r="R41" s="11">
        <f t="shared" si="6"/>
        <v>3</v>
      </c>
      <c r="S41" s="12" cm="1">
        <f t="array" ref="S41">INDEX('Subject-ConceptMap-9'!$I$15:$N$58,Q41+1,R41)</f>
        <v>0</v>
      </c>
    </row>
    <row r="42" spans="16:19" x14ac:dyDescent="0.75">
      <c r="P42" s="11">
        <v>40</v>
      </c>
      <c r="Q42" s="11">
        <f t="shared" si="5"/>
        <v>6</v>
      </c>
      <c r="R42" s="11">
        <f t="shared" si="6"/>
        <v>4</v>
      </c>
      <c r="S42" s="12" cm="1">
        <f t="array" ref="S42">INDEX('Subject-ConceptMap-9'!$I$15:$N$58,Q42+1,R42)</f>
        <v>0</v>
      </c>
    </row>
    <row r="43" spans="16:19" x14ac:dyDescent="0.75">
      <c r="P43" s="11">
        <v>41</v>
      </c>
      <c r="Q43" s="11">
        <f t="shared" si="5"/>
        <v>6</v>
      </c>
      <c r="R43" s="11">
        <f t="shared" si="6"/>
        <v>5</v>
      </c>
      <c r="S43" s="12" cm="1">
        <f t="array" ref="S43">INDEX('Subject-ConceptMap-9'!$I$15:$N$58,Q43+1,R43)</f>
        <v>0</v>
      </c>
    </row>
    <row r="44" spans="16:19" x14ac:dyDescent="0.75">
      <c r="P44" s="11">
        <v>42</v>
      </c>
      <c r="Q44" s="11">
        <f t="shared" si="5"/>
        <v>6</v>
      </c>
      <c r="R44" s="11">
        <f t="shared" si="6"/>
        <v>6</v>
      </c>
      <c r="S44" s="12" t="str" cm="1">
        <f t="array" ref="S44">INDEX('Subject-ConceptMap-9'!$I$15:$N$58,Q44+1,R44)</f>
        <v/>
      </c>
    </row>
    <row r="45" spans="16:19" x14ac:dyDescent="0.75">
      <c r="P45" s="11">
        <v>43</v>
      </c>
      <c r="Q45" s="11">
        <f t="shared" si="5"/>
        <v>7</v>
      </c>
      <c r="R45" s="11">
        <f t="shared" si="6"/>
        <v>1</v>
      </c>
      <c r="S45" s="12" cm="1">
        <f t="array" ref="S45">INDEX('Subject-ConceptMap-9'!$I$15:$N$58,Q45+1,R45)</f>
        <v>0</v>
      </c>
    </row>
    <row r="46" spans="16:19" x14ac:dyDescent="0.75">
      <c r="P46" s="11">
        <v>44</v>
      </c>
      <c r="Q46" s="11">
        <f t="shared" si="5"/>
        <v>7</v>
      </c>
      <c r="R46" s="11">
        <f t="shared" si="6"/>
        <v>2</v>
      </c>
      <c r="S46" s="12" cm="1">
        <f t="array" ref="S46">INDEX('Subject-ConceptMap-9'!$I$15:$N$58,Q46+1,R46)</f>
        <v>0</v>
      </c>
    </row>
    <row r="47" spans="16:19" x14ac:dyDescent="0.75">
      <c r="P47" s="11">
        <v>45</v>
      </c>
      <c r="Q47" s="11">
        <f t="shared" si="5"/>
        <v>7</v>
      </c>
      <c r="R47" s="11">
        <f t="shared" si="6"/>
        <v>3</v>
      </c>
      <c r="S47" s="12" cm="1">
        <f t="array" ref="S47">INDEX('Subject-ConceptMap-9'!$I$15:$N$58,Q47+1,R47)</f>
        <v>0</v>
      </c>
    </row>
    <row r="48" spans="16:19" x14ac:dyDescent="0.75">
      <c r="P48" s="11">
        <v>46</v>
      </c>
      <c r="Q48" s="11">
        <f t="shared" si="5"/>
        <v>7</v>
      </c>
      <c r="R48" s="11">
        <f t="shared" si="6"/>
        <v>4</v>
      </c>
      <c r="S48" s="12" cm="1">
        <f t="array" ref="S48">INDEX('Subject-ConceptMap-9'!$I$15:$N$58,Q48+1,R48)</f>
        <v>0</v>
      </c>
    </row>
    <row r="49" spans="16:19" x14ac:dyDescent="0.75">
      <c r="P49" s="11">
        <v>47</v>
      </c>
      <c r="Q49" s="11">
        <f t="shared" si="5"/>
        <v>7</v>
      </c>
      <c r="R49" s="11">
        <f t="shared" si="6"/>
        <v>5</v>
      </c>
      <c r="S49" s="12" cm="1">
        <f t="array" ref="S49">INDEX('Subject-ConceptMap-9'!$I$15:$N$58,Q49+1,R49)</f>
        <v>0</v>
      </c>
    </row>
    <row r="50" spans="16:19" x14ac:dyDescent="0.75">
      <c r="P50" s="11">
        <v>48</v>
      </c>
      <c r="Q50" s="11">
        <f t="shared" si="5"/>
        <v>7</v>
      </c>
      <c r="R50" s="11">
        <f t="shared" si="6"/>
        <v>6</v>
      </c>
      <c r="S50" s="12" t="str" cm="1">
        <f t="array" ref="S50">INDEX('Subject-ConceptMap-9'!$I$15:$N$58,Q50+1,R50)</f>
        <v/>
      </c>
    </row>
    <row r="51" spans="16:19" x14ac:dyDescent="0.75">
      <c r="P51" s="11">
        <v>49</v>
      </c>
      <c r="Q51" s="11">
        <f t="shared" si="5"/>
        <v>8</v>
      </c>
      <c r="R51" s="11">
        <f t="shared" si="6"/>
        <v>1</v>
      </c>
      <c r="S51" s="12" cm="1">
        <f t="array" ref="S51">INDEX('Subject-ConceptMap-9'!$I$15:$N$58,Q51+1,R51)</f>
        <v>0</v>
      </c>
    </row>
    <row r="52" spans="16:19" x14ac:dyDescent="0.75">
      <c r="P52" s="11">
        <v>50</v>
      </c>
      <c r="Q52" s="11">
        <f t="shared" si="5"/>
        <v>8</v>
      </c>
      <c r="R52" s="11">
        <f t="shared" si="6"/>
        <v>2</v>
      </c>
      <c r="S52" s="12" cm="1">
        <f t="array" ref="S52">INDEX('Subject-ConceptMap-9'!$I$15:$N$58,Q52+1,R52)</f>
        <v>0</v>
      </c>
    </row>
    <row r="53" spans="16:19" x14ac:dyDescent="0.75">
      <c r="P53" s="11">
        <v>51</v>
      </c>
      <c r="Q53" s="11">
        <f t="shared" si="5"/>
        <v>8</v>
      </c>
      <c r="R53" s="11">
        <f t="shared" si="6"/>
        <v>3</v>
      </c>
      <c r="S53" s="12" cm="1">
        <f t="array" ref="S53">INDEX('Subject-ConceptMap-9'!$I$15:$N$58,Q53+1,R53)</f>
        <v>0</v>
      </c>
    </row>
    <row r="54" spans="16:19" x14ac:dyDescent="0.75">
      <c r="P54" s="11">
        <v>52</v>
      </c>
      <c r="Q54" s="11">
        <f t="shared" si="5"/>
        <v>8</v>
      </c>
      <c r="R54" s="11">
        <f t="shared" si="6"/>
        <v>4</v>
      </c>
      <c r="S54" s="12" cm="1">
        <f t="array" ref="S54">INDEX('Subject-ConceptMap-9'!$I$15:$N$58,Q54+1,R54)</f>
        <v>0</v>
      </c>
    </row>
    <row r="55" spans="16:19" x14ac:dyDescent="0.75">
      <c r="P55" s="11">
        <v>53</v>
      </c>
      <c r="Q55" s="11">
        <f t="shared" si="5"/>
        <v>8</v>
      </c>
      <c r="R55" s="11">
        <f t="shared" si="6"/>
        <v>5</v>
      </c>
      <c r="S55" s="12" cm="1">
        <f t="array" ref="S55">INDEX('Subject-ConceptMap-9'!$I$15:$N$58,Q55+1,R55)</f>
        <v>0</v>
      </c>
    </row>
    <row r="56" spans="16:19" x14ac:dyDescent="0.75">
      <c r="P56" s="11">
        <v>54</v>
      </c>
      <c r="Q56" s="11">
        <f t="shared" si="5"/>
        <v>8</v>
      </c>
      <c r="R56" s="11">
        <f t="shared" si="6"/>
        <v>6</v>
      </c>
      <c r="S56" s="12" t="str" cm="1">
        <f t="array" ref="S56">INDEX('Subject-ConceptMap-9'!$I$15:$N$58,Q56+1,R56)</f>
        <v/>
      </c>
    </row>
    <row r="57" spans="16:19" x14ac:dyDescent="0.75">
      <c r="P57" s="11">
        <v>55</v>
      </c>
      <c r="Q57" s="11">
        <f t="shared" si="5"/>
        <v>9</v>
      </c>
      <c r="R57" s="11">
        <f t="shared" si="6"/>
        <v>1</v>
      </c>
      <c r="S57" s="12" cm="1">
        <f t="array" ref="S57">INDEX('Subject-ConceptMap-9'!$I$15:$N$58,Q57+1,R57)</f>
        <v>0</v>
      </c>
    </row>
    <row r="58" spans="16:19" x14ac:dyDescent="0.75">
      <c r="P58" s="11">
        <v>56</v>
      </c>
      <c r="Q58" s="11">
        <f t="shared" si="5"/>
        <v>9</v>
      </c>
      <c r="R58" s="11">
        <f t="shared" si="6"/>
        <v>2</v>
      </c>
      <c r="S58" s="12" cm="1">
        <f t="array" ref="S58">INDEX('Subject-ConceptMap-9'!$I$15:$N$58,Q58+1,R58)</f>
        <v>0</v>
      </c>
    </row>
    <row r="59" spans="16:19" x14ac:dyDescent="0.75">
      <c r="P59" s="11">
        <v>57</v>
      </c>
      <c r="Q59" s="11">
        <f t="shared" si="5"/>
        <v>9</v>
      </c>
      <c r="R59" s="11">
        <f t="shared" si="6"/>
        <v>3</v>
      </c>
      <c r="S59" s="12" cm="1">
        <f t="array" ref="S59">INDEX('Subject-ConceptMap-9'!$I$15:$N$58,Q59+1,R59)</f>
        <v>0</v>
      </c>
    </row>
    <row r="60" spans="16:19" x14ac:dyDescent="0.75">
      <c r="P60" s="11">
        <v>58</v>
      </c>
      <c r="Q60" s="11">
        <f t="shared" si="5"/>
        <v>9</v>
      </c>
      <c r="R60" s="11">
        <f t="shared" si="6"/>
        <v>4</v>
      </c>
      <c r="S60" s="12" cm="1">
        <f t="array" ref="S60">INDEX('Subject-ConceptMap-9'!$I$15:$N$58,Q60+1,R60)</f>
        <v>0</v>
      </c>
    </row>
    <row r="61" spans="16:19" x14ac:dyDescent="0.75">
      <c r="P61" s="11">
        <v>59</v>
      </c>
      <c r="Q61" s="11">
        <f t="shared" si="5"/>
        <v>9</v>
      </c>
      <c r="R61" s="11">
        <f t="shared" si="6"/>
        <v>5</v>
      </c>
      <c r="S61" s="12" cm="1">
        <f t="array" ref="S61">INDEX('Subject-ConceptMap-9'!$I$15:$N$58,Q61+1,R61)</f>
        <v>0</v>
      </c>
    </row>
    <row r="62" spans="16:19" x14ac:dyDescent="0.75">
      <c r="P62" s="11">
        <v>60</v>
      </c>
      <c r="Q62" s="11">
        <f t="shared" si="5"/>
        <v>9</v>
      </c>
      <c r="R62" s="11">
        <f t="shared" si="6"/>
        <v>6</v>
      </c>
      <c r="S62" s="12" t="str" cm="1">
        <f t="array" ref="S62">INDEX('Subject-ConceptMap-9'!$I$15:$N$58,Q62+1,R62)</f>
        <v/>
      </c>
    </row>
    <row r="63" spans="16:19" x14ac:dyDescent="0.75">
      <c r="P63" s="11">
        <v>61</v>
      </c>
      <c r="Q63" s="11">
        <f t="shared" si="5"/>
        <v>10</v>
      </c>
      <c r="R63" s="11">
        <f t="shared" si="6"/>
        <v>1</v>
      </c>
      <c r="S63" s="12" cm="1">
        <f t="array" ref="S63">INDEX('Subject-ConceptMap-9'!$I$15:$N$58,Q63+1,R63)</f>
        <v>0</v>
      </c>
    </row>
    <row r="64" spans="16:19" x14ac:dyDescent="0.75">
      <c r="P64" s="11">
        <v>62</v>
      </c>
      <c r="Q64" s="11">
        <f t="shared" si="5"/>
        <v>10</v>
      </c>
      <c r="R64" s="11">
        <f t="shared" si="6"/>
        <v>2</v>
      </c>
      <c r="S64" s="12" cm="1">
        <f t="array" ref="S64">INDEX('Subject-ConceptMap-9'!$I$15:$N$58,Q64+1,R64)</f>
        <v>0</v>
      </c>
    </row>
    <row r="65" spans="16:19" x14ac:dyDescent="0.75">
      <c r="P65" s="11">
        <v>63</v>
      </c>
      <c r="Q65" s="11">
        <f t="shared" si="5"/>
        <v>10</v>
      </c>
      <c r="R65" s="11">
        <f t="shared" si="6"/>
        <v>3</v>
      </c>
      <c r="S65" s="12" cm="1">
        <f t="array" ref="S65">INDEX('Subject-ConceptMap-9'!$I$15:$N$58,Q65+1,R65)</f>
        <v>0</v>
      </c>
    </row>
    <row r="66" spans="16:19" x14ac:dyDescent="0.75">
      <c r="P66" s="11">
        <v>64</v>
      </c>
      <c r="Q66" s="11">
        <f t="shared" si="5"/>
        <v>10</v>
      </c>
      <c r="R66" s="11">
        <f t="shared" si="6"/>
        <v>4</v>
      </c>
      <c r="S66" s="12" cm="1">
        <f t="array" ref="S66">INDEX('Subject-ConceptMap-9'!$I$15:$N$58,Q66+1,R66)</f>
        <v>0</v>
      </c>
    </row>
    <row r="67" spans="16:19" x14ac:dyDescent="0.75">
      <c r="P67" s="11">
        <v>65</v>
      </c>
      <c r="Q67" s="11">
        <f t="shared" ref="Q67:Q109" si="8">IF(MOD(P67,$Q$8)=0,P67/$Q$8-1,INT(P67/$Q$8))</f>
        <v>10</v>
      </c>
      <c r="R67" s="11">
        <f t="shared" ref="R67:R109" si="9">IF(MOD(P67,$Q$8)=0,$Q$8,MOD(P67,$Q$8))</f>
        <v>5</v>
      </c>
      <c r="S67" s="12" cm="1">
        <f t="array" ref="S67">INDEX('Subject-ConceptMap-9'!$I$15:$N$58,Q67+1,R67)</f>
        <v>0</v>
      </c>
    </row>
    <row r="68" spans="16:19" x14ac:dyDescent="0.75">
      <c r="P68" s="11">
        <v>66</v>
      </c>
      <c r="Q68" s="11">
        <f t="shared" si="8"/>
        <v>10</v>
      </c>
      <c r="R68" s="11">
        <f t="shared" si="9"/>
        <v>6</v>
      </c>
      <c r="S68" s="12" t="str" cm="1">
        <f t="array" ref="S68">INDEX('Subject-ConceptMap-9'!$I$15:$N$58,Q68+1,R68)</f>
        <v/>
      </c>
    </row>
    <row r="69" spans="16:19" x14ac:dyDescent="0.75">
      <c r="P69" s="11">
        <v>67</v>
      </c>
      <c r="Q69" s="11">
        <f t="shared" si="8"/>
        <v>11</v>
      </c>
      <c r="R69" s="11">
        <f t="shared" si="9"/>
        <v>1</v>
      </c>
      <c r="S69" s="12" cm="1">
        <f t="array" ref="S69">INDEX('Subject-ConceptMap-9'!$I$15:$N$58,Q69+1,R69)</f>
        <v>0</v>
      </c>
    </row>
    <row r="70" spans="16:19" x14ac:dyDescent="0.75">
      <c r="P70" s="11">
        <v>68</v>
      </c>
      <c r="Q70" s="11">
        <f t="shared" si="8"/>
        <v>11</v>
      </c>
      <c r="R70" s="11">
        <f t="shared" si="9"/>
        <v>2</v>
      </c>
      <c r="S70" s="12" cm="1">
        <f t="array" ref="S70">INDEX('Subject-ConceptMap-9'!$I$15:$N$58,Q70+1,R70)</f>
        <v>0</v>
      </c>
    </row>
    <row r="71" spans="16:19" x14ac:dyDescent="0.75">
      <c r="P71" s="11">
        <v>69</v>
      </c>
      <c r="Q71" s="11">
        <f t="shared" si="8"/>
        <v>11</v>
      </c>
      <c r="R71" s="11">
        <f t="shared" si="9"/>
        <v>3</v>
      </c>
      <c r="S71" s="12" cm="1">
        <f t="array" ref="S71">INDEX('Subject-ConceptMap-9'!$I$15:$N$58,Q71+1,R71)</f>
        <v>0</v>
      </c>
    </row>
    <row r="72" spans="16:19" x14ac:dyDescent="0.75">
      <c r="P72" s="11">
        <v>70</v>
      </c>
      <c r="Q72" s="11">
        <f t="shared" si="8"/>
        <v>11</v>
      </c>
      <c r="R72" s="11">
        <f t="shared" si="9"/>
        <v>4</v>
      </c>
      <c r="S72" s="12" cm="1">
        <f t="array" ref="S72">INDEX('Subject-ConceptMap-9'!$I$15:$N$58,Q72+1,R72)</f>
        <v>0</v>
      </c>
    </row>
    <row r="73" spans="16:19" x14ac:dyDescent="0.75">
      <c r="P73" s="11">
        <v>71</v>
      </c>
      <c r="Q73" s="11">
        <f t="shared" si="8"/>
        <v>11</v>
      </c>
      <c r="R73" s="11">
        <f t="shared" si="9"/>
        <v>5</v>
      </c>
      <c r="S73" s="12" cm="1">
        <f t="array" ref="S73">INDEX('Subject-ConceptMap-9'!$I$15:$N$58,Q73+1,R73)</f>
        <v>0</v>
      </c>
    </row>
    <row r="74" spans="16:19" x14ac:dyDescent="0.75">
      <c r="P74" s="11">
        <v>72</v>
      </c>
      <c r="Q74" s="11">
        <f t="shared" si="8"/>
        <v>11</v>
      </c>
      <c r="R74" s="11">
        <f t="shared" si="9"/>
        <v>6</v>
      </c>
      <c r="S74" s="12" t="str" cm="1">
        <f t="array" ref="S74">INDEX('Subject-ConceptMap-9'!$I$15:$N$58,Q74+1,R74)</f>
        <v/>
      </c>
    </row>
    <row r="75" spans="16:19" x14ac:dyDescent="0.75">
      <c r="P75" s="11">
        <v>73</v>
      </c>
      <c r="Q75" s="11">
        <f t="shared" si="8"/>
        <v>12</v>
      </c>
      <c r="R75" s="11">
        <f t="shared" si="9"/>
        <v>1</v>
      </c>
      <c r="S75" s="12" cm="1">
        <f t="array" ref="S75">INDEX('Subject-ConceptMap-9'!$I$15:$N$58,Q75+1,R75)</f>
        <v>0</v>
      </c>
    </row>
    <row r="76" spans="16:19" x14ac:dyDescent="0.75">
      <c r="P76" s="11">
        <v>74</v>
      </c>
      <c r="Q76" s="11">
        <f t="shared" si="8"/>
        <v>12</v>
      </c>
      <c r="R76" s="11">
        <f t="shared" si="9"/>
        <v>2</v>
      </c>
      <c r="S76" s="12" cm="1">
        <f t="array" ref="S76">INDEX('Subject-ConceptMap-9'!$I$15:$N$58,Q76+1,R76)</f>
        <v>0</v>
      </c>
    </row>
    <row r="77" spans="16:19" x14ac:dyDescent="0.75">
      <c r="P77" s="11">
        <v>75</v>
      </c>
      <c r="Q77" s="11">
        <f t="shared" si="8"/>
        <v>12</v>
      </c>
      <c r="R77" s="11">
        <f t="shared" si="9"/>
        <v>3</v>
      </c>
      <c r="S77" s="12" cm="1">
        <f t="array" ref="S77">INDEX('Subject-ConceptMap-9'!$I$15:$N$58,Q77+1,R77)</f>
        <v>0</v>
      </c>
    </row>
    <row r="78" spans="16:19" x14ac:dyDescent="0.75">
      <c r="P78" s="11">
        <v>76</v>
      </c>
      <c r="Q78" s="11">
        <f t="shared" si="8"/>
        <v>12</v>
      </c>
      <c r="R78" s="11">
        <f t="shared" si="9"/>
        <v>4</v>
      </c>
      <c r="S78" s="12" cm="1">
        <f t="array" ref="S78">INDEX('Subject-ConceptMap-9'!$I$15:$N$58,Q78+1,R78)</f>
        <v>0</v>
      </c>
    </row>
    <row r="79" spans="16:19" x14ac:dyDescent="0.75">
      <c r="P79" s="11">
        <v>77</v>
      </c>
      <c r="Q79" s="11">
        <f t="shared" si="8"/>
        <v>12</v>
      </c>
      <c r="R79" s="11">
        <f t="shared" si="9"/>
        <v>5</v>
      </c>
      <c r="S79" s="12" cm="1">
        <f t="array" ref="S79">INDEX('Subject-ConceptMap-9'!$I$15:$N$58,Q79+1,R79)</f>
        <v>0</v>
      </c>
    </row>
    <row r="80" spans="16:19" x14ac:dyDescent="0.75">
      <c r="P80" s="11">
        <v>78</v>
      </c>
      <c r="Q80" s="11">
        <f t="shared" si="8"/>
        <v>12</v>
      </c>
      <c r="R80" s="11">
        <f t="shared" si="9"/>
        <v>6</v>
      </c>
      <c r="S80" s="12" t="str" cm="1">
        <f t="array" ref="S80">INDEX('Subject-ConceptMap-9'!$I$15:$N$58,Q80+1,R80)</f>
        <v/>
      </c>
    </row>
    <row r="81" spans="16:19" x14ac:dyDescent="0.75">
      <c r="P81" s="11">
        <v>79</v>
      </c>
      <c r="Q81" s="11">
        <f t="shared" si="8"/>
        <v>13</v>
      </c>
      <c r="R81" s="11">
        <f t="shared" si="9"/>
        <v>1</v>
      </c>
      <c r="S81" s="12" cm="1">
        <f t="array" ref="S81">INDEX('Subject-ConceptMap-9'!$I$15:$N$58,Q81+1,R81)</f>
        <v>0</v>
      </c>
    </row>
    <row r="82" spans="16:19" x14ac:dyDescent="0.75">
      <c r="P82" s="11">
        <v>80</v>
      </c>
      <c r="Q82" s="11">
        <f t="shared" si="8"/>
        <v>13</v>
      </c>
      <c r="R82" s="11">
        <f t="shared" si="9"/>
        <v>2</v>
      </c>
      <c r="S82" s="12" cm="1">
        <f t="array" ref="S82">INDEX('Subject-ConceptMap-9'!$I$15:$N$58,Q82+1,R82)</f>
        <v>0</v>
      </c>
    </row>
    <row r="83" spans="16:19" x14ac:dyDescent="0.75">
      <c r="P83" s="11">
        <v>81</v>
      </c>
      <c r="Q83" s="11">
        <f t="shared" si="8"/>
        <v>13</v>
      </c>
      <c r="R83" s="11">
        <f t="shared" si="9"/>
        <v>3</v>
      </c>
      <c r="S83" s="12" cm="1">
        <f t="array" ref="S83">INDEX('Subject-ConceptMap-9'!$I$15:$N$58,Q83+1,R83)</f>
        <v>0</v>
      </c>
    </row>
    <row r="84" spans="16:19" x14ac:dyDescent="0.75">
      <c r="P84" s="11">
        <v>82</v>
      </c>
      <c r="Q84" s="11">
        <f t="shared" si="8"/>
        <v>13</v>
      </c>
      <c r="R84" s="11">
        <f t="shared" si="9"/>
        <v>4</v>
      </c>
      <c r="S84" s="12" cm="1">
        <f t="array" ref="S84">INDEX('Subject-ConceptMap-9'!$I$15:$N$58,Q84+1,R84)</f>
        <v>0</v>
      </c>
    </row>
    <row r="85" spans="16:19" x14ac:dyDescent="0.75">
      <c r="P85" s="11">
        <v>83</v>
      </c>
      <c r="Q85" s="11">
        <f t="shared" si="8"/>
        <v>13</v>
      </c>
      <c r="R85" s="11">
        <f t="shared" si="9"/>
        <v>5</v>
      </c>
      <c r="S85" s="12" cm="1">
        <f t="array" ref="S85">INDEX('Subject-ConceptMap-9'!$I$15:$N$58,Q85+1,R85)</f>
        <v>0</v>
      </c>
    </row>
    <row r="86" spans="16:19" x14ac:dyDescent="0.75">
      <c r="P86" s="11">
        <v>84</v>
      </c>
      <c r="Q86" s="11">
        <f t="shared" si="8"/>
        <v>13</v>
      </c>
      <c r="R86" s="11">
        <f t="shared" si="9"/>
        <v>6</v>
      </c>
      <c r="S86" s="12" t="str" cm="1">
        <f t="array" ref="S86">INDEX('Subject-ConceptMap-9'!$I$15:$N$58,Q86+1,R86)</f>
        <v/>
      </c>
    </row>
    <row r="87" spans="16:19" x14ac:dyDescent="0.75">
      <c r="P87" s="11">
        <v>85</v>
      </c>
      <c r="Q87" s="11">
        <f t="shared" si="8"/>
        <v>14</v>
      </c>
      <c r="R87" s="11">
        <f t="shared" si="9"/>
        <v>1</v>
      </c>
      <c r="S87" s="12" cm="1">
        <f t="array" ref="S87">INDEX('Subject-ConceptMap-9'!$I$15:$N$58,Q87+1,R87)</f>
        <v>0</v>
      </c>
    </row>
    <row r="88" spans="16:19" x14ac:dyDescent="0.75">
      <c r="P88" s="11">
        <v>86</v>
      </c>
      <c r="Q88" s="11">
        <f t="shared" si="8"/>
        <v>14</v>
      </c>
      <c r="R88" s="11">
        <f t="shared" si="9"/>
        <v>2</v>
      </c>
      <c r="S88" s="12" cm="1">
        <f t="array" ref="S88">INDEX('Subject-ConceptMap-9'!$I$15:$N$58,Q88+1,R88)</f>
        <v>0</v>
      </c>
    </row>
    <row r="89" spans="16:19" x14ac:dyDescent="0.75">
      <c r="P89" s="11">
        <v>87</v>
      </c>
      <c r="Q89" s="11">
        <f t="shared" si="8"/>
        <v>14</v>
      </c>
      <c r="R89" s="11">
        <f t="shared" si="9"/>
        <v>3</v>
      </c>
      <c r="S89" s="12" cm="1">
        <f t="array" ref="S89">INDEX('Subject-ConceptMap-9'!$I$15:$N$58,Q89+1,R89)</f>
        <v>0</v>
      </c>
    </row>
    <row r="90" spans="16:19" x14ac:dyDescent="0.75">
      <c r="P90" s="11">
        <v>88</v>
      </c>
      <c r="Q90" s="11">
        <f t="shared" si="8"/>
        <v>14</v>
      </c>
      <c r="R90" s="11">
        <f t="shared" si="9"/>
        <v>4</v>
      </c>
      <c r="S90" s="12" cm="1">
        <f t="array" ref="S90">INDEX('Subject-ConceptMap-9'!$I$15:$N$58,Q90+1,R90)</f>
        <v>0</v>
      </c>
    </row>
    <row r="91" spans="16:19" x14ac:dyDescent="0.75">
      <c r="P91" s="11">
        <v>89</v>
      </c>
      <c r="Q91" s="11">
        <f t="shared" si="8"/>
        <v>14</v>
      </c>
      <c r="R91" s="11">
        <f t="shared" si="9"/>
        <v>5</v>
      </c>
      <c r="S91" s="12" cm="1">
        <f t="array" ref="S91">INDEX('Subject-ConceptMap-9'!$I$15:$N$58,Q91+1,R91)</f>
        <v>0</v>
      </c>
    </row>
    <row r="92" spans="16:19" x14ac:dyDescent="0.75">
      <c r="P92" s="11">
        <v>90</v>
      </c>
      <c r="Q92" s="11">
        <f t="shared" si="8"/>
        <v>14</v>
      </c>
      <c r="R92" s="11">
        <f t="shared" si="9"/>
        <v>6</v>
      </c>
      <c r="S92" s="12" t="str" cm="1">
        <f t="array" ref="S92">INDEX('Subject-ConceptMap-9'!$I$15:$N$58,Q92+1,R92)</f>
        <v/>
      </c>
    </row>
    <row r="93" spans="16:19" x14ac:dyDescent="0.75">
      <c r="P93" s="11">
        <v>91</v>
      </c>
      <c r="Q93" s="11">
        <f t="shared" si="8"/>
        <v>15</v>
      </c>
      <c r="R93" s="11">
        <f t="shared" si="9"/>
        <v>1</v>
      </c>
      <c r="S93" s="12" cm="1">
        <f t="array" ref="S93">INDEX('Subject-ConceptMap-9'!$I$15:$N$58,Q93+1,R93)</f>
        <v>0</v>
      </c>
    </row>
    <row r="94" spans="16:19" x14ac:dyDescent="0.75">
      <c r="P94" s="11">
        <v>92</v>
      </c>
      <c r="Q94" s="11">
        <f t="shared" si="8"/>
        <v>15</v>
      </c>
      <c r="R94" s="11">
        <f t="shared" si="9"/>
        <v>2</v>
      </c>
      <c r="S94" s="12" cm="1">
        <f t="array" ref="S94">INDEX('Subject-ConceptMap-9'!$I$15:$N$58,Q94+1,R94)</f>
        <v>0</v>
      </c>
    </row>
    <row r="95" spans="16:19" x14ac:dyDescent="0.75">
      <c r="P95" s="11">
        <v>93</v>
      </c>
      <c r="Q95" s="11">
        <f t="shared" si="8"/>
        <v>15</v>
      </c>
      <c r="R95" s="11">
        <f t="shared" si="9"/>
        <v>3</v>
      </c>
      <c r="S95" s="12" cm="1">
        <f t="array" ref="S95">INDEX('Subject-ConceptMap-9'!$I$15:$N$58,Q95+1,R95)</f>
        <v>0</v>
      </c>
    </row>
    <row r="96" spans="16:19" x14ac:dyDescent="0.75">
      <c r="P96" s="11">
        <v>94</v>
      </c>
      <c r="Q96" s="11">
        <f t="shared" si="8"/>
        <v>15</v>
      </c>
      <c r="R96" s="11">
        <f t="shared" si="9"/>
        <v>4</v>
      </c>
      <c r="S96" s="12" cm="1">
        <f t="array" ref="S96">INDEX('Subject-ConceptMap-9'!$I$15:$N$58,Q96+1,R96)</f>
        <v>0</v>
      </c>
    </row>
    <row r="97" spans="16:19" x14ac:dyDescent="0.75">
      <c r="P97" s="11">
        <v>95</v>
      </c>
      <c r="Q97" s="11">
        <f t="shared" si="8"/>
        <v>15</v>
      </c>
      <c r="R97" s="11">
        <f t="shared" si="9"/>
        <v>5</v>
      </c>
      <c r="S97" s="12" cm="1">
        <f t="array" ref="S97">INDEX('Subject-ConceptMap-9'!$I$15:$N$58,Q97+1,R97)</f>
        <v>0</v>
      </c>
    </row>
    <row r="98" spans="16:19" x14ac:dyDescent="0.75">
      <c r="P98" s="11">
        <v>96</v>
      </c>
      <c r="Q98" s="11">
        <f t="shared" si="8"/>
        <v>15</v>
      </c>
      <c r="R98" s="11">
        <f t="shared" si="9"/>
        <v>6</v>
      </c>
      <c r="S98" s="12" t="str" cm="1">
        <f t="array" ref="S98">INDEX('Subject-ConceptMap-9'!$I$15:$N$58,Q98+1,R98)</f>
        <v/>
      </c>
    </row>
    <row r="99" spans="16:19" x14ac:dyDescent="0.75">
      <c r="P99" s="11">
        <v>97</v>
      </c>
      <c r="Q99" s="11">
        <f t="shared" si="8"/>
        <v>16</v>
      </c>
      <c r="R99" s="11">
        <f t="shared" si="9"/>
        <v>1</v>
      </c>
      <c r="S99" s="12" cm="1">
        <f t="array" ref="S99">INDEX('Subject-ConceptMap-9'!$I$15:$N$58,Q99+1,R99)</f>
        <v>0</v>
      </c>
    </row>
    <row r="100" spans="16:19" x14ac:dyDescent="0.75">
      <c r="P100" s="11">
        <v>98</v>
      </c>
      <c r="Q100" s="11">
        <f t="shared" si="8"/>
        <v>16</v>
      </c>
      <c r="R100" s="11">
        <f t="shared" si="9"/>
        <v>2</v>
      </c>
      <c r="S100" s="12" cm="1">
        <f t="array" ref="S100">INDEX('Subject-ConceptMap-9'!$I$15:$N$58,Q100+1,R100)</f>
        <v>0</v>
      </c>
    </row>
    <row r="101" spans="16:19" x14ac:dyDescent="0.75">
      <c r="P101" s="11">
        <v>99</v>
      </c>
      <c r="Q101" s="11">
        <f t="shared" si="8"/>
        <v>16</v>
      </c>
      <c r="R101" s="11">
        <f t="shared" si="9"/>
        <v>3</v>
      </c>
      <c r="S101" s="12" cm="1">
        <f t="array" ref="S101">INDEX('Subject-ConceptMap-9'!$I$15:$N$58,Q101+1,R101)</f>
        <v>0</v>
      </c>
    </row>
    <row r="102" spans="16:19" x14ac:dyDescent="0.75">
      <c r="P102" s="11">
        <v>100</v>
      </c>
      <c r="Q102" s="11">
        <f t="shared" si="8"/>
        <v>16</v>
      </c>
      <c r="R102" s="11">
        <f t="shared" si="9"/>
        <v>4</v>
      </c>
      <c r="S102" s="12" cm="1">
        <f t="array" ref="S102">INDEX('Subject-ConceptMap-9'!$I$15:$N$58,Q102+1,R102)</f>
        <v>0</v>
      </c>
    </row>
    <row r="103" spans="16:19" x14ac:dyDescent="0.75">
      <c r="P103" s="11">
        <v>101</v>
      </c>
      <c r="Q103" s="11">
        <f t="shared" si="8"/>
        <v>16</v>
      </c>
      <c r="R103" s="11">
        <f t="shared" si="9"/>
        <v>5</v>
      </c>
      <c r="S103" s="12" cm="1">
        <f t="array" ref="S103">INDEX('Subject-ConceptMap-9'!$I$15:$N$58,Q103+1,R103)</f>
        <v>0</v>
      </c>
    </row>
    <row r="104" spans="16:19" x14ac:dyDescent="0.75">
      <c r="P104" s="11">
        <v>102</v>
      </c>
      <c r="Q104" s="11">
        <f t="shared" si="8"/>
        <v>16</v>
      </c>
      <c r="R104" s="11">
        <f t="shared" si="9"/>
        <v>6</v>
      </c>
      <c r="S104" s="12" cm="1">
        <f t="array" ref="S104">INDEX('Subject-ConceptMap-9'!$I$15:$N$58,Q104+1,R104)</f>
        <v>0</v>
      </c>
    </row>
    <row r="105" spans="16:19" x14ac:dyDescent="0.75">
      <c r="P105" s="11">
        <v>103</v>
      </c>
      <c r="Q105" s="11">
        <f t="shared" si="8"/>
        <v>17</v>
      </c>
      <c r="R105" s="11">
        <f t="shared" si="9"/>
        <v>1</v>
      </c>
      <c r="S105" s="12" cm="1">
        <f t="array" ref="S105">INDEX('Subject-ConceptMap-9'!$I$15:$N$58,Q105+1,R105)</f>
        <v>0</v>
      </c>
    </row>
    <row r="106" spans="16:19" x14ac:dyDescent="0.75">
      <c r="P106" s="11">
        <v>104</v>
      </c>
      <c r="Q106" s="11">
        <f t="shared" si="8"/>
        <v>17</v>
      </c>
      <c r="R106" s="11">
        <f t="shared" si="9"/>
        <v>2</v>
      </c>
      <c r="S106" s="12" cm="1">
        <f t="array" ref="S106">INDEX('Subject-ConceptMap-9'!$I$15:$N$58,Q106+1,R106)</f>
        <v>0</v>
      </c>
    </row>
    <row r="107" spans="16:19" x14ac:dyDescent="0.75">
      <c r="P107" s="11">
        <v>105</v>
      </c>
      <c r="Q107" s="11">
        <f t="shared" si="8"/>
        <v>17</v>
      </c>
      <c r="R107" s="11">
        <f t="shared" si="9"/>
        <v>3</v>
      </c>
      <c r="S107" s="12" cm="1">
        <f t="array" ref="S107">INDEX('Subject-ConceptMap-9'!$I$15:$N$58,Q107+1,R107)</f>
        <v>0</v>
      </c>
    </row>
    <row r="108" spans="16:19" x14ac:dyDescent="0.75">
      <c r="P108" s="11">
        <v>106</v>
      </c>
      <c r="Q108" s="11">
        <f t="shared" si="8"/>
        <v>17</v>
      </c>
      <c r="R108" s="11">
        <f t="shared" si="9"/>
        <v>4</v>
      </c>
      <c r="S108" s="12" cm="1">
        <f t="array" ref="S108">INDEX('Subject-ConceptMap-9'!$I$15:$N$58,Q108+1,R108)</f>
        <v>0</v>
      </c>
    </row>
    <row r="109" spans="16:19" x14ac:dyDescent="0.75">
      <c r="P109" s="11">
        <v>107</v>
      </c>
      <c r="Q109" s="11">
        <f t="shared" si="8"/>
        <v>17</v>
      </c>
      <c r="R109" s="11">
        <f t="shared" si="9"/>
        <v>5</v>
      </c>
      <c r="S109" s="12" cm="1">
        <f t="array" ref="S109">INDEX('Subject-ConceptMap-9'!$I$15:$N$58,Q109+1,R109)</f>
        <v>0</v>
      </c>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P1" sqref="P1:R1048576"/>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1561</v>
      </c>
    </row>
    <row r="3" spans="2:7" x14ac:dyDescent="0.75">
      <c r="B3" s="24" t="s">
        <v>20</v>
      </c>
    </row>
    <row r="4" spans="2:7" x14ac:dyDescent="0.75">
      <c r="B4" s="113" t="str">
        <f>"Instance: "&amp;'Subject-ConceptMap-1'!C4</f>
        <v>Instance: subject2FHIR</v>
      </c>
    </row>
    <row r="5" spans="2:7" x14ac:dyDescent="0.75">
      <c r="B5" s="113" t="s">
        <v>1334</v>
      </c>
    </row>
    <row r="6" spans="2:7" x14ac:dyDescent="0.75">
      <c r="B6" s="113" t="s">
        <v>1325</v>
      </c>
    </row>
    <row r="7" spans="2:7" x14ac:dyDescent="0.75">
      <c r="B7" s="113" t="s">
        <v>1486</v>
      </c>
    </row>
    <row r="8" spans="2:7" x14ac:dyDescent="0.75">
      <c r="B8" s="113" t="str">
        <f>"* name = ##34#"&amp;'Subject-ConceptMap-1'!C3&amp;"##34#"</f>
        <v>* name = ##34#Subject2FHIR##34#</v>
      </c>
    </row>
    <row r="9" spans="2:7" x14ac:dyDescent="0.75">
      <c r="B9" s="113" t="str">
        <f>"* title = ##34#"&amp;'Subject-ConceptMap-1'!C5&amp;"##34#"</f>
        <v>* title = ##34#Subject Model to this guide Map##34#</v>
      </c>
    </row>
    <row r="10" spans="2:7" x14ac:dyDescent="0.75">
      <c r="B10" s="113" t="s">
        <v>1326</v>
      </c>
    </row>
    <row r="11" spans="2:7" x14ac:dyDescent="0.75">
      <c r="B11" s="113" t="s">
        <v>1327</v>
      </c>
    </row>
    <row r="12" spans="2:7" x14ac:dyDescent="0.75">
      <c r="B12" s="113" t="str">
        <f>"* description = ##34#"&amp;'Subject-ConceptMap-1'!C8&amp;"##34#"</f>
        <v>* description = ##34#Subject Model to this guide Map##34#</v>
      </c>
    </row>
    <row r="13" spans="2:7" x14ac:dyDescent="0.75">
      <c r="B13" s="113" t="str">
        <f>"* purpose = ##34#"&amp;'Subject-ConceptMap-1'!C9&amp;"##34#"</f>
        <v>* purpose = ##34#It shows how the Subject model is mapped into this guide##34#</v>
      </c>
    </row>
    <row r="14" spans="2:7" x14ac:dyDescent="0.75">
      <c r="B14" s="114" t="str">
        <f>"* sourceUri = ##34#"&amp;'Subject-ConceptMap-1'!E3&amp;"##34#"</f>
        <v>* sourceUri = ##34#http://hl7.eu/fhir/ig/idea4rc/StructureDefinition/Subject##34#</v>
      </c>
    </row>
    <row r="15" spans="2:7" x14ac:dyDescent="0.75">
      <c r="B15" s="114" t="str">
        <f>"* targetUri = ##34#"&amp;'Subject-ConceptMap-1'!E4&amp;"##34#"</f>
        <v>* targetUri = ##34#http://hl7.eu/fhir/ig/idea4rc/StructureDefinition/patient-eu-i4rc##34#</v>
      </c>
    </row>
    <row r="16" spans="2:7" x14ac:dyDescent="0.75">
      <c r="B16" s="115" t="str">
        <f>"* group[+].source = ##34#"&amp;'Subject-ConceptMap-1'!E6&amp;"##34#"</f>
        <v>* group[+].source = ##34#http://hl7.eu/fhir/ig/idea4rc/StructureDefinition/Subject##34#</v>
      </c>
    </row>
    <row r="17" spans="2:7" x14ac:dyDescent="0.75">
      <c r="B17" s="115" t="str">
        <f>"* group[=].target = ##34#"&amp;'Subject-ConceptMap-1'!E7&amp;"##34#"</f>
        <v>* group[=].target = ##34#http://hl7.eu/fhir/ig/idea4rc/StructureDefinition/patient-eu-i4rc##34#</v>
      </c>
    </row>
    <row r="18" spans="2:7" x14ac:dyDescent="0.75">
      <c r="B18" s="11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e">
        <f>IF('Subject-ConceptMap-1'!#REF!=0,"//---END",'Subject-ConceptMap-1'!#REF!)</f>
        <v>#REF!</v>
      </c>
    </row>
    <row r="34" spans="2:2" x14ac:dyDescent="0.75">
      <c r="B34" s="12" t="str">
        <f>IF('Subject-ConceptMap-1'!S29=0,"//---END",'Subject-ConceptMap-1'!S29)</f>
        <v>* group[=].element[=].target.display = ##34###34#</v>
      </c>
    </row>
    <row r="35" spans="2:2" x14ac:dyDescent="0.75">
      <c r="B35" s="12" t="str">
        <f>IF('Subject-ConceptMap-1'!S30=0,"//---END",'Subject-ConceptMap-1'!S30)</f>
        <v>* group[=].element[=].target.equivalence = #equivalent</v>
      </c>
    </row>
    <row r="36" spans="2:2" x14ac:dyDescent="0.75">
      <c r="B36" s="12" t="str">
        <f>IF('Subject-ConceptMap-1'!S31=0,"//---END",'Subject-ConceptMap-1'!S31)</f>
        <v/>
      </c>
    </row>
    <row r="37" spans="2:2" x14ac:dyDescent="0.75">
      <c r="B37" s="12" t="str">
        <f>IF('Subject-ConceptMap-1'!S32=0,"//---END",'Subject-ConceptMap-1'!S32)</f>
        <v>* group[=].element[+].code = #Subject.smoking</v>
      </c>
    </row>
    <row r="38" spans="2:2" x14ac:dyDescent="0.75">
      <c r="B38" s="12" t="str">
        <f>IF('Subject-ConceptMap-1'!S33=0,"//---END",'Subject-ConceptMap-1'!S33)</f>
        <v>* group[=].element[=].display = ##34#Smoking##34#</v>
      </c>
    </row>
    <row r="39" spans="2:2" x14ac:dyDescent="0.75">
      <c r="B39" s="12" t="str">
        <f>IF('Subject-ConceptMap-1'!S34=0,"//---END",'Subject-ConceptMap-1'!S34)</f>
        <v>//-- unmatched</v>
      </c>
    </row>
    <row r="40" spans="2:2" x14ac:dyDescent="0.75">
      <c r="B40" s="12" t="str">
        <f>IF('Subject-ConceptMap-1'!S35=0,"//---END",'Subject-ConceptMap-1'!S35)</f>
        <v>//-- unmatched</v>
      </c>
    </row>
    <row r="41" spans="2:2" x14ac:dyDescent="0.75">
      <c r="B41" s="12" t="str">
        <f>IF('Subject-ConceptMap-1'!S36=0,"//---END",'Subject-ConceptMap-1'!S36)</f>
        <v>* group[=].element[=].target.equivalence = #unmatched</v>
      </c>
    </row>
    <row r="42" spans="2:2" x14ac:dyDescent="0.75">
      <c r="B42" s="12" t="str">
        <f>IF('Subject-ConceptMap-1'!S37=0,"//---END",'Subject-ConceptMap-1'!S37)</f>
        <v/>
      </c>
    </row>
    <row r="43" spans="2:2" x14ac:dyDescent="0.75">
      <c r="B43" s="12" t="str">
        <f>IF('Subject-ConceptMap-1'!S38=0,"//---END",'Subject-ConceptMap-1'!S38)</f>
        <v>* group[=].element[+].code = #Subject.smokingType</v>
      </c>
    </row>
    <row r="44" spans="2:2" x14ac:dyDescent="0.75">
      <c r="B44" s="12" t="str">
        <f>IF('Subject-ConceptMap-1'!S39=0,"//---END",'Subject-ConceptMap-1'!S39)</f>
        <v>* group[=].element[=].display = ##34#Smoking type##34#</v>
      </c>
    </row>
    <row r="45" spans="2:2" x14ac:dyDescent="0.75">
      <c r="B45" s="12" t="str">
        <f>IF('Subject-ConceptMap-1'!S40=0,"//---END",'Subject-ConceptMap-1'!S40)</f>
        <v>//-- unmatched</v>
      </c>
    </row>
    <row r="46" spans="2:2" x14ac:dyDescent="0.75">
      <c r="B46" s="12" t="str">
        <f>IF('Subject-ConceptMap-1'!S41=0,"//---END",'Subject-ConceptMap-1'!S41)</f>
        <v>//-- unmatched</v>
      </c>
    </row>
    <row r="47" spans="2:2" x14ac:dyDescent="0.75">
      <c r="B47" s="12" t="str">
        <f>IF('Subject-ConceptMap-1'!S42=0,"//---END",'Subject-ConceptMap-1'!S42)</f>
        <v>* group[=].element[=].target.equivalence = #unmatched</v>
      </c>
    </row>
    <row r="48" spans="2:2" x14ac:dyDescent="0.75">
      <c r="B48" s="12" t="str">
        <f>IF('Subject-ConceptMap-1'!S43=0,"//---END",'Subject-ConceptMap-1'!S43)</f>
        <v/>
      </c>
    </row>
    <row r="49" spans="2:2" x14ac:dyDescent="0.75">
      <c r="B49" s="12" t="str">
        <f>IF('Subject-ConceptMap-1'!S44=0,"//---END",'Subject-ConceptMap-1'!S44)</f>
        <v>* group[=].element[+].code = #Subject.cigSmokedPerDay</v>
      </c>
    </row>
    <row r="50" spans="2:2" x14ac:dyDescent="0.75">
      <c r="B50" s="12" t="str">
        <f>IF('Subject-ConceptMap-1'!S45=0,"//---END",'Subject-ConceptMap-1'!S45)</f>
        <v>* group[=].element[=].display = ##34#Cigarettes/cigars smoked per day##34#</v>
      </c>
    </row>
    <row r="51" spans="2:2" x14ac:dyDescent="0.75">
      <c r="B51" s="12" t="str">
        <f>IF('Subject-ConceptMap-1'!S46=0,"//---END",'Subject-ConceptMap-1'!S46)</f>
        <v>//-- unmatched</v>
      </c>
    </row>
    <row r="52" spans="2:2" x14ac:dyDescent="0.75">
      <c r="B52" s="12" t="str">
        <f>IF('Subject-ConceptMap-1'!S47=0,"//---END",'Subject-ConceptMap-1'!S47)</f>
        <v>//-- unmatched</v>
      </c>
    </row>
    <row r="53" spans="2:2" x14ac:dyDescent="0.75">
      <c r="B53" s="12" t="str">
        <f>IF('Subject-ConceptMap-1'!S48=0,"//---END",'Subject-ConceptMap-1'!S48)</f>
        <v>* group[=].element[=].target.equivalence = #unmatched</v>
      </c>
    </row>
    <row r="54" spans="2:2" x14ac:dyDescent="0.75">
      <c r="B54" s="12" t="str">
        <f>IF('Subject-ConceptMap-1'!S49=0,"//---END",'Subject-ConceptMap-1'!S49)</f>
        <v/>
      </c>
    </row>
    <row r="55" spans="2:2" x14ac:dyDescent="0.75">
      <c r="B55" s="12" t="str">
        <f>IF('Subject-ConceptMap-1'!S50=0,"//---END",'Subject-ConceptMap-1'!S50)</f>
        <v>* group[=].element[+].code = #Subject.yearsAsSmoker</v>
      </c>
    </row>
    <row r="56" spans="2:2" x14ac:dyDescent="0.75">
      <c r="B56" s="12" t="str">
        <f>IF('Subject-ConceptMap-1'!S51=0,"//---END",'Subject-ConceptMap-1'!S51)</f>
        <v>* group[=].element[=].display = ##34#Number of years as a smoker##34#</v>
      </c>
    </row>
    <row r="57" spans="2:2" x14ac:dyDescent="0.75">
      <c r="B57" s="12" t="str">
        <f>IF('Subject-ConceptMap-1'!S52=0,"//---END",'Subject-ConceptMap-1'!S52)</f>
        <v>//-- unmatched</v>
      </c>
    </row>
    <row r="58" spans="2:2" x14ac:dyDescent="0.75">
      <c r="B58" s="12" t="str">
        <f>IF('Subject-ConceptMap-1'!S53=0,"//---END",'Subject-ConceptMap-1'!S53)</f>
        <v>//-- unmatched</v>
      </c>
    </row>
    <row r="59" spans="2:2" x14ac:dyDescent="0.75">
      <c r="B59" s="12" t="str">
        <f>IF('Subject-ConceptMap-1'!S54=0,"//---END",'Subject-ConceptMap-1'!S54)</f>
        <v>* group[=].element[=].target.equivalence = #unmatched</v>
      </c>
    </row>
    <row r="60" spans="2:2" x14ac:dyDescent="0.75">
      <c r="B60" s="12" t="str">
        <f>IF('Subject-ConceptMap-1'!S55=0,"//---END",'Subject-ConceptMap-1'!S55)</f>
        <v/>
      </c>
    </row>
    <row r="61" spans="2:2" x14ac:dyDescent="0.75">
      <c r="B61" s="12" t="str">
        <f>IF('Subject-ConceptMap-1'!S56=0,"//---END",'Subject-ConceptMap-1'!S56)</f>
        <v>* group[=].element[+].code = #Subject.alcohol</v>
      </c>
    </row>
    <row r="62" spans="2:2" x14ac:dyDescent="0.75">
      <c r="B62" s="12" t="str">
        <f>IF('Subject-ConceptMap-1'!S57=0,"//---END",'Subject-ConceptMap-1'!S57)</f>
        <v>* group[=].element[=].display = ##34#Alcohol##34#</v>
      </c>
    </row>
    <row r="63" spans="2:2" x14ac:dyDescent="0.75">
      <c r="B63" s="12" t="str">
        <f>IF('Subject-ConceptMap-1'!S58=0,"//---END",'Subject-ConceptMap-1'!S58)</f>
        <v>//-- unmatched</v>
      </c>
    </row>
    <row r="64" spans="2:2" x14ac:dyDescent="0.75">
      <c r="B64" s="12" t="str">
        <f>IF('Subject-ConceptMap-1'!S59=0,"//---END",'Subject-ConceptMap-1'!S59)</f>
        <v>//-- unmatched</v>
      </c>
    </row>
    <row r="65" spans="2:2" x14ac:dyDescent="0.75">
      <c r="B65" s="12" t="str">
        <f>IF('Subject-ConceptMap-1'!S60=0,"//---END",'Subject-ConceptMap-1'!S60)</f>
        <v>* group[=].element[=].target.equivalence = #unmatched</v>
      </c>
    </row>
    <row r="66" spans="2:2" x14ac:dyDescent="0.75">
      <c r="B66" s="12" t="str">
        <f>IF('Subject-ConceptMap-1'!S61=0,"//---END",'Subject-ConceptMap-1'!S61)</f>
        <v/>
      </c>
    </row>
    <row r="67" spans="2:2" x14ac:dyDescent="0.75">
      <c r="B67" s="12" t="str">
        <f>IF('Subject-ConceptMap-1'!S62=0,"//---END",'Subject-ConceptMap-1'!S62)</f>
        <v>* group[=].element[+].code = #Subject.bMI</v>
      </c>
    </row>
    <row r="68" spans="2:2" ht="29.5" x14ac:dyDescent="0.75">
      <c r="B68" s="12" t="str">
        <f>IF('Subject-ConceptMap-1'!S63=0,"//---END",'Subject-ConceptMap-1'!S63)</f>
        <v>* group[=].element[=].display = ##34#Height/weight (BMI)
##34#</v>
      </c>
    </row>
    <row r="69" spans="2:2" x14ac:dyDescent="0.75">
      <c r="B69" s="12" t="str">
        <f>IF('Subject-ConceptMap-1'!S64=0,"//---END",'Subject-ConceptMap-1'!S64)</f>
        <v>//-- unmatched</v>
      </c>
    </row>
    <row r="70" spans="2:2" x14ac:dyDescent="0.75">
      <c r="B70" s="12" t="str">
        <f>IF('Subject-ConceptMap-1'!S65=0,"//---END",'Subject-ConceptMap-1'!S65)</f>
        <v>//-- unmatched</v>
      </c>
    </row>
    <row r="71" spans="2:2" x14ac:dyDescent="0.75">
      <c r="B71" s="12" t="str">
        <f>IF('Subject-ConceptMap-1'!S66=0,"//---END",'Subject-ConceptMap-1'!S66)</f>
        <v>* group[=].element[=].target.equivalence = #unmatched</v>
      </c>
    </row>
    <row r="72" spans="2:2" x14ac:dyDescent="0.75">
      <c r="B72" s="12" t="str">
        <f>IF('Subject-ConceptMap-1'!S67=0,"//---END",'Subject-ConceptMap-1'!S67)</f>
        <v/>
      </c>
    </row>
    <row r="73" spans="2:2" x14ac:dyDescent="0.75">
      <c r="B73" s="12" t="str">
        <f>IF('Subject-ConceptMap-1'!S68=0,"//---END",'Subject-ConceptMap-1'!S68)</f>
        <v>* group[=].element[+].code = #Subject.charlsonComorbidityIndex</v>
      </c>
    </row>
    <row r="74" spans="2:2" x14ac:dyDescent="0.75">
      <c r="B74" s="12" t="str">
        <f>IF('Subject-ConceptMap-1'!S69=0,"//---END",'Subject-ConceptMap-1'!S69)</f>
        <v>* group[=].element[=].display = ##34#Charlson Comorbidity index##34#</v>
      </c>
    </row>
    <row r="75" spans="2:2" x14ac:dyDescent="0.75">
      <c r="B75" s="12" t="str">
        <f>IF('Subject-ConceptMap-1'!S70=0,"//---END",'Subject-ConceptMap-1'!S70)</f>
        <v>//-- unmatched</v>
      </c>
    </row>
    <row r="76" spans="2:2" x14ac:dyDescent="0.75">
      <c r="B76" s="12" t="str">
        <f>IF('Subject-ConceptMap-1'!S71=0,"//---END",'Subject-ConceptMap-1'!S71)</f>
        <v>//-- unmatched</v>
      </c>
    </row>
    <row r="77" spans="2:2" x14ac:dyDescent="0.75">
      <c r="B77" s="12" t="str">
        <f>IF('Subject-ConceptMap-1'!S72=0,"//---END",'Subject-ConceptMap-1'!S72)</f>
        <v>* group[=].element[=].target.equivalence = #unmatched</v>
      </c>
    </row>
    <row r="78" spans="2:2" x14ac:dyDescent="0.75">
      <c r="B78" s="12" t="str">
        <f>IF('Subject-ConceptMap-1'!S73=0,"//---END",'Subject-ConceptMap-1'!S73)</f>
        <v/>
      </c>
    </row>
    <row r="79" spans="2:2" x14ac:dyDescent="0.75">
      <c r="B79" s="12" t="str">
        <f>IF('Subject-ConceptMap-1'!S74=0,"//---END",'Subject-ConceptMap-1'!S74)</f>
        <v>* group[=].element[+].code = #Subject.comorbidity</v>
      </c>
    </row>
    <row r="80" spans="2:2" x14ac:dyDescent="0.75">
      <c r="B80" s="12" t="str">
        <f>IF('Subject-ConceptMap-1'!S75=0,"//---END",'Subject-ConceptMap-1'!S75)</f>
        <v>* group[=].element[=].display = ##34#Comorbidity##34#</v>
      </c>
    </row>
    <row r="81" spans="2:2" x14ac:dyDescent="0.75">
      <c r="B81" s="12" t="str">
        <f>IF('Subject-ConceptMap-1'!S76=0,"//---END",'Subject-ConceptMap-1'!S76)</f>
        <v>//-- unmatched</v>
      </c>
    </row>
    <row r="82" spans="2:2" x14ac:dyDescent="0.75">
      <c r="B82" s="12" t="str">
        <f>IF('Subject-ConceptMap-1'!S77=0,"//---END",'Subject-ConceptMap-1'!S77)</f>
        <v>//-- unmatched</v>
      </c>
    </row>
    <row r="83" spans="2:2" x14ac:dyDescent="0.75">
      <c r="B83" s="12" t="str">
        <f>IF('Subject-ConceptMap-1'!S78=0,"//---END",'Subject-ConceptMap-1'!S78)</f>
        <v>* group[=].element[=].target.equivalence = #unmatched</v>
      </c>
    </row>
    <row r="84" spans="2:2" x14ac:dyDescent="0.75">
      <c r="B84" s="12" t="str">
        <f>IF('Subject-ConceptMap-1'!S79=0,"//---END",'Subject-ConceptMap-1'!S79)</f>
        <v/>
      </c>
    </row>
    <row r="85" spans="2:2" x14ac:dyDescent="0.75">
      <c r="B85" s="12" t="str">
        <f>IF('Subject-ConceptMap-1'!S80=0,"//---END",'Subject-ConceptMap-1'!S80)</f>
        <v>* group[=].element[+].code = #Subject.ecogPsAtDiagnosis</v>
      </c>
    </row>
    <row r="86" spans="2:2" x14ac:dyDescent="0.75">
      <c r="B86" s="12" t="str">
        <f>IF('Subject-ConceptMap-1'!S81=0,"//---END",'Subject-ConceptMap-1'!S81)</f>
        <v>* group[=].element[=].display = ##34#Eastern Cooperative Oncology Group performance status (ECOG PS)  at diagnosis##34#</v>
      </c>
    </row>
    <row r="87" spans="2:2" x14ac:dyDescent="0.75">
      <c r="B87" s="12" t="str">
        <f>IF('Subject-ConceptMap-1'!S82=0,"//---END",'Subject-ConceptMap-1'!S82)</f>
        <v>//-- unmatched</v>
      </c>
    </row>
    <row r="88" spans="2:2" x14ac:dyDescent="0.75">
      <c r="B88" s="12" t="str">
        <f>IF('Subject-ConceptMap-1'!S83=0,"//---END",'Subject-ConceptMap-1'!S83)</f>
        <v>//-- unmatched</v>
      </c>
    </row>
    <row r="89" spans="2:2" x14ac:dyDescent="0.75">
      <c r="B89" s="12" t="str">
        <f>IF('Subject-ConceptMap-1'!S84=0,"//---END",'Subject-ConceptMap-1'!S84)</f>
        <v>* group[=].element[=].target.equivalence = #unmatched</v>
      </c>
    </row>
    <row r="90" spans="2:2" x14ac:dyDescent="0.75">
      <c r="B90" s="12" t="str">
        <f>IF('Subject-ConceptMap-1'!S85=0,"//---END",'Subject-ConceptMap-1'!S85)</f>
        <v/>
      </c>
    </row>
    <row r="91" spans="2:2" x14ac:dyDescent="0.75">
      <c r="B91" s="12" t="str">
        <f>IF('Subject-ConceptMap-1'!S86=0,"//---END",'Subject-ConceptMap-1'!S86)</f>
        <v>* group[=].element[+].code = #Subject.karnofsyIndexAtDiagnosis</v>
      </c>
    </row>
    <row r="92" spans="2:2" x14ac:dyDescent="0.75">
      <c r="B92" s="12" t="str">
        <f>IF('Subject-ConceptMap-1'!S87=0,"//---END",'Subject-ConceptMap-1'!S87)</f>
        <v>* group[=].element[=].display = ##34#Karnofsy index at diagnosis##34#</v>
      </c>
    </row>
    <row r="93" spans="2:2" x14ac:dyDescent="0.75">
      <c r="B93" s="12" t="str">
        <f>IF('Subject-ConceptMap-1'!S88=0,"//---END",'Subject-ConceptMap-1'!S88)</f>
        <v>//-- unmatched</v>
      </c>
    </row>
    <row r="94" spans="2:2" x14ac:dyDescent="0.75">
      <c r="B94" s="12" t="str">
        <f>IF('Subject-ConceptMap-1'!S89=0,"//---END",'Subject-ConceptMap-1'!S89)</f>
        <v>//-- unmatched</v>
      </c>
    </row>
    <row r="95" spans="2:2" x14ac:dyDescent="0.75">
      <c r="B95" s="12" t="str">
        <f>IF('Subject-ConceptMap-1'!S90=0,"//---END",'Subject-ConceptMap-1'!S90)</f>
        <v>* group[=].element[=].target.equivalence = #unmatched</v>
      </c>
    </row>
    <row r="96" spans="2:2" x14ac:dyDescent="0.75">
      <c r="B96" s="12" t="str">
        <f>IF('Subject-ConceptMap-1'!S91=0,"//---END",'Subject-ConceptMap-1'!S91)</f>
        <v/>
      </c>
    </row>
    <row r="97" spans="2:2" x14ac:dyDescent="0.75">
      <c r="B97" s="12" t="str">
        <f>IF('Subject-ConceptMap-1'!S92=0,"//---END",'Subject-ConceptMap-1'!S92)</f>
        <v>* group[=].element[+].code = #Subject.noGeneticSyndromeWho2020</v>
      </c>
    </row>
    <row r="98" spans="2:2" x14ac:dyDescent="0.75">
      <c r="B98" s="12" t="str">
        <f>IF('Subject-ConceptMap-1'!S93=0,"//---END",'Subject-ConceptMap-1'!S93)</f>
        <v>* group[=].element[=].display = ##34#No Genetic syndrome WHO 2020 ##34#</v>
      </c>
    </row>
    <row r="99" spans="2:2" x14ac:dyDescent="0.75">
      <c r="B99" s="12" t="str">
        <f>IF('Subject-ConceptMap-1'!S94=0,"//---END",'Subject-ConceptMap-1'!S94)</f>
        <v>//-- unmatched</v>
      </c>
    </row>
    <row r="100" spans="2:2" x14ac:dyDescent="0.75">
      <c r="B100" s="12" t="str">
        <f>IF('Subject-ConceptMap-1'!S95=0,"//---END",'Subject-ConceptMap-1'!S95)</f>
        <v>//-- unmatched</v>
      </c>
    </row>
    <row r="101" spans="2:2" x14ac:dyDescent="0.75">
      <c r="B101" s="12" t="str">
        <f>IF('Subject-ConceptMap-1'!S96=0,"//---END",'Subject-ConceptMap-1'!S96)</f>
        <v>* group[=].element[=].target.equivalence = #unmatched</v>
      </c>
    </row>
    <row r="102" spans="2:2" x14ac:dyDescent="0.75">
      <c r="B102" s="12" t="str">
        <f>IF('Subject-ConceptMap-1'!S97=0,"//---END",'Subject-ConceptMap-1'!S97)</f>
        <v/>
      </c>
    </row>
    <row r="103" spans="2:2" x14ac:dyDescent="0.75">
      <c r="B103" s="12" t="str">
        <f>IF('Subject-ConceptMap-1'!S98=0,"//---END",'Subject-ConceptMap-1'!S98)</f>
        <v>* group[=].element[+].code = #Subject.occurrenceOfOtherCancer</v>
      </c>
    </row>
    <row r="104" spans="2:2" x14ac:dyDescent="0.75">
      <c r="B104" s="12" t="str">
        <f>IF('Subject-ConceptMap-1'!S99=0,"//---END",'Subject-ConceptMap-1'!S99)</f>
        <v>* group[=].element[=].display = ##34#Occurrence of other cancer##34#</v>
      </c>
    </row>
    <row r="105" spans="2:2" x14ac:dyDescent="0.75">
      <c r="B105" s="12" t="str">
        <f>IF('Subject-ConceptMap-1'!S100=0,"//---END",'Subject-ConceptMap-1'!S100)</f>
        <v>* group[=].element[=].target.code = #Patient.</v>
      </c>
    </row>
    <row r="106" spans="2:2" x14ac:dyDescent="0.75">
      <c r="B106" s="12" t="str">
        <f>IF('Subject-ConceptMap-1'!S101=0,"//---END",'Subject-ConceptMap-1'!S101)</f>
        <v>* group[=].element[=].target.display = ##34###34#</v>
      </c>
    </row>
    <row r="107" spans="2:2" x14ac:dyDescent="0.75">
      <c r="B107" s="12" t="str">
        <f>IF('Subject-ConceptMap-1'!S102=0,"//---END",'Subject-ConceptMap-1'!S102)</f>
        <v>* group[=].element[=].target.equivalence = #relatedto</v>
      </c>
    </row>
    <row r="108" spans="2:2" x14ac:dyDescent="0.75">
      <c r="B108" s="12" t="str">
        <f>IF('Subject-ConceptMap-1'!S103=0,"//---END",'Subject-ConceptMap-1'!S103)</f>
        <v>* group[=].element[=].target.comment = ##34#TO BE MAPPED##34#</v>
      </c>
    </row>
    <row r="109" spans="2:2" x14ac:dyDescent="0.75">
      <c r="B109" s="12" t="str">
        <f>IF('Subject-ConceptMap-1'!S104=0,"//---END",'Subject-ConceptMap-1'!S104)</f>
        <v>* group[=].element[+].code = #Subject.previousCancerTreatment</v>
      </c>
    </row>
    <row r="110" spans="2:2" x14ac:dyDescent="0.75">
      <c r="B110" s="12" t="str">
        <f>IF('Subject-ConceptMap-1'!S105=0,"//---END",'Subject-ConceptMap-1'!S105)</f>
        <v>* group[=].element[=].display = ##34#Previous cancer treatment##34#</v>
      </c>
    </row>
    <row r="111" spans="2:2" x14ac:dyDescent="0.75">
      <c r="B111" s="12" t="str">
        <f>IF('Subject-ConceptMap-1'!S106=0,"//---END",'Subject-ConceptMap-1'!S106)</f>
        <v>* group[=].element[=].target.code = #Patient.</v>
      </c>
    </row>
    <row r="112" spans="2:2" x14ac:dyDescent="0.75">
      <c r="B112" s="12" t="str">
        <f>IF('Subject-ConceptMap-1'!S107=0,"//---END",'Subject-ConceptMap-1'!S107)</f>
        <v>* group[=].element[=].target.display = ##34###34#</v>
      </c>
    </row>
    <row r="113" spans="2:2" x14ac:dyDescent="0.75">
      <c r="B113" s="12" t="str">
        <f>IF('Subject-ConceptMap-1'!S108=0,"//---END",'Subject-ConceptMap-1'!S108)</f>
        <v>* group[=].element[=].target.equivalence = #relatedto</v>
      </c>
    </row>
    <row r="114" spans="2:2" x14ac:dyDescent="0.75">
      <c r="B114" s="12" t="str">
        <f>IF('Subject-ConceptMap-1'!S109=0,"//---END",'Subject-ConceptMap-1'!S109)</f>
        <v>* group[=].element[=].target.comment = ##34#TO BE MAPPED##34#</v>
      </c>
    </row>
    <row r="115" spans="2:2" x14ac:dyDescent="0.75">
      <c r="B115" s="12" t="str">
        <f>IF('Subject-ConceptMap-1'!S110=0,"//---END",'Subject-ConceptMap-1'!S110)</f>
        <v>* group[=].element[+].code = #Subject.lastContact</v>
      </c>
    </row>
    <row r="116" spans="2:2" x14ac:dyDescent="0.75">
      <c r="B116" s="12" t="str">
        <f>IF('Subject-ConceptMap-1'!S111=0,"//---END",'Subject-ConceptMap-1'!S111)</f>
        <v>* group[=].element[=].display = ##34#Last Contact##34#</v>
      </c>
    </row>
    <row r="117" spans="2:2" x14ac:dyDescent="0.75">
      <c r="B117" s="12" t="str">
        <f>IF('Subject-ConceptMap-1'!S112=0,"//---END",'Subject-ConceptMap-1'!S112)</f>
        <v>* group[=].element[=].target.code = #Patient.</v>
      </c>
    </row>
    <row r="118" spans="2:2" x14ac:dyDescent="0.75">
      <c r="B118" s="12" t="str">
        <f>IF('Subject-ConceptMap-1'!S113=0,"//---END",'Subject-ConceptMap-1'!S113)</f>
        <v>* group[=].element[=].target.display = ##34###34#</v>
      </c>
    </row>
    <row r="119" spans="2:2" x14ac:dyDescent="0.75">
      <c r="B119" s="12" t="str">
        <f>IF('Subject-ConceptMap-1'!S114=0,"//---END",'Subject-ConceptMap-1'!S114)</f>
        <v>* group[=].element[=].target.equivalence = #relatedto</v>
      </c>
    </row>
    <row r="120" spans="2:2" x14ac:dyDescent="0.75">
      <c r="B120" s="12" t="str">
        <f>IF('Subject-ConceptMap-1'!S115=0,"//---END",'Subject-ConceptMap-1'!S115)</f>
        <v>* group[=].element[=].target.comment = ##34#TO BE MAPPED##34#</v>
      </c>
    </row>
    <row r="121" spans="2:2" x14ac:dyDescent="0.75">
      <c r="B121" s="12" t="str">
        <f>IF('Subject-ConceptMap-1'!S116=0,"//---END",'Subject-ConceptMap-1'!S116)</f>
        <v>//---END</v>
      </c>
    </row>
    <row r="122" spans="2:2" x14ac:dyDescent="0.75">
      <c r="B122" s="12" t="str">
        <f>IF('Subject-ConceptMap-1'!S117=0,"//---END",'Subject-ConceptMap-1'!S117)</f>
        <v>//---END</v>
      </c>
    </row>
    <row r="123" spans="2:2" x14ac:dyDescent="0.75">
      <c r="B123" s="12" t="str">
        <f>IF('Subject-ConceptMap-1'!S118=0,"//---END",'Subject-ConceptMap-1'!S118)</f>
        <v>//---END</v>
      </c>
    </row>
    <row r="124" spans="2:2" x14ac:dyDescent="0.75">
      <c r="B124" s="12" t="str">
        <f>IF('Subject-ConceptMap-1'!S119=0,"//---END",'Subject-ConceptMap-1'!S119)</f>
        <v>//---END</v>
      </c>
    </row>
    <row r="125" spans="2:2" x14ac:dyDescent="0.75">
      <c r="B125" s="12" t="str">
        <f>IF('Subject-ConceptMap-1'!S120=0,"//---END",'Subject-ConceptMap-1'!S120)</f>
        <v>//---END</v>
      </c>
    </row>
    <row r="126" spans="2:2" x14ac:dyDescent="0.75">
      <c r="B126" s="12" t="str">
        <f>IF('Subject-ConceptMap-1'!S121=0,"//---END",'Subject-ConceptMap-1'!S121)</f>
        <v>//---END</v>
      </c>
    </row>
    <row r="127" spans="2:2" x14ac:dyDescent="0.75">
      <c r="B127" s="12" t="str">
        <f>IF('Subject-ConceptMap-1'!S122=0,"//---END",'Subject-ConceptMap-1'!S122)</f>
        <v>//---END</v>
      </c>
    </row>
    <row r="128" spans="2:2" x14ac:dyDescent="0.75">
      <c r="B128" s="12" t="str">
        <f>IF('Subject-ConceptMap-1'!S123=0,"//---END",'Subject-ConceptMap-1'!S123)</f>
        <v>//---END</v>
      </c>
    </row>
    <row r="129" spans="2:2" x14ac:dyDescent="0.75">
      <c r="B129" s="12" t="str">
        <f>IF('Subject-ConceptMap-1'!S124=0,"//---END",'Subject-ConceptMap-1'!S124)</f>
        <v>//---END</v>
      </c>
    </row>
    <row r="130" spans="2:2" x14ac:dyDescent="0.75">
      <c r="B130" s="12" t="str">
        <f>IF('Subject-ConceptMap-1'!S125=0,"//---END",'Subject-ConceptMap-1'!S125)</f>
        <v>//---END</v>
      </c>
    </row>
    <row r="131" spans="2:2" x14ac:dyDescent="0.75">
      <c r="B131" s="12" t="str">
        <f>IF('Subject-ConceptMap-1'!S126=0,"//---END",'Subject-ConceptMap-1'!S126)</f>
        <v>//---END</v>
      </c>
    </row>
    <row r="132" spans="2:2" x14ac:dyDescent="0.75">
      <c r="B132" s="12" t="str">
        <f>IF('Subject-ConceptMap-1'!S127=0,"//---END",'Subject-ConceptMap-1'!S127)</f>
        <v>//---END</v>
      </c>
    </row>
    <row r="133" spans="2:2" x14ac:dyDescent="0.75">
      <c r="B133" s="12" t="str">
        <f>IF('Subject-ConceptMap-1'!S128=0,"//---END",'Subject-ConceptMap-1'!S128)</f>
        <v>//---END</v>
      </c>
    </row>
    <row r="134" spans="2:2" x14ac:dyDescent="0.75">
      <c r="B134" s="12"/>
    </row>
    <row r="135" spans="2:2" x14ac:dyDescent="0.75">
      <c r="B135" s="117"/>
    </row>
    <row r="136" spans="2:2" x14ac:dyDescent="0.75">
      <c r="B136" s="115" t="str">
        <f>"* group[+].source = ##34#"&amp;'Subject-ConceptMap-2'!E6&amp;"##34#"</f>
        <v>* group[+].source = ##34#http://hl7.eu/fhir/ig/idea4rc/StructureDefinition/Subject##34#</v>
      </c>
    </row>
    <row r="137" spans="2:2" x14ac:dyDescent="0.75">
      <c r="B137" s="118" t="str">
        <f>"* group[=].target = ##34#"&amp;'Subject-ConceptMap-2'!E7&amp;"##34#"</f>
        <v>* group[=].target = ##34#http://hl7.eu/fhir/ig/idea4rc/StructureDefinition/observation-tobaccouse-eu-i4rc##34#</v>
      </c>
    </row>
    <row r="138" spans="2:2" x14ac:dyDescent="0.75">
      <c r="B138" s="119"/>
    </row>
    <row r="139" spans="2:2" x14ac:dyDescent="0.75">
      <c r="B139" s="12" t="str">
        <f>IF('Subject-ConceptMap-2'!S15=0,"//---END",'Subject-ConceptMap-2'!S15)</f>
        <v>* group[=].element[+].code = #Subject.smoking</v>
      </c>
    </row>
    <row r="140" spans="2:2" x14ac:dyDescent="0.75">
      <c r="B140" s="12" t="str">
        <f>IF('Subject-ConceptMap-2'!S16=0,"//---END",'Subject-ConceptMap-2'!S16)</f>
        <v>* group[=].element[=].display = ##34#Smoking##34#</v>
      </c>
    </row>
    <row r="141" spans="2:2" x14ac:dyDescent="0.75">
      <c r="B141" s="12" t="str">
        <f>IF('Subject-ConceptMap-2'!S17=0,"//---END",'Subject-ConceptMap-2'!S17)</f>
        <v>* group[=].element[=].target.code = #Observation.component:smokingStatus.value[x]:valueCodeableConcept</v>
      </c>
    </row>
    <row r="142" spans="2:2" x14ac:dyDescent="0.75">
      <c r="B142" s="12" t="str">
        <f>IF('Subject-ConceptMap-2'!S18=0,"//---END",'Subject-ConceptMap-2'!S18)</f>
        <v>* group[=].element[=].target.display = ##34###34#</v>
      </c>
    </row>
    <row r="143" spans="2:2" x14ac:dyDescent="0.75">
      <c r="B143" s="12" t="str">
        <f>IF('Subject-ConceptMap-2'!S19=0,"//---END",'Subject-ConceptMap-2'!S19)</f>
        <v>* group[=].element[=].target.equivalence = #equivalent</v>
      </c>
    </row>
    <row r="144" spans="2:2" x14ac:dyDescent="0.75">
      <c r="B144" s="12" t="str">
        <f>IF('Subject-ConceptMap-2'!S20=0,"//---END",'Subject-ConceptMap-2'!S20)</f>
        <v/>
      </c>
    </row>
    <row r="145" spans="2:2" x14ac:dyDescent="0.75">
      <c r="B145" s="12" t="str">
        <f>IF('Subject-ConceptMap-2'!S21=0,"//---END",'Subject-ConceptMap-2'!S21)</f>
        <v>* group[=].element[+].code = #Subject.smokingType</v>
      </c>
    </row>
    <row r="146" spans="2:2" x14ac:dyDescent="0.75">
      <c r="B146" s="12" t="str">
        <f>IF('Subject-ConceptMap-2'!S22=0,"//---END",'Subject-ConceptMap-2'!S22)</f>
        <v>* group[=].element[=].display = ##34#Smoking type##34#</v>
      </c>
    </row>
    <row r="147" spans="2:2" x14ac:dyDescent="0.75">
      <c r="B147" s="12" t="str">
        <f>IF('Subject-ConceptMap-2'!S23=0,"//---END",'Subject-ConceptMap-2'!S23)</f>
        <v>* group[=].element[=].target.code = #Observation.component:tobaccoProduct.value[x]:valueCodeableConcept</v>
      </c>
    </row>
    <row r="148" spans="2:2" x14ac:dyDescent="0.75">
      <c r="B148" s="12" t="str">
        <f>IF('Subject-ConceptMap-2'!S24=0,"//---END",'Subject-ConceptMap-2'!S24)</f>
        <v>* group[=].element[=].target.display = ##34###34#</v>
      </c>
    </row>
    <row r="149" spans="2:2" x14ac:dyDescent="0.75">
      <c r="B149" s="12" t="str">
        <f>IF('Subject-ConceptMap-2'!S25=0,"//---END",'Subject-ConceptMap-2'!S25)</f>
        <v>* group[=].element[=].target.equivalence = #equivalent</v>
      </c>
    </row>
    <row r="150" spans="2:2" x14ac:dyDescent="0.75">
      <c r="B150" s="12" t="str">
        <f>IF('Subject-ConceptMap-2'!S26=0,"//---END",'Subject-ConceptMap-2'!S26)</f>
        <v/>
      </c>
    </row>
    <row r="151" spans="2:2" x14ac:dyDescent="0.75">
      <c r="B151" s="12" t="str">
        <f>IF('Subject-ConceptMap-2'!S27=0,"//---END",'Subject-ConceptMap-2'!S27)</f>
        <v>* group[=].element[+].code = #Subject.cigSmokedPerDay</v>
      </c>
    </row>
    <row r="152" spans="2:2" x14ac:dyDescent="0.75">
      <c r="B152" s="12" t="str">
        <f>IF('Subject-ConceptMap-2'!S28=0,"//---END",'Subject-ConceptMap-2'!S28)</f>
        <v>* group[=].element[=].display = ##34#Cigarettes/cigars smoked per day##34#</v>
      </c>
    </row>
    <row r="153" spans="2:2" x14ac:dyDescent="0.75">
      <c r="B153" s="12" t="str">
        <f>IF('Subject-ConceptMap-2'!S29=0,"//---END",'Subject-ConceptMap-2'!S29)</f>
        <v>* group[=].element[=].target.code = #Observation.component:numberPerDay.value[x]:valueQuantity</v>
      </c>
    </row>
    <row r="154" spans="2:2" x14ac:dyDescent="0.75">
      <c r="B154" s="12" t="str">
        <f>IF('Subject-ConceptMap-2'!S30=0,"//---END",'Subject-ConceptMap-2'!S30)</f>
        <v>* group[=].element[=].target.display = ##34###34#</v>
      </c>
    </row>
    <row r="155" spans="2:2" x14ac:dyDescent="0.75">
      <c r="B155" s="12" t="str">
        <f>IF('Subject-ConceptMap-2'!S31=0,"//---END",'Subject-ConceptMap-2'!S31)</f>
        <v>* group[=].element[=].target.equivalence = #equivalent</v>
      </c>
    </row>
    <row r="156" spans="2:2" x14ac:dyDescent="0.75">
      <c r="B156" s="12" t="str">
        <f>IF('Subject-ConceptMap-2'!S32=0,"//---END",'Subject-ConceptMap-2'!S32)</f>
        <v/>
      </c>
    </row>
    <row r="157" spans="2:2" x14ac:dyDescent="0.75">
      <c r="B157" s="12" t="str">
        <f>IF('Subject-ConceptMap-2'!S33=0,"//---END",'Subject-ConceptMap-2'!S33)</f>
        <v>* group[=].element[+].code = #Subject.yearsAsSmoker</v>
      </c>
    </row>
    <row r="158" spans="2:2" x14ac:dyDescent="0.75">
      <c r="B158" s="12" t="str">
        <f>IF('Subject-ConceptMap-2'!S34=0,"//---END",'Subject-ConceptMap-2'!S34)</f>
        <v>* group[=].element[=].display = ##34#Number of years as a smoker##34#</v>
      </c>
    </row>
    <row r="159" spans="2:2" x14ac:dyDescent="0.75">
      <c r="B159" s="12" t="str">
        <f>IF('Subject-ConceptMap-2'!S35=0,"//---END",'Subject-ConceptMap-2'!S35)</f>
        <v>* group[=].element[=].target.code = #Observation.component:yearsAsSmokervalue[x]:valueQuantity</v>
      </c>
    </row>
    <row r="160" spans="2:2" x14ac:dyDescent="0.75">
      <c r="B160" s="12" t="str">
        <f>IF('Subject-ConceptMap-2'!S36=0,"//---END",'Subject-ConceptMap-2'!S36)</f>
        <v>* group[=].element[=].target.display = ##34###34#</v>
      </c>
    </row>
    <row r="161" spans="2:2" x14ac:dyDescent="0.75">
      <c r="B161" s="12" t="str">
        <f>IF('Subject-ConceptMap-2'!S37=0,"//---END",'Subject-ConceptMap-2'!S37)</f>
        <v>* group[=].element[=].target.equivalence = #equivalent</v>
      </c>
    </row>
    <row r="162" spans="2:2" x14ac:dyDescent="0.75">
      <c r="B162" s="12" t="str">
        <f>IF('Subject-ConceptMap-2'!S38=0,"//---END",'Subject-ConceptMap-2'!S38)</f>
        <v/>
      </c>
    </row>
    <row r="163" spans="2:2" x14ac:dyDescent="0.75">
      <c r="B163" s="12" t="str">
        <f>IF('Subject-ConceptMap-2'!S39=0,"//---END",'Subject-ConceptMap-2'!S39)</f>
        <v>//---END</v>
      </c>
    </row>
    <row r="164" spans="2:2" x14ac:dyDescent="0.75">
      <c r="B164" s="12" t="str">
        <f>IF('Subject-ConceptMap-2'!S40=0,"//---END",'Subject-ConceptMap-2'!S40)</f>
        <v>//---END</v>
      </c>
    </row>
    <row r="165" spans="2:2" x14ac:dyDescent="0.75">
      <c r="B165" s="12" t="str">
        <f>IF('Subject-ConceptMap-2'!S41=0,"//---END",'Subject-ConceptMap-2'!S41)</f>
        <v>//---END</v>
      </c>
    </row>
    <row r="166" spans="2:2" x14ac:dyDescent="0.75">
      <c r="B166" s="12" t="str">
        <f>IF('Subject-ConceptMap-2'!S42=0,"//---END",'Subject-ConceptMap-2'!S42)</f>
        <v>//---END</v>
      </c>
    </row>
    <row r="167" spans="2:2" x14ac:dyDescent="0.75">
      <c r="B167" s="12" t="str">
        <f>IF('Subject-ConceptMap-2'!S43=0,"//---END",'Subject-ConceptMap-2'!S43)</f>
        <v>//---END</v>
      </c>
    </row>
    <row r="168" spans="2:2" x14ac:dyDescent="0.75">
      <c r="B168" s="12" t="str">
        <f>IF('Subject-ConceptMap-2'!S44=0,"//---END",'Subject-ConceptMap-2'!S44)</f>
        <v>//---END</v>
      </c>
    </row>
    <row r="169" spans="2:2" x14ac:dyDescent="0.75">
      <c r="B169" s="12" t="str">
        <f>IF('Subject-ConceptMap-2'!S45=0,"//---END",'Subject-ConceptMap-2'!S45)</f>
        <v>//---END</v>
      </c>
    </row>
    <row r="170" spans="2:2" x14ac:dyDescent="0.75">
      <c r="B170" s="12" t="str">
        <f>IF('Subject-ConceptMap-2'!S46=0,"//---END",'Subject-ConceptMap-2'!S46)</f>
        <v>//---END</v>
      </c>
    </row>
    <row r="171" spans="2:2" x14ac:dyDescent="0.75">
      <c r="B171" s="12" t="str">
        <f>IF('Subject-ConceptMap-2'!S47=0,"//---END",'Subject-ConceptMap-2'!S47)</f>
        <v>//---END</v>
      </c>
    </row>
    <row r="172" spans="2:2" x14ac:dyDescent="0.75">
      <c r="B172" s="12" t="str">
        <f>IF('Subject-ConceptMap-2'!S48=0,"//---END",'Subject-ConceptMap-2'!S48)</f>
        <v>//---END</v>
      </c>
    </row>
    <row r="173" spans="2:2" x14ac:dyDescent="0.75">
      <c r="B173" s="12" t="str">
        <f>IF('Subject-ConceptMap-2'!S49=0,"//---END",'Subject-ConceptMap-2'!S49)</f>
        <v>//---END</v>
      </c>
    </row>
    <row r="174" spans="2:2" x14ac:dyDescent="0.75">
      <c r="B174" s="12" t="str">
        <f>IF('Subject-ConceptMap-2'!S50=0,"//---END",'Subject-ConceptMap-2'!S50)</f>
        <v>//---END</v>
      </c>
    </row>
    <row r="175" spans="2:2" x14ac:dyDescent="0.75">
      <c r="B175" s="12" t="str">
        <f>IF('Subject-ConceptMap-2'!S51=0,"//---END",'Subject-ConceptMap-2'!S51)</f>
        <v>//---END</v>
      </c>
    </row>
    <row r="176" spans="2:2" x14ac:dyDescent="0.75">
      <c r="B176" s="12" t="str">
        <f>IF('Subject-ConceptMap-2'!S52=0,"//---END",'Subject-ConceptMap-2'!S52)</f>
        <v>//---END</v>
      </c>
    </row>
    <row r="177" spans="2:3" x14ac:dyDescent="0.75">
      <c r="B177" s="12" t="str">
        <f>IF('Subject-ConceptMap-2'!S53=0,"//---END",'Subject-ConceptMap-2'!S53)</f>
        <v>//---END</v>
      </c>
    </row>
    <row r="178" spans="2:3" x14ac:dyDescent="0.75">
      <c r="B178" s="12" t="str">
        <f>IF('Subject-ConceptMap-2'!S54=0,"//---END",'Subject-ConceptMap-2'!S54)</f>
        <v>//---END</v>
      </c>
    </row>
    <row r="179" spans="2:3" x14ac:dyDescent="0.75">
      <c r="B179" s="12" t="str">
        <f>IF('Subject-ConceptMap-2'!S55=0,"//---END",'Subject-ConceptMap-2'!S55)</f>
        <v>//---END</v>
      </c>
    </row>
    <row r="181" spans="2:3" x14ac:dyDescent="0.75">
      <c r="B181" s="117"/>
    </row>
    <row r="182" spans="2:3" x14ac:dyDescent="0.75">
      <c r="B182" s="115" t="str">
        <f>"* group[+].source = ##34#"&amp;'Subject-ConceptMap-3'!E6&amp;"##34#"</f>
        <v>* group[+].source = ##34#http://hl7.eu/fhir/ig/idea4rc/StructureDefinition/Subject##34#</v>
      </c>
    </row>
    <row r="183" spans="2:3" x14ac:dyDescent="0.75">
      <c r="B183" s="118" t="str">
        <f>"* group[=].target = ##34#"&amp;'Subject-ConceptMap-3'!E7&amp;"##34#"</f>
        <v>* group[=].target = ##34#http://hl7.eu/fhir/ig/idea4rc/StructureDefinition/observation-alcoholuse-eu-i4rc##34#</v>
      </c>
    </row>
    <row r="184" spans="2:3" x14ac:dyDescent="0.75">
      <c r="B184" s="120"/>
    </row>
    <row r="185" spans="2:3" x14ac:dyDescent="0.75">
      <c r="B185" s="12"/>
      <c r="C185" s="11"/>
    </row>
    <row r="186" spans="2:3" x14ac:dyDescent="0.75">
      <c r="B186" s="12" t="str">
        <f>IF('Subject-ConceptMap-3'!S15=0,"//---END",'Subject-ConceptMap-3'!S15)</f>
        <v>* group[=].element[+].code = #Subject.alcohol</v>
      </c>
      <c r="C186" s="11"/>
    </row>
    <row r="187" spans="2:3" x14ac:dyDescent="0.75">
      <c r="B187" s="12" t="str">
        <f>IF('Subject-ConceptMap-3'!S16=0,"//---END",'Subject-ConceptMap-3'!S16)</f>
        <v>* group[=].element[=].display = ##34#Alcohol##34#</v>
      </c>
      <c r="C187" s="11"/>
    </row>
    <row r="188" spans="2:3" x14ac:dyDescent="0.75">
      <c r="B188" s="12" t="str">
        <f>IF('Subject-ConceptMap-3'!S17=0,"//---END",'Subject-ConceptMap-3'!S17)</f>
        <v>* group[=].element[=].target.code = #Observation.value[x]:valueCodeableConcept</v>
      </c>
      <c r="C188" s="11"/>
    </row>
    <row r="189" spans="2:3" x14ac:dyDescent="0.75">
      <c r="B189" s="12" t="str">
        <f>IF('Subject-ConceptMap-3'!S18=0,"//---END",'Subject-ConceptMap-3'!S18)</f>
        <v>* group[=].element[=].target.display = ##34###34#</v>
      </c>
      <c r="C189" s="11"/>
    </row>
    <row r="190" spans="2:3" x14ac:dyDescent="0.75">
      <c r="B190" s="12" t="str">
        <f>IF('Subject-ConceptMap-3'!S19=0,"//---END",'Subject-ConceptMap-3'!S19)</f>
        <v>* group[=].element[=].target.equivalence = #equivalent</v>
      </c>
      <c r="C190" s="11"/>
    </row>
    <row r="191" spans="2:3" x14ac:dyDescent="0.75">
      <c r="B191" s="12" t="str">
        <f>IF('Subject-ConceptMap-3'!S20=0,"//---END",'Subject-ConceptMap-3'!S20)</f>
        <v/>
      </c>
      <c r="C191" s="11"/>
    </row>
    <row r="192" spans="2:3" x14ac:dyDescent="0.75">
      <c r="B192" s="12" t="str">
        <f>IF('Subject-ConceptMap-3'!S21=0,"//---END",'Subject-ConceptMap-3'!S21)</f>
        <v>//---END</v>
      </c>
      <c r="C192" s="11"/>
    </row>
    <row r="193" spans="2:3" x14ac:dyDescent="0.75">
      <c r="B193" s="12" t="str">
        <f>IF('Subject-ConceptMap-3'!S22=0,"//---END",'Subject-ConceptMap-3'!S22)</f>
        <v>//---END</v>
      </c>
      <c r="C193" s="11"/>
    </row>
    <row r="194" spans="2:3" x14ac:dyDescent="0.75">
      <c r="B194" s="12" t="str">
        <f>IF('Subject-ConceptMap-3'!S23=0,"//---END",'Subject-ConceptMap-3'!S23)</f>
        <v>//---END</v>
      </c>
      <c r="C194" s="11"/>
    </row>
    <row r="195" spans="2:3" x14ac:dyDescent="0.75">
      <c r="B195" s="12" t="str">
        <f>IF('Subject-ConceptMap-3'!S24=0,"//---END",'Subject-ConceptMap-3'!S24)</f>
        <v>//---END</v>
      </c>
      <c r="C195" s="11"/>
    </row>
    <row r="196" spans="2:3" x14ac:dyDescent="0.75">
      <c r="B196" s="12" t="str">
        <f>IF('Subject-ConceptMap-3'!S25=0,"//---END",'Subject-ConceptMap-3'!S25)</f>
        <v>//---END</v>
      </c>
      <c r="C196" s="11"/>
    </row>
    <row r="197" spans="2:3" x14ac:dyDescent="0.75">
      <c r="B197" s="12" t="str">
        <f>IF('Subject-ConceptMap-3'!S26=0,"//---END",'Subject-ConceptMap-3'!S26)</f>
        <v>//---END</v>
      </c>
      <c r="C197" s="11"/>
    </row>
    <row r="198" spans="2:3" x14ac:dyDescent="0.75">
      <c r="B198" s="12" t="str">
        <f>IF('Subject-ConceptMap-3'!S27=0,"//---END",'Subject-ConceptMap-3'!S27)</f>
        <v>//---END</v>
      </c>
      <c r="C198" s="11"/>
    </row>
    <row r="199" spans="2:3" x14ac:dyDescent="0.75">
      <c r="B199" s="12" t="str">
        <f>IF('Subject-ConceptMap-3'!S28=0,"//---END",'Subject-ConceptMap-3'!S28)</f>
        <v>//---END</v>
      </c>
      <c r="C199" s="11"/>
    </row>
    <row r="200" spans="2:3" x14ac:dyDescent="0.75">
      <c r="B200" s="12" t="str">
        <f>IF('Subject-ConceptMap-3'!S29=0,"//---END",'Subject-ConceptMap-3'!S29)</f>
        <v>//---END</v>
      </c>
      <c r="C200" s="11"/>
    </row>
    <row r="201" spans="2:3" x14ac:dyDescent="0.75">
      <c r="B201" s="12" t="str">
        <f>IF('Subject-ConceptMap-3'!S30=0,"//---END",'Subject-ConceptMap-3'!S30)</f>
        <v>//---END</v>
      </c>
      <c r="C201" s="91"/>
    </row>
    <row r="202" spans="2:3" x14ac:dyDescent="0.75">
      <c r="B202" s="12" t="str">
        <f>IF('Subject-ConceptMap-3'!S31=0,"//---END",'Subject-ConceptMap-3'!S31)</f>
        <v>//---END</v>
      </c>
      <c r="C202" s="91"/>
    </row>
    <row r="203" spans="2:3" x14ac:dyDescent="0.75">
      <c r="B203" s="12" t="str">
        <f>IF('Subject-ConceptMap-3'!S32=0,"//---END",'Subject-ConceptMap-3'!S32)</f>
        <v>//---END</v>
      </c>
      <c r="C203" s="91"/>
    </row>
    <row r="204" spans="2:3" x14ac:dyDescent="0.75">
      <c r="B204" s="12"/>
    </row>
    <row r="205" spans="2:3" x14ac:dyDescent="0.75">
      <c r="B205" s="117"/>
    </row>
    <row r="206" spans="2:3" x14ac:dyDescent="0.75">
      <c r="B206" s="118" t="str">
        <f>"* group[+].source = ##34#"&amp;'Subject-ConceptMap-4'!E6&amp;"##34#"</f>
        <v>* group[+].source = ##34#http://hl7.eu/fhir/ig/idea4rc/StructureDefinition/Subject##34#</v>
      </c>
    </row>
    <row r="207" spans="2:3" x14ac:dyDescent="0.75">
      <c r="B207" s="118" t="str">
        <f>"* group[=].target = ##34#"&amp;'Subject-ConceptMap-4'!E7&amp;"##34#"</f>
        <v>* group[=].target = ##34#http://hl7.eu/fhir/ig/idea4rc/StructureDefinition/observation-comorbidity-eu-i4rc##34#</v>
      </c>
    </row>
    <row r="208" spans="2:3" x14ac:dyDescent="0.75">
      <c r="B208" s="119"/>
    </row>
    <row r="209" spans="2:2" x14ac:dyDescent="0.75">
      <c r="B209" s="12"/>
    </row>
    <row r="210" spans="2:2" x14ac:dyDescent="0.75">
      <c r="B210" s="12" t="str">
        <f>IF('Subject-ConceptMap-4'!S15=0,"//---END",'Subject-ConceptMap-4'!S15)</f>
        <v>* group[=].element[+].code = #Subject.comorbidity</v>
      </c>
    </row>
    <row r="211" spans="2:2" x14ac:dyDescent="0.75">
      <c r="B211" s="12" t="str">
        <f>IF('Subject-ConceptMap-4'!S16=0,"//---END",'Subject-ConceptMap-4'!S16)</f>
        <v>* group[=].element[=].display = ##34#Comorbidity##34#</v>
      </c>
    </row>
    <row r="212" spans="2:2" x14ac:dyDescent="0.75">
      <c r="B212" s="12" t="str">
        <f>IF('Subject-ConceptMap-4'!S17=0,"//---END",'Subject-ConceptMap-4'!S17)</f>
        <v>* group[=].element[=].target.code = #Observation.</v>
      </c>
    </row>
    <row r="213" spans="2:2" x14ac:dyDescent="0.75">
      <c r="B213" s="12" t="str">
        <f>IF('Subject-ConceptMap-4'!S18=0,"//---END",'Subject-ConceptMap-4'!S18)</f>
        <v>* group[=].element[=].target.display = ##34###34#</v>
      </c>
    </row>
    <row r="214" spans="2:2" x14ac:dyDescent="0.75">
      <c r="B214" s="12" t="str">
        <f>IF('Subject-ConceptMap-4'!S19=0,"//---END",'Subject-ConceptMap-4'!S19)</f>
        <v>* group[=].element[=].target.equivalence = #relatedto</v>
      </c>
    </row>
    <row r="215" spans="2:2" ht="73.75" x14ac:dyDescent="0.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x14ac:dyDescent="0.75">
      <c r="B216" s="12" t="str">
        <f>IF('Subject-ConceptMap-4'!S21=0,"//---END",'Subject-ConceptMap-4'!S21)</f>
        <v>* group[=].element[+].code = #Subject.comorbidity.myocardialInfarction</v>
      </c>
    </row>
    <row r="217" spans="2:2" x14ac:dyDescent="0.75">
      <c r="B217" s="12" t="str">
        <f>IF('Subject-ConceptMap-4'!S22=0,"//---END",'Subject-ConceptMap-4'!S22)</f>
        <v>* group[=].element[=].display = ##34#Myocardial infarction##34#</v>
      </c>
    </row>
    <row r="218" spans="2:2" x14ac:dyDescent="0.75">
      <c r="B218" s="12" t="str">
        <f>IF('Subject-ConceptMap-4'!S23=0,"//---END",'Subject-ConceptMap-4'!S23)</f>
        <v>* group[=].element[=].target.code = #Observation.extension:comorbidConditionPresent</v>
      </c>
    </row>
    <row r="219" spans="2:2" x14ac:dyDescent="0.75">
      <c r="B219" s="12" t="str">
        <f>IF('Subject-ConceptMap-4'!S24=0,"//---END",'Subject-ConceptMap-4'!S24)</f>
        <v>* group[=].element[=].target.display = ##34###34#</v>
      </c>
    </row>
    <row r="220" spans="2:2" x14ac:dyDescent="0.75">
      <c r="B220" s="12" t="str">
        <f>IF('Subject-ConceptMap-4'!S25=0,"//---END",'Subject-ConceptMap-4'!S25)</f>
        <v>* group[=].element[=].target.equivalence = #relatedto</v>
      </c>
    </row>
    <row r="221" spans="2:2" x14ac:dyDescent="0.75">
      <c r="B221" s="12" t="str">
        <f>IF('Subject-ConceptMap-4'!S26=0,"//---END",'Subject-ConceptMap-4'!S26)</f>
        <v/>
      </c>
    </row>
    <row r="222" spans="2:2" x14ac:dyDescent="0.75">
      <c r="B222" s="12" t="str">
        <f>IF('Subject-ConceptMap-4'!S27=0,"//---END",'Subject-ConceptMap-4'!S27)</f>
        <v>* group[=].element[+].code = #Subject.comorbidity.congestiveHeartFailure</v>
      </c>
    </row>
    <row r="223" spans="2:2" x14ac:dyDescent="0.75">
      <c r="B223" s="12" t="str">
        <f>IF('Subject-ConceptMap-4'!S28=0,"//---END",'Subject-ConceptMap-4'!S28)</f>
        <v>* group[=].element[=].display = ##34#Congestive heart failure##34#</v>
      </c>
    </row>
    <row r="224" spans="2:2" x14ac:dyDescent="0.75">
      <c r="B224" s="12" t="str">
        <f>IF('Subject-ConceptMap-4'!S29=0,"//---END",'Subject-ConceptMap-4'!S29)</f>
        <v>* group[=].element[=].target.code = #Observation.extension:comorbidConditionPresent</v>
      </c>
    </row>
    <row r="225" spans="2:2" x14ac:dyDescent="0.75">
      <c r="B225" s="12" t="str">
        <f>IF('Subject-ConceptMap-4'!S30=0,"//---END",'Subject-ConceptMap-4'!S30)</f>
        <v>* group[=].element[=].target.display = ##34###34#</v>
      </c>
    </row>
    <row r="226" spans="2:2" x14ac:dyDescent="0.75">
      <c r="B226" s="12" t="str">
        <f>IF('Subject-ConceptMap-4'!S31=0,"//---END",'Subject-ConceptMap-4'!S31)</f>
        <v>* group[=].element[=].target.equivalence = #equivalent</v>
      </c>
    </row>
    <row r="227" spans="2:2" x14ac:dyDescent="0.75">
      <c r="B227" s="12" t="str">
        <f>IF('Subject-ConceptMap-4'!S32=0,"//---END",'Subject-ConceptMap-4'!S32)</f>
        <v/>
      </c>
    </row>
    <row r="228" spans="2:2" x14ac:dyDescent="0.75">
      <c r="B228" s="12" t="str">
        <f>IF('Subject-ConceptMap-4'!S33=0,"//---END",'Subject-ConceptMap-4'!S33)</f>
        <v>* group[=].element[+].code = #Subject.comorbidity.peripheralVascularDisease</v>
      </c>
    </row>
    <row r="229" spans="2:2" x14ac:dyDescent="0.75">
      <c r="B229" s="12" t="str">
        <f>IF('Subject-ConceptMap-4'!S34=0,"//---END",'Subject-ConceptMap-4'!S34)</f>
        <v>* group[=].element[=].display = ##34#Peripheral vascular disease##34#</v>
      </c>
    </row>
    <row r="230" spans="2:2" x14ac:dyDescent="0.75">
      <c r="B230" s="12" t="str">
        <f>IF('Subject-ConceptMap-4'!S35=0,"//---END",'Subject-ConceptMap-4'!S35)</f>
        <v>* group[=].element[=].target.code = #Observation.extension:comorbidConditionPresent</v>
      </c>
    </row>
    <row r="231" spans="2:2" x14ac:dyDescent="0.75">
      <c r="B231" s="12" t="e">
        <f>IF('Subject-ConceptMap-4'!#REF!=0,"//---END",'Subject-ConceptMap-4'!#REF!)</f>
        <v>#REF!</v>
      </c>
    </row>
    <row r="232" spans="2:2" x14ac:dyDescent="0.75">
      <c r="B232" s="12" t="e">
        <f>IF('Subject-ConceptMap-4'!#REF!=0,"//---END",'Subject-ConceptMap-4'!#REF!)</f>
        <v>#REF!</v>
      </c>
    </row>
    <row r="233" spans="2:2" x14ac:dyDescent="0.75">
      <c r="B233" s="12" t="str">
        <f>IF('Subject-ConceptMap-4'!S36=0,"//---END",'Subject-ConceptMap-4'!S36)</f>
        <v/>
      </c>
    </row>
    <row r="234" spans="2:2" x14ac:dyDescent="0.75">
      <c r="B234" s="12" t="str">
        <f>IF('Subject-ConceptMap-4'!S37=0,"//---END",'Subject-ConceptMap-4'!S37)</f>
        <v>* group[=].element[+].code = #Subject.comorbidity.cerebrovascularAccidentExceptHemiplegia</v>
      </c>
    </row>
    <row r="235" spans="2:2" x14ac:dyDescent="0.75">
      <c r="B235" s="12" t="str">
        <f>IF('Subject-ConceptMap-4'!S38=0,"//---END",'Subject-ConceptMap-4'!S38)</f>
        <v>* group[=].element[=].display = ##34#Cerebrovascular accident  (except hemiplegia)##34#</v>
      </c>
    </row>
    <row r="236" spans="2:2" x14ac:dyDescent="0.75">
      <c r="B236" s="12" t="str">
        <f>IF('Subject-ConceptMap-4'!S39=0,"//---END",'Subject-ConceptMap-4'!S39)</f>
        <v>* group[=].element[=].target.code = #Observation.extension:comorbidConditionPresent</v>
      </c>
    </row>
    <row r="237" spans="2:2" x14ac:dyDescent="0.75">
      <c r="B237" s="12" t="str">
        <f>IF('Subject-ConceptMap-4'!S40=0,"//---END",'Subject-ConceptMap-4'!S40)</f>
        <v>* group[=].element[=].target.display = ##34###34#</v>
      </c>
    </row>
    <row r="238" spans="2:2" x14ac:dyDescent="0.75">
      <c r="B238" s="12" t="str">
        <f>IF('Subject-ConceptMap-4'!S41=0,"//---END",'Subject-ConceptMap-4'!S41)</f>
        <v>* group[=].element[=].target.equivalence = #equivalent</v>
      </c>
    </row>
    <row r="239" spans="2:2" x14ac:dyDescent="0.75">
      <c r="B239" s="12" t="str">
        <f>IF('Subject-ConceptMap-4'!S42=0,"//---END",'Subject-ConceptMap-4'!S42)</f>
        <v/>
      </c>
    </row>
    <row r="240" spans="2:2" x14ac:dyDescent="0.75">
      <c r="B240" s="12" t="str">
        <f>IF('Subject-ConceptMap-4'!S43=0,"//---END",'Subject-ConceptMap-4'!S43)</f>
        <v>* group[=].element[+].code = #Subject.comorbidity.dementia</v>
      </c>
    </row>
    <row r="241" spans="2:2" x14ac:dyDescent="0.75">
      <c r="B241" s="12" t="str">
        <f>IF('Subject-ConceptMap-4'!S44=0,"//---END",'Subject-ConceptMap-4'!S44)</f>
        <v>* group[=].element[=].display = ##34#Dementia##34#</v>
      </c>
    </row>
    <row r="242" spans="2:2" x14ac:dyDescent="0.75">
      <c r="B242" s="12" t="str">
        <f>IF('Subject-ConceptMap-4'!S45=0,"//---END",'Subject-ConceptMap-4'!S45)</f>
        <v>* group[=].element[=].target.code = #Observation.extension:comorbidConditionPresent</v>
      </c>
    </row>
    <row r="243" spans="2:2" x14ac:dyDescent="0.75">
      <c r="B243" s="12" t="str">
        <f>IF('Subject-ConceptMap-4'!S46=0,"//---END",'Subject-ConceptMap-4'!S46)</f>
        <v>* group[=].element[=].target.display = ##34###34#</v>
      </c>
    </row>
    <row r="244" spans="2:2" x14ac:dyDescent="0.75">
      <c r="B244" s="12" t="str">
        <f>IF('Subject-ConceptMap-4'!S47=0,"//---END",'Subject-ConceptMap-4'!S47)</f>
        <v>* group[=].element[=].target.equivalence = #equivalent</v>
      </c>
    </row>
    <row r="245" spans="2:2" x14ac:dyDescent="0.75">
      <c r="B245" s="12" t="str">
        <f>IF('Subject-ConceptMap-4'!S48=0,"//---END",'Subject-ConceptMap-4'!S48)</f>
        <v/>
      </c>
    </row>
    <row r="246" spans="2:2" x14ac:dyDescent="0.75">
      <c r="B246" s="12" t="str">
        <f>IF('Subject-ConceptMap-4'!S49=0,"//---END",'Subject-ConceptMap-4'!S49)</f>
        <v>* group[=].element[+].code = #Subject.comorbidity.chronicPulmonaryDisease</v>
      </c>
    </row>
    <row r="247" spans="2:2" x14ac:dyDescent="0.75">
      <c r="B247" s="12" t="str">
        <f>IF('Subject-ConceptMap-4'!S50=0,"//---END",'Subject-ConceptMap-4'!S50)</f>
        <v>* group[=].element[=].display = ##34#Chronic pulmonary disease##34#</v>
      </c>
    </row>
    <row r="248" spans="2:2" x14ac:dyDescent="0.75">
      <c r="B248" s="12" t="str">
        <f>IF('Subject-ConceptMap-4'!S51=0,"//---END",'Subject-ConceptMap-4'!S51)</f>
        <v>* group[=].element[=].target.code = #Observation.extension:comorbidConditionPresent</v>
      </c>
    </row>
    <row r="249" spans="2:2" x14ac:dyDescent="0.75">
      <c r="B249" s="12" t="str">
        <f>IF('Subject-ConceptMap-4'!S52=0,"//---END",'Subject-ConceptMap-4'!S52)</f>
        <v>* group[=].element[=].target.display = ##34###34#</v>
      </c>
    </row>
    <row r="250" spans="2:2" x14ac:dyDescent="0.75">
      <c r="B250" s="12" t="str">
        <f>IF('Subject-ConceptMap-4'!S53=0,"//---END",'Subject-ConceptMap-4'!S53)</f>
        <v>* group[=].element[=].target.equivalence = #equivalent</v>
      </c>
    </row>
    <row r="251" spans="2:2" x14ac:dyDescent="0.75">
      <c r="B251" s="12" t="str">
        <f>IF('Subject-ConceptMap-4'!S54=0,"//---END",'Subject-ConceptMap-4'!S54)</f>
        <v/>
      </c>
    </row>
    <row r="252" spans="2:2" x14ac:dyDescent="0.75">
      <c r="B252" s="12" t="str">
        <f>IF('Subject-ConceptMap-4'!S55=0,"//---END",'Subject-ConceptMap-4'!S55)</f>
        <v>* group[=].element[+].code = #Subject.comorbidity.connectiveTissueDisease</v>
      </c>
    </row>
    <row r="253" spans="2:2" x14ac:dyDescent="0.75">
      <c r="B253" s="12" t="str">
        <f>IF('Subject-ConceptMap-4'!S56=0,"//---END",'Subject-ConceptMap-4'!S56)</f>
        <v>* group[=].element[=].display = ##34#Connective tissue disease##34#</v>
      </c>
    </row>
    <row r="254" spans="2:2" x14ac:dyDescent="0.75">
      <c r="B254" s="12" t="str">
        <f>IF('Subject-ConceptMap-4'!S57=0,"//---END",'Subject-ConceptMap-4'!S57)</f>
        <v>* group[=].element[=].target.code = #Observation.extension:comorbidConditionPresent</v>
      </c>
    </row>
    <row r="255" spans="2:2" x14ac:dyDescent="0.75">
      <c r="B255" s="12" t="str">
        <f>IF('Subject-ConceptMap-4'!S58=0,"//---END",'Subject-ConceptMap-4'!S58)</f>
        <v>* group[=].element[=].target.display = ##34###34#</v>
      </c>
    </row>
    <row r="256" spans="2:2" x14ac:dyDescent="0.75">
      <c r="B256" s="12" t="str">
        <f>IF('Subject-ConceptMap-4'!S59=0,"//---END",'Subject-ConceptMap-4'!S59)</f>
        <v>* group[=].element[=].target.equivalence = #equivalent</v>
      </c>
    </row>
    <row r="257" spans="2:2" x14ac:dyDescent="0.75">
      <c r="B257" s="12" t="str">
        <f>IF('Subject-ConceptMap-4'!S60=0,"//---END",'Subject-ConceptMap-4'!S60)</f>
        <v/>
      </c>
    </row>
    <row r="258" spans="2:2" x14ac:dyDescent="0.75">
      <c r="B258" s="12" t="str">
        <f>IF('Subject-ConceptMap-4'!S61=0,"//---END",'Subject-ConceptMap-4'!S61)</f>
        <v>* group[=].element[+].code = #Subject.comorbidity.ulcer</v>
      </c>
    </row>
    <row r="259" spans="2:2" x14ac:dyDescent="0.75">
      <c r="B259" s="12" t="str">
        <f>IF('Subject-ConceptMap-4'!S62=0,"//---END",'Subject-ConceptMap-4'!S62)</f>
        <v>* group[=].element[=].display = ##34#Ulcer##34#</v>
      </c>
    </row>
    <row r="260" spans="2:2" x14ac:dyDescent="0.75">
      <c r="B260" s="12" t="str">
        <f>IF('Subject-ConceptMap-4'!S63=0,"//---END",'Subject-ConceptMap-4'!S63)</f>
        <v>* group[=].element[=].target.code = #Observation.extension:comorbidConditionPresent</v>
      </c>
    </row>
    <row r="261" spans="2:2" x14ac:dyDescent="0.75">
      <c r="B261" s="12" t="str">
        <f>IF('Subject-ConceptMap-4'!S64=0,"//---END",'Subject-ConceptMap-4'!S64)</f>
        <v>* group[=].element[=].target.display = ##34###34#</v>
      </c>
    </row>
    <row r="262" spans="2:2" x14ac:dyDescent="0.75">
      <c r="B262" s="12" t="str">
        <f>IF('Subject-ConceptMap-4'!S65=0,"//---END",'Subject-ConceptMap-4'!S65)</f>
        <v>* group[=].element[=].target.equivalence = #equivalent</v>
      </c>
    </row>
    <row r="263" spans="2:2" x14ac:dyDescent="0.75">
      <c r="B263" s="12" t="str">
        <f>IF('Subject-ConceptMap-4'!S66=0,"//---END",'Subject-ConceptMap-4'!S66)</f>
        <v/>
      </c>
    </row>
    <row r="264" spans="2:2" x14ac:dyDescent="0.75">
      <c r="B264" s="12" t="str">
        <f>IF('Subject-ConceptMap-4'!S67=0,"//---END",'Subject-ConceptMap-4'!S67)</f>
        <v>* group[=].element[+].code = #Subject.comorbidity.mildLiverDisease</v>
      </c>
    </row>
    <row r="265" spans="2:2" x14ac:dyDescent="0.75">
      <c r="B265" s="12" t="str">
        <f>IF('Subject-ConceptMap-4'!S68=0,"//---END",'Subject-ConceptMap-4'!S68)</f>
        <v>* group[=].element[=].display = ##34#Mild liver disease##34#</v>
      </c>
    </row>
    <row r="266" spans="2:2" x14ac:dyDescent="0.75">
      <c r="B266" s="12" t="str">
        <f>IF('Subject-ConceptMap-4'!S69=0,"//---END",'Subject-ConceptMap-4'!S69)</f>
        <v>* group[=].element[=].target.code = #Observation.extension:comorbidConditionPresent</v>
      </c>
    </row>
    <row r="267" spans="2:2" x14ac:dyDescent="0.75">
      <c r="B267" s="12" t="str">
        <f>IF('Subject-ConceptMap-4'!S70=0,"//---END",'Subject-ConceptMap-4'!S70)</f>
        <v>* group[=].element[=].target.display = ##34###34#</v>
      </c>
    </row>
    <row r="268" spans="2:2" x14ac:dyDescent="0.75">
      <c r="B268" s="12" t="str">
        <f>IF('Subject-ConceptMap-4'!S71=0,"//---END",'Subject-ConceptMap-4'!S71)</f>
        <v>* group[=].element[=].target.equivalence = #equivalent</v>
      </c>
    </row>
    <row r="269" spans="2:2" x14ac:dyDescent="0.75">
      <c r="B269" s="12" t="str">
        <f>IF('Subject-ConceptMap-4'!S72=0,"//---END",'Subject-ConceptMap-4'!S72)</f>
        <v/>
      </c>
    </row>
    <row r="270" spans="2:2" x14ac:dyDescent="0.75">
      <c r="B270" s="12" t="str">
        <f>IF('Subject-ConceptMap-4'!S73=0,"//---END",'Subject-ConceptMap-4'!S73)</f>
        <v>* group[=].element[+].code = #Subject.comorbidity.moderateToSevereLiverDisease</v>
      </c>
    </row>
    <row r="271" spans="2:2" x14ac:dyDescent="0.75">
      <c r="B271" s="12" t="str">
        <f>IF('Subject-ConceptMap-4'!S74=0,"//---END",'Subject-ConceptMap-4'!S74)</f>
        <v>* group[=].element[=].display = ##34#Moderate to severe liver disease##34#</v>
      </c>
    </row>
    <row r="272" spans="2:2" x14ac:dyDescent="0.75">
      <c r="B272" s="12" t="str">
        <f>IF('Subject-ConceptMap-4'!S75=0,"//---END",'Subject-ConceptMap-4'!S75)</f>
        <v>* group[=].element[=].target.code = #Observation.extension:comorbidConditionPresent</v>
      </c>
    </row>
    <row r="273" spans="2:2" x14ac:dyDescent="0.75">
      <c r="B273" s="12" t="str">
        <f>IF('Subject-ConceptMap-4'!S76=0,"//---END",'Subject-ConceptMap-4'!S76)</f>
        <v>* group[=].element[=].target.display = ##34###34#</v>
      </c>
    </row>
    <row r="274" spans="2:2" x14ac:dyDescent="0.75">
      <c r="B274" s="12" t="str">
        <f>IF('Subject-ConceptMap-4'!S77=0,"//---END",'Subject-ConceptMap-4'!S77)</f>
        <v>* group[=].element[=].target.equivalence = #equivalent</v>
      </c>
    </row>
    <row r="275" spans="2:2" x14ac:dyDescent="0.75">
      <c r="B275" s="12" t="str">
        <f>IF('Subject-ConceptMap-4'!S78=0,"//---END",'Subject-ConceptMap-4'!S78)</f>
        <v/>
      </c>
    </row>
    <row r="276" spans="2:2" x14ac:dyDescent="0.75">
      <c r="B276" s="12" t="str">
        <f>IF('Subject-ConceptMap-4'!S79=0,"//---END",'Subject-ConceptMap-4'!S79)</f>
        <v>* group[=].element[+].code = #Subject.comorbidity.diabetesWithoutComplications</v>
      </c>
    </row>
    <row r="277" spans="2:2" x14ac:dyDescent="0.75">
      <c r="B277" s="12" t="str">
        <f>IF('Subject-ConceptMap-4'!S80=0,"//---END",'Subject-ConceptMap-4'!S80)</f>
        <v>* group[=].element[=].display = ##34#Diabetes (without complications)##34#</v>
      </c>
    </row>
    <row r="278" spans="2:2" x14ac:dyDescent="0.75">
      <c r="B278" s="12" t="str">
        <f>IF('Subject-ConceptMap-4'!S81=0,"//---END",'Subject-ConceptMap-4'!S81)</f>
        <v>* group[=].element[=].target.code = #Observation.extension:comorbidConditionPresent</v>
      </c>
    </row>
    <row r="279" spans="2:2" x14ac:dyDescent="0.75">
      <c r="B279" s="12" t="str">
        <f>IF('Subject-ConceptMap-4'!S82=0,"//---END",'Subject-ConceptMap-4'!S82)</f>
        <v>* group[=].element[=].target.display = ##34###34#</v>
      </c>
    </row>
    <row r="280" spans="2:2" x14ac:dyDescent="0.75">
      <c r="B280" s="12" t="str">
        <f>IF('Subject-ConceptMap-4'!S83=0,"//---END",'Subject-ConceptMap-4'!S83)</f>
        <v>* group[=].element[=].target.equivalence = #equivalent</v>
      </c>
    </row>
    <row r="281" spans="2:2" x14ac:dyDescent="0.75">
      <c r="B281" s="12" t="str">
        <f>IF('Subject-ConceptMap-4'!S84=0,"//---END",'Subject-ConceptMap-4'!S84)</f>
        <v/>
      </c>
    </row>
    <row r="282" spans="2:2" x14ac:dyDescent="0.75">
      <c r="B282" s="12" t="str">
        <f>IF('Subject-ConceptMap-4'!S85=0,"//---END",'Subject-ConceptMap-4'!S85)</f>
        <v>* group[=].element[+].code = #Subject.comorbidity.diabetesWithEndOrganDamage</v>
      </c>
    </row>
    <row r="283" spans="2:2" x14ac:dyDescent="0.75">
      <c r="B283" s="12" t="str">
        <f>IF('Subject-ConceptMap-4'!S86=0,"//---END",'Subject-ConceptMap-4'!S86)</f>
        <v>* group[=].element[=].display = ##34#Diabetes with end organ damage##34#</v>
      </c>
    </row>
    <row r="284" spans="2:2" x14ac:dyDescent="0.75">
      <c r="B284" s="12" t="str">
        <f>IF('Subject-ConceptMap-4'!S87=0,"//---END",'Subject-ConceptMap-4'!S87)</f>
        <v>* group[=].element[=].target.code = #Observation.extension:comorbidConditionPresent</v>
      </c>
    </row>
    <row r="285" spans="2:2" x14ac:dyDescent="0.75">
      <c r="B285" s="12" t="str">
        <f>IF('Subject-ConceptMap-4'!S88=0,"//---END",'Subject-ConceptMap-4'!S88)</f>
        <v>* group[=].element[=].target.display = ##34###34#</v>
      </c>
    </row>
    <row r="286" spans="2:2" x14ac:dyDescent="0.75">
      <c r="B286" s="12" t="str">
        <f>IF('Subject-ConceptMap-4'!S89=0,"//---END",'Subject-ConceptMap-4'!S89)</f>
        <v>* group[=].element[=].target.equivalence = #equivalent</v>
      </c>
    </row>
    <row r="287" spans="2:2" x14ac:dyDescent="0.75">
      <c r="B287" s="12" t="str">
        <f>IF('Subject-ConceptMap-4'!S90=0,"//---END",'Subject-ConceptMap-4'!S90)</f>
        <v/>
      </c>
    </row>
    <row r="288" spans="2:2" x14ac:dyDescent="0.75">
      <c r="B288" s="12" t="str">
        <f>IF('Subject-ConceptMap-4'!S91=0,"//---END",'Subject-ConceptMap-4'!S91)</f>
        <v>* group[=].element[+].code = #Subject.comorbidity.hemiplegia</v>
      </c>
    </row>
    <row r="289" spans="2:2" x14ac:dyDescent="0.75">
      <c r="B289" s="12" t="str">
        <f>IF('Subject-ConceptMap-4'!S92=0,"//---END",'Subject-ConceptMap-4'!S92)</f>
        <v>* group[=].element[=].display = ##34#Hemiplegia##34#</v>
      </c>
    </row>
    <row r="290" spans="2:2" x14ac:dyDescent="0.75">
      <c r="B290" s="12" t="str">
        <f>IF('Subject-ConceptMap-4'!S93=0,"//---END",'Subject-ConceptMap-4'!S93)</f>
        <v>* group[=].element[=].target.code = #Observation.extension:comorbidConditionPresent</v>
      </c>
    </row>
    <row r="291" spans="2:2" x14ac:dyDescent="0.75">
      <c r="B291" s="12" t="str">
        <f>IF('Subject-ConceptMap-4'!S94=0,"//---END",'Subject-ConceptMap-4'!S94)</f>
        <v>* group[=].element[=].target.display = ##34###34#</v>
      </c>
    </row>
    <row r="292" spans="2:2" x14ac:dyDescent="0.75">
      <c r="B292" s="12" t="str">
        <f>IF('Subject-ConceptMap-4'!S95=0,"//---END",'Subject-ConceptMap-4'!S95)</f>
        <v>* group[=].element[=].target.equivalence = #equivalent</v>
      </c>
    </row>
    <row r="293" spans="2:2" x14ac:dyDescent="0.75">
      <c r="B293" s="12" t="str">
        <f>IF('Subject-ConceptMap-4'!S96=0,"//---END",'Subject-ConceptMap-4'!S96)</f>
        <v/>
      </c>
    </row>
    <row r="294" spans="2:2" x14ac:dyDescent="0.75">
      <c r="B294" s="12" t="str">
        <f>IF('Subject-ConceptMap-4'!S97=0,"//---END",'Subject-ConceptMap-4'!S97)</f>
        <v>* group[=].element[+].code = #Subject.comorbidity.moderateToSevereRenalDisease</v>
      </c>
    </row>
    <row r="295" spans="2:2" x14ac:dyDescent="0.75">
      <c r="B295" s="12" t="str">
        <f>IF('Subject-ConceptMap-4'!S98=0,"//---END",'Subject-ConceptMap-4'!S98)</f>
        <v>* group[=].element[=].display = ##34#Moderate to severe renal disease##34#</v>
      </c>
    </row>
    <row r="296" spans="2:2" x14ac:dyDescent="0.75">
      <c r="B296" s="12" t="str">
        <f>IF('Subject-ConceptMap-4'!S99=0,"//---END",'Subject-ConceptMap-4'!S99)</f>
        <v>* group[=].element[=].target.code = #Observation.extension:comorbidConditionPresent</v>
      </c>
    </row>
    <row r="297" spans="2:2" x14ac:dyDescent="0.75">
      <c r="B297" s="12" t="str">
        <f>IF('Subject-ConceptMap-4'!S100=0,"//---END",'Subject-ConceptMap-4'!S100)</f>
        <v>* group[=].element[=].target.display = ##34###34#</v>
      </c>
    </row>
    <row r="298" spans="2:2" x14ac:dyDescent="0.75">
      <c r="B298" s="12" t="str">
        <f>IF('Subject-ConceptMap-4'!S101=0,"//---END",'Subject-ConceptMap-4'!S101)</f>
        <v>* group[=].element[=].target.equivalence = #equivalent</v>
      </c>
    </row>
    <row r="299" spans="2:2" x14ac:dyDescent="0.75">
      <c r="B299" s="12" t="str">
        <f>IF('Subject-ConceptMap-4'!S102=0,"//---END",'Subject-ConceptMap-4'!S102)</f>
        <v/>
      </c>
    </row>
    <row r="300" spans="2:2" x14ac:dyDescent="0.75">
      <c r="B300" s="12" t="str">
        <f>IF('Subject-ConceptMap-4'!S103=0,"//---END",'Subject-ConceptMap-4'!S103)</f>
        <v>* group[=].element[+].code = #Subject.comorbidity.solidTumorNonMetastatic</v>
      </c>
    </row>
    <row r="301" spans="2:2" x14ac:dyDescent="0.75">
      <c r="B301" s="12" t="str">
        <f>IF('Subject-ConceptMap-4'!S104=0,"//---END",'Subject-ConceptMap-4'!S104)</f>
        <v>* group[=].element[=].display = ##34#Solid tumor (non metastatic)##34#</v>
      </c>
    </row>
    <row r="302" spans="2:2" x14ac:dyDescent="0.75">
      <c r="B302" s="12" t="str">
        <f>IF('Subject-ConceptMap-4'!S105=0,"//---END",'Subject-ConceptMap-4'!S105)</f>
        <v>* group[=].element[=].target.code = #Observation.extension:comorbidConditionPresent</v>
      </c>
    </row>
    <row r="303" spans="2:2" x14ac:dyDescent="0.75">
      <c r="B303" s="12" t="str">
        <f>IF('Subject-ConceptMap-4'!S106=0,"//---END",'Subject-ConceptMap-4'!S106)</f>
        <v>* group[=].element[=].target.display = ##34###34#</v>
      </c>
    </row>
    <row r="304" spans="2:2" x14ac:dyDescent="0.75">
      <c r="B304" s="12" t="str">
        <f>IF('Subject-ConceptMap-4'!S107=0,"//---END",'Subject-ConceptMap-4'!S107)</f>
        <v>* group[=].element[=].target.equivalence = #equivalent</v>
      </c>
    </row>
    <row r="305" spans="2:2" x14ac:dyDescent="0.75">
      <c r="B305" s="12" t="str">
        <f>IF('Subject-ConceptMap-4'!S108=0,"//---END",'Subject-ConceptMap-4'!S108)</f>
        <v/>
      </c>
    </row>
    <row r="306" spans="2:2" x14ac:dyDescent="0.75">
      <c r="B306" s="12" t="str">
        <f>IF('Subject-ConceptMap-4'!S109=0,"//---END",'Subject-ConceptMap-4'!S109)</f>
        <v>* group[=].element[+].code = #Subject.comorbidity.metastaticSolidTumor</v>
      </c>
    </row>
    <row r="307" spans="2:2" x14ac:dyDescent="0.75">
      <c r="B307" s="12" t="str">
        <f>IF('Subject-ConceptMap-4'!S110=0,"//---END",'Subject-ConceptMap-4'!S110)</f>
        <v>* group[=].element[=].display = ##34#Metastatic solid tumor##34#</v>
      </c>
    </row>
    <row r="308" spans="2:2" x14ac:dyDescent="0.75">
      <c r="B308" s="12" t="str">
        <f>IF('Subject-ConceptMap-4'!S111=0,"//---END",'Subject-ConceptMap-4'!S111)</f>
        <v>* group[=].element[=].target.code = #Observation.extension:comorbidConditionPresent</v>
      </c>
    </row>
    <row r="309" spans="2:2" x14ac:dyDescent="0.75">
      <c r="B309" s="12" t="str">
        <f>IF('Subject-ConceptMap-4'!S112=0,"//---END",'Subject-ConceptMap-4'!S112)</f>
        <v>* group[=].element[=].target.display = ##34###34#</v>
      </c>
    </row>
    <row r="310" spans="2:2" x14ac:dyDescent="0.75">
      <c r="B310" s="12" t="str">
        <f>IF('Subject-ConceptMap-4'!S113=0,"//---END",'Subject-ConceptMap-4'!S113)</f>
        <v>* group[=].element[=].target.equivalence = #equivalent</v>
      </c>
    </row>
    <row r="311" spans="2:2" x14ac:dyDescent="0.75">
      <c r="B311" s="12" t="str">
        <f>IF('Subject-ConceptMap-4'!S114=0,"//---END",'Subject-ConceptMap-4'!S114)</f>
        <v/>
      </c>
    </row>
    <row r="312" spans="2:2" x14ac:dyDescent="0.75">
      <c r="B312" s="12" t="str">
        <f>IF('Subject-ConceptMap-4'!S115=0,"//---END",'Subject-ConceptMap-4'!S115)</f>
        <v>* group[=].element[+].code = #Subject.comorbidity.leukemia</v>
      </c>
    </row>
    <row r="313" spans="2:2" x14ac:dyDescent="0.75">
      <c r="B313" s="12" t="str">
        <f>IF('Subject-ConceptMap-4'!S116=0,"//---END",'Subject-ConceptMap-4'!S116)</f>
        <v>* group[=].element[=].display = ##34#Leukemia##34#</v>
      </c>
    </row>
    <row r="314" spans="2:2" x14ac:dyDescent="0.75">
      <c r="B314" s="12" t="str">
        <f>IF('Subject-ConceptMap-4'!S117=0,"//---END",'Subject-ConceptMap-4'!S117)</f>
        <v>* group[=].element[=].target.code = #Observation.extension:comorbidConditionPresent</v>
      </c>
    </row>
    <row r="315" spans="2:2" x14ac:dyDescent="0.75">
      <c r="B315" s="12" t="str">
        <f>IF('Subject-ConceptMap-4'!S118=0,"//---END",'Subject-ConceptMap-4'!S118)</f>
        <v>* group[=].element[=].target.display = ##34###34#</v>
      </c>
    </row>
    <row r="316" spans="2:2" x14ac:dyDescent="0.75">
      <c r="B316" s="12" t="str">
        <f>IF('Subject-ConceptMap-4'!S119=0,"//---END",'Subject-ConceptMap-4'!S119)</f>
        <v>* group[=].element[=].target.equivalence = #equivalent</v>
      </c>
    </row>
    <row r="317" spans="2:2" x14ac:dyDescent="0.75">
      <c r="B317" s="12" t="str">
        <f>IF('Subject-ConceptMap-4'!S120=0,"//---END",'Subject-ConceptMap-4'!S120)</f>
        <v/>
      </c>
    </row>
    <row r="318" spans="2:2" x14ac:dyDescent="0.75">
      <c r="B318" s="12" t="str">
        <f>IF('Subject-ConceptMap-4'!S121=0,"//---END",'Subject-ConceptMap-4'!S121)</f>
        <v>* group[=].element[+].code = #Subject.comorbidity.lymphoma</v>
      </c>
    </row>
    <row r="319" spans="2:2" x14ac:dyDescent="0.75">
      <c r="B319" s="12" t="str">
        <f>IF('Subject-ConceptMap-4'!S122=0,"//---END",'Subject-ConceptMap-4'!S122)</f>
        <v>* group[=].element[=].display = ##34#Lymphoma##34#</v>
      </c>
    </row>
    <row r="320" spans="2:2" x14ac:dyDescent="0.75">
      <c r="B320" s="12" t="str">
        <f>IF('Subject-ConceptMap-4'!S123=0,"//---END",'Subject-ConceptMap-4'!S123)</f>
        <v>* group[=].element[=].target.code = #Observation.extension:comorbidConditionPresent</v>
      </c>
    </row>
    <row r="321" spans="2:2" x14ac:dyDescent="0.75">
      <c r="B321" s="12" t="str">
        <f>IF('Subject-ConceptMap-4'!S124=0,"//---END",'Subject-ConceptMap-4'!S124)</f>
        <v>* group[=].element[=].target.display = ##34###34#</v>
      </c>
    </row>
    <row r="322" spans="2:2" x14ac:dyDescent="0.75">
      <c r="B322" s="12" t="str">
        <f>IF('Subject-ConceptMap-4'!S125=0,"//---END",'Subject-ConceptMap-4'!S125)</f>
        <v>* group[=].element[=].target.equivalence = #equivalent</v>
      </c>
    </row>
    <row r="323" spans="2:2" x14ac:dyDescent="0.75">
      <c r="B323" s="12" t="str">
        <f>IF('Subject-ConceptMap-4'!S126=0,"//---END",'Subject-ConceptMap-4'!S126)</f>
        <v/>
      </c>
    </row>
    <row r="324" spans="2:2" x14ac:dyDescent="0.75">
      <c r="B324" s="12" t="str">
        <f>IF('Subject-ConceptMap-4'!S127=0,"//---END",'Subject-ConceptMap-4'!S127)</f>
        <v>* group[=].element[+].code = #Subject.comorbidity.multipleMyeloma</v>
      </c>
    </row>
    <row r="325" spans="2:2" x14ac:dyDescent="0.75">
      <c r="B325" s="12" t="str">
        <f>IF('Subject-ConceptMap-4'!S128=0,"//---END",'Subject-ConceptMap-4'!S128)</f>
        <v>* group[=].element[=].display = ##34#Multiple myeloma##34#</v>
      </c>
    </row>
    <row r="326" spans="2:2" x14ac:dyDescent="0.75">
      <c r="B326" s="12" t="str">
        <f>IF('Subject-ConceptMap-4'!S129=0,"//---END",'Subject-ConceptMap-4'!S129)</f>
        <v>* group[=].element[=].target.code = #Observation.extension:comorbidConditionPresent</v>
      </c>
    </row>
    <row r="327" spans="2:2" x14ac:dyDescent="0.75">
      <c r="B327" s="12" t="str">
        <f>IF('Subject-ConceptMap-4'!S130=0,"//---END",'Subject-ConceptMap-4'!S130)</f>
        <v>* group[=].element[=].target.display = ##34###34#</v>
      </c>
    </row>
    <row r="328" spans="2:2" x14ac:dyDescent="0.75">
      <c r="B328" s="12" t="str">
        <f>IF('Subject-ConceptMap-4'!S131=0,"//---END",'Subject-ConceptMap-4'!S131)</f>
        <v>* group[=].element[=].target.equivalence = #equivalent</v>
      </c>
    </row>
    <row r="329" spans="2:2" x14ac:dyDescent="0.75">
      <c r="B329" s="12" t="str">
        <f>IF('Subject-ConceptMap-4'!S132=0,"//---END",'Subject-ConceptMap-4'!S132)</f>
        <v/>
      </c>
    </row>
    <row r="330" spans="2:2" x14ac:dyDescent="0.75">
      <c r="B330" s="12" t="str">
        <f>IF('Subject-ConceptMap-4'!S133=0,"//---END",'Subject-ConceptMap-4'!S133)</f>
        <v>* group[=].element[+].code = #Subject.comorbidity.aids</v>
      </c>
    </row>
    <row r="331" spans="2:2" x14ac:dyDescent="0.75">
      <c r="B331" s="12" t="str">
        <f>IF('Subject-ConceptMap-4'!S134=0,"//---END",'Subject-ConceptMap-4'!S134)</f>
        <v>* group[=].element[=].display = ##34#AIDS##34#</v>
      </c>
    </row>
    <row r="332" spans="2:2" x14ac:dyDescent="0.75">
      <c r="B332" s="12" t="str">
        <f>IF('Subject-ConceptMap-4'!S135=0,"//---END",'Subject-ConceptMap-4'!S135)</f>
        <v>* group[=].element[=].target.code = #Observation.extension:comorbidConditionPresent</v>
      </c>
    </row>
    <row r="333" spans="2:2" x14ac:dyDescent="0.75">
      <c r="B333" s="12" t="str">
        <f>IF('Subject-ConceptMap-4'!S136=0,"//---END",'Subject-ConceptMap-4'!S136)</f>
        <v>* group[=].element[=].target.display = ##34###34#</v>
      </c>
    </row>
    <row r="334" spans="2:2" x14ac:dyDescent="0.75">
      <c r="B334" s="12" t="str">
        <f>IF('Subject-ConceptMap-4'!S137=0,"//---END",'Subject-ConceptMap-4'!S137)</f>
        <v>* group[=].element[=].target.equivalence = #equivalent</v>
      </c>
    </row>
    <row r="335" spans="2:2" x14ac:dyDescent="0.75">
      <c r="B335" s="12" t="str">
        <f>IF('Subject-ConceptMap-4'!S138=0,"//---END",'Subject-ConceptMap-4'!S138)</f>
        <v/>
      </c>
    </row>
    <row r="336" spans="2:2" x14ac:dyDescent="0.75">
      <c r="B336" s="12" t="str">
        <f>IF('Subject-ConceptMap-4'!S139=0,"//---END",'Subject-ConceptMap-4'!S139)</f>
        <v>* group[=].element[+].code = #Subject.noGeneticSyndromeWho2020</v>
      </c>
    </row>
    <row r="337" spans="2:2" x14ac:dyDescent="0.75">
      <c r="B337" s="12" t="str">
        <f>IF('Subject-ConceptMap-4'!S140=0,"//---END",'Subject-ConceptMap-4'!S140)</f>
        <v>* group[=].element[=].display = ##34#No Genetic syndrome WHO 2020 ##34#</v>
      </c>
    </row>
    <row r="338" spans="2:2" x14ac:dyDescent="0.75">
      <c r="B338" s="12" t="str">
        <f>IF('Subject-ConceptMap-4'!S141=0,"//---END",'Subject-ConceptMap-4'!S141)</f>
        <v>* group[=].element[=].target.code = #Observation.extension:comorbidConditionPresent</v>
      </c>
    </row>
    <row r="339" spans="2:2" x14ac:dyDescent="0.75">
      <c r="B339" s="12" t="str">
        <f>IF('Subject-ConceptMap-4'!S142=0,"//---END",'Subject-ConceptMap-4'!S142)</f>
        <v>* group[=].element[=].target.display = ##34###34#</v>
      </c>
    </row>
    <row r="340" spans="2:2" s="7" customFormat="1" x14ac:dyDescent="0.75">
      <c r="B340" s="12" t="str">
        <f>IF('Subject-ConceptMap-4'!S143=0,"//---END",'Subject-ConceptMap-4'!S143)</f>
        <v>* group[=].element[=].target.equivalence = #equivalent</v>
      </c>
    </row>
    <row r="341" spans="2:2" s="7" customFormat="1" x14ac:dyDescent="0.75">
      <c r="B341" s="62"/>
    </row>
    <row r="342" spans="2:2" s="7" customFormat="1" x14ac:dyDescent="0.75">
      <c r="B342" s="119"/>
    </row>
    <row r="343" spans="2:2" s="7" customFormat="1" x14ac:dyDescent="0.75">
      <c r="B343" s="121" t="str">
        <f>"* group[+].source = ##34#"&amp;'Subject-ConceptMap-5-8'!E6&amp;"##34#"</f>
        <v>* group[+].source = ##34#http://hl7.eu/fhir/ig/idea4rc/StructureDefinition/Subject##34#</v>
      </c>
    </row>
    <row r="344" spans="2:2" s="7" customFormat="1" x14ac:dyDescent="0.75">
      <c r="B344" s="121" t="str">
        <f>"* group[=].target = ##34#"&amp;'Subject-ConceptMap-5-8'!E7&amp;"##34#"</f>
        <v>* group[=].target = ##34#http://hl7.eu/fhir/ig/idea4rc/StructureDefinition/observation-karnofsky-performance-statuseu-i4rc##34#</v>
      </c>
    </row>
    <row r="345" spans="2:2" s="7" customFormat="1" x14ac:dyDescent="0.75">
      <c r="B345" s="119"/>
    </row>
    <row r="346" spans="2:2" s="7" customFormat="1" x14ac:dyDescent="0.75">
      <c r="B346" s="62" t="str">
        <f>IF('Subject-ConceptMap-5-8'!S15=0,"//---END",'Subject-ConceptMap-5-8'!S15)</f>
        <v>* group[=].element[+].code = #Subject.karnofsyIndexAtDiagnosis</v>
      </c>
    </row>
    <row r="347" spans="2:2" s="7" customFormat="1" x14ac:dyDescent="0.75">
      <c r="B347" s="62" t="str">
        <f>IF('Subject-ConceptMap-5-8'!S16=0,"//---END",'Subject-ConceptMap-5-8'!S16)</f>
        <v>* group[=].element[=].display = ##34#Karnofsy index at diagnosis##34#</v>
      </c>
    </row>
    <row r="348" spans="2:2" x14ac:dyDescent="0.75">
      <c r="B348" s="62" t="str">
        <f>IF('Subject-ConceptMap-5-8'!S17=0,"//---END",'Subject-ConceptMap-5-8'!S17)</f>
        <v>* group[=].element[=].target.code = #Observation.valueInteger</v>
      </c>
    </row>
    <row r="349" spans="2:2" x14ac:dyDescent="0.75">
      <c r="B349" s="62" t="str">
        <f>IF('Subject-ConceptMap-5-8'!S18=0,"//---END",'Subject-ConceptMap-5-8'!S18)</f>
        <v>* group[=].element[=].target.display = ##34###34#</v>
      </c>
    </row>
    <row r="350" spans="2:2" x14ac:dyDescent="0.75">
      <c r="B350" s="62" t="str">
        <f>IF('Subject-ConceptMap-5-8'!S19=0,"//---END",'Subject-ConceptMap-5-8'!S19)</f>
        <v>* group[=].element[=].target.equivalence = #equal</v>
      </c>
    </row>
    <row r="351" spans="2:2" x14ac:dyDescent="0.75">
      <c r="B351" s="62" t="str">
        <f>IF('Subject-ConceptMap-5-8'!S20=0,"//---END",'Subject-ConceptMap-5-8'!S20)</f>
        <v/>
      </c>
    </row>
    <row r="352" spans="2:2" x14ac:dyDescent="0.75">
      <c r="B352" s="62" t="str">
        <f>IF('Subject-ConceptMap-5-8'!S21=0,"//---END",'Subject-ConceptMap-5-8'!S21)</f>
        <v>//---END</v>
      </c>
    </row>
    <row r="353" spans="2:2" x14ac:dyDescent="0.75">
      <c r="B353" s="62"/>
    </row>
    <row r="354" spans="2:2" x14ac:dyDescent="0.75">
      <c r="B354" s="62"/>
    </row>
    <row r="355" spans="2:2" x14ac:dyDescent="0.75">
      <c r="B355" s="12"/>
    </row>
    <row r="356" spans="2:2" x14ac:dyDescent="0.75">
      <c r="B356" s="117"/>
    </row>
    <row r="357" spans="2:2" x14ac:dyDescent="0.75">
      <c r="B357" s="118" t="str">
        <f>"* group[+].source = ##34#"&amp;'Subject-ConceptMap-5-8'!E19&amp;"##34#"</f>
        <v>* group[+].source = ##34#http://hl7.eu/fhir/ig/idea4rc/StructureDefinition/Subject##34#</v>
      </c>
    </row>
    <row r="358" spans="2:2" x14ac:dyDescent="0.75">
      <c r="B358" s="118" t="str">
        <f>"* group[=].target = ##34#"&amp;'Subject-ConceptMap-5-8'!E20&amp;"##34#"</f>
        <v>* group[=].target = ##34#http://hl7.eu/fhir/ig/idea4rc/StructureDefinition/observation-ecog-performance-status-eu-i4rc##34#</v>
      </c>
    </row>
    <row r="359" spans="2:2" x14ac:dyDescent="0.75">
      <c r="B359" s="119"/>
    </row>
    <row r="360" spans="2:2" x14ac:dyDescent="0.75">
      <c r="B360" s="12"/>
    </row>
    <row r="361" spans="2:2" x14ac:dyDescent="0.75">
      <c r="B361" s="12" t="str">
        <f>IF('Subject-ConceptMap-5-8'!S22=0,"//---END",'Subject-ConceptMap-5-8'!S22)</f>
        <v>* group[=].element[+].code = #Subject.ecogPsAtDiagnosis</v>
      </c>
    </row>
    <row r="362" spans="2:2" x14ac:dyDescent="0.75">
      <c r="B362" s="12" t="str">
        <f>IF('Subject-ConceptMap-5-8'!S23=0,"//---END",'Subject-ConceptMap-5-8'!S23)</f>
        <v>* group[=].element[=].display = ##34#Eastern Cooperative Oncology Group performance status (ECOG PS)  at diagnosis##34#</v>
      </c>
    </row>
    <row r="363" spans="2:2" x14ac:dyDescent="0.75">
      <c r="B363" s="12" t="str">
        <f>IF('Subject-ConceptMap-5-8'!S24=0,"//---END",'Subject-ConceptMap-5-8'!S24)</f>
        <v>* group[=].element[=].target.code = #Observation.valueCodeableConcept</v>
      </c>
    </row>
    <row r="364" spans="2:2" x14ac:dyDescent="0.75">
      <c r="B364" s="12" t="str">
        <f>IF('Subject-ConceptMap-5-8'!S25=0,"//---END",'Subject-ConceptMap-5-8'!S25)</f>
        <v>* group[=].element[=].target.display = ##34###34#</v>
      </c>
    </row>
    <row r="365" spans="2:2" x14ac:dyDescent="0.75">
      <c r="B365" s="12" t="str">
        <f>IF('Subject-ConceptMap-5-8'!S26=0,"//---END",'Subject-ConceptMap-5-8'!S26)</f>
        <v>* group[=].element[=].target.equivalence = #equal</v>
      </c>
    </row>
    <row r="366" spans="2:2" x14ac:dyDescent="0.75">
      <c r="B366" s="12" t="str">
        <f>IF('Subject-ConceptMap-5-8'!S27=0,"//---END",'Subject-ConceptMap-5-8'!S27)</f>
        <v/>
      </c>
    </row>
    <row r="367" spans="2:2" x14ac:dyDescent="0.75">
      <c r="B367" s="12" t="str">
        <f>IF('Subject-ConceptMap-5-8'!S28=0,"//---END",'Subject-ConceptMap-5-8'!S28)</f>
        <v>//---END</v>
      </c>
    </row>
    <row r="368" spans="2:2" x14ac:dyDescent="0.75">
      <c r="B368" s="12" t="str">
        <f>IF('Subject-ConceptMap-5-8'!S29=0,"//---END",'Subject-ConceptMap-5-8'!S29)</f>
        <v>//---END</v>
      </c>
    </row>
    <row r="369" spans="2:2" x14ac:dyDescent="0.75">
      <c r="B369" s="12" t="str">
        <f>IF('Subject-ConceptMap-5-8'!S30=0,"//---END",'Subject-ConceptMap-5-8'!S30)</f>
        <v>//---END</v>
      </c>
    </row>
    <row r="370" spans="2:2" x14ac:dyDescent="0.75">
      <c r="B370" s="117"/>
    </row>
    <row r="371" spans="2:2" x14ac:dyDescent="0.75">
      <c r="B371" s="118" t="str">
        <f>"* group[+].source = ##34#"&amp;'Subject-ConceptMap-5-8'!E40&amp;"##34#"</f>
        <v>* group[+].source = ##34#http://hl7.eu/fhir/ig/idea4rc/StructureDefinition/Subject##34#</v>
      </c>
    </row>
    <row r="372" spans="2:2" x14ac:dyDescent="0.75">
      <c r="B372" s="118" t="str">
        <f>"* group[=].target = ##34#"&amp;'Subject-ConceptMap-5-8'!E41&amp;"##34#"</f>
        <v>* group[=].target = ##34#http://hl7.eu/fhir/ig/idea4rc/StructureDefinition/observation-cci-eu-i4rc##34#</v>
      </c>
    </row>
    <row r="373" spans="2:2" x14ac:dyDescent="0.75">
      <c r="B373" s="119"/>
    </row>
    <row r="374" spans="2:2" x14ac:dyDescent="0.75">
      <c r="B374" s="12"/>
    </row>
    <row r="375" spans="2:2" x14ac:dyDescent="0.75">
      <c r="B375" s="12" t="str">
        <f>IF('Subject-ConceptMap-5-8'!S43=0,"//---END",'Subject-ConceptMap-5-8'!S43)</f>
        <v>* group[=].element[+].code = #Subject.charlsonComorbidityIndex</v>
      </c>
    </row>
    <row r="376" spans="2:2" x14ac:dyDescent="0.75">
      <c r="B376" s="12" t="str">
        <f>IF('Subject-ConceptMap-5-8'!S44=0,"//---END",'Subject-ConceptMap-5-8'!S44)</f>
        <v>* group[=].element[=].display = ##34#Charlson Comorbidity index##34#</v>
      </c>
    </row>
    <row r="377" spans="2:2" x14ac:dyDescent="0.75">
      <c r="B377" s="12" t="str">
        <f>IF('Subject-ConceptMap-5-8'!S45=0,"//---END",'Subject-ConceptMap-5-8'!S45)</f>
        <v>* group[=].element[=].target.code = #Observation.valueInteger</v>
      </c>
    </row>
    <row r="378" spans="2:2" x14ac:dyDescent="0.75">
      <c r="B378" s="12" t="str">
        <f>IF('Subject-ConceptMap-5-8'!S46=0,"//---END",'Subject-ConceptMap-5-8'!S46)</f>
        <v>* group[=].element[=].target.display = ##34###34#</v>
      </c>
    </row>
    <row r="379" spans="2:2" x14ac:dyDescent="0.75">
      <c r="B379" s="12" t="str">
        <f>IF('Subject-ConceptMap-5-8'!S47=0,"//---END",'Subject-ConceptMap-5-8'!S47)</f>
        <v>* group[=].element[=].target.equivalence = #equal</v>
      </c>
    </row>
    <row r="380" spans="2:2" x14ac:dyDescent="0.75">
      <c r="B380" s="12" t="str">
        <f>IF('Subject-ConceptMap-5-8'!S48=0,"//---END",'Subject-ConceptMap-5-8'!S48)</f>
        <v>//---END</v>
      </c>
    </row>
    <row r="381" spans="2:2" x14ac:dyDescent="0.75">
      <c r="B381" s="12" t="str">
        <f>IF('Subject-ConceptMap-5-8'!S49=0,"//---END",'Subject-ConceptMap-5-8'!S49)</f>
        <v>//---END</v>
      </c>
    </row>
    <row r="382" spans="2:2" x14ac:dyDescent="0.75">
      <c r="B382" s="12" t="str">
        <f>IF('Subject-ConceptMap-5-8'!S50=0,"//---END",'Subject-ConceptMap-5-8'!S50)</f>
        <v>//---END</v>
      </c>
    </row>
    <row r="383" spans="2:2" x14ac:dyDescent="0.75">
      <c r="B383" s="12" t="str">
        <f>IF('Subject-ConceptMap-5-8'!S51=0,"//---END",'Subject-ConceptMap-5-8'!S51)</f>
        <v>//---END</v>
      </c>
    </row>
    <row r="384" spans="2:2" x14ac:dyDescent="0.75">
      <c r="B384" s="12" t="str">
        <f>IF('Subject-ConceptMap-5-8'!S52=0,"//---END",'Subject-ConceptMap-5-8'!S52)</f>
        <v>//---END</v>
      </c>
    </row>
    <row r="385" spans="2:2" x14ac:dyDescent="0.75">
      <c r="B385" s="12" t="str">
        <f>IF('Subject-ConceptMap-5-8'!S53=0,"//---END",'Subject-ConceptMap-5-8'!S53)</f>
        <v>//---END</v>
      </c>
    </row>
    <row r="386" spans="2:2" x14ac:dyDescent="0.75">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HospitalPatientRecordsI4rc</v>
      </c>
    </row>
    <row r="5" spans="1:18" ht="15.5" thickBot="1" x14ac:dyDescent="0.9">
      <c r="A5" s="14" t="s">
        <v>16</v>
      </c>
      <c r="B5" s="30" t="s">
        <v>1895</v>
      </c>
      <c r="L5" s="16" t="str">
        <f>CONCATENATE("Id: ",B5)</f>
        <v>Id: HospitalPatientRecords</v>
      </c>
    </row>
    <row r="6" spans="1:18" ht="15.5" thickBot="1" x14ac:dyDescent="0.9">
      <c r="A6" s="14" t="s">
        <v>10</v>
      </c>
      <c r="B6" s="30" t="s">
        <v>1896</v>
      </c>
      <c r="L6" s="17" t="str">
        <f>CONCATENATE("Title: ##34#",B6,"##34#")</f>
        <v>Title: ##34#Hospital Patient Records##34#</v>
      </c>
    </row>
    <row r="7" spans="1:18" x14ac:dyDescent="0.75">
      <c r="A7" s="26" t="s">
        <v>2</v>
      </c>
      <c r="B7" s="104" t="s">
        <v>1896</v>
      </c>
      <c r="C7" s="9" t="s">
        <v>3</v>
      </c>
      <c r="D7" s="1" t="s">
        <v>4</v>
      </c>
      <c r="E7" s="3" t="s">
        <v>5</v>
      </c>
      <c r="F7" s="3" t="s">
        <v>6</v>
      </c>
      <c r="G7" s="3" t="s">
        <v>7</v>
      </c>
      <c r="H7" s="64" t="s">
        <v>1384</v>
      </c>
      <c r="I7" s="134" t="s">
        <v>2148</v>
      </c>
      <c r="J7" s="134" t="s">
        <v>2149</v>
      </c>
      <c r="L7" s="17" t="str">
        <f>CONCATENATE("Description: "," ##334#",B7,"##334#",)</f>
        <v>Description:  ##334#Hospital Patient Records##334#</v>
      </c>
    </row>
    <row r="8" spans="1:18" ht="44.25" x14ac:dyDescent="0.75">
      <c r="A8" s="59">
        <v>0</v>
      </c>
      <c r="B8" s="11" t="s">
        <v>1493</v>
      </c>
      <c r="C8" s="11" t="s">
        <v>14</v>
      </c>
      <c r="D8" s="11" t="s">
        <v>1471</v>
      </c>
      <c r="E8" s="11">
        <v>1</v>
      </c>
      <c r="F8" s="11">
        <v>1</v>
      </c>
      <c r="G8" s="76" t="s">
        <v>1472</v>
      </c>
      <c r="H8" s="11" t="s">
        <v>1885</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1886</v>
      </c>
      <c r="C9" s="11" t="s">
        <v>1887</v>
      </c>
      <c r="D9" s="11" t="s">
        <v>1888</v>
      </c>
      <c r="E9" s="11">
        <v>1</v>
      </c>
      <c r="F9" s="11">
        <v>1</v>
      </c>
      <c r="G9" s="77" t="s">
        <v>1</v>
      </c>
      <c r="H9" s="11" t="s">
        <v>1889</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1894</v>
      </c>
      <c r="C10" s="11" t="s">
        <v>1883</v>
      </c>
      <c r="D10" s="11" t="s">
        <v>1884</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1890</v>
      </c>
      <c r="C11" s="11" t="s">
        <v>1891</v>
      </c>
      <c r="D11" s="11" t="s">
        <v>1892</v>
      </c>
      <c r="E11" s="11">
        <v>1</v>
      </c>
      <c r="F11" s="11">
        <v>1</v>
      </c>
      <c r="G11" s="11" t="s">
        <v>43</v>
      </c>
      <c r="H11" s="11" t="s">
        <v>1893</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HospitalPatientRecords!L1</f>
        <v>//===================================================</v>
      </c>
    </row>
    <row r="2" spans="3:7" ht="16.75" thickBot="1" x14ac:dyDescent="0.9">
      <c r="C2" s="24" t="str">
        <f>HospitalPatientRecords!L2</f>
        <v>//  Logical Model</v>
      </c>
      <c r="G2" s="29" t="s">
        <v>1897</v>
      </c>
    </row>
    <row r="3" spans="3:7" x14ac:dyDescent="0.75">
      <c r="C3" s="24" t="str">
        <f>HospitalPatientRecords!L3</f>
        <v>//===================================================</v>
      </c>
    </row>
    <row r="4" spans="3:7" x14ac:dyDescent="0.75">
      <c r="C4" s="108" t="str">
        <f>HospitalPatientRecords!L4</f>
        <v>Logical: HospitalPatientRecordsI4rc</v>
      </c>
    </row>
    <row r="5" spans="3:7" x14ac:dyDescent="0.75">
      <c r="C5" s="108" t="str">
        <f>HospitalPatientRecords!L5</f>
        <v>Id: HospitalPatientRecords</v>
      </c>
    </row>
    <row r="6" spans="3:7" x14ac:dyDescent="0.75">
      <c r="C6" s="108" t="str">
        <f>HospitalPatientRecords!L6</f>
        <v>Title: ##34#Hospital Patient Records##34#</v>
      </c>
    </row>
    <row r="7" spans="3:7" x14ac:dyDescent="0.75">
      <c r="C7" s="108" t="str">
        <f>HospitalPatientRecords!L7</f>
        <v>Description:  ##334#Hospital Patient Records##334#</v>
      </c>
    </row>
    <row r="8" spans="3:7" ht="29.5" x14ac:dyDescent="0.75">
      <c r="C8" s="109"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9" t="str">
        <f>IF(HospitalPatientRecords!L9="*  ..  ##34###34# ##334###334#","//--- END",HospitalPatientRecords!L9)</f>
        <v>* hospital 1..1 BackboneElement ##34#Hospital##34# ##334#Hospital element containing the data regarding the patient followed by the hospital##334#</v>
      </c>
    </row>
    <row r="10" spans="3:7" x14ac:dyDescent="0.75">
      <c r="C10" s="109" t="str">
        <f>IF(HospitalPatientRecords!L10="*  ..  ##34###34# ##334###334#","//--- END",HospitalPatientRecords!L10)</f>
        <v>* hospital.name 1..1 string ##34#Hospital Name##34# ##334#Hospital where the patients is included in the registry##334#</v>
      </c>
    </row>
    <row r="11" spans="3:7" ht="59" x14ac:dyDescent="0.75">
      <c r="C11" s="109"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9" t="str">
        <f>IF(HospitalPatientRecords!L12="*  ..  ##34###34# ##334###334#","//--- END",HospitalPatientRecords!L12)</f>
        <v>//--- END</v>
      </c>
    </row>
    <row r="13" spans="3:7" x14ac:dyDescent="0.75">
      <c r="C13" s="109" t="str">
        <f>IF(HospitalPatientRecords!L13="*  ..  ##34###34# ##334###334#","//--- END",HospitalPatientRecords!L13)</f>
        <v>//--- END</v>
      </c>
    </row>
    <row r="14" spans="3:7" x14ac:dyDescent="0.75">
      <c r="C14" s="109" t="str">
        <f>IF(HospitalPatientRecords!L14="*  ..  ##34###34# ##334###334#","//--- END",HospitalPatientRecords!L14)</f>
        <v>//--- END</v>
      </c>
    </row>
    <row r="18" spans="3:3" x14ac:dyDescent="0.75">
      <c r="C18" s="107" t="s">
        <v>1387</v>
      </c>
    </row>
    <row r="19" spans="3:3" x14ac:dyDescent="0.75">
      <c r="C19" s="24" t="s">
        <v>1421</v>
      </c>
    </row>
    <row r="20" spans="3:3" x14ac:dyDescent="0.75">
      <c r="C20" s="24" t="s">
        <v>1387</v>
      </c>
    </row>
    <row r="21" spans="3:3" ht="29.5" x14ac:dyDescent="0.75">
      <c r="C21" s="109" t="str">
        <f>IF(HospitalPatientRecords!N8="*  ..  ##34###34# ##334###334#","//--- END",HospitalPatientRecords!N8)</f>
        <v>* patient ^comment = ##334#A patient element data
-##334#</v>
      </c>
    </row>
    <row r="22" spans="3:3" ht="29.5" x14ac:dyDescent="0.75">
      <c r="C22" s="109" t="str">
        <f>IF(HospitalPatientRecords!N9="*  ..  ##34###34# ##334###334#","//--- END",HospitalPatientRecords!N9)</f>
        <v>* hospital ^comment = ##334#A hospital element data
-##334#</v>
      </c>
    </row>
    <row r="23" spans="3:3" x14ac:dyDescent="0.75">
      <c r="C23" s="109" t="str">
        <f>IF(HospitalPatientRecords!N10="*  ..  ##34###34# ##334###334#","//--- END",HospitalPatientRecords!N10)</f>
        <v/>
      </c>
    </row>
    <row r="24" spans="3:3" ht="29.5" x14ac:dyDescent="0.75">
      <c r="C24" s="109" t="str">
        <f>IF(HospitalPatientRecords!N11="*  ..  ##34###34# ##334###334#","//--- END",HospitalPatientRecords!N11)</f>
        <v>* firstContactDate ^comment = ##334#Date
-##334#</v>
      </c>
    </row>
    <row r="25" spans="3:3" x14ac:dyDescent="0.75">
      <c r="C25" s="109" t="str">
        <f>IF(HospitalPatientRecords!N12="*  ..  ##34###34# ##334###334#","//--- END",HospitalPatientRecords!N12)</f>
        <v>//--- END</v>
      </c>
    </row>
    <row r="26" spans="3:3" x14ac:dyDescent="0.75">
      <c r="C26" s="109" t="str">
        <f>IF(HospitalPatientRecords!N13="*  ..  ##34###34# ##334###334#","//--- END",HospitalPatientRecords!N13)</f>
        <v>//--- END</v>
      </c>
    </row>
    <row r="27" spans="3:3" x14ac:dyDescent="0.75">
      <c r="C27" s="109" t="str">
        <f>IF(HospitalPatientRecords!N14="*  ..  ##34###34# ##334###334#","//--- END",HospitalPatientRecords!N14)</f>
        <v>//--- END</v>
      </c>
    </row>
    <row r="30" spans="3:3" x14ac:dyDescent="0.75">
      <c r="C30" s="107" t="str">
        <f>HospitalPatientRecords!P1</f>
        <v>// -------------------------------------------------------------------------------</v>
      </c>
    </row>
    <row r="31" spans="3:3" x14ac:dyDescent="0.75">
      <c r="C31" s="24" t="str">
        <f>HospitalPatientRecords!P2</f>
        <v>// Obligations H&amp;N</v>
      </c>
    </row>
    <row r="32" spans="3:3" x14ac:dyDescent="0.75">
      <c r="C32" s="24" t="str">
        <f>HospitalPatientRecords!P3</f>
        <v>// -------------------------------------------------------------------------------</v>
      </c>
    </row>
    <row r="33" spans="3:3" x14ac:dyDescent="0.75">
      <c r="C33" s="109" t="str">
        <f>IF(HospitalPatientRecords!P8="*  ..  ##34###34# ##334###334#","//--- END",HospitalPatientRecords!P8)</f>
        <v>* patient insert ObligationActorAndCode($actor-headneck, #handle)</v>
      </c>
    </row>
    <row r="34" spans="3:3" x14ac:dyDescent="0.75">
      <c r="C34" s="109" t="str">
        <f>IF(HospitalPatientRecords!P9="*  ..  ##34###34# ##334###334#","//--- END",HospitalPatientRecords!P9)</f>
        <v>* hospital insert ObligationActorAndCode($actor-headneck, #handle)</v>
      </c>
    </row>
    <row r="35" spans="3:3" x14ac:dyDescent="0.75">
      <c r="C35" s="109" t="str">
        <f>IF(HospitalPatientRecords!P10="*  ..  ##34###34# ##334###334#","//--- END",HospitalPatientRecords!P10)</f>
        <v>* hospital.name insert ObligationActorAndCode($actor-headneck, #handle)</v>
      </c>
    </row>
    <row r="36" spans="3:3" x14ac:dyDescent="0.75">
      <c r="C36" s="109" t="str">
        <f>IF(HospitalPatientRecords!P11="*  ..  ##34###34# ##334###334#","//--- END",HospitalPatientRecords!P11)</f>
        <v>* firstContactDate insert ObligationActorAndCode($actor-headneck, #handle)</v>
      </c>
    </row>
    <row r="37" spans="3:3" x14ac:dyDescent="0.75">
      <c r="C37" s="109" t="str">
        <f>IF(HospitalPatientRecords!P12="*  ..  ##34###34# ##334###334#","//--- END",HospitalPatientRecords!P12)</f>
        <v>//--- END</v>
      </c>
    </row>
    <row r="38" spans="3:3" x14ac:dyDescent="0.75">
      <c r="C38" s="109" t="str">
        <f>IF(HospitalPatientRecords!P13="*  ..  ##34###34# ##334###334#","//--- END",HospitalPatientRecords!P13)</f>
        <v>//--- END</v>
      </c>
    </row>
    <row r="39" spans="3:3" x14ac:dyDescent="0.75">
      <c r="C39" s="109" t="str">
        <f>IF(HospitalPatientRecords!P14="*  ..  ##34###34# ##334###334#","//--- END",HospitalPatientRecords!P14)</f>
        <v>//--- END</v>
      </c>
    </row>
    <row r="42" spans="3:3" x14ac:dyDescent="0.75">
      <c r="C42" s="107"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9" t="str">
        <f>IF(HospitalPatientRecords!R8="*  ..  ##34###34# ##334###334#","//--- END",HospitalPatientRecords!R8)</f>
        <v/>
      </c>
    </row>
    <row r="46" spans="3:3" x14ac:dyDescent="0.75">
      <c r="C46" s="109" t="str">
        <f>IF(HospitalPatientRecords!R9="*  ..  ##34###34# ##334###334#","//--- END",HospitalPatientRecords!R9)</f>
        <v/>
      </c>
    </row>
    <row r="47" spans="3:3" x14ac:dyDescent="0.75">
      <c r="C47" s="109" t="str">
        <f>IF(HospitalPatientRecords!R10="*  ..  ##34###34# ##334###334#","//--- END",HospitalPatientRecords!R10)</f>
        <v/>
      </c>
    </row>
    <row r="48" spans="3:3" x14ac:dyDescent="0.75">
      <c r="C48" s="109" t="str">
        <f>IF(HospitalPatientRecords!R11="*  ..  ##34###34# ##334###334#","//--- END",HospitalPatientRecords!R11)</f>
        <v/>
      </c>
    </row>
    <row r="49" spans="3:3" x14ac:dyDescent="0.75">
      <c r="C49" s="109" t="str">
        <f>IF(HospitalPatientRecords!R12="*  ..  ##34###34# ##334###334#","//--- END",HospitalPatientRecords!R12)</f>
        <v>//--- END</v>
      </c>
    </row>
    <row r="50" spans="3:3" x14ac:dyDescent="0.75">
      <c r="C50" s="109" t="str">
        <f>IF(HospitalPatientRecords!R13="*  ..  ##34###34# ##334###334#","//--- END",HospitalPatientRecords!R13)</f>
        <v>//--- END</v>
      </c>
    </row>
    <row r="51" spans="3:3" x14ac:dyDescent="0.75">
      <c r="C51" s="109"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http://hl7.eu/fhir/ig/idea4rc/StructureDefinition/HospitalPatientRecords</v>
      </c>
    </row>
    <row r="4" spans="1:19" x14ac:dyDescent="0.75">
      <c r="B4" s="47" t="s">
        <v>16</v>
      </c>
      <c r="C4" s="28" t="s">
        <v>1981</v>
      </c>
      <c r="D4" s="47" t="s">
        <v>1480</v>
      </c>
      <c r="E4" s="150" t="s">
        <v>1984</v>
      </c>
      <c r="F4" s="151"/>
      <c r="G4" s="151"/>
    </row>
    <row r="5" spans="1:19" x14ac:dyDescent="0.75">
      <c r="B5" s="47" t="s">
        <v>10</v>
      </c>
      <c r="C5" s="7" t="s">
        <v>1982</v>
      </c>
      <c r="D5" s="47"/>
      <c r="E5" s="7"/>
    </row>
    <row r="6" spans="1:19" x14ac:dyDescent="0.75">
      <c r="B6" s="47" t="s">
        <v>18</v>
      </c>
      <c r="C6" s="41"/>
      <c r="D6" s="47" t="s">
        <v>1481</v>
      </c>
      <c r="E6" s="150" t="str">
        <f>E3</f>
        <v>http://hl7.eu/fhir/ig/idea4rc/StructureDefinition/HospitalPatientRecords</v>
      </c>
      <c r="F6" s="151"/>
      <c r="G6" s="151"/>
    </row>
    <row r="7" spans="1:19" x14ac:dyDescent="0.75">
      <c r="B7" s="47" t="s">
        <v>15</v>
      </c>
      <c r="C7" s="76"/>
      <c r="D7" s="47" t="s">
        <v>1482</v>
      </c>
      <c r="E7" s="150" t="str">
        <f>E4</f>
        <v>http://hl7.eu/fhir/ig/idea4rc/StructureDefinition/episodeOfCare-eu-i4rc</v>
      </c>
      <c r="F7" s="151"/>
      <c r="G7" s="151"/>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1985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1986</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1987</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1988</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D1" zoomScaleNormal="100" workbookViewId="0">
      <selection activeCell="J20" sqref="J2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hidden="1" customWidth="1"/>
    <col min="6" max="6" width="9" hidden="1" customWidth="1"/>
    <col min="7" max="7" width="36.6796875" hidden="1" customWidth="1"/>
    <col min="8" max="8" width="56.58984375" style="2" hidden="1"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1975</v>
      </c>
      <c r="L4" s="16" t="str">
        <f>CONCATENATE("Logical: ",B4)</f>
        <v>Logical: PatientFollowUpI4rc</v>
      </c>
    </row>
    <row r="5" spans="1:18" ht="15.5" thickBot="1" x14ac:dyDescent="0.9">
      <c r="A5" s="14" t="s">
        <v>16</v>
      </c>
      <c r="B5" s="30" t="s">
        <v>1914</v>
      </c>
      <c r="L5" s="16" t="str">
        <f>CONCATENATE("Id: ",B5)</f>
        <v>Id: PatientFollowUp</v>
      </c>
    </row>
    <row r="6" spans="1:18" ht="15.5" thickBot="1" x14ac:dyDescent="0.9">
      <c r="A6" s="14" t="s">
        <v>10</v>
      </c>
      <c r="B6" s="30" t="s">
        <v>1915</v>
      </c>
      <c r="L6" s="17" t="str">
        <f>CONCATENATE("Title: ##34#",B6,"##34#")</f>
        <v>Title: ##34#Patient Follow Up##34#</v>
      </c>
    </row>
    <row r="7" spans="1:18" x14ac:dyDescent="0.75">
      <c r="A7" s="26" t="s">
        <v>2</v>
      </c>
      <c r="B7" s="30" t="s">
        <v>1915</v>
      </c>
      <c r="C7" s="9" t="s">
        <v>3</v>
      </c>
      <c r="D7" s="1" t="s">
        <v>4</v>
      </c>
      <c r="E7" s="3" t="s">
        <v>5</v>
      </c>
      <c r="F7" s="3" t="s">
        <v>6</v>
      </c>
      <c r="G7" s="3" t="s">
        <v>7</v>
      </c>
      <c r="H7" s="64" t="s">
        <v>1384</v>
      </c>
      <c r="I7" s="134" t="s">
        <v>2148</v>
      </c>
      <c r="J7" s="134" t="s">
        <v>2149</v>
      </c>
      <c r="L7" s="17" t="str">
        <f>CONCATENATE("Description: "," ##334#",B7,"##334#",)</f>
        <v>Description:  ##334#Patient Follow Up##334#</v>
      </c>
    </row>
    <row r="8" spans="1:18" ht="29.5" x14ac:dyDescent="0.75">
      <c r="A8" s="59">
        <v>0</v>
      </c>
      <c r="B8" s="11" t="s">
        <v>1493</v>
      </c>
      <c r="C8" s="11" t="s">
        <v>14</v>
      </c>
      <c r="D8" s="11" t="s">
        <v>1898</v>
      </c>
      <c r="E8" s="11">
        <v>1</v>
      </c>
      <c r="F8" s="11">
        <v>1</v>
      </c>
      <c r="G8" s="76"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1899</v>
      </c>
      <c r="C9" s="11" t="s">
        <v>1900</v>
      </c>
      <c r="D9" s="11" t="s">
        <v>1901</v>
      </c>
      <c r="E9" s="11">
        <v>1</v>
      </c>
      <c r="F9" s="11">
        <v>1</v>
      </c>
      <c r="G9" s="77"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1902</v>
      </c>
      <c r="C10" s="11" t="s">
        <v>1903</v>
      </c>
      <c r="D10" s="11" t="s">
        <v>1904</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1905</v>
      </c>
      <c r="C11" s="11" t="s">
        <v>1906</v>
      </c>
      <c r="D11" s="11" t="s">
        <v>1907</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1908</v>
      </c>
      <c r="C12" s="11" t="s">
        <v>1909</v>
      </c>
      <c r="D12" s="11" t="s">
        <v>1910</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1911</v>
      </c>
      <c r="C13" s="11" t="s">
        <v>1912</v>
      </c>
      <c r="D13" s="11" t="s">
        <v>1913</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1916</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0" t="s">
        <v>1990</v>
      </c>
      <c r="F4" s="151"/>
      <c r="G4" s="151"/>
    </row>
    <row r="5" spans="1:19" x14ac:dyDescent="0.75">
      <c r="B5" s="47" t="s">
        <v>10</v>
      </c>
      <c r="C5" s="7" t="s">
        <v>1992</v>
      </c>
      <c r="D5" s="47"/>
      <c r="E5" s="7"/>
    </row>
    <row r="6" spans="1:19" x14ac:dyDescent="0.75">
      <c r="B6" s="47" t="s">
        <v>18</v>
      </c>
      <c r="C6" s="41"/>
      <c r="D6" s="47" t="s">
        <v>1481</v>
      </c>
      <c r="E6" s="150" t="str">
        <f>E3</f>
        <v>http://hl7.eu/fhir/ig/idea4rc/StructureDefinition/PatientFollowUpI4rc</v>
      </c>
      <c r="F6" s="151"/>
      <c r="G6" s="151"/>
    </row>
    <row r="7" spans="1:19" x14ac:dyDescent="0.75">
      <c r="B7" s="47" t="s">
        <v>15</v>
      </c>
      <c r="C7" s="76"/>
      <c r="D7" s="47" t="s">
        <v>1482</v>
      </c>
      <c r="E7" s="150" t="str">
        <f>C1&amp;"encounter-followup-eu-i4rc"</f>
        <v>http://hl7.eu/fhir/ig/idea4rc/StructureDefinition/encounter-followup-eu-i4rc</v>
      </c>
      <c r="F7" s="151"/>
      <c r="G7" s="151"/>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2"/>
      <c r="F9" s="153"/>
      <c r="G9" s="154"/>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1294</v>
      </c>
      <c r="G16" s="81"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x14ac:dyDescent="0.75">
      <c r="A17" s="44"/>
      <c r="B17" s="6" t="str">
        <f>PatientFollowUp!B10</f>
        <v>patientFollowUpDate</v>
      </c>
      <c r="C17" s="11" t="str">
        <f>PatientFollowUp!C10</f>
        <v>Patient Follow Up date</v>
      </c>
      <c r="D17" s="12" t="s">
        <v>1996</v>
      </c>
      <c r="E17" s="12"/>
      <c r="F17" s="49" t="s">
        <v>1294</v>
      </c>
      <c r="G17" s="80" t="s">
        <v>1997</v>
      </c>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x14ac:dyDescent="0.75">
      <c r="A18" s="44"/>
      <c r="B18" s="11" t="str">
        <f>PatientFollowUp!B11</f>
        <v>newCancerDiagnosis</v>
      </c>
      <c r="C18" s="11" t="str">
        <f>PatientFollowUp!C11</f>
        <v>New cancer diagnosis</v>
      </c>
      <c r="D18" s="12"/>
      <c r="E18" s="12"/>
      <c r="F18" s="49" t="s">
        <v>1311</v>
      </c>
      <c r="G18" s="81"/>
      <c r="H18" s="43"/>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x14ac:dyDescent="0.75">
      <c r="A19" s="44"/>
      <c r="B19" s="11" t="str">
        <f>PatientFollowUp!B12</f>
        <v>dateOfNewCancerDiagnosis</v>
      </c>
      <c r="C19" s="11" t="str">
        <f>PatientFollowUp!C12</f>
        <v>Date of new cancer diagnosis</v>
      </c>
      <c r="D19" s="12"/>
      <c r="E19" s="12"/>
      <c r="F19" s="49" t="s">
        <v>1311</v>
      </c>
      <c r="G19" s="81"/>
      <c r="H19" s="43"/>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x14ac:dyDescent="0.75">
      <c r="A20" s="44"/>
      <c r="B20" s="11" t="str">
        <f>PatientFollowUp!B13</f>
        <v>newCancerTopography</v>
      </c>
      <c r="C20" s="11" t="str">
        <f>PatientFollowUp!C13</f>
        <v>New cancer topography</v>
      </c>
      <c r="D20" s="12"/>
      <c r="E20" s="12"/>
      <c r="F20" s="49" t="s">
        <v>1311</v>
      </c>
      <c r="G20" s="81"/>
      <c r="H20" s="43"/>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INDEX('PatientFollowUp-ConceptMap-1'!$I$15:$N$124,Q35+1,R35)</f>
        <v>//-- unmatched</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INDEX('PatientFollowUp-ConceptMap-1'!$I$15:$N$124,Q36+1,R36)</f>
        <v>//-- unmatched</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INDEX('PatientFollowUp-ConceptMap-1'!$I$15:$N$124,Q42+1,R42)</f>
        <v>//-- unmatched</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INDEX('PatientFollowUp-ConceptMap-1'!$I$15:$N$124,Q43+1,R43)</f>
        <v>* group[=].element[=].target.equivalence = #unmatched</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INDEX('PatientFollowUp-ConceptMap-1'!$I$15:$N$124,Q44+1,R44)</f>
        <v/>
      </c>
    </row>
    <row r="45" spans="1:19" x14ac:dyDescent="0.75">
      <c r="B45" s="11"/>
      <c r="C45" s="11"/>
      <c r="D45" s="12"/>
      <c r="E45" s="12"/>
      <c r="F45" s="49"/>
      <c r="G45" s="81"/>
      <c r="P45" s="11">
        <v>31</v>
      </c>
      <c r="Q45" s="11">
        <f t="shared" si="13"/>
        <v>5</v>
      </c>
      <c r="R45" s="11">
        <f t="shared" si="14"/>
        <v>1</v>
      </c>
      <c r="S45" s="12" t="str" cm="1">
        <f t="array" ref="S45">INDEX('PatientFollowUp-ConceptMap-1'!$I$15:$N$124,Q45+1,R45)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INDEX('PatientFollowUp-ConceptMap-1'!$I$15:$N$124,Q47+1,R47)</f>
        <v>//-- unmatched</v>
      </c>
    </row>
    <row r="48" spans="1:19" x14ac:dyDescent="0.75">
      <c r="B48" s="11"/>
      <c r="C48" s="11"/>
      <c r="D48" s="12"/>
      <c r="E48" s="12"/>
      <c r="F48" s="49"/>
      <c r="G48" s="81"/>
      <c r="P48" s="11">
        <v>34</v>
      </c>
      <c r="Q48" s="11">
        <f t="shared" si="13"/>
        <v>5</v>
      </c>
      <c r="R48" s="11">
        <f t="shared" si="14"/>
        <v>4</v>
      </c>
      <c r="S48" s="12" t="str" cm="1">
        <f t="array" ref="S48">INDEX('PatientFollowUp-ConceptMap-1'!$I$15:$N$124,Q48+1,R48)</f>
        <v>//-- unmatched</v>
      </c>
    </row>
    <row r="49" spans="2:19" x14ac:dyDescent="0.75">
      <c r="B49" s="11"/>
      <c r="C49" s="11"/>
      <c r="D49" s="12"/>
      <c r="E49" s="12"/>
      <c r="F49" s="49"/>
      <c r="G49" s="81"/>
      <c r="P49" s="11">
        <v>35</v>
      </c>
      <c r="Q49" s="11">
        <f t="shared" si="13"/>
        <v>5</v>
      </c>
      <c r="R49" s="11">
        <f t="shared" si="14"/>
        <v>5</v>
      </c>
      <c r="S49" s="12" t="str" cm="1">
        <f t="array" ref="S49">INDEX('PatientFollowUp-ConceptMap-1'!$I$15:$N$124,Q49+1,R49)</f>
        <v>* group[=].element[=].target.equivalence = #unmatched</v>
      </c>
    </row>
    <row r="50" spans="2:19" x14ac:dyDescent="0.75">
      <c r="B50" s="11"/>
      <c r="C50" s="11"/>
      <c r="D50" s="12"/>
      <c r="E50" s="12"/>
      <c r="F50" s="49"/>
      <c r="G50" s="81"/>
      <c r="P50" s="11">
        <v>36</v>
      </c>
      <c r="Q50" s="11">
        <f t="shared" si="13"/>
        <v>5</v>
      </c>
      <c r="R50" s="11">
        <f t="shared" si="14"/>
        <v>6</v>
      </c>
      <c r="S50" s="12" t="str" cm="1">
        <f t="array" ref="S50">INDEX('PatientFollowUp-ConceptMap-1'!$I$15:$N$124,Q50+1,R50)</f>
        <v/>
      </c>
    </row>
    <row r="51" spans="2:19" x14ac:dyDescent="0.75">
      <c r="B51" s="11"/>
      <c r="C51" s="11"/>
      <c r="D51" s="12"/>
      <c r="E51" s="12"/>
      <c r="F51" s="49"/>
      <c r="G51" s="81"/>
      <c r="P51" s="11">
        <v>37</v>
      </c>
      <c r="Q51" s="11">
        <f t="shared" si="13"/>
        <v>6</v>
      </c>
      <c r="R51" s="11">
        <f t="shared" si="14"/>
        <v>1</v>
      </c>
      <c r="S51" s="12" cm="1">
        <f t="array" ref="S51">INDEX('PatientFollowUp-ConceptMap-1'!$I$15:$N$124,Q51+1,R51)</f>
        <v>0</v>
      </c>
    </row>
    <row r="52" spans="2:19" x14ac:dyDescent="0.75">
      <c r="B52" s="11"/>
      <c r="C52" s="11"/>
      <c r="D52" s="12"/>
      <c r="E52" s="12"/>
      <c r="F52" s="49"/>
      <c r="G52" s="81"/>
      <c r="P52" s="11">
        <v>38</v>
      </c>
      <c r="Q52" s="11">
        <f t="shared" si="13"/>
        <v>6</v>
      </c>
      <c r="R52" s="11">
        <f t="shared" si="14"/>
        <v>2</v>
      </c>
      <c r="S52" s="12" cm="1">
        <f t="array" ref="S52">INDEX('PatientFollowUp-ConceptMap-1'!$I$15:$N$124,Q52+1,R52)</f>
        <v>0</v>
      </c>
    </row>
    <row r="53" spans="2:19" x14ac:dyDescent="0.75">
      <c r="B53" s="11"/>
      <c r="C53" s="11"/>
      <c r="D53" s="12"/>
      <c r="E53" s="12"/>
      <c r="F53" s="49"/>
      <c r="G53" s="81"/>
      <c r="P53" s="11">
        <v>39</v>
      </c>
      <c r="Q53" s="11">
        <f t="shared" si="13"/>
        <v>6</v>
      </c>
      <c r="R53" s="11">
        <f t="shared" si="14"/>
        <v>3</v>
      </c>
      <c r="S53" s="12" cm="1">
        <f t="array" ref="S53">INDEX('PatientFollowUp-ConceptMap-1'!$I$15:$N$124,Q53+1,R53)</f>
        <v>0</v>
      </c>
    </row>
    <row r="54" spans="2:19" x14ac:dyDescent="0.75">
      <c r="B54" s="11"/>
      <c r="C54" s="11"/>
      <c r="D54" s="12"/>
      <c r="E54" s="12"/>
      <c r="F54" s="49"/>
      <c r="G54" s="81"/>
      <c r="P54" s="11">
        <v>40</v>
      </c>
      <c r="Q54" s="11">
        <f t="shared" si="13"/>
        <v>6</v>
      </c>
      <c r="R54" s="11">
        <f t="shared" si="14"/>
        <v>4</v>
      </c>
      <c r="S54" s="12" cm="1">
        <f t="array" ref="S54">INDEX('PatientFollowUp-ConceptMap-1'!$I$15:$N$124,Q54+1,R54)</f>
        <v>0</v>
      </c>
    </row>
    <row r="55" spans="2:19" x14ac:dyDescent="0.75">
      <c r="B55" s="11"/>
      <c r="C55" s="11"/>
      <c r="D55" s="12"/>
      <c r="E55" s="12"/>
      <c r="F55" s="49"/>
      <c r="G55" s="81"/>
      <c r="P55" s="11">
        <v>41</v>
      </c>
      <c r="Q55" s="11">
        <f t="shared" si="13"/>
        <v>6</v>
      </c>
      <c r="R55" s="11">
        <f t="shared" si="14"/>
        <v>5</v>
      </c>
      <c r="S55" s="12" cm="1">
        <f t="array" ref="S55">INDEX('PatientFollowUp-ConceptMap-1'!$I$15:$N$124,Q55+1,R55)</f>
        <v>0</v>
      </c>
    </row>
    <row r="56" spans="2:19" x14ac:dyDescent="0.75">
      <c r="B56" s="11"/>
      <c r="C56" s="11"/>
      <c r="D56" s="12"/>
      <c r="E56" s="12"/>
      <c r="F56" s="49"/>
      <c r="G56" s="81"/>
      <c r="P56" s="11">
        <v>42</v>
      </c>
      <c r="Q56" s="11">
        <f t="shared" si="13"/>
        <v>6</v>
      </c>
      <c r="R56" s="11">
        <f t="shared" si="14"/>
        <v>6</v>
      </c>
      <c r="S56" s="12" cm="1">
        <f t="array" ref="S56">INDEX('PatientFollowUp-ConceptMap-1'!$I$15:$N$124,Q56+1,R56)</f>
        <v>0</v>
      </c>
    </row>
    <row r="57" spans="2:19" x14ac:dyDescent="0.75">
      <c r="B57" s="11"/>
      <c r="C57" s="11"/>
      <c r="D57" s="12"/>
      <c r="E57" s="12"/>
      <c r="F57" s="49"/>
      <c r="G57" s="81"/>
      <c r="P57" s="11">
        <v>43</v>
      </c>
      <c r="Q57" s="11">
        <f t="shared" si="13"/>
        <v>7</v>
      </c>
      <c r="R57" s="11">
        <f t="shared" si="14"/>
        <v>1</v>
      </c>
      <c r="S57" s="12" cm="1">
        <f t="array" ref="S57">INDEX('PatientFollowUp-ConceptMap-1'!$I$15:$N$124,Q57+1,R57)</f>
        <v>0</v>
      </c>
    </row>
    <row r="58" spans="2:19" x14ac:dyDescent="0.75">
      <c r="B58" s="11"/>
      <c r="C58" s="11"/>
      <c r="D58" s="12"/>
      <c r="E58" s="12"/>
      <c r="F58" s="49"/>
      <c r="G58" s="81"/>
      <c r="P58" s="11">
        <v>44</v>
      </c>
      <c r="Q58" s="11">
        <f t="shared" si="13"/>
        <v>7</v>
      </c>
      <c r="R58" s="11">
        <f t="shared" si="14"/>
        <v>2</v>
      </c>
      <c r="S58" s="12" cm="1">
        <f t="array" ref="S58">INDEX('PatientFollowUp-ConceptMap-1'!$I$15:$N$124,Q58+1,R58)</f>
        <v>0</v>
      </c>
    </row>
    <row r="59" spans="2:19" x14ac:dyDescent="0.75">
      <c r="B59" s="11"/>
      <c r="C59" s="11"/>
      <c r="D59" s="12"/>
      <c r="E59" s="12"/>
      <c r="F59" s="49"/>
      <c r="G59" s="81"/>
      <c r="P59" s="11">
        <v>45</v>
      </c>
      <c r="Q59" s="11">
        <f t="shared" si="13"/>
        <v>7</v>
      </c>
      <c r="R59" s="11">
        <f t="shared" si="14"/>
        <v>3</v>
      </c>
      <c r="S59" s="12" cm="1">
        <f t="array" ref="S59">INDEX('PatientFollowUp-ConceptMap-1'!$I$15:$N$124,Q59+1,R59)</f>
        <v>0</v>
      </c>
    </row>
    <row r="60" spans="2:19" x14ac:dyDescent="0.75">
      <c r="B60" s="11"/>
      <c r="C60" s="11"/>
      <c r="D60" s="12"/>
      <c r="E60" s="12"/>
      <c r="F60" s="49"/>
      <c r="G60" s="81"/>
      <c r="P60" s="11">
        <v>46</v>
      </c>
      <c r="Q60" s="11">
        <f t="shared" si="13"/>
        <v>7</v>
      </c>
      <c r="R60" s="11">
        <f t="shared" si="14"/>
        <v>4</v>
      </c>
      <c r="S60" s="12" cm="1">
        <f t="array" ref="S60">INDEX('PatientFollowUp-ConceptMap-1'!$I$15:$N$124,Q60+1,R60)</f>
        <v>0</v>
      </c>
    </row>
    <row r="61" spans="2:19" x14ac:dyDescent="0.75">
      <c r="B61" s="11"/>
      <c r="C61" s="11"/>
      <c r="D61" s="12"/>
      <c r="E61" s="12"/>
      <c r="F61" s="49"/>
      <c r="G61" s="81"/>
      <c r="P61" s="11">
        <v>47</v>
      </c>
      <c r="Q61" s="11">
        <f t="shared" si="13"/>
        <v>7</v>
      </c>
      <c r="R61" s="11">
        <f t="shared" si="14"/>
        <v>5</v>
      </c>
      <c r="S61" s="12" cm="1">
        <f t="array" ref="S61">INDEX('PatientFollowUp-ConceptMap-1'!$I$15:$N$124,Q61+1,R61)</f>
        <v>0</v>
      </c>
    </row>
    <row r="62" spans="2:19" x14ac:dyDescent="0.75">
      <c r="B62" s="11"/>
      <c r="C62" s="11"/>
      <c r="D62" s="12"/>
      <c r="E62" s="12"/>
      <c r="F62" s="49"/>
      <c r="G62" s="81"/>
      <c r="P62" s="11">
        <v>48</v>
      </c>
      <c r="Q62" s="11">
        <f t="shared" si="13"/>
        <v>7</v>
      </c>
      <c r="R62" s="11">
        <f t="shared" si="14"/>
        <v>6</v>
      </c>
      <c r="S62" s="12" cm="1">
        <f t="array" ref="S62">INDEX('PatientFollowUp-ConceptMap-1'!$I$15:$N$124,Q62+1,R62)</f>
        <v>0</v>
      </c>
    </row>
    <row r="63" spans="2:19" x14ac:dyDescent="0.75">
      <c r="B63" s="11"/>
      <c r="C63" s="11"/>
      <c r="D63" s="12"/>
      <c r="E63" s="12"/>
      <c r="F63" s="49"/>
      <c r="G63" s="81"/>
      <c r="P63" s="11">
        <v>49</v>
      </c>
      <c r="Q63" s="11">
        <f t="shared" si="13"/>
        <v>8</v>
      </c>
      <c r="R63" s="11">
        <f t="shared" si="14"/>
        <v>1</v>
      </c>
      <c r="S63" s="12" cm="1">
        <f t="array" ref="S63">INDEX('PatientFollowUp-ConceptMap-1'!$I$15:$N$124,Q63+1,R63)</f>
        <v>0</v>
      </c>
    </row>
    <row r="64" spans="2:19" x14ac:dyDescent="0.75">
      <c r="B64" s="11"/>
      <c r="C64" s="11"/>
      <c r="D64" s="12"/>
      <c r="E64" s="12"/>
      <c r="F64" s="49"/>
      <c r="G64" s="81"/>
      <c r="P64" s="11">
        <v>50</v>
      </c>
      <c r="Q64" s="11">
        <f t="shared" si="13"/>
        <v>8</v>
      </c>
      <c r="R64" s="11">
        <f t="shared" si="14"/>
        <v>2</v>
      </c>
      <c r="S64" s="12" cm="1">
        <f t="array" ref="S64">INDEX('PatientFollowUp-ConceptMap-1'!$I$15:$N$124,Q64+1,R64)</f>
        <v>0</v>
      </c>
    </row>
    <row r="65" spans="2:19" x14ac:dyDescent="0.75">
      <c r="B65" s="11"/>
      <c r="C65" s="11"/>
      <c r="D65" s="12"/>
      <c r="E65" s="12"/>
      <c r="F65" s="49"/>
      <c r="G65" s="81"/>
      <c r="P65" s="11">
        <v>51</v>
      </c>
      <c r="Q65" s="11">
        <f t="shared" si="13"/>
        <v>8</v>
      </c>
      <c r="R65" s="11">
        <f t="shared" si="14"/>
        <v>3</v>
      </c>
      <c r="S65" s="12" cm="1">
        <f t="array" ref="S65">INDEX('PatientFollowUp-ConceptMap-1'!$I$15:$N$124,Q65+1,R65)</f>
        <v>0</v>
      </c>
    </row>
    <row r="66" spans="2:19" x14ac:dyDescent="0.75">
      <c r="B66" s="11"/>
      <c r="C66" s="11"/>
      <c r="D66" s="12"/>
      <c r="E66" s="12"/>
      <c r="F66" s="49"/>
      <c r="G66" s="81"/>
      <c r="P66" s="11">
        <v>52</v>
      </c>
      <c r="Q66" s="11">
        <f t="shared" si="13"/>
        <v>8</v>
      </c>
      <c r="R66" s="11">
        <f t="shared" si="14"/>
        <v>4</v>
      </c>
      <c r="S66" s="12" cm="1">
        <f t="array" ref="S66">INDEX('PatientFollowUp-ConceptMap-1'!$I$15:$N$124,Q66+1,R66)</f>
        <v>0</v>
      </c>
    </row>
    <row r="67" spans="2:19" x14ac:dyDescent="0.75">
      <c r="B67" s="11"/>
      <c r="C67" s="11"/>
      <c r="D67" s="12"/>
      <c r="E67" s="12"/>
      <c r="F67" s="49"/>
      <c r="G67" s="81"/>
      <c r="P67" s="11">
        <v>53</v>
      </c>
      <c r="Q67" s="11">
        <f t="shared" si="13"/>
        <v>8</v>
      </c>
      <c r="R67" s="11">
        <f t="shared" si="14"/>
        <v>5</v>
      </c>
      <c r="S67" s="12" cm="1">
        <f t="array" ref="S67">INDEX('PatientFollowUp-ConceptMap-1'!$I$15:$N$124,Q67+1,R67)</f>
        <v>0</v>
      </c>
    </row>
    <row r="68" spans="2:19" x14ac:dyDescent="0.75">
      <c r="B68" s="11"/>
      <c r="C68" s="11"/>
      <c r="D68" s="12"/>
      <c r="E68" s="12"/>
      <c r="F68" s="49"/>
      <c r="G68" s="81"/>
      <c r="P68" s="11">
        <v>54</v>
      </c>
      <c r="Q68" s="11">
        <f t="shared" si="13"/>
        <v>8</v>
      </c>
      <c r="R68" s="11">
        <f t="shared" si="14"/>
        <v>6</v>
      </c>
      <c r="S68" s="12" cm="1">
        <f t="array" ref="S68">INDEX('PatientFollowUp-ConceptMap-1'!$I$15:$N$124,Q68+1,R68)</f>
        <v>0</v>
      </c>
    </row>
    <row r="69" spans="2:19" x14ac:dyDescent="0.75">
      <c r="B69" s="11"/>
      <c r="C69" s="11"/>
      <c r="D69" s="12"/>
      <c r="E69" s="12"/>
      <c r="F69" s="49"/>
      <c r="G69" s="81"/>
      <c r="P69" s="11">
        <v>55</v>
      </c>
      <c r="Q69" s="11">
        <f t="shared" si="13"/>
        <v>9</v>
      </c>
      <c r="R69" s="11">
        <f t="shared" si="14"/>
        <v>1</v>
      </c>
      <c r="S69" s="12" cm="1">
        <f t="array" ref="S69">INDEX('PatientFollowUp-ConceptMap-1'!$I$15:$N$124,Q69+1,R69)</f>
        <v>0</v>
      </c>
    </row>
    <row r="70" spans="2:19" x14ac:dyDescent="0.75">
      <c r="B70" s="11"/>
      <c r="C70" s="11"/>
      <c r="D70" s="12"/>
      <c r="E70" s="12"/>
      <c r="F70" s="49"/>
      <c r="G70" s="81"/>
      <c r="P70" s="11">
        <v>56</v>
      </c>
      <c r="Q70" s="11">
        <f t="shared" si="13"/>
        <v>9</v>
      </c>
      <c r="R70" s="11">
        <f t="shared" si="14"/>
        <v>2</v>
      </c>
      <c r="S70" s="12" cm="1">
        <f t="array" ref="S70">INDEX('PatientFollowUp-ConceptMap-1'!$I$15:$N$124,Q70+1,R70)</f>
        <v>0</v>
      </c>
    </row>
    <row r="71" spans="2:19" x14ac:dyDescent="0.75">
      <c r="B71" s="11"/>
      <c r="C71" s="11"/>
      <c r="D71" s="12"/>
      <c r="E71" s="12"/>
      <c r="F71" s="49"/>
      <c r="G71" s="81"/>
      <c r="P71" s="11">
        <v>57</v>
      </c>
      <c r="Q71" s="11">
        <f t="shared" si="13"/>
        <v>9</v>
      </c>
      <c r="R71" s="11">
        <f t="shared" si="14"/>
        <v>3</v>
      </c>
      <c r="S71" s="12" cm="1">
        <f t="array" ref="S71">INDEX('PatientFollowUp-ConceptMap-1'!$I$15:$N$124,Q71+1,R71)</f>
        <v>0</v>
      </c>
    </row>
    <row r="72" spans="2:19" x14ac:dyDescent="0.75">
      <c r="B72" s="11"/>
      <c r="C72" s="11"/>
      <c r="D72" s="12"/>
      <c r="E72" s="12"/>
      <c r="F72" s="49"/>
      <c r="G72" s="81"/>
      <c r="P72" s="11">
        <v>58</v>
      </c>
      <c r="Q72" s="11">
        <f t="shared" si="13"/>
        <v>9</v>
      </c>
      <c r="R72" s="11">
        <f t="shared" si="14"/>
        <v>4</v>
      </c>
      <c r="S72" s="12" cm="1">
        <f t="array" ref="S72">INDEX('PatientFollowUp-ConceptMap-1'!$I$15:$N$124,Q72+1,R72)</f>
        <v>0</v>
      </c>
    </row>
    <row r="73" spans="2:19" x14ac:dyDescent="0.75">
      <c r="B73" s="11"/>
      <c r="C73" s="11"/>
      <c r="D73" s="12"/>
      <c r="E73" s="12"/>
      <c r="F73" s="49"/>
      <c r="G73" s="81"/>
      <c r="P73" s="11">
        <v>59</v>
      </c>
      <c r="Q73" s="11">
        <f t="shared" si="13"/>
        <v>9</v>
      </c>
      <c r="R73" s="11">
        <f t="shared" si="14"/>
        <v>5</v>
      </c>
      <c r="S73" s="12" cm="1">
        <f t="array" ref="S73">INDEX('PatientFollowUp-ConceptMap-1'!$I$15:$N$124,Q73+1,R73)</f>
        <v>0</v>
      </c>
    </row>
    <row r="74" spans="2:19" x14ac:dyDescent="0.75">
      <c r="B74" s="11"/>
      <c r="C74" s="11"/>
      <c r="D74" s="12"/>
      <c r="E74" s="12"/>
      <c r="F74" s="49"/>
      <c r="G74" s="81"/>
      <c r="P74" s="11">
        <v>60</v>
      </c>
      <c r="Q74" s="11">
        <f t="shared" si="13"/>
        <v>9</v>
      </c>
      <c r="R74" s="11">
        <f t="shared" si="14"/>
        <v>6</v>
      </c>
      <c r="S74" s="12" cm="1">
        <f t="array" ref="S74">INDEX('PatientFollowUp-ConceptMap-1'!$I$15:$N$124,Q74+1,R74)</f>
        <v>0</v>
      </c>
    </row>
    <row r="75" spans="2:19" x14ac:dyDescent="0.75">
      <c r="B75" s="11"/>
      <c r="C75" s="11"/>
      <c r="D75" s="12"/>
      <c r="E75" s="12"/>
      <c r="F75" s="49"/>
      <c r="G75" s="81"/>
      <c r="P75" s="11">
        <v>61</v>
      </c>
      <c r="Q75" s="11">
        <f t="shared" si="13"/>
        <v>10</v>
      </c>
      <c r="R75" s="11">
        <f t="shared" si="14"/>
        <v>1</v>
      </c>
      <c r="S75" s="12" cm="1">
        <f t="array" ref="S75">INDEX('PatientFollowUp-ConceptMap-1'!$I$15:$N$124,Q75+1,R75)</f>
        <v>0</v>
      </c>
    </row>
    <row r="76" spans="2:19" x14ac:dyDescent="0.75">
      <c r="B76" s="11"/>
      <c r="C76" s="11"/>
      <c r="D76" s="12"/>
      <c r="E76" s="12"/>
      <c r="F76" s="49"/>
      <c r="G76" s="81"/>
      <c r="P76" s="11">
        <v>62</v>
      </c>
      <c r="Q76" s="11">
        <f t="shared" si="13"/>
        <v>10</v>
      </c>
      <c r="R76" s="11">
        <f t="shared" si="14"/>
        <v>2</v>
      </c>
      <c r="S76" s="12" cm="1">
        <f t="array" ref="S76">INDEX('PatientFollowUp-ConceptMap-1'!$I$15:$N$124,Q76+1,R76)</f>
        <v>0</v>
      </c>
    </row>
    <row r="77" spans="2:19" x14ac:dyDescent="0.75">
      <c r="B77" s="11"/>
      <c r="C77" s="11"/>
      <c r="D77" s="12"/>
      <c r="E77" s="12"/>
      <c r="F77" s="49"/>
      <c r="G77" s="81"/>
      <c r="P77" s="11">
        <v>63</v>
      </c>
      <c r="Q77" s="11">
        <f t="shared" si="13"/>
        <v>10</v>
      </c>
      <c r="R77" s="11">
        <f t="shared" si="14"/>
        <v>3</v>
      </c>
      <c r="S77" s="12" cm="1">
        <f t="array" ref="S77">INDEX('PatientFollowUp-ConceptMap-1'!$I$15:$N$124,Q77+1,R77)</f>
        <v>0</v>
      </c>
    </row>
    <row r="78" spans="2:19" x14ac:dyDescent="0.75">
      <c r="B78" s="11"/>
      <c r="C78" s="11"/>
      <c r="D78" s="12"/>
      <c r="E78" s="12"/>
      <c r="F78" s="49"/>
      <c r="G78" s="81"/>
      <c r="P78" s="11">
        <v>64</v>
      </c>
      <c r="Q78" s="11">
        <f t="shared" si="13"/>
        <v>10</v>
      </c>
      <c r="R78" s="11">
        <f t="shared" si="14"/>
        <v>4</v>
      </c>
      <c r="S78" s="12" cm="1">
        <f t="array" ref="S78">INDEX('PatientFollowUp-ConceptMap-1'!$I$15:$N$124,Q78+1,R78)</f>
        <v>0</v>
      </c>
    </row>
    <row r="79" spans="2:19" x14ac:dyDescent="0.75">
      <c r="B79" s="11"/>
      <c r="C79" s="11"/>
      <c r="D79" s="12"/>
      <c r="E79" s="12"/>
      <c r="F79" s="49"/>
      <c r="G79" s="81"/>
      <c r="P79" s="11">
        <v>65</v>
      </c>
      <c r="Q79" s="11">
        <f t="shared" si="13"/>
        <v>10</v>
      </c>
      <c r="R79" s="11">
        <f t="shared" si="14"/>
        <v>5</v>
      </c>
      <c r="S79" s="12" cm="1">
        <f t="array" ref="S79">INDEX('PatientFollowUp-ConceptMap-1'!$I$15:$N$124,Q79+1,R79)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INDEX('PatientFollowUp-ConceptMap-1'!$I$15:$N$124,Q80+1,R80)</f>
        <v>0</v>
      </c>
    </row>
    <row r="81" spans="2:19" x14ac:dyDescent="0.75">
      <c r="B81" s="11"/>
      <c r="C81" s="11"/>
      <c r="D81" s="12"/>
      <c r="E81" s="12"/>
      <c r="F81" s="49"/>
      <c r="G81" s="81"/>
      <c r="P81" s="11">
        <v>67</v>
      </c>
      <c r="Q81" s="11">
        <f t="shared" si="15"/>
        <v>11</v>
      </c>
      <c r="R81" s="11">
        <f t="shared" si="16"/>
        <v>1</v>
      </c>
      <c r="S81" s="12" cm="1">
        <f t="array" ref="S81">INDEX('PatientFollowUp-ConceptMap-1'!$I$15:$N$124,Q81+1,R81)</f>
        <v>0</v>
      </c>
    </row>
    <row r="82" spans="2:19" x14ac:dyDescent="0.75">
      <c r="B82" s="11"/>
      <c r="C82" s="11"/>
      <c r="D82" s="12"/>
      <c r="E82" s="12"/>
      <c r="F82" s="49"/>
      <c r="G82" s="81"/>
      <c r="P82" s="11">
        <v>68</v>
      </c>
      <c r="Q82" s="11">
        <f t="shared" si="15"/>
        <v>11</v>
      </c>
      <c r="R82" s="11">
        <f t="shared" si="16"/>
        <v>2</v>
      </c>
      <c r="S82" s="12" cm="1">
        <f t="array" ref="S82">INDEX('PatientFollowUp-ConceptMap-1'!$I$15:$N$124,Q82+1,R82)</f>
        <v>0</v>
      </c>
    </row>
    <row r="83" spans="2:19" x14ac:dyDescent="0.75">
      <c r="B83" s="11"/>
      <c r="C83" s="11"/>
      <c r="D83" s="12"/>
      <c r="E83" s="12"/>
      <c r="F83" s="49"/>
      <c r="G83" s="81"/>
      <c r="P83" s="11">
        <v>69</v>
      </c>
      <c r="Q83" s="11">
        <f t="shared" si="15"/>
        <v>11</v>
      </c>
      <c r="R83" s="11">
        <f t="shared" si="16"/>
        <v>3</v>
      </c>
      <c r="S83" s="12" cm="1">
        <f t="array" ref="S83">INDEX('PatientFollowUp-ConceptMap-1'!$I$15:$N$124,Q83+1,R83)</f>
        <v>0</v>
      </c>
    </row>
    <row r="84" spans="2:19" x14ac:dyDescent="0.75">
      <c r="B84" s="11"/>
      <c r="C84" s="11"/>
      <c r="D84" s="12"/>
      <c r="E84" s="12"/>
      <c r="F84" s="49"/>
      <c r="G84" s="81"/>
      <c r="P84" s="11">
        <v>70</v>
      </c>
      <c r="Q84" s="11">
        <f t="shared" si="15"/>
        <v>11</v>
      </c>
      <c r="R84" s="11">
        <f t="shared" si="16"/>
        <v>4</v>
      </c>
      <c r="S84" s="12" cm="1">
        <f t="array" ref="S84">INDEX('PatientFollowUp-ConceptMap-1'!$I$15:$N$124,Q84+1,R84)</f>
        <v>0</v>
      </c>
    </row>
    <row r="85" spans="2:19" x14ac:dyDescent="0.75">
      <c r="B85" s="11"/>
      <c r="C85" s="11"/>
      <c r="D85" s="12"/>
      <c r="E85" s="12"/>
      <c r="F85" s="49"/>
      <c r="G85" s="81"/>
      <c r="P85" s="11">
        <v>71</v>
      </c>
      <c r="Q85" s="11">
        <f t="shared" si="15"/>
        <v>11</v>
      </c>
      <c r="R85" s="11">
        <f t="shared" si="16"/>
        <v>5</v>
      </c>
      <c r="S85" s="12" cm="1">
        <f t="array" ref="S85">INDEX('PatientFollowUp-ConceptMap-1'!$I$15:$N$124,Q85+1,R85)</f>
        <v>0</v>
      </c>
    </row>
    <row r="86" spans="2:19" x14ac:dyDescent="0.75">
      <c r="B86" s="11"/>
      <c r="C86" s="11"/>
      <c r="D86" s="12"/>
      <c r="E86" s="12"/>
      <c r="F86" s="49"/>
      <c r="G86" s="81"/>
      <c r="P86" s="11">
        <v>72</v>
      </c>
      <c r="Q86" s="11">
        <f t="shared" si="15"/>
        <v>11</v>
      </c>
      <c r="R86" s="11">
        <f t="shared" si="16"/>
        <v>6</v>
      </c>
      <c r="S86" s="12" cm="1">
        <f t="array" ref="S86">INDEX('PatientFollowUp-ConceptMap-1'!$I$15:$N$124,Q86+1,R86)</f>
        <v>0</v>
      </c>
    </row>
    <row r="87" spans="2:19" x14ac:dyDescent="0.75">
      <c r="B87" s="11"/>
      <c r="C87" s="11"/>
      <c r="D87" s="12"/>
      <c r="E87" s="12"/>
      <c r="F87" s="49"/>
      <c r="G87" s="81"/>
      <c r="P87" s="11">
        <v>73</v>
      </c>
      <c r="Q87" s="11">
        <f t="shared" si="15"/>
        <v>12</v>
      </c>
      <c r="R87" s="11">
        <f t="shared" si="16"/>
        <v>1</v>
      </c>
      <c r="S87" s="12" cm="1">
        <f t="array" ref="S87">INDEX('PatientFollowUp-ConceptMap-1'!$I$15:$N$124,Q87+1,R87)</f>
        <v>0</v>
      </c>
    </row>
    <row r="88" spans="2:19" x14ac:dyDescent="0.75">
      <c r="B88" s="11"/>
      <c r="C88" s="11"/>
      <c r="D88" s="12"/>
      <c r="E88" s="12"/>
      <c r="F88" s="49"/>
      <c r="G88" s="81"/>
      <c r="P88" s="11">
        <v>74</v>
      </c>
      <c r="Q88" s="11">
        <f t="shared" si="15"/>
        <v>12</v>
      </c>
      <c r="R88" s="11">
        <f t="shared" si="16"/>
        <v>2</v>
      </c>
      <c r="S88" s="12" cm="1">
        <f t="array" ref="S88">INDEX('PatientFollowUp-ConceptMap-1'!$I$15:$N$124,Q88+1,R88)</f>
        <v>0</v>
      </c>
    </row>
    <row r="89" spans="2:19" x14ac:dyDescent="0.75">
      <c r="B89" s="11"/>
      <c r="C89" s="11"/>
      <c r="D89" s="12"/>
      <c r="E89" s="12"/>
      <c r="F89" s="49"/>
      <c r="G89" s="81"/>
      <c r="P89" s="11">
        <v>75</v>
      </c>
      <c r="Q89" s="11">
        <f t="shared" si="15"/>
        <v>12</v>
      </c>
      <c r="R89" s="11">
        <f t="shared" si="16"/>
        <v>3</v>
      </c>
      <c r="S89" s="12" cm="1">
        <f t="array" ref="S89">INDEX('PatientFollowUp-ConceptMap-1'!$I$15:$N$124,Q89+1,R89)</f>
        <v>0</v>
      </c>
    </row>
    <row r="90" spans="2:19" x14ac:dyDescent="0.75">
      <c r="B90" s="11"/>
      <c r="C90" s="11"/>
      <c r="D90" s="12"/>
      <c r="E90" s="12"/>
      <c r="F90" s="49"/>
      <c r="G90" s="81"/>
      <c r="P90" s="11">
        <v>76</v>
      </c>
      <c r="Q90" s="11">
        <f t="shared" si="15"/>
        <v>12</v>
      </c>
      <c r="R90" s="11">
        <f t="shared" si="16"/>
        <v>4</v>
      </c>
      <c r="S90" s="12" cm="1">
        <f t="array" ref="S90">INDEX('PatientFollowUp-ConceptMap-1'!$I$15:$N$124,Q90+1,R90)</f>
        <v>0</v>
      </c>
    </row>
    <row r="91" spans="2:19" x14ac:dyDescent="0.75">
      <c r="B91" s="11"/>
      <c r="C91" s="11"/>
      <c r="D91" s="12"/>
      <c r="E91" s="12"/>
      <c r="F91" s="49"/>
      <c r="G91" s="81"/>
      <c r="P91" s="11">
        <v>77</v>
      </c>
      <c r="Q91" s="11">
        <f t="shared" si="15"/>
        <v>12</v>
      </c>
      <c r="R91" s="11">
        <f t="shared" si="16"/>
        <v>5</v>
      </c>
      <c r="S91" s="12" cm="1">
        <f t="array" ref="S91">INDEX('PatientFollowUp-ConceptMap-1'!$I$15:$N$124,Q91+1,R91)</f>
        <v>0</v>
      </c>
    </row>
    <row r="92" spans="2:19" x14ac:dyDescent="0.75">
      <c r="B92" s="11"/>
      <c r="C92" s="11"/>
      <c r="D92" s="12"/>
      <c r="E92" s="12"/>
      <c r="F92" s="49"/>
      <c r="G92" s="81"/>
      <c r="P92" s="11">
        <v>78</v>
      </c>
      <c r="Q92" s="11">
        <f t="shared" si="15"/>
        <v>12</v>
      </c>
      <c r="R92" s="11">
        <f t="shared" si="16"/>
        <v>6</v>
      </c>
      <c r="S92" s="12" cm="1">
        <f t="array" ref="S92">INDEX('PatientFollowUp-ConceptMap-1'!$I$15:$N$124,Q92+1,R92)</f>
        <v>0</v>
      </c>
    </row>
    <row r="93" spans="2:19" x14ac:dyDescent="0.75">
      <c r="B93" s="11"/>
      <c r="C93" s="11"/>
      <c r="D93" s="12"/>
      <c r="E93" s="12"/>
      <c r="F93" s="49"/>
      <c r="G93" s="81"/>
      <c r="P93" s="11">
        <v>79</v>
      </c>
      <c r="Q93" s="11">
        <f t="shared" si="15"/>
        <v>13</v>
      </c>
      <c r="R93" s="11">
        <f t="shared" si="16"/>
        <v>1</v>
      </c>
      <c r="S93" s="12" cm="1">
        <f t="array" ref="S93">INDEX('PatientFollowUp-ConceptMap-1'!$I$15:$N$124,Q93+1,R93)</f>
        <v>0</v>
      </c>
    </row>
    <row r="94" spans="2:19" x14ac:dyDescent="0.75">
      <c r="B94" s="11"/>
      <c r="C94" s="11"/>
      <c r="D94" s="12"/>
      <c r="E94" s="12"/>
      <c r="F94" s="49"/>
      <c r="G94" s="81"/>
      <c r="P94" s="11">
        <v>80</v>
      </c>
      <c r="Q94" s="11">
        <f t="shared" si="15"/>
        <v>13</v>
      </c>
      <c r="R94" s="11">
        <f t="shared" si="16"/>
        <v>2</v>
      </c>
      <c r="S94" s="12" cm="1">
        <f t="array" ref="S94">INDEX('PatientFollowUp-ConceptMap-1'!$I$15:$N$124,Q94+1,R94)</f>
        <v>0</v>
      </c>
    </row>
    <row r="95" spans="2:19" x14ac:dyDescent="0.75">
      <c r="B95" s="11"/>
      <c r="C95" s="11"/>
      <c r="D95" s="12"/>
      <c r="E95" s="12"/>
      <c r="F95" s="49"/>
      <c r="G95" s="81"/>
      <c r="P95" s="11">
        <v>81</v>
      </c>
      <c r="Q95" s="11">
        <f t="shared" si="15"/>
        <v>13</v>
      </c>
      <c r="R95" s="11">
        <f t="shared" si="16"/>
        <v>3</v>
      </c>
      <c r="S95" s="12" cm="1">
        <f t="array" ref="S95">INDEX('PatientFollowUp-ConceptMap-1'!$I$15:$N$124,Q95+1,R95)</f>
        <v>0</v>
      </c>
    </row>
    <row r="96" spans="2:19" x14ac:dyDescent="0.75">
      <c r="B96" s="11"/>
      <c r="C96" s="11"/>
      <c r="D96" s="12"/>
      <c r="E96" s="12"/>
      <c r="F96" s="49"/>
      <c r="G96" s="81"/>
      <c r="P96" s="11">
        <v>82</v>
      </c>
      <c r="Q96" s="11">
        <f t="shared" si="15"/>
        <v>13</v>
      </c>
      <c r="R96" s="11">
        <f t="shared" si="16"/>
        <v>4</v>
      </c>
      <c r="S96" s="12" cm="1">
        <f t="array" ref="S96">INDEX('PatientFollowUp-ConceptMap-1'!$I$15:$N$124,Q96+1,R96)</f>
        <v>0</v>
      </c>
    </row>
    <row r="97" spans="2:19" x14ac:dyDescent="0.75">
      <c r="B97" s="11"/>
      <c r="C97" s="11"/>
      <c r="D97" s="12"/>
      <c r="E97" s="12"/>
      <c r="F97" s="49"/>
      <c r="G97" s="81"/>
      <c r="P97" s="11">
        <v>83</v>
      </c>
      <c r="Q97" s="11">
        <f t="shared" si="15"/>
        <v>13</v>
      </c>
      <c r="R97" s="11">
        <f t="shared" si="16"/>
        <v>5</v>
      </c>
      <c r="S97" s="12" cm="1">
        <f t="array" ref="S97">INDEX('PatientFollowUp-ConceptMap-1'!$I$15:$N$124,Q97+1,R97)</f>
        <v>0</v>
      </c>
    </row>
    <row r="98" spans="2:19" x14ac:dyDescent="0.75">
      <c r="B98" s="11"/>
      <c r="C98" s="11"/>
      <c r="D98" s="12"/>
      <c r="E98" s="12"/>
      <c r="F98" s="49"/>
      <c r="G98" s="81"/>
      <c r="P98" s="11">
        <v>84</v>
      </c>
      <c r="Q98" s="11">
        <f t="shared" si="15"/>
        <v>13</v>
      </c>
      <c r="R98" s="11">
        <f t="shared" si="16"/>
        <v>6</v>
      </c>
      <c r="S98" s="12" cm="1">
        <f t="array" ref="S98">INDEX('PatientFollowUp-ConceptMap-1'!$I$15:$N$124,Q98+1,R98)</f>
        <v>0</v>
      </c>
    </row>
    <row r="99" spans="2:19" x14ac:dyDescent="0.75">
      <c r="B99" s="11"/>
      <c r="C99" s="11"/>
      <c r="D99" s="12"/>
      <c r="E99" s="12"/>
      <c r="F99" s="49"/>
      <c r="G99" s="81"/>
      <c r="P99" s="11">
        <v>85</v>
      </c>
      <c r="Q99" s="11">
        <f t="shared" si="15"/>
        <v>14</v>
      </c>
      <c r="R99" s="11">
        <f t="shared" si="16"/>
        <v>1</v>
      </c>
      <c r="S99" s="12" cm="1">
        <f t="array" ref="S99">INDEX('PatientFollowUp-ConceptMap-1'!$I$15:$N$124,Q99+1,R99)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INDEX('PatientFollowUp-ConceptMap-1'!$I$15:$N$124,Q100+1,R100)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INDEX('PatientFollowUp-ConceptMap-1'!$I$15:$N$124,Q101+1,R101)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INDEX('PatientFollowUp-ConceptMap-1'!$I$15:$N$124,Q102+1,R102)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INDEX('PatientFollowUp-ConceptMap-1'!$I$15:$N$124,Q103+1,R103)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INDEX('PatientFollowUp-ConceptMap-1'!$I$15:$N$124,Q104+1,R104)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INDEX('PatientFollowUp-ConceptMap-1'!$I$15:$N$124,Q105+1,R105)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INDEX('PatientFollowUp-ConceptMap-1'!$I$15:$N$124,Q106+1,R106)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INDEX('PatientFollowUp-ConceptMap-1'!$I$15:$N$124,Q107+1,R107)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INDEX('PatientFollowUp-ConceptMap-1'!$I$15:$N$124,Q108+1,R108)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INDEX('PatientFollowUp-ConceptMap-1'!$I$15:$N$124,Q109+1,R109)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INDEX('PatientFollowUp-ConceptMap-1'!$I$15:$N$124,Q110+1,R110)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INDEX('PatientFollowUp-ConceptMap-1'!$I$15:$N$124,Q111+1,R111)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INDEX('PatientFollowUp-ConceptMap-1'!$I$15:$N$124,Q112+1,R112)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INDEX('PatientFollowUp-ConceptMap-1'!$I$15:$N$124,Q113+1,R113)</f>
        <v>0</v>
      </c>
    </row>
    <row r="114" spans="2:19" x14ac:dyDescent="0.75">
      <c r="P114" s="11">
        <v>100</v>
      </c>
      <c r="Q114" s="11">
        <f t="shared" si="15"/>
        <v>16</v>
      </c>
      <c r="R114" s="11">
        <f t="shared" si="16"/>
        <v>4</v>
      </c>
      <c r="S114" s="12" cm="1">
        <f t="array" ref="S114">INDEX('PatientFollowUp-ConceptMap-1'!$I$15:$N$124,Q114+1,R114)</f>
        <v>0</v>
      </c>
    </row>
    <row r="115" spans="2:19" x14ac:dyDescent="0.75">
      <c r="P115" s="11">
        <v>101</v>
      </c>
      <c r="Q115" s="11">
        <f t="shared" si="15"/>
        <v>16</v>
      </c>
      <c r="R115" s="11">
        <f t="shared" si="16"/>
        <v>5</v>
      </c>
      <c r="S115" s="12" cm="1">
        <f t="array" ref="S115">INDEX('PatientFollowUp-ConceptMap-1'!$I$15:$N$124,Q115+1,R115)</f>
        <v>0</v>
      </c>
    </row>
    <row r="116" spans="2:19" x14ac:dyDescent="0.75">
      <c r="P116" s="11">
        <v>102</v>
      </c>
      <c r="Q116" s="11">
        <f t="shared" si="15"/>
        <v>16</v>
      </c>
      <c r="R116" s="11">
        <f t="shared" si="16"/>
        <v>6</v>
      </c>
      <c r="S116" s="12" cm="1">
        <f t="array" ref="S116">INDEX('PatientFollowUp-ConceptMap-1'!$I$15:$N$124,Q116+1,R116)</f>
        <v>0</v>
      </c>
    </row>
    <row r="117" spans="2:19" x14ac:dyDescent="0.75">
      <c r="P117" s="11">
        <v>103</v>
      </c>
      <c r="Q117" s="11">
        <f t="shared" si="15"/>
        <v>17</v>
      </c>
      <c r="R117" s="11">
        <f t="shared" si="16"/>
        <v>1</v>
      </c>
      <c r="S117" s="12" cm="1">
        <f t="array" ref="S117">INDEX('PatientFollowUp-ConceptMap-1'!$I$15:$N$124,Q117+1,R117)</f>
        <v>0</v>
      </c>
    </row>
    <row r="118" spans="2:19" x14ac:dyDescent="0.75">
      <c r="P118" s="11">
        <v>104</v>
      </c>
      <c r="Q118" s="11">
        <f t="shared" si="15"/>
        <v>17</v>
      </c>
      <c r="R118" s="11">
        <f t="shared" si="16"/>
        <v>2</v>
      </c>
      <c r="S118" s="12" cm="1">
        <f t="array" ref="S118">INDEX('PatientFollowUp-ConceptMap-1'!$I$15:$N$124,Q118+1,R118)</f>
        <v>0</v>
      </c>
    </row>
    <row r="119" spans="2:19" x14ac:dyDescent="0.75">
      <c r="P119" s="11">
        <v>105</v>
      </c>
      <c r="Q119" s="11">
        <f t="shared" si="15"/>
        <v>17</v>
      </c>
      <c r="R119" s="11">
        <f t="shared" si="16"/>
        <v>3</v>
      </c>
      <c r="S119" s="12" cm="1">
        <f t="array" ref="S119">INDEX('PatientFollowUp-ConceptMap-1'!$I$15:$N$124,Q119+1,R119)</f>
        <v>0</v>
      </c>
    </row>
    <row r="120" spans="2:19" x14ac:dyDescent="0.75">
      <c r="P120" s="11">
        <v>106</v>
      </c>
      <c r="Q120" s="11">
        <f t="shared" si="15"/>
        <v>17</v>
      </c>
      <c r="R120" s="11">
        <f t="shared" si="16"/>
        <v>4</v>
      </c>
      <c r="S120" s="12" cm="1">
        <f t="array" ref="S120">INDEX('PatientFollowUp-ConceptMap-1'!$I$15:$N$124,Q120+1,R120)</f>
        <v>0</v>
      </c>
    </row>
    <row r="121" spans="2:19" x14ac:dyDescent="0.75">
      <c r="P121" s="11">
        <v>107</v>
      </c>
      <c r="Q121" s="11">
        <f t="shared" si="15"/>
        <v>17</v>
      </c>
      <c r="R121" s="11">
        <f t="shared" si="16"/>
        <v>5</v>
      </c>
      <c r="S121" s="12" cm="1">
        <f t="array" ref="S121">INDEX('PatientFollowUp-ConceptMap-1'!$I$15:$N$124,Q121+1,R121)</f>
        <v>0</v>
      </c>
    </row>
    <row r="122" spans="2:19" x14ac:dyDescent="0.75">
      <c r="P122" s="11">
        <v>108</v>
      </c>
      <c r="Q122" s="11">
        <f t="shared" si="15"/>
        <v>17</v>
      </c>
      <c r="R122" s="11">
        <f t="shared" si="16"/>
        <v>6</v>
      </c>
      <c r="S122" s="12" cm="1">
        <f t="array" ref="S122">INDEX('PatientFollowUp-ConceptMap-1'!$I$15:$N$124,Q122+1,R122)</f>
        <v>0</v>
      </c>
    </row>
    <row r="123" spans="2:19" x14ac:dyDescent="0.75">
      <c r="P123" s="11">
        <v>109</v>
      </c>
      <c r="Q123" s="11">
        <f t="shared" si="15"/>
        <v>18</v>
      </c>
      <c r="R123" s="11">
        <f t="shared" si="16"/>
        <v>1</v>
      </c>
      <c r="S123" s="12" cm="1">
        <f t="array" ref="S123">INDEX('PatientFollowUp-ConceptMap-1'!$I$15:$N$124,Q123+1,R123)</f>
        <v>0</v>
      </c>
    </row>
    <row r="124" spans="2:19" x14ac:dyDescent="0.75">
      <c r="P124" s="11">
        <v>110</v>
      </c>
      <c r="Q124" s="11">
        <f t="shared" si="15"/>
        <v>18</v>
      </c>
      <c r="R124" s="11">
        <f t="shared" si="16"/>
        <v>2</v>
      </c>
      <c r="S124" s="12" cm="1">
        <f t="array" ref="S124">INDEX('PatientFollowUp-ConceptMap-1'!$I$15:$N$124,Q124+1,R124)</f>
        <v>0</v>
      </c>
    </row>
    <row r="125" spans="2:19" x14ac:dyDescent="0.75">
      <c r="P125" s="11">
        <v>111</v>
      </c>
      <c r="Q125" s="11">
        <f t="shared" si="15"/>
        <v>18</v>
      </c>
      <c r="R125" s="11">
        <f t="shared" si="16"/>
        <v>3</v>
      </c>
      <c r="S125" s="12" cm="1">
        <f t="array" ref="S125">INDEX('PatientFollowUp-ConceptMap-1'!$I$15:$N$124,Q125+1,R125)</f>
        <v>0</v>
      </c>
    </row>
    <row r="126" spans="2:19" x14ac:dyDescent="0.75">
      <c r="P126" s="11">
        <v>112</v>
      </c>
      <c r="Q126" s="11">
        <f t="shared" si="15"/>
        <v>18</v>
      </c>
      <c r="R126" s="11">
        <f t="shared" si="16"/>
        <v>4</v>
      </c>
      <c r="S126" s="12" cm="1">
        <f t="array" ref="S126">INDEX('PatientFollowUp-ConceptMap-1'!$I$15:$N$124,Q126+1,R126)</f>
        <v>0</v>
      </c>
    </row>
    <row r="127" spans="2:19" x14ac:dyDescent="0.75">
      <c r="P127" s="11">
        <v>113</v>
      </c>
      <c r="Q127" s="11">
        <f t="shared" si="15"/>
        <v>18</v>
      </c>
      <c r="R127" s="11">
        <f t="shared" si="16"/>
        <v>5</v>
      </c>
      <c r="S127" s="12" cm="1">
        <f t="array" ref="S127">INDEX('PatientFollowUp-ConceptMap-1'!$I$15:$N$124,Q127+1,R127)</f>
        <v>0</v>
      </c>
    </row>
    <row r="128" spans="2:19" x14ac:dyDescent="0.75">
      <c r="P128" s="11">
        <v>114</v>
      </c>
      <c r="Q128" s="11">
        <f t="shared" si="15"/>
        <v>18</v>
      </c>
      <c r="R128" s="11">
        <f t="shared" si="16"/>
        <v>6</v>
      </c>
      <c r="S128" s="12" cm="1">
        <f t="array" ref="S128">INDEX('PatientFollowUp-ConceptMap-1'!$I$15:$N$124,Q128+1,R128)</f>
        <v>0</v>
      </c>
    </row>
    <row r="129" spans="16:19" x14ac:dyDescent="0.75">
      <c r="P129" s="11">
        <v>115</v>
      </c>
      <c r="Q129" s="11">
        <f t="shared" si="15"/>
        <v>19</v>
      </c>
      <c r="R129" s="11">
        <f t="shared" si="16"/>
        <v>1</v>
      </c>
      <c r="S129" s="12" cm="1">
        <f t="array" ref="S129">INDEX('PatientFollowUp-ConceptMap-1'!$I$15:$N$124,Q129+1,R129)</f>
        <v>0</v>
      </c>
    </row>
    <row r="130" spans="16:19" x14ac:dyDescent="0.75">
      <c r="P130" s="11">
        <v>116</v>
      </c>
      <c r="Q130" s="11">
        <f t="shared" si="15"/>
        <v>19</v>
      </c>
      <c r="R130" s="11">
        <f t="shared" si="16"/>
        <v>2</v>
      </c>
      <c r="S130" s="12" cm="1">
        <f t="array" ref="S130">INDEX('PatientFollowUp-ConceptMap-1'!$I$15:$N$124,Q130+1,R130)</f>
        <v>0</v>
      </c>
    </row>
    <row r="131" spans="16:19" x14ac:dyDescent="0.75">
      <c r="P131" s="11">
        <v>117</v>
      </c>
      <c r="Q131" s="11">
        <f t="shared" si="15"/>
        <v>19</v>
      </c>
      <c r="R131" s="11">
        <f t="shared" si="16"/>
        <v>3</v>
      </c>
      <c r="S131" s="12" cm="1">
        <f t="array" ref="S131">INDEX('PatientFollowUp-ConceptMap-1'!$I$15:$N$124,Q131+1,R131)</f>
        <v>0</v>
      </c>
    </row>
    <row r="132" spans="16:19" x14ac:dyDescent="0.75">
      <c r="P132" s="11">
        <v>118</v>
      </c>
      <c r="Q132" s="11">
        <f t="shared" si="15"/>
        <v>19</v>
      </c>
      <c r="R132" s="11">
        <f t="shared" si="16"/>
        <v>4</v>
      </c>
      <c r="S132" s="12" cm="1">
        <f t="array" ref="S132">INDEX('PatientFollowUp-ConceptMap-1'!$I$15:$N$124,Q132+1,R132)</f>
        <v>0</v>
      </c>
    </row>
    <row r="133" spans="16:19" x14ac:dyDescent="0.75">
      <c r="P133" s="11">
        <v>119</v>
      </c>
      <c r="Q133" s="11">
        <f t="shared" si="15"/>
        <v>19</v>
      </c>
      <c r="R133" s="11">
        <f t="shared" si="16"/>
        <v>5</v>
      </c>
      <c r="S133" s="12" cm="1">
        <f t="array" ref="S133">INDEX('PatientFollowUp-ConceptMap-1'!$I$15:$N$124,Q133+1,R133)</f>
        <v>0</v>
      </c>
    </row>
    <row r="134" spans="16:19" x14ac:dyDescent="0.75">
      <c r="P134" s="11">
        <v>120</v>
      </c>
      <c r="Q134" s="11">
        <f t="shared" si="15"/>
        <v>19</v>
      </c>
      <c r="R134" s="11">
        <f t="shared" si="16"/>
        <v>6</v>
      </c>
      <c r="S134" s="12" cm="1">
        <f t="array" ref="S134">INDEX('PatientFollowUp-ConceptMap-1'!$I$15:$N$124,Q134+1,R134)</f>
        <v>0</v>
      </c>
    </row>
    <row r="135" spans="16:19" x14ac:dyDescent="0.75">
      <c r="P135" s="11">
        <v>121</v>
      </c>
      <c r="Q135" s="11">
        <f t="shared" si="15"/>
        <v>20</v>
      </c>
      <c r="R135" s="11">
        <f t="shared" si="16"/>
        <v>1</v>
      </c>
      <c r="S135" s="12" cm="1">
        <f t="array" ref="S135">INDEX('PatientFollowUp-ConceptMap-1'!$I$15:$N$124,Q135+1,R135)</f>
        <v>0</v>
      </c>
    </row>
    <row r="136" spans="16:19" x14ac:dyDescent="0.75">
      <c r="P136" s="11">
        <v>122</v>
      </c>
      <c r="Q136" s="11">
        <f t="shared" si="15"/>
        <v>20</v>
      </c>
      <c r="R136" s="11">
        <f t="shared" si="16"/>
        <v>2</v>
      </c>
      <c r="S136" s="12" cm="1">
        <f t="array" ref="S136">INDEX('PatientFollowUp-ConceptMap-1'!$I$15:$N$124,Q136+1,R136)</f>
        <v>0</v>
      </c>
    </row>
    <row r="137" spans="16:19" x14ac:dyDescent="0.75">
      <c r="P137" s="11">
        <v>123</v>
      </c>
      <c r="Q137" s="11">
        <f t="shared" si="15"/>
        <v>20</v>
      </c>
      <c r="R137" s="11">
        <f t="shared" si="16"/>
        <v>3</v>
      </c>
      <c r="S137" s="12" cm="1">
        <f t="array" ref="S137">INDEX('PatientFollowUp-ConceptMap-1'!$I$15:$N$124,Q137+1,R137)</f>
        <v>0</v>
      </c>
    </row>
    <row r="138" spans="16:19" x14ac:dyDescent="0.75">
      <c r="P138" s="11">
        <v>124</v>
      </c>
      <c r="Q138" s="11">
        <f t="shared" si="15"/>
        <v>20</v>
      </c>
      <c r="R138" s="11">
        <f t="shared" si="16"/>
        <v>4</v>
      </c>
      <c r="S138" s="12" cm="1">
        <f t="array" ref="S138">INDEX('PatientFollowUp-ConceptMap-1'!$I$15:$N$124,Q138+1,R138)</f>
        <v>0</v>
      </c>
    </row>
    <row r="139" spans="16:19" x14ac:dyDescent="0.75">
      <c r="P139" s="11">
        <v>125</v>
      </c>
      <c r="Q139" s="11">
        <f t="shared" si="15"/>
        <v>20</v>
      </c>
      <c r="R139" s="11">
        <f t="shared" si="16"/>
        <v>5</v>
      </c>
      <c r="S139" s="12" cm="1">
        <f t="array" ref="S139">INDEX('PatientFollowUp-ConceptMap-1'!$I$15:$N$124,Q139+1,R139)</f>
        <v>0</v>
      </c>
    </row>
    <row r="140" spans="16:19" x14ac:dyDescent="0.75">
      <c r="P140" s="11">
        <v>126</v>
      </c>
      <c r="Q140" s="11">
        <f t="shared" si="15"/>
        <v>20</v>
      </c>
      <c r="R140" s="11">
        <f t="shared" si="16"/>
        <v>6</v>
      </c>
      <c r="S140" s="12" cm="1">
        <f t="array" ref="S140">INDEX('PatientFollowUp-ConceptMap-1'!$I$15:$N$124,Q140+1,R140)</f>
        <v>0</v>
      </c>
    </row>
    <row r="141" spans="16:19" x14ac:dyDescent="0.75">
      <c r="P141" s="11">
        <v>127</v>
      </c>
      <c r="Q141" s="11">
        <f t="shared" si="15"/>
        <v>21</v>
      </c>
      <c r="R141" s="11">
        <f t="shared" si="16"/>
        <v>1</v>
      </c>
      <c r="S141" s="12" cm="1">
        <f t="array" ref="S141">INDEX('PatientFollowUp-ConceptMap-1'!$I$15:$N$124,Q141+1,R141)</f>
        <v>0</v>
      </c>
    </row>
    <row r="142" spans="16:19" x14ac:dyDescent="0.75">
      <c r="P142" s="11">
        <v>128</v>
      </c>
      <c r="Q142" s="11">
        <f t="shared" si="15"/>
        <v>21</v>
      </c>
      <c r="R142" s="11">
        <f t="shared" si="16"/>
        <v>2</v>
      </c>
      <c r="S142" s="12" cm="1">
        <f t="array" ref="S142">INDEX('PatientFollowUp-ConceptMap-1'!$I$15:$N$124,Q142+1,R142)</f>
        <v>0</v>
      </c>
    </row>
    <row r="143" spans="16:19" x14ac:dyDescent="0.75">
      <c r="P143" s="11">
        <v>129</v>
      </c>
      <c r="Q143" s="11">
        <f t="shared" si="15"/>
        <v>21</v>
      </c>
      <c r="R143" s="11">
        <f t="shared" si="16"/>
        <v>3</v>
      </c>
      <c r="S143" s="12" cm="1">
        <f t="array" ref="S143">INDEX('PatientFollowUp-ConceptMap-1'!$I$15:$N$124,Q143+1,R143)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INDEX('PatientFollowUp-ConceptMap-1'!$I$15:$N$124,Q144+1,R144)</f>
        <v>0</v>
      </c>
    </row>
    <row r="145" spans="16:19" x14ac:dyDescent="0.75">
      <c r="P145" s="11">
        <v>131</v>
      </c>
      <c r="Q145" s="11">
        <f t="shared" si="17"/>
        <v>21</v>
      </c>
      <c r="R145" s="11">
        <f t="shared" si="18"/>
        <v>5</v>
      </c>
      <c r="S145" s="12" cm="1">
        <f t="array" ref="S145">INDEX('PatientFollowUp-ConceptMap-1'!$I$15:$N$124,Q145+1,R145)</f>
        <v>0</v>
      </c>
    </row>
    <row r="146" spans="16:19" x14ac:dyDescent="0.75">
      <c r="P146" s="11">
        <v>132</v>
      </c>
      <c r="Q146" s="11">
        <f t="shared" si="17"/>
        <v>21</v>
      </c>
      <c r="R146" s="11">
        <f t="shared" si="18"/>
        <v>6</v>
      </c>
      <c r="S146" s="12" cm="1">
        <f t="array" ref="S146">INDEX('PatientFollowUp-ConceptMap-1'!$I$15:$N$124,Q146+1,R146)</f>
        <v>0</v>
      </c>
    </row>
    <row r="147" spans="16:19" x14ac:dyDescent="0.75">
      <c r="P147" s="11">
        <v>133</v>
      </c>
      <c r="Q147" s="11">
        <f t="shared" si="17"/>
        <v>22</v>
      </c>
      <c r="R147" s="11">
        <f t="shared" si="18"/>
        <v>1</v>
      </c>
      <c r="S147" s="12" cm="1">
        <f t="array" ref="S147">INDEX('PatientFollowUp-ConceptMap-1'!$I$15:$N$124,Q147+1,R147)</f>
        <v>0</v>
      </c>
    </row>
    <row r="148" spans="16:19" x14ac:dyDescent="0.75">
      <c r="P148" s="11">
        <v>134</v>
      </c>
      <c r="Q148" s="11">
        <f t="shared" si="17"/>
        <v>22</v>
      </c>
      <c r="R148" s="11">
        <f t="shared" si="18"/>
        <v>2</v>
      </c>
      <c r="S148" s="12" cm="1">
        <f t="array" ref="S148">INDEX('PatientFollowUp-ConceptMap-1'!$I$15:$N$124,Q148+1,R148)</f>
        <v>0</v>
      </c>
    </row>
    <row r="149" spans="16:19" x14ac:dyDescent="0.75">
      <c r="P149" s="11">
        <v>135</v>
      </c>
      <c r="Q149" s="11">
        <f t="shared" si="17"/>
        <v>22</v>
      </c>
      <c r="R149" s="11">
        <f t="shared" si="18"/>
        <v>3</v>
      </c>
      <c r="S149" s="12" cm="1">
        <f t="array" ref="S149">INDEX('PatientFollowUp-ConceptMap-1'!$I$15:$N$124,Q149+1,R149)</f>
        <v>0</v>
      </c>
    </row>
    <row r="150" spans="16:19" x14ac:dyDescent="0.75">
      <c r="P150" s="11">
        <v>136</v>
      </c>
      <c r="Q150" s="11">
        <f t="shared" si="17"/>
        <v>22</v>
      </c>
      <c r="R150" s="11">
        <f t="shared" si="18"/>
        <v>4</v>
      </c>
      <c r="S150" s="12" cm="1">
        <f t="array" ref="S150">INDEX('PatientFollowUp-ConceptMap-1'!$I$15:$N$124,Q150+1,R150)</f>
        <v>0</v>
      </c>
    </row>
    <row r="151" spans="16:19" x14ac:dyDescent="0.75">
      <c r="P151" s="11">
        <v>137</v>
      </c>
      <c r="Q151" s="11">
        <f t="shared" si="17"/>
        <v>22</v>
      </c>
      <c r="R151" s="11">
        <f t="shared" si="18"/>
        <v>5</v>
      </c>
      <c r="S151" s="12" cm="1">
        <f t="array" ref="S151">INDEX('PatientFollowUp-ConceptMap-1'!$I$15:$N$124,Q151+1,R151)</f>
        <v>0</v>
      </c>
    </row>
    <row r="152" spans="16:19" x14ac:dyDescent="0.75">
      <c r="P152" s="11">
        <v>138</v>
      </c>
      <c r="Q152" s="11">
        <f t="shared" si="17"/>
        <v>22</v>
      </c>
      <c r="R152" s="11">
        <f t="shared" si="18"/>
        <v>6</v>
      </c>
      <c r="S152" s="12" cm="1">
        <f t="array" ref="S152">INDEX('PatientFollowUp-ConceptMap-1'!$I$15:$N$124,Q152+1,R152)</f>
        <v>0</v>
      </c>
    </row>
    <row r="153" spans="16:19" x14ac:dyDescent="0.75">
      <c r="P153" s="11">
        <v>139</v>
      </c>
      <c r="Q153" s="11">
        <f t="shared" si="17"/>
        <v>23</v>
      </c>
      <c r="R153" s="11">
        <f t="shared" si="18"/>
        <v>1</v>
      </c>
      <c r="S153" s="12" cm="1">
        <f t="array" ref="S153">INDEX('PatientFollowUp-ConceptMap-1'!$I$15:$N$124,Q153+1,R153)</f>
        <v>0</v>
      </c>
    </row>
    <row r="154" spans="16:19" x14ac:dyDescent="0.75">
      <c r="P154" s="11">
        <v>140</v>
      </c>
      <c r="Q154" s="11">
        <f t="shared" si="17"/>
        <v>23</v>
      </c>
      <c r="R154" s="11">
        <f t="shared" si="18"/>
        <v>2</v>
      </c>
      <c r="S154" s="12" cm="1">
        <f t="array" ref="S154">INDEX('PatientFollowUp-ConceptMap-1'!$I$15:$N$124,Q154+1,R154)</f>
        <v>0</v>
      </c>
    </row>
    <row r="155" spans="16:19" x14ac:dyDescent="0.75">
      <c r="P155" s="11">
        <v>141</v>
      </c>
      <c r="Q155" s="11">
        <f t="shared" si="17"/>
        <v>23</v>
      </c>
      <c r="R155" s="11">
        <f t="shared" si="18"/>
        <v>3</v>
      </c>
      <c r="S155" s="12" cm="1">
        <f t="array" ref="S155">INDEX('PatientFollowUp-ConceptMap-1'!$I$15:$N$124,Q155+1,R155)</f>
        <v>0</v>
      </c>
    </row>
    <row r="156" spans="16:19" x14ac:dyDescent="0.75">
      <c r="P156" s="11">
        <v>142</v>
      </c>
      <c r="Q156" s="11">
        <f t="shared" si="17"/>
        <v>23</v>
      </c>
      <c r="R156" s="11">
        <f t="shared" si="18"/>
        <v>4</v>
      </c>
      <c r="S156" s="12" cm="1">
        <f t="array" ref="S156">INDEX('PatientFollowUp-ConceptMap-1'!$I$15:$N$124,Q156+1,R156)</f>
        <v>0</v>
      </c>
    </row>
    <row r="157" spans="16:19" x14ac:dyDescent="0.75">
      <c r="P157" s="11">
        <v>143</v>
      </c>
      <c r="Q157" s="11">
        <f t="shared" si="17"/>
        <v>23</v>
      </c>
      <c r="R157" s="11">
        <f t="shared" si="18"/>
        <v>5</v>
      </c>
      <c r="S157" s="12" cm="1">
        <f t="array" ref="S157">INDEX('PatientFollowUp-ConceptMap-1'!$I$15:$N$124,Q157+1,R157)</f>
        <v>0</v>
      </c>
    </row>
    <row r="158" spans="16:19" x14ac:dyDescent="0.75">
      <c r="P158" s="11">
        <v>144</v>
      </c>
      <c r="Q158" s="11">
        <f t="shared" si="17"/>
        <v>23</v>
      </c>
      <c r="R158" s="11">
        <f t="shared" si="18"/>
        <v>6</v>
      </c>
      <c r="S158" s="12" cm="1">
        <f t="array" ref="S158">INDEX('PatientFollowUp-ConceptMap-1'!$I$15:$N$124,Q158+1,R158)</f>
        <v>0</v>
      </c>
    </row>
    <row r="159" spans="16:19" x14ac:dyDescent="0.75">
      <c r="P159" s="11">
        <v>145</v>
      </c>
      <c r="Q159" s="11">
        <f t="shared" si="17"/>
        <v>24</v>
      </c>
      <c r="R159" s="11">
        <f t="shared" si="18"/>
        <v>1</v>
      </c>
      <c r="S159" s="12" cm="1">
        <f t="array" ref="S159">INDEX('PatientFollowUp-ConceptMap-1'!$I$15:$N$124,Q159+1,R159)</f>
        <v>0</v>
      </c>
    </row>
    <row r="160" spans="16:19" x14ac:dyDescent="0.75">
      <c r="P160" s="11">
        <v>146</v>
      </c>
      <c r="Q160" s="11">
        <f t="shared" si="17"/>
        <v>24</v>
      </c>
      <c r="R160" s="11">
        <f t="shared" si="18"/>
        <v>2</v>
      </c>
      <c r="S160" s="12" cm="1">
        <f t="array" ref="S160">INDEX('PatientFollowUp-ConceptMap-1'!$I$15:$N$124,Q160+1,R160)</f>
        <v>0</v>
      </c>
    </row>
    <row r="161" spans="16:19" x14ac:dyDescent="0.75">
      <c r="P161" s="11">
        <v>147</v>
      </c>
      <c r="Q161" s="11">
        <f t="shared" si="17"/>
        <v>24</v>
      </c>
      <c r="R161" s="11">
        <f t="shared" si="18"/>
        <v>3</v>
      </c>
      <c r="S161" s="12" cm="1">
        <f t="array" ref="S161">INDEX('PatientFollowUp-ConceptMap-1'!$I$15:$N$124,Q161+1,R161)</f>
        <v>0</v>
      </c>
    </row>
    <row r="162" spans="16:19" x14ac:dyDescent="0.75">
      <c r="P162" s="11">
        <v>148</v>
      </c>
      <c r="Q162" s="11">
        <f t="shared" si="17"/>
        <v>24</v>
      </c>
      <c r="R162" s="11">
        <f t="shared" si="18"/>
        <v>4</v>
      </c>
      <c r="S162" s="12" cm="1">
        <f t="array" ref="S162">INDEX('PatientFollowUp-ConceptMap-1'!$I$15:$N$124,Q162+1,R162)</f>
        <v>0</v>
      </c>
    </row>
    <row r="163" spans="16:19" x14ac:dyDescent="0.75">
      <c r="P163" s="11">
        <v>149</v>
      </c>
      <c r="Q163" s="11">
        <f t="shared" si="17"/>
        <v>24</v>
      </c>
      <c r="R163" s="11">
        <f t="shared" si="18"/>
        <v>5</v>
      </c>
      <c r="S163" s="12" cm="1">
        <f t="array" ref="S163">INDEX('PatientFollowUp-ConceptMap-1'!$I$15:$N$124,Q163+1,R163)</f>
        <v>0</v>
      </c>
    </row>
    <row r="164" spans="16:19" x14ac:dyDescent="0.75">
      <c r="P164" s="11">
        <v>150</v>
      </c>
      <c r="Q164" s="11">
        <f t="shared" si="17"/>
        <v>24</v>
      </c>
      <c r="R164" s="11">
        <f t="shared" si="18"/>
        <v>6</v>
      </c>
      <c r="S164" s="12" cm="1">
        <f t="array" ref="S164">INDEX('PatientFollowUp-ConceptMap-1'!$I$15:$N$124,Q164+1,R164)</f>
        <v>0</v>
      </c>
    </row>
    <row r="165" spans="16:19" x14ac:dyDescent="0.75">
      <c r="P165" s="11">
        <v>151</v>
      </c>
      <c r="Q165" s="11">
        <f t="shared" si="17"/>
        <v>25</v>
      </c>
      <c r="R165" s="11">
        <f t="shared" si="18"/>
        <v>1</v>
      </c>
      <c r="S165" s="12" cm="1">
        <f t="array" ref="S165">INDEX('PatientFollowUp-ConceptMap-1'!$I$15:$N$124,Q165+1,R165)</f>
        <v>0</v>
      </c>
    </row>
    <row r="166" spans="16:19" x14ac:dyDescent="0.75">
      <c r="P166" s="11">
        <v>152</v>
      </c>
      <c r="Q166" s="11">
        <f t="shared" si="17"/>
        <v>25</v>
      </c>
      <c r="R166" s="11">
        <f t="shared" si="18"/>
        <v>2</v>
      </c>
      <c r="S166" s="12" cm="1">
        <f t="array" ref="S166">INDEX('PatientFollowUp-ConceptMap-1'!$I$15:$N$124,Q166+1,R166)</f>
        <v>0</v>
      </c>
    </row>
    <row r="167" spans="16:19" x14ac:dyDescent="0.75">
      <c r="P167" s="11">
        <v>153</v>
      </c>
      <c r="Q167" s="11">
        <f t="shared" si="17"/>
        <v>25</v>
      </c>
      <c r="R167" s="11">
        <f t="shared" si="18"/>
        <v>3</v>
      </c>
      <c r="S167" s="12" cm="1">
        <f t="array" ref="S167">INDEX('PatientFollowUp-ConceptMap-1'!$I$15:$N$124,Q167+1,R167)</f>
        <v>0</v>
      </c>
    </row>
    <row r="168" spans="16:19" x14ac:dyDescent="0.75">
      <c r="P168" s="11">
        <v>154</v>
      </c>
      <c r="Q168" s="11">
        <f t="shared" si="17"/>
        <v>25</v>
      </c>
      <c r="R168" s="11">
        <f t="shared" si="18"/>
        <v>4</v>
      </c>
      <c r="S168" s="12" cm="1">
        <f t="array" ref="S168">INDEX('PatientFollowUp-ConceptMap-1'!$I$15:$N$124,Q168+1,R168)</f>
        <v>0</v>
      </c>
    </row>
    <row r="169" spans="16:19" x14ac:dyDescent="0.75">
      <c r="P169" s="11">
        <v>155</v>
      </c>
      <c r="Q169" s="11">
        <f t="shared" si="17"/>
        <v>25</v>
      </c>
      <c r="R169" s="11">
        <f t="shared" si="18"/>
        <v>5</v>
      </c>
      <c r="S169" s="12" cm="1">
        <f t="array" ref="S169">INDEX('PatientFollowUp-ConceptMap-1'!$I$15:$N$124,Q169+1,R169)</f>
        <v>0</v>
      </c>
    </row>
    <row r="170" spans="16:19" x14ac:dyDescent="0.75">
      <c r="P170" s="11">
        <v>156</v>
      </c>
      <c r="Q170" s="11">
        <f t="shared" si="17"/>
        <v>25</v>
      </c>
      <c r="R170" s="11">
        <f t="shared" si="18"/>
        <v>6</v>
      </c>
      <c r="S170" s="12" cm="1">
        <f t="array" ref="S170">INDEX('PatientFollowUp-ConceptMap-1'!$I$15:$N$124,Q170+1,R170)</f>
        <v>0</v>
      </c>
    </row>
    <row r="171" spans="16:19" x14ac:dyDescent="0.75">
      <c r="P171" s="11">
        <v>157</v>
      </c>
      <c r="Q171" s="11">
        <f t="shared" si="17"/>
        <v>26</v>
      </c>
      <c r="R171" s="11">
        <f t="shared" si="18"/>
        <v>1</v>
      </c>
      <c r="S171" s="12" cm="1">
        <f t="array" ref="S171">INDEX('PatientFollowUp-ConceptMap-1'!$I$15:$N$124,Q171+1,R171)</f>
        <v>0</v>
      </c>
    </row>
    <row r="172" spans="16:19" x14ac:dyDescent="0.75">
      <c r="P172" s="11">
        <v>158</v>
      </c>
      <c r="Q172" s="11">
        <f t="shared" si="17"/>
        <v>26</v>
      </c>
      <c r="R172" s="11">
        <f t="shared" si="18"/>
        <v>2</v>
      </c>
      <c r="S172" s="12" cm="1">
        <f t="array" ref="S172">INDEX('PatientFollowUp-ConceptMap-1'!$I$15:$N$124,Q172+1,R172)</f>
        <v>0</v>
      </c>
    </row>
    <row r="173" spans="16:19" x14ac:dyDescent="0.75">
      <c r="P173" s="11">
        <v>159</v>
      </c>
      <c r="Q173" s="11">
        <f t="shared" si="17"/>
        <v>26</v>
      </c>
      <c r="R173" s="11">
        <f t="shared" si="18"/>
        <v>3</v>
      </c>
      <c r="S173" s="12" cm="1">
        <f t="array" ref="S173">INDEX('PatientFollowUp-ConceptMap-1'!$I$15:$N$124,Q173+1,R173)</f>
        <v>0</v>
      </c>
    </row>
    <row r="174" spans="16:19" x14ac:dyDescent="0.75">
      <c r="P174" s="11">
        <v>160</v>
      </c>
      <c r="Q174" s="11">
        <f t="shared" si="17"/>
        <v>26</v>
      </c>
      <c r="R174" s="11">
        <f t="shared" si="18"/>
        <v>4</v>
      </c>
      <c r="S174" s="12" cm="1">
        <f t="array" ref="S174">INDEX('PatientFollowUp-ConceptMap-1'!$I$15:$N$124,Q174+1,R174)</f>
        <v>0</v>
      </c>
    </row>
    <row r="175" spans="16:19" x14ac:dyDescent="0.75">
      <c r="P175" s="11">
        <v>161</v>
      </c>
      <c r="Q175" s="11">
        <f t="shared" si="17"/>
        <v>26</v>
      </c>
      <c r="R175" s="11">
        <f t="shared" si="18"/>
        <v>5</v>
      </c>
      <c r="S175" s="12" cm="1">
        <f t="array" ref="S175">INDEX('PatientFollowUp-ConceptMap-1'!$I$15:$N$124,Q175+1,R175)</f>
        <v>0</v>
      </c>
    </row>
    <row r="176" spans="16:19" x14ac:dyDescent="0.75">
      <c r="P176" s="11">
        <v>162</v>
      </c>
      <c r="Q176" s="11">
        <f t="shared" si="17"/>
        <v>26</v>
      </c>
      <c r="R176" s="11">
        <f t="shared" si="18"/>
        <v>6</v>
      </c>
      <c r="S176" s="12" cm="1">
        <f t="array" ref="S176">INDEX('PatientFollowUp-ConceptMap-1'!$I$15:$N$124,Q176+1,R176)</f>
        <v>0</v>
      </c>
    </row>
    <row r="177" spans="16:19" x14ac:dyDescent="0.75">
      <c r="P177" s="11">
        <v>163</v>
      </c>
      <c r="Q177" s="11">
        <f t="shared" si="17"/>
        <v>27</v>
      </c>
      <c r="R177" s="11">
        <f t="shared" si="18"/>
        <v>1</v>
      </c>
      <c r="S177" s="12" cm="1">
        <f t="array" ref="S177">INDEX('PatientFollowUp-ConceptMap-1'!$I$15:$N$124,Q177+1,R177)</f>
        <v>0</v>
      </c>
    </row>
    <row r="178" spans="16:19" x14ac:dyDescent="0.75">
      <c r="P178" s="11">
        <v>164</v>
      </c>
      <c r="Q178" s="11">
        <f t="shared" si="17"/>
        <v>27</v>
      </c>
      <c r="R178" s="11">
        <f t="shared" si="18"/>
        <v>2</v>
      </c>
      <c r="S178" s="12" cm="1">
        <f t="array" ref="S178">INDEX('PatientFollowUp-ConceptMap-1'!$I$15:$N$124,Q178+1,R178)</f>
        <v>0</v>
      </c>
    </row>
    <row r="179" spans="16:19" x14ac:dyDescent="0.75">
      <c r="P179" s="11">
        <v>165</v>
      </c>
      <c r="Q179" s="11">
        <f t="shared" si="17"/>
        <v>27</v>
      </c>
      <c r="R179" s="11">
        <f t="shared" si="18"/>
        <v>3</v>
      </c>
      <c r="S179" s="12" cm="1">
        <f t="array" ref="S179">INDEX('PatientFollowUp-ConceptMap-1'!$I$15:$N$124,Q179+1,R179)</f>
        <v>0</v>
      </c>
    </row>
    <row r="180" spans="16:19" x14ac:dyDescent="0.75">
      <c r="P180" s="11">
        <v>166</v>
      </c>
      <c r="Q180" s="11">
        <f t="shared" si="17"/>
        <v>27</v>
      </c>
      <c r="R180" s="11">
        <f t="shared" si="18"/>
        <v>4</v>
      </c>
      <c r="S180" s="12" cm="1">
        <f t="array" ref="S180">INDEX('PatientFollowUp-ConceptMap-1'!$I$15:$N$124,Q180+1,R180)</f>
        <v>0</v>
      </c>
    </row>
    <row r="181" spans="16:19" x14ac:dyDescent="0.75">
      <c r="P181" s="11">
        <v>167</v>
      </c>
      <c r="Q181" s="11">
        <f t="shared" si="17"/>
        <v>27</v>
      </c>
      <c r="R181" s="11">
        <f t="shared" si="18"/>
        <v>5</v>
      </c>
      <c r="S181" s="12" cm="1">
        <f t="array" ref="S181">INDEX('PatientFollowUp-ConceptMap-1'!$I$15:$N$124,Q181+1,R181)</f>
        <v>0</v>
      </c>
    </row>
    <row r="182" spans="16:19" x14ac:dyDescent="0.75">
      <c r="P182" s="11">
        <v>168</v>
      </c>
      <c r="Q182" s="11">
        <f t="shared" si="17"/>
        <v>27</v>
      </c>
      <c r="R182" s="11">
        <f t="shared" si="18"/>
        <v>6</v>
      </c>
      <c r="S182" s="12" cm="1">
        <f t="array" ref="S182">INDEX('PatientFollowUp-ConceptMap-1'!$I$15:$N$124,Q182+1,R182)</f>
        <v>0</v>
      </c>
    </row>
    <row r="183" spans="16:19" x14ac:dyDescent="0.75">
      <c r="P183" s="11">
        <v>169</v>
      </c>
      <c r="Q183" s="11">
        <f t="shared" si="17"/>
        <v>28</v>
      </c>
      <c r="R183" s="11">
        <f t="shared" si="18"/>
        <v>1</v>
      </c>
      <c r="S183" s="12" cm="1">
        <f t="array" ref="S183">INDEX('PatientFollowUp-ConceptMap-1'!$I$15:$N$124,Q183+1,R183)</f>
        <v>0</v>
      </c>
    </row>
    <row r="184" spans="16:19" x14ac:dyDescent="0.75">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0" t="s">
        <v>1990</v>
      </c>
      <c r="F4" s="151"/>
      <c r="G4" s="151"/>
    </row>
    <row r="5" spans="1:19" x14ac:dyDescent="0.75">
      <c r="B5" s="47" t="s">
        <v>10</v>
      </c>
      <c r="C5" s="7" t="s">
        <v>1992</v>
      </c>
      <c r="D5" s="47"/>
      <c r="E5" s="7"/>
    </row>
    <row r="6" spans="1:19" x14ac:dyDescent="0.75">
      <c r="B6" s="47" t="s">
        <v>18</v>
      </c>
      <c r="C6" s="41"/>
      <c r="D6" s="47" t="s">
        <v>1481</v>
      </c>
      <c r="E6" s="150" t="str">
        <f>E3</f>
        <v>http://hl7.eu/fhir/ig/idea4rc/StructureDefinition/PatientFollowUpI4rc</v>
      </c>
      <c r="F6" s="151"/>
      <c r="G6" s="151"/>
    </row>
    <row r="7" spans="1:19" x14ac:dyDescent="0.75">
      <c r="B7" s="47" t="s">
        <v>15</v>
      </c>
      <c r="C7" s="76"/>
      <c r="D7" s="47" t="s">
        <v>1482</v>
      </c>
      <c r="E7" s="150" t="str">
        <f>C1&amp;"Condition-primaryCancer-eu-i4rc"</f>
        <v>http://hl7.eu/fhir/ig/idea4rc/StructureDefinition/Condition-primaryCancer-eu-i4rc</v>
      </c>
      <c r="F7" s="151"/>
      <c r="G7" s="151"/>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2"/>
      <c r="F9" s="153"/>
      <c r="G9" s="154"/>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1311</v>
      </c>
      <c r="G16" s="80"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x14ac:dyDescent="0.75">
      <c r="A17" s="44"/>
      <c r="B17" s="6"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x14ac:dyDescent="0.75">
      <c r="A18" s="44"/>
      <c r="B18" s="11" t="str">
        <f>PatientFollowUp!B11</f>
        <v>newCancerDiagnosis</v>
      </c>
      <c r="C18" s="11" t="str">
        <f>PatientFollowUp!C11</f>
        <v>New cancer diagnosis</v>
      </c>
      <c r="D18" s="12" t="s">
        <v>1630</v>
      </c>
      <c r="E18" s="12"/>
      <c r="F18" s="49" t="s">
        <v>1294</v>
      </c>
      <c r="G18" s="81" t="s">
        <v>1998</v>
      </c>
      <c r="H18" s="43"/>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x14ac:dyDescent="0.75">
      <c r="A19" s="44"/>
      <c r="B19" s="11" t="str">
        <f>PatientFollowUp!B12</f>
        <v>dateOfNewCancerDiagnosis</v>
      </c>
      <c r="C19" s="11" t="str">
        <f>PatientFollowUp!C12</f>
        <v>Date of new cancer diagnosis</v>
      </c>
      <c r="D19" s="62" t="s">
        <v>1999</v>
      </c>
      <c r="E19" s="12"/>
      <c r="F19" s="49" t="s">
        <v>1294</v>
      </c>
      <c r="G19" s="80" t="s">
        <v>1485</v>
      </c>
      <c r="H19" s="43"/>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x14ac:dyDescent="0.75">
      <c r="A20" s="44"/>
      <c r="B20" s="6" t="str">
        <f>PatientFollowUp!B13</f>
        <v>newCancerTopography</v>
      </c>
      <c r="C20" s="11" t="str">
        <f>PatientFollowUp!C13</f>
        <v>New cancer topography</v>
      </c>
      <c r="D20" s="12" t="s">
        <v>1637</v>
      </c>
      <c r="E20" s="12"/>
      <c r="F20" s="49" t="s">
        <v>1294</v>
      </c>
      <c r="G20" s="80" t="s">
        <v>1485</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INDEX('PatientFollowUp-ConceptMap-2'!$I$15:$N$124,Q24+1,R24)</f>
        <v>//-- unmatched</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INDEX('PatientFollowUp-ConceptMap-2'!$I$15:$N$124,Q29+1,R29)</f>
        <v>//-- unmatched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INDEX('PatientFollowUp-ConceptMap-2'!$I$15:$N$124,Q30+1,R30)</f>
        <v>//-- unmatched</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INDEX('PatientFollowUp-ConceptMap-2'!$I$15:$N$124,Q32+1,R32)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INDEX('PatientFollowUp-ConceptMap-2'!$I$15:$N$124,Q42+1,R42)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INDEX('PatientFollowUp-ConceptMap-2'!$I$15:$N$124,Q43+1,R43)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INDEX('PatientFollowUp-ConceptMap-2'!$I$15:$N$124,Q44+1,R44)</f>
        <v>* group[=].element[=].target.comment = ##34#to be checked##34#</v>
      </c>
    </row>
    <row r="45" spans="1:19" x14ac:dyDescent="0.75">
      <c r="B45" s="11"/>
      <c r="C45" s="11"/>
      <c r="D45" s="12"/>
      <c r="E45" s="12"/>
      <c r="F45" s="49"/>
      <c r="G45" s="81"/>
      <c r="P45" s="11">
        <v>31</v>
      </c>
      <c r="Q45" s="11">
        <f t="shared" si="13"/>
        <v>5</v>
      </c>
      <c r="R45" s="11">
        <f t="shared" si="14"/>
        <v>1</v>
      </c>
      <c r="S45" s="12" t="str" cm="1">
        <f t="array" ref="S45">INDEX('PatientFollowUp-ConceptMap-2'!$I$15:$N$124,Q45+1,R45)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INDEX('PatientFollowUp-ConceptMap-2'!$I$15:$N$124,Q46+1,R46)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INDEX('PatientFollowUp-ConceptMap-2'!$I$15:$N$124,Q47+1,R47)</f>
        <v>* group[=].element[=].target.code = #Encounter.bodySite</v>
      </c>
    </row>
    <row r="48" spans="1:19" x14ac:dyDescent="0.75">
      <c r="B48" s="11"/>
      <c r="C48" s="11"/>
      <c r="D48" s="12"/>
      <c r="E48" s="12"/>
      <c r="F48" s="49"/>
      <c r="G48" s="81"/>
      <c r="P48" s="11">
        <v>34</v>
      </c>
      <c r="Q48" s="11">
        <f t="shared" si="13"/>
        <v>5</v>
      </c>
      <c r="R48" s="11">
        <f t="shared" si="14"/>
        <v>4</v>
      </c>
      <c r="S48" s="12" t="str" cm="1">
        <f t="array" ref="S48">INDEX('PatientFollowUp-ConceptMap-2'!$I$15:$N$124,Q48+1,R48)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INDEX('PatientFollowUp-ConceptMap-2'!$I$15:$N$124,Q49+1,R49)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INDEX('PatientFollowUp-ConceptMap-2'!$I$15:$N$124,Q50+1,R50)</f>
        <v>* group[=].element[=].target.comment = ##34#to be checked##34#</v>
      </c>
    </row>
    <row r="51" spans="2:19" x14ac:dyDescent="0.75">
      <c r="B51" s="11"/>
      <c r="C51" s="11"/>
      <c r="D51" s="12"/>
      <c r="E51" s="12"/>
      <c r="F51" s="49"/>
      <c r="G51" s="81"/>
      <c r="P51" s="11">
        <v>37</v>
      </c>
      <c r="Q51" s="11">
        <f t="shared" si="13"/>
        <v>6</v>
      </c>
      <c r="R51" s="11">
        <f t="shared" si="14"/>
        <v>1</v>
      </c>
      <c r="S51" s="12" cm="1">
        <f t="array" ref="S51">INDEX('PatientFollowUp-ConceptMap-2'!$I$15:$N$124,Q51+1,R51)</f>
        <v>0</v>
      </c>
    </row>
    <row r="52" spans="2:19" x14ac:dyDescent="0.75">
      <c r="B52" s="11"/>
      <c r="C52" s="11"/>
      <c r="D52" s="12"/>
      <c r="E52" s="12"/>
      <c r="F52" s="49"/>
      <c r="G52" s="81"/>
      <c r="P52" s="11">
        <v>38</v>
      </c>
      <c r="Q52" s="11">
        <f t="shared" si="13"/>
        <v>6</v>
      </c>
      <c r="R52" s="11">
        <f t="shared" si="14"/>
        <v>2</v>
      </c>
      <c r="S52" s="12" cm="1">
        <f t="array" ref="S52">INDEX('PatientFollowUp-ConceptMap-2'!$I$15:$N$124,Q52+1,R52)</f>
        <v>0</v>
      </c>
    </row>
    <row r="53" spans="2:19" x14ac:dyDescent="0.75">
      <c r="B53" s="11"/>
      <c r="C53" s="11"/>
      <c r="D53" s="12"/>
      <c r="E53" s="12"/>
      <c r="F53" s="49"/>
      <c r="G53" s="81"/>
      <c r="P53" s="11">
        <v>39</v>
      </c>
      <c r="Q53" s="11">
        <f t="shared" si="13"/>
        <v>6</v>
      </c>
      <c r="R53" s="11">
        <f t="shared" si="14"/>
        <v>3</v>
      </c>
      <c r="S53" s="12" cm="1">
        <f t="array" ref="S53">INDEX('PatientFollowUp-ConceptMap-2'!$I$15:$N$124,Q53+1,R53)</f>
        <v>0</v>
      </c>
    </row>
    <row r="54" spans="2:19" x14ac:dyDescent="0.75">
      <c r="B54" s="11"/>
      <c r="C54" s="11"/>
      <c r="D54" s="12"/>
      <c r="E54" s="12"/>
      <c r="F54" s="49"/>
      <c r="G54" s="81"/>
      <c r="P54" s="11">
        <v>40</v>
      </c>
      <c r="Q54" s="11">
        <f t="shared" si="13"/>
        <v>6</v>
      </c>
      <c r="R54" s="11">
        <f t="shared" si="14"/>
        <v>4</v>
      </c>
      <c r="S54" s="12" cm="1">
        <f t="array" ref="S54">INDEX('PatientFollowUp-ConceptMap-2'!$I$15:$N$124,Q54+1,R54)</f>
        <v>0</v>
      </c>
    </row>
    <row r="55" spans="2:19" x14ac:dyDescent="0.75">
      <c r="B55" s="11"/>
      <c r="C55" s="11"/>
      <c r="D55" s="12"/>
      <c r="E55" s="12"/>
      <c r="F55" s="49"/>
      <c r="G55" s="81"/>
      <c r="P55" s="11">
        <v>41</v>
      </c>
      <c r="Q55" s="11">
        <f t="shared" si="13"/>
        <v>6</v>
      </c>
      <c r="R55" s="11">
        <f t="shared" si="14"/>
        <v>5</v>
      </c>
      <c r="S55" s="12" cm="1">
        <f t="array" ref="S55">INDEX('PatientFollowUp-ConceptMap-2'!$I$15:$N$124,Q55+1,R55)</f>
        <v>0</v>
      </c>
    </row>
    <row r="56" spans="2:19" x14ac:dyDescent="0.75">
      <c r="B56" s="11"/>
      <c r="C56" s="11"/>
      <c r="D56" s="12"/>
      <c r="E56" s="12"/>
      <c r="F56" s="49"/>
      <c r="G56" s="81"/>
      <c r="P56" s="11">
        <v>42</v>
      </c>
      <c r="Q56" s="11">
        <f t="shared" si="13"/>
        <v>6</v>
      </c>
      <c r="R56" s="11">
        <f t="shared" si="14"/>
        <v>6</v>
      </c>
      <c r="S56" s="12" cm="1">
        <f t="array" ref="S56">INDEX('PatientFollowUp-ConceptMap-2'!$I$15:$N$124,Q56+1,R56)</f>
        <v>0</v>
      </c>
    </row>
    <row r="57" spans="2:19" x14ac:dyDescent="0.75">
      <c r="B57" s="11"/>
      <c r="C57" s="11"/>
      <c r="D57" s="12"/>
      <c r="E57" s="12"/>
      <c r="F57" s="49"/>
      <c r="G57" s="81"/>
      <c r="P57" s="11">
        <v>43</v>
      </c>
      <c r="Q57" s="11">
        <f t="shared" si="13"/>
        <v>7</v>
      </c>
      <c r="R57" s="11">
        <f t="shared" si="14"/>
        <v>1</v>
      </c>
      <c r="S57" s="12" cm="1">
        <f t="array" ref="S57">INDEX('PatientFollowUp-ConceptMap-2'!$I$15:$N$124,Q57+1,R57)</f>
        <v>0</v>
      </c>
    </row>
    <row r="58" spans="2:19" x14ac:dyDescent="0.75">
      <c r="B58" s="11"/>
      <c r="C58" s="11"/>
      <c r="D58" s="12"/>
      <c r="E58" s="12"/>
      <c r="F58" s="49"/>
      <c r="G58" s="81"/>
      <c r="P58" s="11">
        <v>44</v>
      </c>
      <c r="Q58" s="11">
        <f t="shared" si="13"/>
        <v>7</v>
      </c>
      <c r="R58" s="11">
        <f t="shared" si="14"/>
        <v>2</v>
      </c>
      <c r="S58" s="12" cm="1">
        <f t="array" ref="S58">INDEX('PatientFollowUp-ConceptMap-2'!$I$15:$N$124,Q58+1,R58)</f>
        <v>0</v>
      </c>
    </row>
    <row r="59" spans="2:19" x14ac:dyDescent="0.75">
      <c r="B59" s="11"/>
      <c r="C59" s="11"/>
      <c r="D59" s="12"/>
      <c r="E59" s="12"/>
      <c r="F59" s="49"/>
      <c r="G59" s="81"/>
      <c r="P59" s="11">
        <v>45</v>
      </c>
      <c r="Q59" s="11">
        <f t="shared" si="13"/>
        <v>7</v>
      </c>
      <c r="R59" s="11">
        <f t="shared" si="14"/>
        <v>3</v>
      </c>
      <c r="S59" s="12" cm="1">
        <f t="array" ref="S59">INDEX('PatientFollowUp-ConceptMap-2'!$I$15:$N$124,Q59+1,R59)</f>
        <v>0</v>
      </c>
    </row>
    <row r="60" spans="2:19" x14ac:dyDescent="0.75">
      <c r="B60" s="11"/>
      <c r="C60" s="11"/>
      <c r="D60" s="12"/>
      <c r="E60" s="12"/>
      <c r="F60" s="49"/>
      <c r="G60" s="81"/>
      <c r="P60" s="11">
        <v>46</v>
      </c>
      <c r="Q60" s="11">
        <f t="shared" si="13"/>
        <v>7</v>
      </c>
      <c r="R60" s="11">
        <f t="shared" si="14"/>
        <v>4</v>
      </c>
      <c r="S60" s="12" cm="1">
        <f t="array" ref="S60">INDEX('PatientFollowUp-ConceptMap-2'!$I$15:$N$124,Q60+1,R60)</f>
        <v>0</v>
      </c>
    </row>
    <row r="61" spans="2:19" x14ac:dyDescent="0.75">
      <c r="B61" s="11"/>
      <c r="C61" s="11"/>
      <c r="D61" s="12"/>
      <c r="E61" s="12"/>
      <c r="F61" s="49"/>
      <c r="G61" s="81"/>
      <c r="P61" s="11">
        <v>47</v>
      </c>
      <c r="Q61" s="11">
        <f t="shared" si="13"/>
        <v>7</v>
      </c>
      <c r="R61" s="11">
        <f t="shared" si="14"/>
        <v>5</v>
      </c>
      <c r="S61" s="12" cm="1">
        <f t="array" ref="S61">INDEX('PatientFollowUp-ConceptMap-2'!$I$15:$N$124,Q61+1,R61)</f>
        <v>0</v>
      </c>
    </row>
    <row r="62" spans="2:19" x14ac:dyDescent="0.75">
      <c r="B62" s="11"/>
      <c r="C62" s="11"/>
      <c r="D62" s="12"/>
      <c r="E62" s="12"/>
      <c r="F62" s="49"/>
      <c r="G62" s="81"/>
      <c r="P62" s="11">
        <v>48</v>
      </c>
      <c r="Q62" s="11">
        <f t="shared" si="13"/>
        <v>7</v>
      </c>
      <c r="R62" s="11">
        <f t="shared" si="14"/>
        <v>6</v>
      </c>
      <c r="S62" s="12" cm="1">
        <f t="array" ref="S62">INDEX('PatientFollowUp-ConceptMap-2'!$I$15:$N$124,Q62+1,R62)</f>
        <v>0</v>
      </c>
    </row>
    <row r="63" spans="2:19" x14ac:dyDescent="0.75">
      <c r="B63" s="11"/>
      <c r="C63" s="11"/>
      <c r="D63" s="12"/>
      <c r="E63" s="12"/>
      <c r="F63" s="49"/>
      <c r="G63" s="81"/>
      <c r="P63" s="11">
        <v>49</v>
      </c>
      <c r="Q63" s="11">
        <f t="shared" si="13"/>
        <v>8</v>
      </c>
      <c r="R63" s="11">
        <f t="shared" si="14"/>
        <v>1</v>
      </c>
      <c r="S63" s="12" cm="1">
        <f t="array" ref="S63">INDEX('PatientFollowUp-ConceptMap-2'!$I$15:$N$124,Q63+1,R63)</f>
        <v>0</v>
      </c>
    </row>
    <row r="64" spans="2:19" x14ac:dyDescent="0.75">
      <c r="B64" s="11"/>
      <c r="C64" s="11"/>
      <c r="D64" s="12"/>
      <c r="E64" s="12"/>
      <c r="F64" s="49"/>
      <c r="G64" s="81"/>
      <c r="P64" s="11">
        <v>50</v>
      </c>
      <c r="Q64" s="11">
        <f t="shared" si="13"/>
        <v>8</v>
      </c>
      <c r="R64" s="11">
        <f t="shared" si="14"/>
        <v>2</v>
      </c>
      <c r="S64" s="12" cm="1">
        <f t="array" ref="S64">INDEX('PatientFollowUp-ConceptMap-2'!$I$15:$N$124,Q64+1,R64)</f>
        <v>0</v>
      </c>
    </row>
    <row r="65" spans="2:19" x14ac:dyDescent="0.75">
      <c r="B65" s="11"/>
      <c r="C65" s="11"/>
      <c r="D65" s="12"/>
      <c r="E65" s="12"/>
      <c r="F65" s="49"/>
      <c r="G65" s="81"/>
      <c r="P65" s="11">
        <v>51</v>
      </c>
      <c r="Q65" s="11">
        <f t="shared" si="13"/>
        <v>8</v>
      </c>
      <c r="R65" s="11">
        <f t="shared" si="14"/>
        <v>3</v>
      </c>
      <c r="S65" s="12" cm="1">
        <f t="array" ref="S65">INDEX('PatientFollowUp-ConceptMap-2'!$I$15:$N$124,Q65+1,R65)</f>
        <v>0</v>
      </c>
    </row>
    <row r="66" spans="2:19" x14ac:dyDescent="0.75">
      <c r="B66" s="11"/>
      <c r="C66" s="11"/>
      <c r="D66" s="12"/>
      <c r="E66" s="12"/>
      <c r="F66" s="49"/>
      <c r="G66" s="81"/>
      <c r="P66" s="11">
        <v>52</v>
      </c>
      <c r="Q66" s="11">
        <f t="shared" si="13"/>
        <v>8</v>
      </c>
      <c r="R66" s="11">
        <f t="shared" si="14"/>
        <v>4</v>
      </c>
      <c r="S66" s="12" cm="1">
        <f t="array" ref="S66">INDEX('PatientFollowUp-ConceptMap-2'!$I$15:$N$124,Q66+1,R66)</f>
        <v>0</v>
      </c>
    </row>
    <row r="67" spans="2:19" x14ac:dyDescent="0.75">
      <c r="B67" s="11"/>
      <c r="C67" s="11"/>
      <c r="D67" s="12"/>
      <c r="E67" s="12"/>
      <c r="F67" s="49"/>
      <c r="G67" s="81"/>
      <c r="P67" s="11">
        <v>53</v>
      </c>
      <c r="Q67" s="11">
        <f t="shared" si="13"/>
        <v>8</v>
      </c>
      <c r="R67" s="11">
        <f t="shared" si="14"/>
        <v>5</v>
      </c>
      <c r="S67" s="12" cm="1">
        <f t="array" ref="S67">INDEX('PatientFollowUp-ConceptMap-2'!$I$15:$N$124,Q67+1,R67)</f>
        <v>0</v>
      </c>
    </row>
    <row r="68" spans="2:19" x14ac:dyDescent="0.75">
      <c r="B68" s="11"/>
      <c r="C68" s="11"/>
      <c r="D68" s="12"/>
      <c r="E68" s="12"/>
      <c r="F68" s="49"/>
      <c r="G68" s="81"/>
      <c r="P68" s="11">
        <v>54</v>
      </c>
      <c r="Q68" s="11">
        <f t="shared" si="13"/>
        <v>8</v>
      </c>
      <c r="R68" s="11">
        <f t="shared" si="14"/>
        <v>6</v>
      </c>
      <c r="S68" s="12" cm="1">
        <f t="array" ref="S68">INDEX('PatientFollowUp-ConceptMap-2'!$I$15:$N$124,Q68+1,R68)</f>
        <v>0</v>
      </c>
    </row>
    <row r="69" spans="2:19" x14ac:dyDescent="0.75">
      <c r="B69" s="11"/>
      <c r="C69" s="11"/>
      <c r="D69" s="12"/>
      <c r="E69" s="12"/>
      <c r="F69" s="49"/>
      <c r="G69" s="81"/>
      <c r="P69" s="11">
        <v>55</v>
      </c>
      <c r="Q69" s="11">
        <f t="shared" si="13"/>
        <v>9</v>
      </c>
      <c r="R69" s="11">
        <f t="shared" si="14"/>
        <v>1</v>
      </c>
      <c r="S69" s="12" cm="1">
        <f t="array" ref="S69">INDEX('PatientFollowUp-ConceptMap-2'!$I$15:$N$124,Q69+1,R69)</f>
        <v>0</v>
      </c>
    </row>
    <row r="70" spans="2:19" x14ac:dyDescent="0.75">
      <c r="B70" s="11"/>
      <c r="C70" s="11"/>
      <c r="D70" s="12"/>
      <c r="E70" s="12"/>
      <c r="F70" s="49"/>
      <c r="G70" s="81"/>
      <c r="P70" s="11">
        <v>56</v>
      </c>
      <c r="Q70" s="11">
        <f t="shared" si="13"/>
        <v>9</v>
      </c>
      <c r="R70" s="11">
        <f t="shared" si="14"/>
        <v>2</v>
      </c>
      <c r="S70" s="12" cm="1">
        <f t="array" ref="S70">INDEX('PatientFollowUp-ConceptMap-2'!$I$15:$N$124,Q70+1,R70)</f>
        <v>0</v>
      </c>
    </row>
    <row r="71" spans="2:19" x14ac:dyDescent="0.75">
      <c r="B71" s="11"/>
      <c r="C71" s="11"/>
      <c r="D71" s="12"/>
      <c r="E71" s="12"/>
      <c r="F71" s="49"/>
      <c r="G71" s="81"/>
      <c r="P71" s="11">
        <v>57</v>
      </c>
      <c r="Q71" s="11">
        <f t="shared" si="13"/>
        <v>9</v>
      </c>
      <c r="R71" s="11">
        <f t="shared" si="14"/>
        <v>3</v>
      </c>
      <c r="S71" s="12" cm="1">
        <f t="array" ref="S71">INDEX('PatientFollowUp-ConceptMap-2'!$I$15:$N$124,Q71+1,R71)</f>
        <v>0</v>
      </c>
    </row>
    <row r="72" spans="2:19" x14ac:dyDescent="0.75">
      <c r="B72" s="11"/>
      <c r="C72" s="11"/>
      <c r="D72" s="12"/>
      <c r="E72" s="12"/>
      <c r="F72" s="49"/>
      <c r="G72" s="81"/>
      <c r="P72" s="11">
        <v>58</v>
      </c>
      <c r="Q72" s="11">
        <f t="shared" si="13"/>
        <v>9</v>
      </c>
      <c r="R72" s="11">
        <f t="shared" si="14"/>
        <v>4</v>
      </c>
      <c r="S72" s="12" cm="1">
        <f t="array" ref="S72">INDEX('PatientFollowUp-ConceptMap-2'!$I$15:$N$124,Q72+1,R72)</f>
        <v>0</v>
      </c>
    </row>
    <row r="73" spans="2:19" x14ac:dyDescent="0.75">
      <c r="B73" s="11"/>
      <c r="C73" s="11"/>
      <c r="D73" s="12"/>
      <c r="E73" s="12"/>
      <c r="F73" s="49"/>
      <c r="G73" s="81"/>
      <c r="P73" s="11">
        <v>59</v>
      </c>
      <c r="Q73" s="11">
        <f t="shared" si="13"/>
        <v>9</v>
      </c>
      <c r="R73" s="11">
        <f t="shared" si="14"/>
        <v>5</v>
      </c>
      <c r="S73" s="12" cm="1">
        <f t="array" ref="S73">INDEX('PatientFollowUp-ConceptMap-2'!$I$15:$N$124,Q73+1,R73)</f>
        <v>0</v>
      </c>
    </row>
    <row r="74" spans="2:19" x14ac:dyDescent="0.75">
      <c r="B74" s="11"/>
      <c r="C74" s="11"/>
      <c r="D74" s="12"/>
      <c r="E74" s="12"/>
      <c r="F74" s="49"/>
      <c r="G74" s="81"/>
      <c r="P74" s="11">
        <v>60</v>
      </c>
      <c r="Q74" s="11">
        <f t="shared" si="13"/>
        <v>9</v>
      </c>
      <c r="R74" s="11">
        <f t="shared" si="14"/>
        <v>6</v>
      </c>
      <c r="S74" s="12" cm="1">
        <f t="array" ref="S74">INDEX('PatientFollowUp-ConceptMap-2'!$I$15:$N$124,Q74+1,R74)</f>
        <v>0</v>
      </c>
    </row>
    <row r="75" spans="2:19" x14ac:dyDescent="0.75">
      <c r="B75" s="11"/>
      <c r="C75" s="11"/>
      <c r="D75" s="12"/>
      <c r="E75" s="12"/>
      <c r="F75" s="49"/>
      <c r="G75" s="81"/>
      <c r="P75" s="11">
        <v>61</v>
      </c>
      <c r="Q75" s="11">
        <f t="shared" si="13"/>
        <v>10</v>
      </c>
      <c r="R75" s="11">
        <f t="shared" si="14"/>
        <v>1</v>
      </c>
      <c r="S75" s="12" cm="1">
        <f t="array" ref="S75">INDEX('PatientFollowUp-ConceptMap-2'!$I$15:$N$124,Q75+1,R75)</f>
        <v>0</v>
      </c>
    </row>
    <row r="76" spans="2:19" x14ac:dyDescent="0.75">
      <c r="B76" s="11"/>
      <c r="C76" s="11"/>
      <c r="D76" s="12"/>
      <c r="E76" s="12"/>
      <c r="F76" s="49"/>
      <c r="G76" s="81"/>
      <c r="P76" s="11">
        <v>62</v>
      </c>
      <c r="Q76" s="11">
        <f t="shared" si="13"/>
        <v>10</v>
      </c>
      <c r="R76" s="11">
        <f t="shared" si="14"/>
        <v>2</v>
      </c>
      <c r="S76" s="12" cm="1">
        <f t="array" ref="S76">INDEX('PatientFollowUp-ConceptMap-2'!$I$15:$N$124,Q76+1,R76)</f>
        <v>0</v>
      </c>
    </row>
    <row r="77" spans="2:19" x14ac:dyDescent="0.75">
      <c r="B77" s="11"/>
      <c r="C77" s="11"/>
      <c r="D77" s="12"/>
      <c r="E77" s="12"/>
      <c r="F77" s="49"/>
      <c r="G77" s="81"/>
      <c r="P77" s="11">
        <v>63</v>
      </c>
      <c r="Q77" s="11">
        <f t="shared" si="13"/>
        <v>10</v>
      </c>
      <c r="R77" s="11">
        <f t="shared" si="14"/>
        <v>3</v>
      </c>
      <c r="S77" s="12" cm="1">
        <f t="array" ref="S77">INDEX('PatientFollowUp-ConceptMap-2'!$I$15:$N$124,Q77+1,R77)</f>
        <v>0</v>
      </c>
    </row>
    <row r="78" spans="2:19" x14ac:dyDescent="0.75">
      <c r="B78" s="11"/>
      <c r="C78" s="11"/>
      <c r="D78" s="12"/>
      <c r="E78" s="12"/>
      <c r="F78" s="49"/>
      <c r="G78" s="81"/>
      <c r="P78" s="11">
        <v>64</v>
      </c>
      <c r="Q78" s="11">
        <f t="shared" si="13"/>
        <v>10</v>
      </c>
      <c r="R78" s="11">
        <f t="shared" si="14"/>
        <v>4</v>
      </c>
      <c r="S78" s="12" cm="1">
        <f t="array" ref="S78">INDEX('PatientFollowUp-ConceptMap-2'!$I$15:$N$124,Q78+1,R78)</f>
        <v>0</v>
      </c>
    </row>
    <row r="79" spans="2:19" x14ac:dyDescent="0.75">
      <c r="B79" s="11"/>
      <c r="C79" s="11"/>
      <c r="D79" s="12"/>
      <c r="E79" s="12"/>
      <c r="F79" s="49"/>
      <c r="G79" s="81"/>
      <c r="P79" s="11">
        <v>65</v>
      </c>
      <c r="Q79" s="11">
        <f t="shared" si="13"/>
        <v>10</v>
      </c>
      <c r="R79" s="11">
        <f t="shared" si="14"/>
        <v>5</v>
      </c>
      <c r="S79" s="12" cm="1">
        <f t="array" ref="S79">INDEX('PatientFollowUp-ConceptMap-2'!$I$15:$N$124,Q79+1,R79)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INDEX('PatientFollowUp-ConceptMap-2'!$I$15:$N$124,Q80+1,R80)</f>
        <v>0</v>
      </c>
    </row>
    <row r="81" spans="2:19" x14ac:dyDescent="0.75">
      <c r="B81" s="11"/>
      <c r="C81" s="11"/>
      <c r="D81" s="12"/>
      <c r="E81" s="12"/>
      <c r="F81" s="49"/>
      <c r="G81" s="81"/>
      <c r="P81" s="11">
        <v>67</v>
      </c>
      <c r="Q81" s="11">
        <f t="shared" si="15"/>
        <v>11</v>
      </c>
      <c r="R81" s="11">
        <f t="shared" si="16"/>
        <v>1</v>
      </c>
      <c r="S81" s="12" cm="1">
        <f t="array" ref="S81">INDEX('PatientFollowUp-ConceptMap-2'!$I$15:$N$124,Q81+1,R81)</f>
        <v>0</v>
      </c>
    </row>
    <row r="82" spans="2:19" x14ac:dyDescent="0.75">
      <c r="B82" s="11"/>
      <c r="C82" s="11"/>
      <c r="D82" s="12"/>
      <c r="E82" s="12"/>
      <c r="F82" s="49"/>
      <c r="G82" s="81"/>
      <c r="P82" s="11">
        <v>68</v>
      </c>
      <c r="Q82" s="11">
        <f t="shared" si="15"/>
        <v>11</v>
      </c>
      <c r="R82" s="11">
        <f t="shared" si="16"/>
        <v>2</v>
      </c>
      <c r="S82" s="12" cm="1">
        <f t="array" ref="S82">INDEX('PatientFollowUp-ConceptMap-2'!$I$15:$N$124,Q82+1,R82)</f>
        <v>0</v>
      </c>
    </row>
    <row r="83" spans="2:19" x14ac:dyDescent="0.75">
      <c r="B83" s="11"/>
      <c r="C83" s="11"/>
      <c r="D83" s="12"/>
      <c r="E83" s="12"/>
      <c r="F83" s="49"/>
      <c r="G83" s="81"/>
      <c r="P83" s="11">
        <v>69</v>
      </c>
      <c r="Q83" s="11">
        <f t="shared" si="15"/>
        <v>11</v>
      </c>
      <c r="R83" s="11">
        <f t="shared" si="16"/>
        <v>3</v>
      </c>
      <c r="S83" s="12" cm="1">
        <f t="array" ref="S83">INDEX('PatientFollowUp-ConceptMap-2'!$I$15:$N$124,Q83+1,R83)</f>
        <v>0</v>
      </c>
    </row>
    <row r="84" spans="2:19" x14ac:dyDescent="0.75">
      <c r="B84" s="11"/>
      <c r="C84" s="11"/>
      <c r="D84" s="12"/>
      <c r="E84" s="12"/>
      <c r="F84" s="49"/>
      <c r="G84" s="81"/>
      <c r="P84" s="11">
        <v>70</v>
      </c>
      <c r="Q84" s="11">
        <f t="shared" si="15"/>
        <v>11</v>
      </c>
      <c r="R84" s="11">
        <f t="shared" si="16"/>
        <v>4</v>
      </c>
      <c r="S84" s="12" cm="1">
        <f t="array" ref="S84">INDEX('PatientFollowUp-ConceptMap-2'!$I$15:$N$124,Q84+1,R84)</f>
        <v>0</v>
      </c>
    </row>
    <row r="85" spans="2:19" x14ac:dyDescent="0.75">
      <c r="B85" s="11"/>
      <c r="C85" s="11"/>
      <c r="D85" s="12"/>
      <c r="E85" s="12"/>
      <c r="F85" s="49"/>
      <c r="G85" s="81"/>
      <c r="P85" s="11">
        <v>71</v>
      </c>
      <c r="Q85" s="11">
        <f t="shared" si="15"/>
        <v>11</v>
      </c>
      <c r="R85" s="11">
        <f t="shared" si="16"/>
        <v>5</v>
      </c>
      <c r="S85" s="12" cm="1">
        <f t="array" ref="S85">INDEX('PatientFollowUp-ConceptMap-2'!$I$15:$N$124,Q85+1,R85)</f>
        <v>0</v>
      </c>
    </row>
    <row r="86" spans="2:19" x14ac:dyDescent="0.75">
      <c r="B86" s="11"/>
      <c r="C86" s="11"/>
      <c r="D86" s="12"/>
      <c r="E86" s="12"/>
      <c r="F86" s="49"/>
      <c r="G86" s="81"/>
      <c r="P86" s="11">
        <v>72</v>
      </c>
      <c r="Q86" s="11">
        <f t="shared" si="15"/>
        <v>11</v>
      </c>
      <c r="R86" s="11">
        <f t="shared" si="16"/>
        <v>6</v>
      </c>
      <c r="S86" s="12" cm="1">
        <f t="array" ref="S86">INDEX('PatientFollowUp-ConceptMap-2'!$I$15:$N$124,Q86+1,R86)</f>
        <v>0</v>
      </c>
    </row>
    <row r="87" spans="2:19" x14ac:dyDescent="0.75">
      <c r="B87" s="11"/>
      <c r="C87" s="11"/>
      <c r="D87" s="12"/>
      <c r="E87" s="12"/>
      <c r="F87" s="49"/>
      <c r="G87" s="81"/>
      <c r="P87" s="11">
        <v>73</v>
      </c>
      <c r="Q87" s="11">
        <f t="shared" si="15"/>
        <v>12</v>
      </c>
      <c r="R87" s="11">
        <f t="shared" si="16"/>
        <v>1</v>
      </c>
      <c r="S87" s="12" cm="1">
        <f t="array" ref="S87">INDEX('PatientFollowUp-ConceptMap-2'!$I$15:$N$124,Q87+1,R87)</f>
        <v>0</v>
      </c>
    </row>
    <row r="88" spans="2:19" x14ac:dyDescent="0.75">
      <c r="B88" s="11"/>
      <c r="C88" s="11"/>
      <c r="D88" s="12"/>
      <c r="E88" s="12"/>
      <c r="F88" s="49"/>
      <c r="G88" s="81"/>
      <c r="P88" s="11">
        <v>74</v>
      </c>
      <c r="Q88" s="11">
        <f t="shared" si="15"/>
        <v>12</v>
      </c>
      <c r="R88" s="11">
        <f t="shared" si="16"/>
        <v>2</v>
      </c>
      <c r="S88" s="12" cm="1">
        <f t="array" ref="S88">INDEX('PatientFollowUp-ConceptMap-2'!$I$15:$N$124,Q88+1,R88)</f>
        <v>0</v>
      </c>
    </row>
    <row r="89" spans="2:19" x14ac:dyDescent="0.75">
      <c r="B89" s="11"/>
      <c r="C89" s="11"/>
      <c r="D89" s="12"/>
      <c r="E89" s="12"/>
      <c r="F89" s="49"/>
      <c r="G89" s="81"/>
      <c r="P89" s="11">
        <v>75</v>
      </c>
      <c r="Q89" s="11">
        <f t="shared" si="15"/>
        <v>12</v>
      </c>
      <c r="R89" s="11">
        <f t="shared" si="16"/>
        <v>3</v>
      </c>
      <c r="S89" s="12" cm="1">
        <f t="array" ref="S89">INDEX('PatientFollowUp-ConceptMap-2'!$I$15:$N$124,Q89+1,R89)</f>
        <v>0</v>
      </c>
    </row>
    <row r="90" spans="2:19" x14ac:dyDescent="0.75">
      <c r="B90" s="11"/>
      <c r="C90" s="11"/>
      <c r="D90" s="12"/>
      <c r="E90" s="12"/>
      <c r="F90" s="49"/>
      <c r="G90" s="81"/>
      <c r="P90" s="11">
        <v>76</v>
      </c>
      <c r="Q90" s="11">
        <f t="shared" si="15"/>
        <v>12</v>
      </c>
      <c r="R90" s="11">
        <f t="shared" si="16"/>
        <v>4</v>
      </c>
      <c r="S90" s="12" cm="1">
        <f t="array" ref="S90">INDEX('PatientFollowUp-ConceptMap-2'!$I$15:$N$124,Q90+1,R90)</f>
        <v>0</v>
      </c>
    </row>
    <row r="91" spans="2:19" x14ac:dyDescent="0.75">
      <c r="B91" s="11"/>
      <c r="C91" s="11"/>
      <c r="D91" s="12"/>
      <c r="E91" s="12"/>
      <c r="F91" s="49"/>
      <c r="G91" s="81"/>
      <c r="P91" s="11">
        <v>77</v>
      </c>
      <c r="Q91" s="11">
        <f t="shared" si="15"/>
        <v>12</v>
      </c>
      <c r="R91" s="11">
        <f t="shared" si="16"/>
        <v>5</v>
      </c>
      <c r="S91" s="12" cm="1">
        <f t="array" ref="S91">INDEX('PatientFollowUp-ConceptMap-2'!$I$15:$N$124,Q91+1,R91)</f>
        <v>0</v>
      </c>
    </row>
    <row r="92" spans="2:19" x14ac:dyDescent="0.75">
      <c r="B92" s="11"/>
      <c r="C92" s="11"/>
      <c r="D92" s="12"/>
      <c r="E92" s="12"/>
      <c r="F92" s="49"/>
      <c r="G92" s="81"/>
      <c r="P92" s="11">
        <v>78</v>
      </c>
      <c r="Q92" s="11">
        <f t="shared" si="15"/>
        <v>12</v>
      </c>
      <c r="R92" s="11">
        <f t="shared" si="16"/>
        <v>6</v>
      </c>
      <c r="S92" s="12" cm="1">
        <f t="array" ref="S92">INDEX('PatientFollowUp-ConceptMap-2'!$I$15:$N$124,Q92+1,R92)</f>
        <v>0</v>
      </c>
    </row>
    <row r="93" spans="2:19" x14ac:dyDescent="0.75">
      <c r="B93" s="11"/>
      <c r="C93" s="11"/>
      <c r="D93" s="12"/>
      <c r="E93" s="12"/>
      <c r="F93" s="49"/>
      <c r="G93" s="81"/>
      <c r="P93" s="11">
        <v>79</v>
      </c>
      <c r="Q93" s="11">
        <f t="shared" si="15"/>
        <v>13</v>
      </c>
      <c r="R93" s="11">
        <f t="shared" si="16"/>
        <v>1</v>
      </c>
      <c r="S93" s="12" cm="1">
        <f t="array" ref="S93">INDEX('PatientFollowUp-ConceptMap-2'!$I$15:$N$124,Q93+1,R93)</f>
        <v>0</v>
      </c>
    </row>
    <row r="94" spans="2:19" x14ac:dyDescent="0.75">
      <c r="B94" s="11"/>
      <c r="C94" s="11"/>
      <c r="D94" s="12"/>
      <c r="E94" s="12"/>
      <c r="F94" s="49"/>
      <c r="G94" s="81"/>
      <c r="P94" s="11">
        <v>80</v>
      </c>
      <c r="Q94" s="11">
        <f t="shared" si="15"/>
        <v>13</v>
      </c>
      <c r="R94" s="11">
        <f t="shared" si="16"/>
        <v>2</v>
      </c>
      <c r="S94" s="12" cm="1">
        <f t="array" ref="S94">INDEX('PatientFollowUp-ConceptMap-2'!$I$15:$N$124,Q94+1,R94)</f>
        <v>0</v>
      </c>
    </row>
    <row r="95" spans="2:19" x14ac:dyDescent="0.75">
      <c r="B95" s="11"/>
      <c r="C95" s="11"/>
      <c r="D95" s="12"/>
      <c r="E95" s="12"/>
      <c r="F95" s="49"/>
      <c r="G95" s="81"/>
      <c r="P95" s="11">
        <v>81</v>
      </c>
      <c r="Q95" s="11">
        <f t="shared" si="15"/>
        <v>13</v>
      </c>
      <c r="R95" s="11">
        <f t="shared" si="16"/>
        <v>3</v>
      </c>
      <c r="S95" s="12" cm="1">
        <f t="array" ref="S95">INDEX('PatientFollowUp-ConceptMap-2'!$I$15:$N$124,Q95+1,R95)</f>
        <v>0</v>
      </c>
    </row>
    <row r="96" spans="2:19" x14ac:dyDescent="0.75">
      <c r="B96" s="11"/>
      <c r="C96" s="11"/>
      <c r="D96" s="12"/>
      <c r="E96" s="12"/>
      <c r="F96" s="49"/>
      <c r="G96" s="81"/>
      <c r="P96" s="11">
        <v>82</v>
      </c>
      <c r="Q96" s="11">
        <f t="shared" si="15"/>
        <v>13</v>
      </c>
      <c r="R96" s="11">
        <f t="shared" si="16"/>
        <v>4</v>
      </c>
      <c r="S96" s="12" cm="1">
        <f t="array" ref="S96">INDEX('PatientFollowUp-ConceptMap-2'!$I$15:$N$124,Q96+1,R96)</f>
        <v>0</v>
      </c>
    </row>
    <row r="97" spans="2:19" x14ac:dyDescent="0.75">
      <c r="B97" s="11"/>
      <c r="C97" s="11"/>
      <c r="D97" s="12"/>
      <c r="E97" s="12"/>
      <c r="F97" s="49"/>
      <c r="G97" s="81"/>
      <c r="P97" s="11">
        <v>83</v>
      </c>
      <c r="Q97" s="11">
        <f t="shared" si="15"/>
        <v>13</v>
      </c>
      <c r="R97" s="11">
        <f t="shared" si="16"/>
        <v>5</v>
      </c>
      <c r="S97" s="12" cm="1">
        <f t="array" ref="S97">INDEX('PatientFollowUp-ConceptMap-2'!$I$15:$N$124,Q97+1,R97)</f>
        <v>0</v>
      </c>
    </row>
    <row r="98" spans="2:19" x14ac:dyDescent="0.75">
      <c r="B98" s="11"/>
      <c r="C98" s="11"/>
      <c r="D98" s="12"/>
      <c r="E98" s="12"/>
      <c r="F98" s="49"/>
      <c r="G98" s="81"/>
      <c r="P98" s="11">
        <v>84</v>
      </c>
      <c r="Q98" s="11">
        <f t="shared" si="15"/>
        <v>13</v>
      </c>
      <c r="R98" s="11">
        <f t="shared" si="16"/>
        <v>6</v>
      </c>
      <c r="S98" s="12" cm="1">
        <f t="array" ref="S98">INDEX('PatientFollowUp-ConceptMap-2'!$I$15:$N$124,Q98+1,R98)</f>
        <v>0</v>
      </c>
    </row>
    <row r="99" spans="2:19" x14ac:dyDescent="0.75">
      <c r="B99" s="11"/>
      <c r="C99" s="11"/>
      <c r="D99" s="12"/>
      <c r="E99" s="12"/>
      <c r="F99" s="49"/>
      <c r="G99" s="81"/>
      <c r="P99" s="11">
        <v>85</v>
      </c>
      <c r="Q99" s="11">
        <f t="shared" si="15"/>
        <v>14</v>
      </c>
      <c r="R99" s="11">
        <f t="shared" si="16"/>
        <v>1</v>
      </c>
      <c r="S99" s="12" cm="1">
        <f t="array" ref="S99">INDEX('PatientFollowUp-ConceptMap-2'!$I$15:$N$124,Q99+1,R99)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INDEX('PatientFollowUp-ConceptMap-2'!$I$15:$N$124,Q100+1,R100)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INDEX('PatientFollowUp-ConceptMap-2'!$I$15:$N$124,Q101+1,R101)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INDEX('PatientFollowUp-ConceptMap-2'!$I$15:$N$124,Q102+1,R102)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INDEX('PatientFollowUp-ConceptMap-2'!$I$15:$N$124,Q103+1,R103)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INDEX('PatientFollowUp-ConceptMap-2'!$I$15:$N$124,Q104+1,R104)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INDEX('PatientFollowUp-ConceptMap-2'!$I$15:$N$124,Q105+1,R105)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INDEX('PatientFollowUp-ConceptMap-2'!$I$15:$N$124,Q106+1,R106)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INDEX('PatientFollowUp-ConceptMap-2'!$I$15:$N$124,Q107+1,R107)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INDEX('PatientFollowUp-ConceptMap-2'!$I$15:$N$124,Q108+1,R108)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INDEX('PatientFollowUp-ConceptMap-2'!$I$15:$N$124,Q109+1,R109)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INDEX('PatientFollowUp-ConceptMap-2'!$I$15:$N$124,Q110+1,R110)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INDEX('PatientFollowUp-ConceptMap-2'!$I$15:$N$124,Q111+1,R111)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INDEX('PatientFollowUp-ConceptMap-2'!$I$15:$N$124,Q112+1,R112)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INDEX('PatientFollowUp-ConceptMap-2'!$I$15:$N$124,Q113+1,R113)</f>
        <v>0</v>
      </c>
    </row>
    <row r="114" spans="2:19" x14ac:dyDescent="0.75">
      <c r="P114" s="11">
        <v>100</v>
      </c>
      <c r="Q114" s="11">
        <f t="shared" si="15"/>
        <v>16</v>
      </c>
      <c r="R114" s="11">
        <f t="shared" si="16"/>
        <v>4</v>
      </c>
      <c r="S114" s="12" cm="1">
        <f t="array" ref="S114">INDEX('PatientFollowUp-ConceptMap-2'!$I$15:$N$124,Q114+1,R114)</f>
        <v>0</v>
      </c>
    </row>
    <row r="115" spans="2:19" x14ac:dyDescent="0.75">
      <c r="P115" s="11">
        <v>101</v>
      </c>
      <c r="Q115" s="11">
        <f t="shared" si="15"/>
        <v>16</v>
      </c>
      <c r="R115" s="11">
        <f t="shared" si="16"/>
        <v>5</v>
      </c>
      <c r="S115" s="12" cm="1">
        <f t="array" ref="S115">INDEX('PatientFollowUp-ConceptMap-2'!$I$15:$N$124,Q115+1,R115)</f>
        <v>0</v>
      </c>
    </row>
    <row r="116" spans="2:19" x14ac:dyDescent="0.75">
      <c r="P116" s="11">
        <v>102</v>
      </c>
      <c r="Q116" s="11">
        <f t="shared" si="15"/>
        <v>16</v>
      </c>
      <c r="R116" s="11">
        <f t="shared" si="16"/>
        <v>6</v>
      </c>
      <c r="S116" s="12" cm="1">
        <f t="array" ref="S116">INDEX('PatientFollowUp-ConceptMap-2'!$I$15:$N$124,Q116+1,R116)</f>
        <v>0</v>
      </c>
    </row>
    <row r="117" spans="2:19" x14ac:dyDescent="0.75">
      <c r="P117" s="11">
        <v>103</v>
      </c>
      <c r="Q117" s="11">
        <f t="shared" si="15"/>
        <v>17</v>
      </c>
      <c r="R117" s="11">
        <f t="shared" si="16"/>
        <v>1</v>
      </c>
      <c r="S117" s="12" cm="1">
        <f t="array" ref="S117">INDEX('PatientFollowUp-ConceptMap-2'!$I$15:$N$124,Q117+1,R117)</f>
        <v>0</v>
      </c>
    </row>
    <row r="118" spans="2:19" x14ac:dyDescent="0.75">
      <c r="P118" s="11">
        <v>104</v>
      </c>
      <c r="Q118" s="11">
        <f t="shared" si="15"/>
        <v>17</v>
      </c>
      <c r="R118" s="11">
        <f t="shared" si="16"/>
        <v>2</v>
      </c>
      <c r="S118" s="12" cm="1">
        <f t="array" ref="S118">INDEX('PatientFollowUp-ConceptMap-2'!$I$15:$N$124,Q118+1,R118)</f>
        <v>0</v>
      </c>
    </row>
    <row r="119" spans="2:19" x14ac:dyDescent="0.75">
      <c r="P119" s="11">
        <v>105</v>
      </c>
      <c r="Q119" s="11">
        <f t="shared" si="15"/>
        <v>17</v>
      </c>
      <c r="R119" s="11">
        <f t="shared" si="16"/>
        <v>3</v>
      </c>
      <c r="S119" s="12" cm="1">
        <f t="array" ref="S119">INDEX('PatientFollowUp-ConceptMap-2'!$I$15:$N$124,Q119+1,R119)</f>
        <v>0</v>
      </c>
    </row>
    <row r="120" spans="2:19" x14ac:dyDescent="0.75">
      <c r="P120" s="11">
        <v>106</v>
      </c>
      <c r="Q120" s="11">
        <f t="shared" si="15"/>
        <v>17</v>
      </c>
      <c r="R120" s="11">
        <f t="shared" si="16"/>
        <v>4</v>
      </c>
      <c r="S120" s="12" cm="1">
        <f t="array" ref="S120">INDEX('PatientFollowUp-ConceptMap-2'!$I$15:$N$124,Q120+1,R120)</f>
        <v>0</v>
      </c>
    </row>
    <row r="121" spans="2:19" x14ac:dyDescent="0.75">
      <c r="P121" s="11">
        <v>107</v>
      </c>
      <c r="Q121" s="11">
        <f t="shared" si="15"/>
        <v>17</v>
      </c>
      <c r="R121" s="11">
        <f t="shared" si="16"/>
        <v>5</v>
      </c>
      <c r="S121" s="12" cm="1">
        <f t="array" ref="S121">INDEX('PatientFollowUp-ConceptMap-2'!$I$15:$N$124,Q121+1,R121)</f>
        <v>0</v>
      </c>
    </row>
    <row r="122" spans="2:19" x14ac:dyDescent="0.75">
      <c r="P122" s="11">
        <v>108</v>
      </c>
      <c r="Q122" s="11">
        <f t="shared" si="15"/>
        <v>17</v>
      </c>
      <c r="R122" s="11">
        <f t="shared" si="16"/>
        <v>6</v>
      </c>
      <c r="S122" s="12" cm="1">
        <f t="array" ref="S122">INDEX('PatientFollowUp-ConceptMap-2'!$I$15:$N$124,Q122+1,R122)</f>
        <v>0</v>
      </c>
    </row>
    <row r="123" spans="2:19" x14ac:dyDescent="0.75">
      <c r="P123" s="11">
        <v>109</v>
      </c>
      <c r="Q123" s="11">
        <f t="shared" si="15"/>
        <v>18</v>
      </c>
      <c r="R123" s="11">
        <f t="shared" si="16"/>
        <v>1</v>
      </c>
      <c r="S123" s="12" cm="1">
        <f t="array" ref="S123">INDEX('PatientFollowUp-ConceptMap-2'!$I$15:$N$124,Q123+1,R123)</f>
        <v>0</v>
      </c>
    </row>
    <row r="124" spans="2:19" x14ac:dyDescent="0.75">
      <c r="P124" s="11">
        <v>110</v>
      </c>
      <c r="Q124" s="11">
        <f t="shared" si="15"/>
        <v>18</v>
      </c>
      <c r="R124" s="11">
        <f t="shared" si="16"/>
        <v>2</v>
      </c>
      <c r="S124" s="12" cm="1">
        <f t="array" ref="S124">INDEX('PatientFollowUp-ConceptMap-2'!$I$15:$N$124,Q124+1,R124)</f>
        <v>0</v>
      </c>
    </row>
    <row r="125" spans="2:19" x14ac:dyDescent="0.75">
      <c r="P125" s="11">
        <v>111</v>
      </c>
      <c r="Q125" s="11">
        <f t="shared" si="15"/>
        <v>18</v>
      </c>
      <c r="R125" s="11">
        <f t="shared" si="16"/>
        <v>3</v>
      </c>
      <c r="S125" s="12" cm="1">
        <f t="array" ref="S125">INDEX('PatientFollowUp-ConceptMap-2'!$I$15:$N$124,Q125+1,R125)</f>
        <v>0</v>
      </c>
    </row>
    <row r="126" spans="2:19" x14ac:dyDescent="0.75">
      <c r="P126" s="11">
        <v>112</v>
      </c>
      <c r="Q126" s="11">
        <f t="shared" si="15"/>
        <v>18</v>
      </c>
      <c r="R126" s="11">
        <f t="shared" si="16"/>
        <v>4</v>
      </c>
      <c r="S126" s="12" cm="1">
        <f t="array" ref="S126">INDEX('PatientFollowUp-ConceptMap-2'!$I$15:$N$124,Q126+1,R126)</f>
        <v>0</v>
      </c>
    </row>
    <row r="127" spans="2:19" x14ac:dyDescent="0.75">
      <c r="P127" s="11">
        <v>113</v>
      </c>
      <c r="Q127" s="11">
        <f t="shared" si="15"/>
        <v>18</v>
      </c>
      <c r="R127" s="11">
        <f t="shared" si="16"/>
        <v>5</v>
      </c>
      <c r="S127" s="12" cm="1">
        <f t="array" ref="S127">INDEX('PatientFollowUp-ConceptMap-2'!$I$15:$N$124,Q127+1,R127)</f>
        <v>0</v>
      </c>
    </row>
    <row r="128" spans="2:19" x14ac:dyDescent="0.75">
      <c r="P128" s="11">
        <v>114</v>
      </c>
      <c r="Q128" s="11">
        <f t="shared" si="15"/>
        <v>18</v>
      </c>
      <c r="R128" s="11">
        <f t="shared" si="16"/>
        <v>6</v>
      </c>
      <c r="S128" s="12" cm="1">
        <f t="array" ref="S128">INDEX('PatientFollowUp-ConceptMap-2'!$I$15:$N$124,Q128+1,R128)</f>
        <v>0</v>
      </c>
    </row>
    <row r="129" spans="16:19" x14ac:dyDescent="0.75">
      <c r="P129" s="11">
        <v>115</v>
      </c>
      <c r="Q129" s="11">
        <f t="shared" si="15"/>
        <v>19</v>
      </c>
      <c r="R129" s="11">
        <f t="shared" si="16"/>
        <v>1</v>
      </c>
      <c r="S129" s="12" cm="1">
        <f t="array" ref="S129">INDEX('PatientFollowUp-ConceptMap-2'!$I$15:$N$124,Q129+1,R129)</f>
        <v>0</v>
      </c>
    </row>
    <row r="130" spans="16:19" x14ac:dyDescent="0.75">
      <c r="P130" s="11">
        <v>116</v>
      </c>
      <c r="Q130" s="11">
        <f t="shared" si="15"/>
        <v>19</v>
      </c>
      <c r="R130" s="11">
        <f t="shared" si="16"/>
        <v>2</v>
      </c>
      <c r="S130" s="12" cm="1">
        <f t="array" ref="S130">INDEX('PatientFollowUp-ConceptMap-2'!$I$15:$N$124,Q130+1,R130)</f>
        <v>0</v>
      </c>
    </row>
    <row r="131" spans="16:19" x14ac:dyDescent="0.75">
      <c r="P131" s="11">
        <v>117</v>
      </c>
      <c r="Q131" s="11">
        <f t="shared" si="15"/>
        <v>19</v>
      </c>
      <c r="R131" s="11">
        <f t="shared" si="16"/>
        <v>3</v>
      </c>
      <c r="S131" s="12" cm="1">
        <f t="array" ref="S131">INDEX('PatientFollowUp-ConceptMap-2'!$I$15:$N$124,Q131+1,R131)</f>
        <v>0</v>
      </c>
    </row>
    <row r="132" spans="16:19" x14ac:dyDescent="0.75">
      <c r="P132" s="11">
        <v>118</v>
      </c>
      <c r="Q132" s="11">
        <f t="shared" si="15"/>
        <v>19</v>
      </c>
      <c r="R132" s="11">
        <f t="shared" si="16"/>
        <v>4</v>
      </c>
      <c r="S132" s="12" cm="1">
        <f t="array" ref="S132">INDEX('PatientFollowUp-ConceptMap-2'!$I$15:$N$124,Q132+1,R132)</f>
        <v>0</v>
      </c>
    </row>
    <row r="133" spans="16:19" x14ac:dyDescent="0.75">
      <c r="P133" s="11">
        <v>119</v>
      </c>
      <c r="Q133" s="11">
        <f t="shared" si="15"/>
        <v>19</v>
      </c>
      <c r="R133" s="11">
        <f t="shared" si="16"/>
        <v>5</v>
      </c>
      <c r="S133" s="12" cm="1">
        <f t="array" ref="S133">INDEX('PatientFollowUp-ConceptMap-2'!$I$15:$N$124,Q133+1,R133)</f>
        <v>0</v>
      </c>
    </row>
    <row r="134" spans="16:19" x14ac:dyDescent="0.75">
      <c r="P134" s="11">
        <v>120</v>
      </c>
      <c r="Q134" s="11">
        <f t="shared" si="15"/>
        <v>19</v>
      </c>
      <c r="R134" s="11">
        <f t="shared" si="16"/>
        <v>6</v>
      </c>
      <c r="S134" s="12" cm="1">
        <f t="array" ref="S134">INDEX('PatientFollowUp-ConceptMap-2'!$I$15:$N$124,Q134+1,R134)</f>
        <v>0</v>
      </c>
    </row>
    <row r="135" spans="16:19" x14ac:dyDescent="0.75">
      <c r="P135" s="11">
        <v>121</v>
      </c>
      <c r="Q135" s="11">
        <f t="shared" si="15"/>
        <v>20</v>
      </c>
      <c r="R135" s="11">
        <f t="shared" si="16"/>
        <v>1</v>
      </c>
      <c r="S135" s="12" cm="1">
        <f t="array" ref="S135">INDEX('PatientFollowUp-ConceptMap-2'!$I$15:$N$124,Q135+1,R135)</f>
        <v>0</v>
      </c>
    </row>
    <row r="136" spans="16:19" x14ac:dyDescent="0.75">
      <c r="P136" s="11">
        <v>122</v>
      </c>
      <c r="Q136" s="11">
        <f t="shared" si="15"/>
        <v>20</v>
      </c>
      <c r="R136" s="11">
        <f t="shared" si="16"/>
        <v>2</v>
      </c>
      <c r="S136" s="12" cm="1">
        <f t="array" ref="S136">INDEX('PatientFollowUp-ConceptMap-2'!$I$15:$N$124,Q136+1,R136)</f>
        <v>0</v>
      </c>
    </row>
    <row r="137" spans="16:19" x14ac:dyDescent="0.75">
      <c r="P137" s="11">
        <v>123</v>
      </c>
      <c r="Q137" s="11">
        <f t="shared" si="15"/>
        <v>20</v>
      </c>
      <c r="R137" s="11">
        <f t="shared" si="16"/>
        <v>3</v>
      </c>
      <c r="S137" s="12" cm="1">
        <f t="array" ref="S137">INDEX('PatientFollowUp-ConceptMap-2'!$I$15:$N$124,Q137+1,R137)</f>
        <v>0</v>
      </c>
    </row>
    <row r="138" spans="16:19" x14ac:dyDescent="0.75">
      <c r="P138" s="11">
        <v>124</v>
      </c>
      <c r="Q138" s="11">
        <f t="shared" si="15"/>
        <v>20</v>
      </c>
      <c r="R138" s="11">
        <f t="shared" si="16"/>
        <v>4</v>
      </c>
      <c r="S138" s="12" cm="1">
        <f t="array" ref="S138">INDEX('PatientFollowUp-ConceptMap-2'!$I$15:$N$124,Q138+1,R138)</f>
        <v>0</v>
      </c>
    </row>
    <row r="139" spans="16:19" x14ac:dyDescent="0.75">
      <c r="P139" s="11">
        <v>125</v>
      </c>
      <c r="Q139" s="11">
        <f t="shared" si="15"/>
        <v>20</v>
      </c>
      <c r="R139" s="11">
        <f t="shared" si="16"/>
        <v>5</v>
      </c>
      <c r="S139" s="12" cm="1">
        <f t="array" ref="S139">INDEX('PatientFollowUp-ConceptMap-2'!$I$15:$N$124,Q139+1,R139)</f>
        <v>0</v>
      </c>
    </row>
    <row r="140" spans="16:19" x14ac:dyDescent="0.75">
      <c r="P140" s="11">
        <v>126</v>
      </c>
      <c r="Q140" s="11">
        <f t="shared" si="15"/>
        <v>20</v>
      </c>
      <c r="R140" s="11">
        <f t="shared" si="16"/>
        <v>6</v>
      </c>
      <c r="S140" s="12" cm="1">
        <f t="array" ref="S140">INDEX('PatientFollowUp-ConceptMap-2'!$I$15:$N$124,Q140+1,R140)</f>
        <v>0</v>
      </c>
    </row>
    <row r="141" spans="16:19" x14ac:dyDescent="0.75">
      <c r="P141" s="11">
        <v>127</v>
      </c>
      <c r="Q141" s="11">
        <f t="shared" si="15"/>
        <v>21</v>
      </c>
      <c r="R141" s="11">
        <f t="shared" si="16"/>
        <v>1</v>
      </c>
      <c r="S141" s="12" cm="1">
        <f t="array" ref="S141">INDEX('PatientFollowUp-ConceptMap-2'!$I$15:$N$124,Q141+1,R141)</f>
        <v>0</v>
      </c>
    </row>
    <row r="142" spans="16:19" x14ac:dyDescent="0.75">
      <c r="P142" s="11">
        <v>128</v>
      </c>
      <c r="Q142" s="11">
        <f t="shared" si="15"/>
        <v>21</v>
      </c>
      <c r="R142" s="11">
        <f t="shared" si="16"/>
        <v>2</v>
      </c>
      <c r="S142" s="12" cm="1">
        <f t="array" ref="S142">INDEX('PatientFollowUp-ConceptMap-2'!$I$15:$N$124,Q142+1,R142)</f>
        <v>0</v>
      </c>
    </row>
    <row r="143" spans="16:19" x14ac:dyDescent="0.75">
      <c r="P143" s="11">
        <v>129</v>
      </c>
      <c r="Q143" s="11">
        <f t="shared" si="15"/>
        <v>21</v>
      </c>
      <c r="R143" s="11">
        <f t="shared" si="16"/>
        <v>3</v>
      </c>
      <c r="S143" s="12" cm="1">
        <f t="array" ref="S143">INDEX('PatientFollowUp-ConceptMap-2'!$I$15:$N$124,Q143+1,R143)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INDEX('PatientFollowUp-ConceptMap-2'!$I$15:$N$124,Q144+1,R144)</f>
        <v>0</v>
      </c>
    </row>
    <row r="145" spans="16:19" x14ac:dyDescent="0.75">
      <c r="P145" s="11">
        <v>131</v>
      </c>
      <c r="Q145" s="11">
        <f t="shared" si="17"/>
        <v>21</v>
      </c>
      <c r="R145" s="11">
        <f t="shared" si="18"/>
        <v>5</v>
      </c>
      <c r="S145" s="12" cm="1">
        <f t="array" ref="S145">INDEX('PatientFollowUp-ConceptMap-2'!$I$15:$N$124,Q145+1,R145)</f>
        <v>0</v>
      </c>
    </row>
    <row r="146" spans="16:19" x14ac:dyDescent="0.75">
      <c r="P146" s="11">
        <v>132</v>
      </c>
      <c r="Q146" s="11">
        <f t="shared" si="17"/>
        <v>21</v>
      </c>
      <c r="R146" s="11">
        <f t="shared" si="18"/>
        <v>6</v>
      </c>
      <c r="S146" s="12" cm="1">
        <f t="array" ref="S146">INDEX('PatientFollowUp-ConceptMap-2'!$I$15:$N$124,Q146+1,R146)</f>
        <v>0</v>
      </c>
    </row>
    <row r="147" spans="16:19" x14ac:dyDescent="0.75">
      <c r="P147" s="11">
        <v>133</v>
      </c>
      <c r="Q147" s="11">
        <f t="shared" si="17"/>
        <v>22</v>
      </c>
      <c r="R147" s="11">
        <f t="shared" si="18"/>
        <v>1</v>
      </c>
      <c r="S147" s="12" cm="1">
        <f t="array" ref="S147">INDEX('PatientFollowUp-ConceptMap-2'!$I$15:$N$124,Q147+1,R147)</f>
        <v>0</v>
      </c>
    </row>
    <row r="148" spans="16:19" x14ac:dyDescent="0.75">
      <c r="P148" s="11">
        <v>134</v>
      </c>
      <c r="Q148" s="11">
        <f t="shared" si="17"/>
        <v>22</v>
      </c>
      <c r="R148" s="11">
        <f t="shared" si="18"/>
        <v>2</v>
      </c>
      <c r="S148" s="12" cm="1">
        <f t="array" ref="S148">INDEX('PatientFollowUp-ConceptMap-2'!$I$15:$N$124,Q148+1,R148)</f>
        <v>0</v>
      </c>
    </row>
    <row r="149" spans="16:19" x14ac:dyDescent="0.75">
      <c r="P149" s="11">
        <v>135</v>
      </c>
      <c r="Q149" s="11">
        <f t="shared" si="17"/>
        <v>22</v>
      </c>
      <c r="R149" s="11">
        <f t="shared" si="18"/>
        <v>3</v>
      </c>
      <c r="S149" s="12" cm="1">
        <f t="array" ref="S149">INDEX('PatientFollowUp-ConceptMap-2'!$I$15:$N$124,Q149+1,R149)</f>
        <v>0</v>
      </c>
    </row>
    <row r="150" spans="16:19" x14ac:dyDescent="0.75">
      <c r="P150" s="11">
        <v>136</v>
      </c>
      <c r="Q150" s="11">
        <f t="shared" si="17"/>
        <v>22</v>
      </c>
      <c r="R150" s="11">
        <f t="shared" si="18"/>
        <v>4</v>
      </c>
      <c r="S150" s="12" cm="1">
        <f t="array" ref="S150">INDEX('PatientFollowUp-ConceptMap-2'!$I$15:$N$124,Q150+1,R150)</f>
        <v>0</v>
      </c>
    </row>
    <row r="151" spans="16:19" x14ac:dyDescent="0.75">
      <c r="P151" s="11">
        <v>137</v>
      </c>
      <c r="Q151" s="11">
        <f t="shared" si="17"/>
        <v>22</v>
      </c>
      <c r="R151" s="11">
        <f t="shared" si="18"/>
        <v>5</v>
      </c>
      <c r="S151" s="12" cm="1">
        <f t="array" ref="S151">INDEX('PatientFollowUp-ConceptMap-2'!$I$15:$N$124,Q151+1,R151)</f>
        <v>0</v>
      </c>
    </row>
    <row r="152" spans="16:19" x14ac:dyDescent="0.75">
      <c r="P152" s="11">
        <v>138</v>
      </c>
      <c r="Q152" s="11">
        <f t="shared" si="17"/>
        <v>22</v>
      </c>
      <c r="R152" s="11">
        <f t="shared" si="18"/>
        <v>6</v>
      </c>
      <c r="S152" s="12" cm="1">
        <f t="array" ref="S152">INDEX('PatientFollowUp-ConceptMap-2'!$I$15:$N$124,Q152+1,R152)</f>
        <v>0</v>
      </c>
    </row>
    <row r="153" spans="16:19" x14ac:dyDescent="0.75">
      <c r="P153" s="11">
        <v>139</v>
      </c>
      <c r="Q153" s="11">
        <f t="shared" si="17"/>
        <v>23</v>
      </c>
      <c r="R153" s="11">
        <f t="shared" si="18"/>
        <v>1</v>
      </c>
      <c r="S153" s="12" cm="1">
        <f t="array" ref="S153">INDEX('PatientFollowUp-ConceptMap-2'!$I$15:$N$124,Q153+1,R153)</f>
        <v>0</v>
      </c>
    </row>
    <row r="154" spans="16:19" x14ac:dyDescent="0.75">
      <c r="P154" s="11">
        <v>140</v>
      </c>
      <c r="Q154" s="11">
        <f t="shared" si="17"/>
        <v>23</v>
      </c>
      <c r="R154" s="11">
        <f t="shared" si="18"/>
        <v>2</v>
      </c>
      <c r="S154" s="12" cm="1">
        <f t="array" ref="S154">INDEX('PatientFollowUp-ConceptMap-2'!$I$15:$N$124,Q154+1,R154)</f>
        <v>0</v>
      </c>
    </row>
    <row r="155" spans="16:19" x14ac:dyDescent="0.75">
      <c r="P155" s="11">
        <v>141</v>
      </c>
      <c r="Q155" s="11">
        <f t="shared" si="17"/>
        <v>23</v>
      </c>
      <c r="R155" s="11">
        <f t="shared" si="18"/>
        <v>3</v>
      </c>
      <c r="S155" s="12" cm="1">
        <f t="array" ref="S155">INDEX('PatientFollowUp-ConceptMap-2'!$I$15:$N$124,Q155+1,R155)</f>
        <v>0</v>
      </c>
    </row>
    <row r="156" spans="16:19" x14ac:dyDescent="0.75">
      <c r="P156" s="11">
        <v>142</v>
      </c>
      <c r="Q156" s="11">
        <f t="shared" si="17"/>
        <v>23</v>
      </c>
      <c r="R156" s="11">
        <f t="shared" si="18"/>
        <v>4</v>
      </c>
      <c r="S156" s="12" cm="1">
        <f t="array" ref="S156">INDEX('PatientFollowUp-ConceptMap-2'!$I$15:$N$124,Q156+1,R156)</f>
        <v>0</v>
      </c>
    </row>
    <row r="157" spans="16:19" x14ac:dyDescent="0.75">
      <c r="P157" s="11">
        <v>143</v>
      </c>
      <c r="Q157" s="11">
        <f t="shared" si="17"/>
        <v>23</v>
      </c>
      <c r="R157" s="11">
        <f t="shared" si="18"/>
        <v>5</v>
      </c>
      <c r="S157" s="12" cm="1">
        <f t="array" ref="S157">INDEX('PatientFollowUp-ConceptMap-2'!$I$15:$N$124,Q157+1,R157)</f>
        <v>0</v>
      </c>
    </row>
    <row r="158" spans="16:19" x14ac:dyDescent="0.75">
      <c r="P158" s="11">
        <v>144</v>
      </c>
      <c r="Q158" s="11">
        <f t="shared" si="17"/>
        <v>23</v>
      </c>
      <c r="R158" s="11">
        <f t="shared" si="18"/>
        <v>6</v>
      </c>
      <c r="S158" s="12" cm="1">
        <f t="array" ref="S158">INDEX('PatientFollowUp-ConceptMap-2'!$I$15:$N$124,Q158+1,R158)</f>
        <v>0</v>
      </c>
    </row>
    <row r="159" spans="16:19" x14ac:dyDescent="0.75">
      <c r="P159" s="11">
        <v>145</v>
      </c>
      <c r="Q159" s="11">
        <f t="shared" si="17"/>
        <v>24</v>
      </c>
      <c r="R159" s="11">
        <f t="shared" si="18"/>
        <v>1</v>
      </c>
      <c r="S159" s="12" cm="1">
        <f t="array" ref="S159">INDEX('PatientFollowUp-ConceptMap-2'!$I$15:$N$124,Q159+1,R159)</f>
        <v>0</v>
      </c>
    </row>
    <row r="160" spans="16:19" x14ac:dyDescent="0.75">
      <c r="P160" s="11">
        <v>146</v>
      </c>
      <c r="Q160" s="11">
        <f t="shared" si="17"/>
        <v>24</v>
      </c>
      <c r="R160" s="11">
        <f t="shared" si="18"/>
        <v>2</v>
      </c>
      <c r="S160" s="12" cm="1">
        <f t="array" ref="S160">INDEX('PatientFollowUp-ConceptMap-2'!$I$15:$N$124,Q160+1,R160)</f>
        <v>0</v>
      </c>
    </row>
    <row r="161" spans="16:19" x14ac:dyDescent="0.75">
      <c r="P161" s="11">
        <v>147</v>
      </c>
      <c r="Q161" s="11">
        <f t="shared" si="17"/>
        <v>24</v>
      </c>
      <c r="R161" s="11">
        <f t="shared" si="18"/>
        <v>3</v>
      </c>
      <c r="S161" s="12" cm="1">
        <f t="array" ref="S161">INDEX('PatientFollowUp-ConceptMap-2'!$I$15:$N$124,Q161+1,R161)</f>
        <v>0</v>
      </c>
    </row>
    <row r="162" spans="16:19" x14ac:dyDescent="0.75">
      <c r="P162" s="11">
        <v>148</v>
      </c>
      <c r="Q162" s="11">
        <f t="shared" si="17"/>
        <v>24</v>
      </c>
      <c r="R162" s="11">
        <f t="shared" si="18"/>
        <v>4</v>
      </c>
      <c r="S162" s="12" cm="1">
        <f t="array" ref="S162">INDEX('PatientFollowUp-ConceptMap-2'!$I$15:$N$124,Q162+1,R162)</f>
        <v>0</v>
      </c>
    </row>
    <row r="163" spans="16:19" x14ac:dyDescent="0.75">
      <c r="P163" s="11">
        <v>149</v>
      </c>
      <c r="Q163" s="11">
        <f t="shared" si="17"/>
        <v>24</v>
      </c>
      <c r="R163" s="11">
        <f t="shared" si="18"/>
        <v>5</v>
      </c>
      <c r="S163" s="12" cm="1">
        <f t="array" ref="S163">INDEX('PatientFollowUp-ConceptMap-2'!$I$15:$N$124,Q163+1,R163)</f>
        <v>0</v>
      </c>
    </row>
    <row r="164" spans="16:19" x14ac:dyDescent="0.75">
      <c r="P164" s="11">
        <v>150</v>
      </c>
      <c r="Q164" s="11">
        <f t="shared" si="17"/>
        <v>24</v>
      </c>
      <c r="R164" s="11">
        <f t="shared" si="18"/>
        <v>6</v>
      </c>
      <c r="S164" s="12" cm="1">
        <f t="array" ref="S164">INDEX('PatientFollowUp-ConceptMap-2'!$I$15:$N$124,Q164+1,R164)</f>
        <v>0</v>
      </c>
    </row>
    <row r="165" spans="16:19" x14ac:dyDescent="0.75">
      <c r="P165" s="11">
        <v>151</v>
      </c>
      <c r="Q165" s="11">
        <f t="shared" si="17"/>
        <v>25</v>
      </c>
      <c r="R165" s="11">
        <f t="shared" si="18"/>
        <v>1</v>
      </c>
      <c r="S165" s="12" cm="1">
        <f t="array" ref="S165">INDEX('PatientFollowUp-ConceptMap-2'!$I$15:$N$124,Q165+1,R165)</f>
        <v>0</v>
      </c>
    </row>
    <row r="166" spans="16:19" x14ac:dyDescent="0.75">
      <c r="P166" s="11">
        <v>152</v>
      </c>
      <c r="Q166" s="11">
        <f t="shared" si="17"/>
        <v>25</v>
      </c>
      <c r="R166" s="11">
        <f t="shared" si="18"/>
        <v>2</v>
      </c>
      <c r="S166" s="12" cm="1">
        <f t="array" ref="S166">INDEX('PatientFollowUp-ConceptMap-2'!$I$15:$N$124,Q166+1,R166)</f>
        <v>0</v>
      </c>
    </row>
    <row r="167" spans="16:19" x14ac:dyDescent="0.75">
      <c r="P167" s="11">
        <v>153</v>
      </c>
      <c r="Q167" s="11">
        <f t="shared" si="17"/>
        <v>25</v>
      </c>
      <c r="R167" s="11">
        <f t="shared" si="18"/>
        <v>3</v>
      </c>
      <c r="S167" s="12" cm="1">
        <f t="array" ref="S167">INDEX('PatientFollowUp-ConceptMap-2'!$I$15:$N$124,Q167+1,R167)</f>
        <v>0</v>
      </c>
    </row>
    <row r="168" spans="16:19" x14ac:dyDescent="0.75">
      <c r="P168" s="11">
        <v>154</v>
      </c>
      <c r="Q168" s="11">
        <f t="shared" si="17"/>
        <v>25</v>
      </c>
      <c r="R168" s="11">
        <f t="shared" si="18"/>
        <v>4</v>
      </c>
      <c r="S168" s="12" cm="1">
        <f t="array" ref="S168">INDEX('PatientFollowUp-ConceptMap-2'!$I$15:$N$124,Q168+1,R168)</f>
        <v>0</v>
      </c>
    </row>
    <row r="169" spans="16:19" x14ac:dyDescent="0.75">
      <c r="P169" s="11">
        <v>155</v>
      </c>
      <c r="Q169" s="11">
        <f t="shared" si="17"/>
        <v>25</v>
      </c>
      <c r="R169" s="11">
        <f t="shared" si="18"/>
        <v>5</v>
      </c>
      <c r="S169" s="12" cm="1">
        <f t="array" ref="S169">INDEX('PatientFollowUp-ConceptMap-2'!$I$15:$N$124,Q169+1,R169)</f>
        <v>0</v>
      </c>
    </row>
    <row r="170" spans="16:19" x14ac:dyDescent="0.75">
      <c r="P170" s="11">
        <v>156</v>
      </c>
      <c r="Q170" s="11">
        <f t="shared" si="17"/>
        <v>25</v>
      </c>
      <c r="R170" s="11">
        <f t="shared" si="18"/>
        <v>6</v>
      </c>
      <c r="S170" s="12" cm="1">
        <f t="array" ref="S170">INDEX('PatientFollowUp-ConceptMap-2'!$I$15:$N$124,Q170+1,R170)</f>
        <v>0</v>
      </c>
    </row>
    <row r="171" spans="16:19" x14ac:dyDescent="0.75">
      <c r="P171" s="11">
        <v>157</v>
      </c>
      <c r="Q171" s="11">
        <f t="shared" si="17"/>
        <v>26</v>
      </c>
      <c r="R171" s="11">
        <f t="shared" si="18"/>
        <v>1</v>
      </c>
      <c r="S171" s="12" cm="1">
        <f t="array" ref="S171">INDEX('PatientFollowUp-ConceptMap-2'!$I$15:$N$124,Q171+1,R171)</f>
        <v>0</v>
      </c>
    </row>
    <row r="172" spans="16:19" x14ac:dyDescent="0.75">
      <c r="P172" s="11">
        <v>158</v>
      </c>
      <c r="Q172" s="11">
        <f t="shared" si="17"/>
        <v>26</v>
      </c>
      <c r="R172" s="11">
        <f t="shared" si="18"/>
        <v>2</v>
      </c>
      <c r="S172" s="12" cm="1">
        <f t="array" ref="S172">INDEX('PatientFollowUp-ConceptMap-2'!$I$15:$N$124,Q172+1,R172)</f>
        <v>0</v>
      </c>
    </row>
    <row r="173" spans="16:19" x14ac:dyDescent="0.75">
      <c r="P173" s="11">
        <v>159</v>
      </c>
      <c r="Q173" s="11">
        <f t="shared" si="17"/>
        <v>26</v>
      </c>
      <c r="R173" s="11">
        <f t="shared" si="18"/>
        <v>3</v>
      </c>
      <c r="S173" s="12" cm="1">
        <f t="array" ref="S173">INDEX('PatientFollowUp-ConceptMap-2'!$I$15:$N$124,Q173+1,R173)</f>
        <v>0</v>
      </c>
    </row>
    <row r="174" spans="16:19" x14ac:dyDescent="0.75">
      <c r="P174" s="11">
        <v>160</v>
      </c>
      <c r="Q174" s="11">
        <f t="shared" si="17"/>
        <v>26</v>
      </c>
      <c r="R174" s="11">
        <f t="shared" si="18"/>
        <v>4</v>
      </c>
      <c r="S174" s="12" cm="1">
        <f t="array" ref="S174">INDEX('PatientFollowUp-ConceptMap-2'!$I$15:$N$124,Q174+1,R174)</f>
        <v>0</v>
      </c>
    </row>
    <row r="175" spans="16:19" x14ac:dyDescent="0.75">
      <c r="P175" s="11">
        <v>161</v>
      </c>
      <c r="Q175" s="11">
        <f t="shared" si="17"/>
        <v>26</v>
      </c>
      <c r="R175" s="11">
        <f t="shared" si="18"/>
        <v>5</v>
      </c>
      <c r="S175" s="12" cm="1">
        <f t="array" ref="S175">INDEX('PatientFollowUp-ConceptMap-2'!$I$15:$N$124,Q175+1,R175)</f>
        <v>0</v>
      </c>
    </row>
    <row r="176" spans="16:19" x14ac:dyDescent="0.75">
      <c r="P176" s="11">
        <v>162</v>
      </c>
      <c r="Q176" s="11">
        <f t="shared" si="17"/>
        <v>26</v>
      </c>
      <c r="R176" s="11">
        <f t="shared" si="18"/>
        <v>6</v>
      </c>
      <c r="S176" s="12" cm="1">
        <f t="array" ref="S176">INDEX('PatientFollowUp-ConceptMap-2'!$I$15:$N$124,Q176+1,R176)</f>
        <v>0</v>
      </c>
    </row>
    <row r="177" spans="16:19" x14ac:dyDescent="0.75">
      <c r="P177" s="11">
        <v>163</v>
      </c>
      <c r="Q177" s="11">
        <f t="shared" si="17"/>
        <v>27</v>
      </c>
      <c r="R177" s="11">
        <f t="shared" si="18"/>
        <v>1</v>
      </c>
      <c r="S177" s="12" cm="1">
        <f t="array" ref="S177">INDEX('PatientFollowUp-ConceptMap-2'!$I$15:$N$124,Q177+1,R177)</f>
        <v>0</v>
      </c>
    </row>
    <row r="178" spans="16:19" x14ac:dyDescent="0.75">
      <c r="P178" s="11">
        <v>164</v>
      </c>
      <c r="Q178" s="11">
        <f t="shared" si="17"/>
        <v>27</v>
      </c>
      <c r="R178" s="11">
        <f t="shared" si="18"/>
        <v>2</v>
      </c>
      <c r="S178" s="12" cm="1">
        <f t="array" ref="S178">INDEX('PatientFollowUp-ConceptMap-2'!$I$15:$N$124,Q178+1,R178)</f>
        <v>0</v>
      </c>
    </row>
    <row r="179" spans="16:19" x14ac:dyDescent="0.75">
      <c r="P179" s="11">
        <v>165</v>
      </c>
      <c r="Q179" s="11">
        <f t="shared" si="17"/>
        <v>27</v>
      </c>
      <c r="R179" s="11">
        <f t="shared" si="18"/>
        <v>3</v>
      </c>
      <c r="S179" s="12" cm="1">
        <f t="array" ref="S179">INDEX('PatientFollowUp-ConceptMap-2'!$I$15:$N$124,Q179+1,R179)</f>
        <v>0</v>
      </c>
    </row>
    <row r="180" spans="16:19" x14ac:dyDescent="0.75">
      <c r="P180" s="11">
        <v>166</v>
      </c>
      <c r="Q180" s="11">
        <f t="shared" si="17"/>
        <v>27</v>
      </c>
      <c r="R180" s="11">
        <f t="shared" si="18"/>
        <v>4</v>
      </c>
      <c r="S180" s="12" cm="1">
        <f t="array" ref="S180">INDEX('PatientFollowUp-ConceptMap-2'!$I$15:$N$124,Q180+1,R180)</f>
        <v>0</v>
      </c>
    </row>
    <row r="181" spans="16:19" x14ac:dyDescent="0.75">
      <c r="P181" s="11">
        <v>167</v>
      </c>
      <c r="Q181" s="11">
        <f t="shared" si="17"/>
        <v>27</v>
      </c>
      <c r="R181" s="11">
        <f t="shared" si="18"/>
        <v>5</v>
      </c>
      <c r="S181" s="12" cm="1">
        <f t="array" ref="S181">INDEX('PatientFollowUp-ConceptMap-2'!$I$15:$N$124,Q181+1,R181)</f>
        <v>0</v>
      </c>
    </row>
    <row r="182" spans="16:19" x14ac:dyDescent="0.75">
      <c r="P182" s="11">
        <v>168</v>
      </c>
      <c r="Q182" s="11">
        <f t="shared" si="17"/>
        <v>27</v>
      </c>
      <c r="R182" s="11">
        <f t="shared" si="18"/>
        <v>6</v>
      </c>
      <c r="S182" s="12" cm="1">
        <f t="array" ref="S182">INDEX('PatientFollowUp-ConceptMap-2'!$I$15:$N$124,Q182+1,R182)</f>
        <v>0</v>
      </c>
    </row>
    <row r="183" spans="16:19" x14ac:dyDescent="0.75">
      <c r="P183" s="11">
        <v>169</v>
      </c>
      <c r="Q183" s="11">
        <f t="shared" si="17"/>
        <v>28</v>
      </c>
      <c r="R183" s="11">
        <f t="shared" si="18"/>
        <v>1</v>
      </c>
      <c r="S183" s="12" cm="1">
        <f t="array" ref="S183">INDEX('PatientFollowUp-ConceptMap-2'!$I$15:$N$124,Q183+1,R183)</f>
        <v>0</v>
      </c>
    </row>
    <row r="184" spans="16:19" x14ac:dyDescent="0.75">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J20" sqref="J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##34#CLARIFY THE MEANING OF THE MODEL ELEMENT##34#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##34#check if the period end is the appropriate date##34#</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unmatched</v>
      </c>
    </row>
    <row r="40" spans="2:2" x14ac:dyDescent="0.75">
      <c r="B40" s="12" t="str">
        <f>IF('PatientFollowUp-ConceptMap-1'!S36=0,"//---END",'PatientFollowUp-ConceptMap-1'!S36)</f>
        <v>//-- unmatched</v>
      </c>
    </row>
    <row r="41" spans="2:2" x14ac:dyDescent="0.75">
      <c r="B41" s="12" t="str">
        <f>IF('PatientFollowUp-ConceptMap-1'!S37=0,"//---END",'PatientFollowUp-ConceptMap-1'!S37)</f>
        <v>* group[=].element[=].target.equivalence = #unmatched</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unmatched</v>
      </c>
    </row>
    <row r="46" spans="2:2" x14ac:dyDescent="0.75">
      <c r="B46" s="12" t="str">
        <f>IF('PatientFollowUp-ConceptMap-1'!S42=0,"//---END",'PatientFollowUp-ConceptMap-1'!S42)</f>
        <v>//-- unmatched</v>
      </c>
    </row>
    <row r="47" spans="2:2" x14ac:dyDescent="0.75">
      <c r="B47" s="12" t="str">
        <f>IF('PatientFollowUp-ConceptMap-1'!S43=0,"//---END",'PatientFollowUp-ConceptMap-1'!S43)</f>
        <v>* group[=].element[=].target.equivalence = #unmatched</v>
      </c>
    </row>
    <row r="48" spans="2:2" x14ac:dyDescent="0.75">
      <c r="B48" s="12" t="str">
        <f>IF('PatientFollowUp-ConceptMap-1'!S44=0,"//---END",'PatientFollowUp-ConceptMap-1'!S44)</f>
        <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unmatched</v>
      </c>
    </row>
    <row r="52" spans="2:2" x14ac:dyDescent="0.75">
      <c r="B52" s="12" t="str">
        <f>IF('PatientFollowUp-ConceptMap-1'!S48=0,"//---END",'PatientFollowUp-ConceptMap-1'!S48)</f>
        <v>//-- unmatched</v>
      </c>
    </row>
    <row r="53" spans="2:2" x14ac:dyDescent="0.75">
      <c r="B53" s="12" t="str">
        <f>IF('PatientFollowUp-ConceptMap-1'!S49=0,"//---END",'PatientFollowUp-ConceptMap-1'!S49)</f>
        <v>* group[=].element[=].target.equivalence = #unmatched</v>
      </c>
    </row>
    <row r="54" spans="2:2" x14ac:dyDescent="0.75">
      <c r="B54" s="12" t="str">
        <f>IF('PatientFollowUp-ConceptMap-1'!S50=0,"//---END",'PatientFollowUp-ConceptMap-1'!S50)</f>
        <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unmatched</v>
      </c>
    </row>
    <row r="74" spans="2:2" x14ac:dyDescent="0.75">
      <c r="B74" s="12" t="str">
        <f>IF('PatientFollowUp-ConceptMap-2'!S24=0,"//---END",'PatientFollowUp-ConceptMap-2'!S24)</f>
        <v>//-- unmatched</v>
      </c>
    </row>
    <row r="75" spans="2:2" x14ac:dyDescent="0.75">
      <c r="B75" s="12" t="str">
        <f>IF('PatientFollowUp-ConceptMap-2'!S25=0,"//---END",'PatientFollowUp-ConceptMap-2'!S25)</f>
        <v>* group[=].element[=].target.equivalence = #unmatched</v>
      </c>
    </row>
    <row r="76" spans="2:2" x14ac:dyDescent="0.75">
      <c r="B76" s="12" t="str">
        <f>IF('PatientFollowUp-ConceptMap-2'!S26=0,"//---END",'PatientFollowUp-ConceptMap-2'!S26)</f>
        <v>* group[=].element[=].target.comment = ##34#CLARIFY THE MEANING OF THE MODEL ELEMENT##34#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#Encounter.extension:condition-occurredFollowing</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#relatedto</v>
      </c>
    </row>
    <row r="88" spans="2:2" ht="29.5" x14ac:dyDescent="0.75">
      <c r="B88" s="12" t="str">
        <f>IF('PatientFollowUp-ConceptMap-2'!S38=0,"//---END",'PatientFollowUp-ConceptMap-2'!S38)</f>
        <v>* group[=].element[=].target.comment = ##34#If  extension:condition-occurredFollowing exists, this is a new primary cancer diagnosis identified during a follow up##34#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#Encounter.extension:assertedDate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#relatedto</v>
      </c>
    </row>
    <row r="94" spans="2:2" x14ac:dyDescent="0.75">
      <c r="B94" s="12" t="str">
        <f>IF('PatientFollowUp-ConceptMap-2'!S44=0,"//---END",'PatientFollowUp-ConceptMap-2'!S44)</f>
        <v>* group[=].element[=].target.comment = ##34#to be checked##34#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#relatedto</v>
      </c>
    </row>
    <row r="100" spans="2:2" x14ac:dyDescent="0.75">
      <c r="B100" s="12" t="str">
        <f>IF('PatientFollowUp-ConceptMap-2'!S50=0,"//---END",'PatientFollowUp-ConceptMap-2'!S50)</f>
        <v>* group[=].element[=].target.comment = ##34#to be checked##34#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40" zoomScaleNormal="4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1566</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34" t="s">
        <v>2148</v>
      </c>
      <c r="J7" s="134" t="s">
        <v>2149</v>
      </c>
      <c r="L7" s="17" t="str">
        <f>CONCATENATE("Description: "," ##334#",B7,"##334#",)</f>
        <v>Description:  ##334#Cancer Episode
Maturity Level: 0 Draft##334#</v>
      </c>
    </row>
    <row r="8" spans="1:18" ht="44.25" x14ac:dyDescent="0.75">
      <c r="A8" s="11">
        <v>0</v>
      </c>
      <c r="B8" s="66"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1494</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2061</v>
      </c>
      <c r="C10" t="s">
        <v>2062</v>
      </c>
      <c r="D10" s="2" t="s">
        <v>2063</v>
      </c>
      <c r="E10" s="11">
        <v>1</v>
      </c>
      <c r="F10" s="11">
        <v>1</v>
      </c>
      <c r="G10" s="12" t="s">
        <v>1474</v>
      </c>
      <c r="H10" s="2" t="s">
        <v>2142</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1495</v>
      </c>
      <c r="C11" s="12" t="s">
        <v>1351</v>
      </c>
      <c r="D11" s="12" t="s">
        <v>1470</v>
      </c>
      <c r="E11" s="11">
        <v>1</v>
      </c>
      <c r="F11" s="11">
        <v>1</v>
      </c>
      <c r="G11" s="67"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1496</v>
      </c>
      <c r="C12" s="12" t="s">
        <v>1352</v>
      </c>
      <c r="D12" s="12" t="s">
        <v>1353</v>
      </c>
      <c r="E12" s="11">
        <v>1</v>
      </c>
      <c r="F12" s="11">
        <v>1</v>
      </c>
      <c r="G12" s="67"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2064</v>
      </c>
      <c r="C13" t="s">
        <v>2065</v>
      </c>
      <c r="D13" s="2" t="s">
        <v>2066</v>
      </c>
      <c r="E13" s="11">
        <v>1</v>
      </c>
      <c r="F13" s="11">
        <v>1</v>
      </c>
      <c r="G13" s="12" t="s">
        <v>44</v>
      </c>
      <c r="H13" s="2" t="s">
        <v>2143</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1497</v>
      </c>
      <c r="C14" s="12" t="s">
        <v>1469</v>
      </c>
      <c r="D14" s="12" t="s">
        <v>1468</v>
      </c>
      <c r="E14" s="11">
        <v>0</v>
      </c>
      <c r="F14" s="11">
        <v>1</v>
      </c>
      <c r="G14" s="67" t="s">
        <v>1474</v>
      </c>
      <c r="H14" s="2" t="s">
        <v>2144</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2168</v>
      </c>
      <c r="C15" s="4" t="s">
        <v>2169</v>
      </c>
      <c r="D15" s="4" t="s">
        <v>2169</v>
      </c>
      <c r="E15" s="6">
        <v>1</v>
      </c>
      <c r="F15" s="6">
        <v>1</v>
      </c>
      <c r="G15" s="4" t="s">
        <v>1</v>
      </c>
      <c r="H15" s="4" t="s">
        <v>2145</v>
      </c>
      <c r="I15" s="12" t="b">
        <v>1</v>
      </c>
      <c r="J15" s="12" t="b">
        <v>1</v>
      </c>
      <c r="K15" s="13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2170</v>
      </c>
      <c r="C16" s="12" t="s">
        <v>1354</v>
      </c>
      <c r="D16" s="12" t="s">
        <v>1355</v>
      </c>
      <c r="E16" s="74">
        <v>1</v>
      </c>
      <c r="F16" s="11">
        <v>1</v>
      </c>
      <c r="G16" s="72" t="s">
        <v>1474</v>
      </c>
      <c r="H16" s="2" t="s">
        <v>2123</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2171</v>
      </c>
      <c r="C17" s="12" t="s">
        <v>1356</v>
      </c>
      <c r="D17" s="12" t="s">
        <v>1357</v>
      </c>
      <c r="E17" s="74">
        <v>1</v>
      </c>
      <c r="F17" s="11">
        <v>1</v>
      </c>
      <c r="G17" s="72" t="s">
        <v>1474</v>
      </c>
      <c r="H17" s="2" t="s">
        <v>2124</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2172</v>
      </c>
      <c r="C18" s="12" t="s">
        <v>1358</v>
      </c>
      <c r="D18" s="12" t="s">
        <v>1359</v>
      </c>
      <c r="E18" s="74">
        <v>1</v>
      </c>
      <c r="F18" s="11">
        <v>1</v>
      </c>
      <c r="G18" s="72" t="s">
        <v>1474</v>
      </c>
      <c r="H18" s="2" t="s">
        <v>2125</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2173</v>
      </c>
      <c r="C19" s="12" t="s">
        <v>1360</v>
      </c>
      <c r="D19" s="12" t="s">
        <v>1361</v>
      </c>
      <c r="E19" s="74">
        <v>1</v>
      </c>
      <c r="F19" s="11">
        <v>1</v>
      </c>
      <c r="G19" s="72" t="s">
        <v>1474</v>
      </c>
      <c r="H19" s="2" t="s">
        <v>2126</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0" t="s">
        <v>2174</v>
      </c>
      <c r="C20" s="131" t="s">
        <v>1362</v>
      </c>
      <c r="D20" s="131" t="s">
        <v>1363</v>
      </c>
      <c r="E20" s="123">
        <v>1</v>
      </c>
      <c r="F20" s="3">
        <v>1</v>
      </c>
      <c r="G20" s="132" t="s">
        <v>1474</v>
      </c>
      <c r="H20" s="2" t="s">
        <v>2127</v>
      </c>
      <c r="I20" s="12" t="b">
        <v>1</v>
      </c>
      <c r="J20" s="12" t="b">
        <v>1</v>
      </c>
      <c r="K20" s="25"/>
      <c r="L20" s="131" t="str">
        <f t="shared" si="1"/>
        <v>* hnClassification.histologySNUC 1..1 CodeableConcept ##34#Histology Sinonasal undifferentiated carcinoma##34# ##334#Specifies the histological subgroup for sinonasl undifferentiated carcinomas##334#</v>
      </c>
      <c r="M20"/>
      <c r="N20" s="13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2175</v>
      </c>
      <c r="C21" s="11" t="s">
        <v>2067</v>
      </c>
      <c r="D21" s="12" t="s">
        <v>2068</v>
      </c>
      <c r="E21" s="74">
        <v>1</v>
      </c>
      <c r="F21" s="11">
        <v>1</v>
      </c>
      <c r="G21" s="12" t="s">
        <v>1474</v>
      </c>
      <c r="H21" s="12" t="s">
        <v>2128</v>
      </c>
      <c r="I21" s="12" t="b">
        <v>0</v>
      </c>
      <c r="J21" s="12" t="b">
        <v>1</v>
      </c>
      <c r="K21" s="12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2176</v>
      </c>
      <c r="C22" s="11" t="s">
        <v>2069</v>
      </c>
      <c r="D22" s="77" t="s">
        <v>2069</v>
      </c>
      <c r="E22" s="74">
        <v>1</v>
      </c>
      <c r="F22" s="11">
        <v>1</v>
      </c>
      <c r="G22" s="12" t="s">
        <v>1474</v>
      </c>
      <c r="H22" s="12" t="s">
        <v>2129</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2177</v>
      </c>
      <c r="C23" s="11" t="s">
        <v>2070</v>
      </c>
      <c r="D23" s="11" t="s">
        <v>2070</v>
      </c>
      <c r="E23" s="74">
        <v>1</v>
      </c>
      <c r="F23" s="11">
        <v>1</v>
      </c>
      <c r="G23" s="12" t="s">
        <v>1474</v>
      </c>
      <c r="H23" s="12" t="s">
        <v>2130</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3"/>
      <c r="B24" s="6" t="s">
        <v>2167</v>
      </c>
      <c r="C24" s="6" t="s">
        <v>2178</v>
      </c>
      <c r="D24" s="6" t="s">
        <v>2178</v>
      </c>
      <c r="E24" s="6">
        <v>1</v>
      </c>
      <c r="F24" s="6">
        <v>1</v>
      </c>
      <c r="G24" s="12" t="s">
        <v>1</v>
      </c>
      <c r="H24" s="61"/>
      <c r="I24" s="12" t="b">
        <v>0</v>
      </c>
      <c r="J24" s="12" t="b">
        <v>1</v>
      </c>
      <c r="K24" s="138"/>
      <c r="L24" s="128" t="str">
        <f t="shared" si="1"/>
        <v>* sarcomaClassification 1..1 BackboneElement ##34#Sarcoma classification##34# ##334#Sarcoma classification##334#</v>
      </c>
      <c r="M24"/>
      <c r="N24" s="128" t="str">
        <f t="shared" si="2"/>
        <v/>
      </c>
      <c r="P24" s="12" t="str">
        <f t="shared" si="3"/>
        <v/>
      </c>
      <c r="Q24"/>
      <c r="R24" s="12" t="str">
        <f t="shared" si="4"/>
        <v>* sarcomaClassification insert ObligationActorAndCode($actor-sarcoma-i4rc, #handle)</v>
      </c>
    </row>
    <row r="25" spans="1:18" s="2" customFormat="1" ht="324.5" x14ac:dyDescent="0.75">
      <c r="A25" s="11">
        <v>16</v>
      </c>
      <c r="B25" s="11" t="s">
        <v>2179</v>
      </c>
      <c r="C25" s="11" t="s">
        <v>2071</v>
      </c>
      <c r="D25" s="11" t="s">
        <v>2071</v>
      </c>
      <c r="E25" s="74">
        <v>1</v>
      </c>
      <c r="F25" s="11">
        <v>1</v>
      </c>
      <c r="G25" s="12" t="s">
        <v>1474</v>
      </c>
      <c r="H25" s="2" t="s">
        <v>2131</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2180</v>
      </c>
      <c r="C26" s="11" t="s">
        <v>2072</v>
      </c>
      <c r="D26" s="11" t="s">
        <v>2072</v>
      </c>
      <c r="E26" s="74">
        <v>1</v>
      </c>
      <c r="F26" s="11">
        <v>1</v>
      </c>
      <c r="G26" s="12" t="s">
        <v>1474</v>
      </c>
      <c r="H26" s="2" t="s">
        <v>2132</v>
      </c>
      <c r="I26" s="12" t="b">
        <v>0</v>
      </c>
      <c r="J26" s="12" t="b">
        <v>1</v>
      </c>
      <c r="K26" s="127"/>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2181</v>
      </c>
      <c r="C27" s="11" t="s">
        <v>2073</v>
      </c>
      <c r="D27" s="11" t="s">
        <v>2073</v>
      </c>
      <c r="E27" s="74">
        <v>1</v>
      </c>
      <c r="F27" s="11">
        <v>1</v>
      </c>
      <c r="G27" s="12" t="s">
        <v>1474</v>
      </c>
      <c r="H27" s="2" t="s">
        <v>2133</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2182</v>
      </c>
      <c r="C28" s="11" t="s">
        <v>2074</v>
      </c>
      <c r="D28" s="11" t="s">
        <v>2074</v>
      </c>
      <c r="E28" s="74">
        <v>1</v>
      </c>
      <c r="F28" s="11">
        <v>1</v>
      </c>
      <c r="G28" s="12" t="s">
        <v>1474</v>
      </c>
      <c r="H28" s="12" t="s">
        <v>2134</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2183</v>
      </c>
      <c r="C29" s="11" t="s">
        <v>2075</v>
      </c>
      <c r="D29" s="11" t="s">
        <v>2075</v>
      </c>
      <c r="E29" s="74">
        <v>1</v>
      </c>
      <c r="F29" s="11">
        <v>1</v>
      </c>
      <c r="G29" s="12" t="s">
        <v>1474</v>
      </c>
      <c r="H29" s="12" t="s">
        <v>2135</v>
      </c>
      <c r="I29" s="12" t="b">
        <v>0</v>
      </c>
      <c r="J29" s="12" t="b">
        <v>1</v>
      </c>
      <c r="K29" s="12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2184</v>
      </c>
      <c r="C30" s="11" t="s">
        <v>2076</v>
      </c>
      <c r="D30" s="11" t="s">
        <v>2076</v>
      </c>
      <c r="E30" s="74">
        <v>1</v>
      </c>
      <c r="F30" s="11">
        <v>1</v>
      </c>
      <c r="G30" s="12" t="s">
        <v>1474</v>
      </c>
      <c r="H30" s="12" t="s">
        <v>2136</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2185</v>
      </c>
      <c r="C31" s="11" t="s">
        <v>2077</v>
      </c>
      <c r="D31" s="11" t="s">
        <v>2077</v>
      </c>
      <c r="E31" s="74">
        <v>1</v>
      </c>
      <c r="F31" s="11">
        <v>1</v>
      </c>
      <c r="G31" s="12" t="s">
        <v>1474</v>
      </c>
      <c r="H31" s="12" t="s">
        <v>2137</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2186</v>
      </c>
      <c r="C32" s="11" t="s">
        <v>2078</v>
      </c>
      <c r="D32" s="11" t="s">
        <v>2078</v>
      </c>
      <c r="E32" s="74">
        <v>1</v>
      </c>
      <c r="F32" s="11">
        <v>1</v>
      </c>
      <c r="G32" s="12" t="s">
        <v>1474</v>
      </c>
      <c r="H32" s="12" t="s">
        <v>2138</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2187</v>
      </c>
      <c r="C33" s="11" t="s">
        <v>2079</v>
      </c>
      <c r="D33" s="11" t="s">
        <v>2079</v>
      </c>
      <c r="E33" s="74">
        <v>1</v>
      </c>
      <c r="F33" s="11">
        <v>1</v>
      </c>
      <c r="G33" s="12" t="s">
        <v>1474</v>
      </c>
      <c r="H33" s="12" t="s">
        <v>2139</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2188</v>
      </c>
      <c r="C34" s="11" t="s">
        <v>2080</v>
      </c>
      <c r="D34" s="11" t="s">
        <v>2080</v>
      </c>
      <c r="E34" s="74">
        <v>1</v>
      </c>
      <c r="F34" s="11">
        <v>1</v>
      </c>
      <c r="G34" s="12" t="s">
        <v>1474</v>
      </c>
      <c r="H34" s="12" t="s">
        <v>2140</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2189</v>
      </c>
      <c r="C35" s="11" t="s">
        <v>2081</v>
      </c>
      <c r="D35" s="11" t="s">
        <v>2081</v>
      </c>
      <c r="E35" s="74">
        <v>1</v>
      </c>
      <c r="F35" s="11">
        <v>1</v>
      </c>
      <c r="G35" s="12" t="s">
        <v>1474</v>
      </c>
      <c r="H35" s="12" t="s">
        <v>2141</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2100</v>
      </c>
      <c r="C36" s="11"/>
      <c r="D36" s="11"/>
      <c r="E36" s="74">
        <v>1</v>
      </c>
      <c r="F36" s="122">
        <v>1</v>
      </c>
      <c r="G36" s="12" t="s">
        <v>1</v>
      </c>
      <c r="H36" s="12"/>
      <c r="I36" s="12" t="b">
        <v>1</v>
      </c>
      <c r="J36" s="12" t="b">
        <v>0</v>
      </c>
      <c r="K36" s="138"/>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2192</v>
      </c>
      <c r="C37" s="12" t="s">
        <v>1364</v>
      </c>
      <c r="D37" s="12" t="s">
        <v>1365</v>
      </c>
      <c r="E37" s="74">
        <v>1</v>
      </c>
      <c r="F37" s="11">
        <v>1</v>
      </c>
      <c r="G37" s="72" t="s">
        <v>1474</v>
      </c>
      <c r="H37" s="12" t="s">
        <v>2106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2193</v>
      </c>
      <c r="C38" s="12" t="s">
        <v>1366</v>
      </c>
      <c r="D38" s="12" t="s">
        <v>1367</v>
      </c>
      <c r="E38" s="74">
        <v>1</v>
      </c>
      <c r="F38" s="11">
        <v>1</v>
      </c>
      <c r="G38" s="72" t="s">
        <v>1474</v>
      </c>
      <c r="H38" s="12" t="s">
        <v>2107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29" t="s">
        <v>2194</v>
      </c>
      <c r="C39" s="128" t="s">
        <v>1368</v>
      </c>
      <c r="D39" s="128" t="s">
        <v>1369</v>
      </c>
      <c r="E39" s="125">
        <v>1</v>
      </c>
      <c r="F39" s="46">
        <v>1</v>
      </c>
      <c r="G39" s="126" t="s">
        <v>1474</v>
      </c>
      <c r="H39" s="128" t="s">
        <v>2108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2195</v>
      </c>
      <c r="C40" s="12" t="s">
        <v>1370</v>
      </c>
      <c r="D40" s="12" t="s">
        <v>1371</v>
      </c>
      <c r="E40" s="74">
        <v>1</v>
      </c>
      <c r="F40" s="11">
        <v>1</v>
      </c>
      <c r="G40" s="72" t="s">
        <v>1474</v>
      </c>
      <c r="H40" s="12" t="s">
        <v>2109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2196</v>
      </c>
      <c r="C41" s="12" t="s">
        <v>1372</v>
      </c>
      <c r="D41" s="12" t="s">
        <v>1373</v>
      </c>
      <c r="E41" s="74">
        <v>1</v>
      </c>
      <c r="F41" s="11">
        <v>1</v>
      </c>
      <c r="G41" s="72" t="s">
        <v>1474</v>
      </c>
      <c r="H41" s="12" t="s">
        <v>2110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2197</v>
      </c>
      <c r="C42" s="12" t="s">
        <v>1374</v>
      </c>
      <c r="D42" s="12" t="s">
        <v>1375</v>
      </c>
      <c r="E42" s="74">
        <v>1</v>
      </c>
      <c r="F42" s="11">
        <v>1</v>
      </c>
      <c r="G42" s="72" t="s">
        <v>1474</v>
      </c>
      <c r="H42" s="12" t="s">
        <v>2111</v>
      </c>
      <c r="I42" s="12" t="b">
        <v>1</v>
      </c>
      <c r="J42" s="12" t="b">
        <v>0</v>
      </c>
      <c r="K42" s="127"/>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2198</v>
      </c>
      <c r="C43" s="12" t="s">
        <v>1376</v>
      </c>
      <c r="D43" s="12" t="s">
        <v>1377</v>
      </c>
      <c r="E43" s="74">
        <v>1</v>
      </c>
      <c r="F43" s="11">
        <v>1</v>
      </c>
      <c r="G43" s="72" t="s">
        <v>1474</v>
      </c>
      <c r="H43" s="12" t="s">
        <v>2112</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2199</v>
      </c>
      <c r="C44" t="s">
        <v>2082</v>
      </c>
      <c r="D44" s="2" t="s">
        <v>2083</v>
      </c>
      <c r="E44" s="74">
        <v>1</v>
      </c>
      <c r="F44" s="11">
        <v>1</v>
      </c>
      <c r="G44" s="12" t="s">
        <v>1474</v>
      </c>
      <c r="H44" s="12" t="s">
        <v>2113</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2101</v>
      </c>
      <c r="C45" t="s">
        <v>2084</v>
      </c>
      <c r="D45" s="2" t="s">
        <v>2083</v>
      </c>
      <c r="E45" s="74">
        <v>1</v>
      </c>
      <c r="F45" s="11">
        <v>1</v>
      </c>
      <c r="G45" s="12" t="s">
        <v>1474</v>
      </c>
      <c r="H45" s="12" t="s">
        <v>2114</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2102</v>
      </c>
      <c r="C46" t="s">
        <v>2085</v>
      </c>
      <c r="D46" s="2" t="s">
        <v>2083</v>
      </c>
      <c r="E46" s="74">
        <v>1</v>
      </c>
      <c r="F46" s="11">
        <v>1</v>
      </c>
      <c r="G46" s="12" t="s">
        <v>1474</v>
      </c>
      <c r="H46" s="12" t="s">
        <v>2115</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2103</v>
      </c>
      <c r="C47" t="s">
        <v>2086</v>
      </c>
      <c r="D47" s="2" t="s">
        <v>2083</v>
      </c>
      <c r="E47" s="74">
        <v>1</v>
      </c>
      <c r="F47" s="11">
        <v>1</v>
      </c>
      <c r="G47" s="12" t="s">
        <v>1474</v>
      </c>
      <c r="H47" s="12" t="s">
        <v>2116</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2104</v>
      </c>
      <c r="C48" t="s">
        <v>2087</v>
      </c>
      <c r="D48" s="2" t="s">
        <v>2083</v>
      </c>
      <c r="E48" s="74">
        <v>1</v>
      </c>
      <c r="F48" s="11">
        <v>1</v>
      </c>
      <c r="G48" s="12" t="s">
        <v>1474</v>
      </c>
      <c r="H48" s="12" t="s">
        <v>2117</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2105</v>
      </c>
      <c r="C49" t="s">
        <v>2088</v>
      </c>
      <c r="D49" s="2" t="s">
        <v>2083</v>
      </c>
      <c r="E49" s="74">
        <v>1</v>
      </c>
      <c r="F49" s="11">
        <v>1</v>
      </c>
      <c r="G49" s="12" t="s">
        <v>1474</v>
      </c>
      <c r="H49" s="12" t="s">
        <v>2118</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2191</v>
      </c>
      <c r="C50" t="s">
        <v>2089</v>
      </c>
      <c r="D50" s="2" t="s">
        <v>2083</v>
      </c>
      <c r="E50" s="74">
        <v>1</v>
      </c>
      <c r="F50" s="11">
        <v>1</v>
      </c>
      <c r="G50" s="12" t="s">
        <v>1474</v>
      </c>
      <c r="H50" s="12" t="s">
        <v>2119</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2190</v>
      </c>
      <c r="C51" t="s">
        <v>2090</v>
      </c>
      <c r="D51" s="2" t="s">
        <v>2083</v>
      </c>
      <c r="E51" s="74">
        <v>1</v>
      </c>
      <c r="F51" s="11">
        <v>1</v>
      </c>
      <c r="G51" s="12" t="s">
        <v>1474</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2091</v>
      </c>
      <c r="C52" t="s">
        <v>2092</v>
      </c>
      <c r="D52" s="2" t="s">
        <v>2093</v>
      </c>
      <c r="E52" s="74">
        <v>1</v>
      </c>
      <c r="F52" s="11">
        <v>1</v>
      </c>
      <c r="G52" s="12" t="s">
        <v>2056</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2094</v>
      </c>
      <c r="C53" t="s">
        <v>2095</v>
      </c>
      <c r="D53" s="2" t="s">
        <v>2096</v>
      </c>
      <c r="E53" s="74">
        <v>1</v>
      </c>
      <c r="F53" s="11">
        <v>1</v>
      </c>
      <c r="G53" s="12" t="s">
        <v>1474</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2097</v>
      </c>
      <c r="C54" t="s">
        <v>2098</v>
      </c>
      <c r="D54" s="2" t="s">
        <v>2099</v>
      </c>
      <c r="E54" s="74">
        <v>1</v>
      </c>
      <c r="F54" s="11">
        <v>1</v>
      </c>
      <c r="G54" s="12" t="s">
        <v>2056</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1498</v>
      </c>
      <c r="C55" s="12" t="s">
        <v>1378</v>
      </c>
      <c r="D55" s="12" t="s">
        <v>1379</v>
      </c>
      <c r="E55" s="74">
        <v>0</v>
      </c>
      <c r="F55" s="11">
        <v>1</v>
      </c>
      <c r="G55" s="72" t="s">
        <v>1474</v>
      </c>
      <c r="H55" s="12" t="s">
        <v>2120</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1499</v>
      </c>
      <c r="C56" s="12" t="s">
        <v>1380</v>
      </c>
      <c r="D56" s="12" t="s">
        <v>1381</v>
      </c>
      <c r="E56" s="11">
        <v>0</v>
      </c>
      <c r="F56" s="11">
        <v>1</v>
      </c>
      <c r="G56" s="72" t="s">
        <v>1474</v>
      </c>
      <c r="H56" s="12" t="s">
        <v>2121</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1500</v>
      </c>
      <c r="C57" s="12" t="s">
        <v>1853</v>
      </c>
      <c r="D57" s="12" t="s">
        <v>1382</v>
      </c>
      <c r="E57" s="11">
        <v>0</v>
      </c>
      <c r="F57" s="11">
        <v>1</v>
      </c>
      <c r="G57" s="72" t="s">
        <v>1474</v>
      </c>
      <c r="H57" s="12" t="s">
        <v>2122</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6" t="str">
        <f>CancerEpisode!P1</f>
        <v>// -------------------------------------------------------------------------------</v>
      </c>
    </row>
    <row r="125" spans="3:3" x14ac:dyDescent="0.75">
      <c r="C125" s="136" t="str">
        <f>CancerEpisode!P2</f>
        <v>// Obligations H&amp;N</v>
      </c>
    </row>
    <row r="126" spans="3:3" x14ac:dyDescent="0.75">
      <c r="C126" s="13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6" t="str">
        <f>CancerEpisode!R1</f>
        <v>// -------------------------------------------------------------------------------</v>
      </c>
    </row>
    <row r="184" spans="3:3" x14ac:dyDescent="0.75">
      <c r="C184" s="136" t="str">
        <f>CancerEpisode!R2</f>
        <v>// Obligations Sarcoma</v>
      </c>
    </row>
    <row r="185" spans="3:3" x14ac:dyDescent="0.75">
      <c r="C185" s="13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150" t="s">
        <v>1492</v>
      </c>
      <c r="F4" s="151"/>
      <c r="G4" s="151"/>
    </row>
    <row r="5" spans="1:19" x14ac:dyDescent="0.75">
      <c r="B5" s="47" t="s">
        <v>10</v>
      </c>
      <c r="C5" s="7" t="s">
        <v>1489</v>
      </c>
      <c r="D5" s="47"/>
      <c r="E5" s="7"/>
    </row>
    <row r="6" spans="1:19" x14ac:dyDescent="0.75">
      <c r="B6" s="47" t="s">
        <v>18</v>
      </c>
      <c r="C6" s="41"/>
      <c r="D6" s="47" t="s">
        <v>1481</v>
      </c>
      <c r="E6" s="150" t="str">
        <f>E3</f>
        <v>http://hl7.eu/fhir/ig/idea4rc/StructureDefinition/CancerEpisode</v>
      </c>
      <c r="F6" s="151"/>
      <c r="G6" s="151"/>
    </row>
    <row r="7" spans="1:19" x14ac:dyDescent="0.75">
      <c r="B7" s="47" t="s">
        <v>15</v>
      </c>
      <c r="C7" s="76"/>
      <c r="D7" s="47" t="s">
        <v>1482</v>
      </c>
      <c r="E7" s="150" t="s">
        <v>1492</v>
      </c>
      <c r="F7" s="151"/>
      <c r="G7" s="151"/>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1505</v>
      </c>
      <c r="E16" s="11"/>
      <c r="F16" s="49" t="s">
        <v>1294</v>
      </c>
      <c r="G16" s="78" t="s">
        <v>1485</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1506</v>
      </c>
      <c r="E18" s="11"/>
      <c r="F18" s="49" t="s">
        <v>1294</v>
      </c>
      <c r="G18" s="80" t="s">
        <v>1573</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1504</v>
      </c>
      <c r="E19" s="11"/>
      <c r="F19" s="49" t="s">
        <v>1317</v>
      </c>
      <c r="G19" s="81" t="s">
        <v>1507</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1508</v>
      </c>
      <c r="E21" s="11"/>
      <c r="F21" s="49" t="s">
        <v>1294</v>
      </c>
      <c r="G21" s="49" t="s">
        <v>1485</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1538</v>
      </c>
      <c r="E22" s="11"/>
      <c r="F22" s="49" t="s">
        <v>1294</v>
      </c>
      <c r="G22" s="80" t="s">
        <v>1574</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1989</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1989</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1989</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1989</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1989</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1989</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1989</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1989</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1989</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1989</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1989</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1989</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1989</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1567</v>
      </c>
      <c r="E36" s="12"/>
      <c r="F36" s="49" t="s">
        <v>1294</v>
      </c>
      <c r="G36" s="96" t="s">
        <v>1570</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1568</v>
      </c>
      <c r="E37" s="12"/>
      <c r="F37" s="49" t="s">
        <v>1294</v>
      </c>
      <c r="G37" s="96" t="s">
        <v>1571</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1569</v>
      </c>
      <c r="E38" s="12"/>
      <c r="F38" s="49" t="s">
        <v>1294</v>
      </c>
      <c r="G38" s="96" t="s">
        <v>1572</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75" t="s">
        <v>1503</v>
      </c>
    </row>
    <row r="5" spans="1:19" x14ac:dyDescent="0.75">
      <c r="B5" s="47" t="s">
        <v>10</v>
      </c>
      <c r="C5" s="7" t="s">
        <v>1489</v>
      </c>
      <c r="D5" s="47"/>
      <c r="E5" s="7"/>
    </row>
    <row r="6" spans="1:19" x14ac:dyDescent="0.75">
      <c r="B6" s="47" t="s">
        <v>18</v>
      </c>
      <c r="C6" s="41"/>
      <c r="D6" s="47" t="s">
        <v>1481</v>
      </c>
      <c r="E6" s="150" t="str">
        <f>E3</f>
        <v>http://hl7.eu/fhir/ig/idea4rc/StructureDefinition/CancerEpisode</v>
      </c>
      <c r="F6" s="151"/>
      <c r="G6" s="151"/>
    </row>
    <row r="7" spans="1:19" x14ac:dyDescent="0.75">
      <c r="B7" s="47" t="s">
        <v>15</v>
      </c>
      <c r="C7" s="76"/>
      <c r="D7" s="47" t="s">
        <v>1482</v>
      </c>
      <c r="E7" s="150" t="s">
        <v>1562</v>
      </c>
      <c r="F7" s="151"/>
      <c r="G7" s="151"/>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1564</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1563</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1976</v>
      </c>
      <c r="L4" s="16" t="str">
        <f>CONCATENATE("Logical: ",B4)</f>
        <v>Logical: EpisodeEventI4rc</v>
      </c>
    </row>
    <row r="5" spans="1:18" ht="19.899999999999999" customHeight="1" x14ac:dyDescent="0.75">
      <c r="A5" s="14" t="s">
        <v>16</v>
      </c>
      <c r="B5" s="31" t="s">
        <v>1622</v>
      </c>
      <c r="L5" s="16" t="str">
        <f>CONCATENATE("Id: ",B5)</f>
        <v>Id: EpisodeEvent</v>
      </c>
    </row>
    <row r="6" spans="1:18" ht="19.899999999999999" customHeight="1" x14ac:dyDescent="0.75">
      <c r="A6" s="14" t="s">
        <v>10</v>
      </c>
      <c r="B6" s="32" t="s">
        <v>1582</v>
      </c>
      <c r="L6" s="17" t="str">
        <f>CONCATENATE("Title: ##34#",B6,"##34#")</f>
        <v>Title: ##34#Episode Event##34#</v>
      </c>
    </row>
    <row r="7" spans="1:18" ht="19.899999999999999" customHeight="1" x14ac:dyDescent="0.75">
      <c r="A7" s="26" t="s">
        <v>2</v>
      </c>
      <c r="B7" s="32" t="s">
        <v>1582</v>
      </c>
      <c r="C7" s="9" t="s">
        <v>3</v>
      </c>
      <c r="D7" s="1" t="s">
        <v>4</v>
      </c>
      <c r="E7" s="3" t="s">
        <v>5</v>
      </c>
      <c r="F7" s="3" t="s">
        <v>6</v>
      </c>
      <c r="G7" s="3" t="s">
        <v>7</v>
      </c>
      <c r="H7" s="64" t="s">
        <v>1384</v>
      </c>
      <c r="I7" s="134" t="s">
        <v>2148</v>
      </c>
      <c r="J7" s="134" t="s">
        <v>2149</v>
      </c>
      <c r="L7" s="17" t="str">
        <f>CONCATENATE("Description: "," ##334#",B7,"##334#",)</f>
        <v>Description:  ##334#Episode Event##334#</v>
      </c>
    </row>
    <row r="8" spans="1:18" ht="20.25" customHeight="1" x14ac:dyDescent="0.75">
      <c r="A8" s="59">
        <v>0</v>
      </c>
      <c r="B8" s="42" t="s">
        <v>1623</v>
      </c>
      <c r="C8" s="11" t="s">
        <v>1614</v>
      </c>
      <c r="D8" s="11" t="s">
        <v>1615</v>
      </c>
      <c r="E8" s="11">
        <v>1</v>
      </c>
      <c r="F8" s="11">
        <v>1</v>
      </c>
      <c r="G8" t="s">
        <v>1627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1624</v>
      </c>
      <c r="C9" s="11" t="s">
        <v>1616</v>
      </c>
      <c r="D9" s="11" t="s">
        <v>1617</v>
      </c>
      <c r="E9" s="11">
        <v>1</v>
      </c>
      <c r="F9" s="11">
        <v>1</v>
      </c>
      <c r="G9" s="42" t="s">
        <v>1474</v>
      </c>
      <c r="H9" s="12" t="s">
        <v>2146</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1625</v>
      </c>
      <c r="C10" s="11" t="s">
        <v>1618</v>
      </c>
      <c r="D10" s="12" t="s">
        <v>1619</v>
      </c>
      <c r="E10" s="11">
        <v>0</v>
      </c>
      <c r="F10" s="11">
        <v>1</v>
      </c>
      <c r="G10" s="42" t="s">
        <v>1474</v>
      </c>
      <c r="H10" s="12" t="s">
        <v>2147</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1626</v>
      </c>
      <c r="C11" s="11" t="s">
        <v>1620</v>
      </c>
      <c r="D11" s="11" t="s">
        <v>1621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1639</v>
      </c>
      <c r="D3" s="47" t="s">
        <v>1479</v>
      </c>
      <c r="E3" s="75" t="str">
        <f>$C$1&amp;EpisodeEvent!B4</f>
        <v>http://hl7.eu/fhir/ig/idea4rc/StructureDefinition/EpisodeEventI4rc</v>
      </c>
    </row>
    <row r="4" spans="1:19" x14ac:dyDescent="0.75">
      <c r="B4" s="47" t="s">
        <v>16</v>
      </c>
      <c r="C4" s="28" t="s">
        <v>1644</v>
      </c>
      <c r="D4" s="47" t="s">
        <v>1480</v>
      </c>
      <c r="E4" s="150" t="s">
        <v>1492</v>
      </c>
      <c r="F4" s="151"/>
      <c r="G4" s="151"/>
    </row>
    <row r="5" spans="1:19" x14ac:dyDescent="0.75">
      <c r="B5" s="47" t="s">
        <v>10</v>
      </c>
      <c r="C5" s="7" t="s">
        <v>1640</v>
      </c>
      <c r="D5" s="47"/>
      <c r="E5" s="7"/>
    </row>
    <row r="6" spans="1:19" x14ac:dyDescent="0.75">
      <c r="B6" s="47" t="s">
        <v>18</v>
      </c>
      <c r="C6" s="41"/>
      <c r="D6" s="47" t="s">
        <v>1481</v>
      </c>
      <c r="E6" s="150" t="str">
        <f>E3</f>
        <v>http://hl7.eu/fhir/ig/idea4rc/StructureDefinition/EpisodeEventI4rc</v>
      </c>
      <c r="F6" s="151"/>
      <c r="G6" s="151"/>
    </row>
    <row r="7" spans="1:19" x14ac:dyDescent="0.75">
      <c r="B7" s="47" t="s">
        <v>15</v>
      </c>
      <c r="C7" s="76"/>
      <c r="D7" s="47" t="s">
        <v>1482</v>
      </c>
      <c r="E7" s="150" t="s">
        <v>1492</v>
      </c>
      <c r="F7" s="151"/>
      <c r="G7" s="151"/>
    </row>
    <row r="8" spans="1:19" ht="45" thickBot="1" x14ac:dyDescent="0.9">
      <c r="B8" s="47" t="s">
        <v>1483</v>
      </c>
      <c r="C8" s="77" t="s">
        <v>1640</v>
      </c>
      <c r="D8" s="47"/>
      <c r="E8" s="7"/>
      <c r="I8" s="12" t="s">
        <v>1289</v>
      </c>
      <c r="J8" s="12" t="s">
        <v>1290</v>
      </c>
      <c r="K8" s="12" t="s">
        <v>1291</v>
      </c>
      <c r="L8" s="12" t="s">
        <v>1292</v>
      </c>
      <c r="M8" s="11" t="s">
        <v>1293</v>
      </c>
      <c r="P8" s="34" t="s">
        <v>1328</v>
      </c>
      <c r="Q8" s="34">
        <v>6</v>
      </c>
    </row>
    <row r="9" spans="1:19" ht="30.25" thickBot="1" x14ac:dyDescent="0.9">
      <c r="B9" s="47" t="s">
        <v>1484</v>
      </c>
      <c r="C9" s="12" t="s">
        <v>1641</v>
      </c>
      <c r="D9" s="99"/>
      <c r="E9" s="152" t="s">
        <v>1650</v>
      </c>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1630</v>
      </c>
      <c r="E15" s="12"/>
      <c r="F15" s="49" t="s">
        <v>1316</v>
      </c>
      <c r="G15" s="81" t="s">
        <v>1648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1649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1631</v>
      </c>
      <c r="E17" s="12"/>
      <c r="F17" s="49" t="s">
        <v>1294</v>
      </c>
      <c r="G17" s="81" t="s">
        <v>1632</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1633</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1634</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1635</v>
      </c>
      <c r="E20" s="12"/>
      <c r="F20" s="49" t="s">
        <v>1294</v>
      </c>
      <c r="G20" s="98" t="s">
        <v>1636</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1635</v>
      </c>
      <c r="E21" s="12"/>
      <c r="F21" s="49" t="s">
        <v>1294</v>
      </c>
      <c r="G21" s="98" t="s">
        <v>1636</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1635</v>
      </c>
      <c r="E22" s="12"/>
      <c r="F22" s="49" t="s">
        <v>1294</v>
      </c>
      <c r="G22" s="98" t="s">
        <v>1636</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1637</v>
      </c>
      <c r="E23" s="11"/>
      <c r="F23" s="49" t="s">
        <v>1294</v>
      </c>
      <c r="G23" s="81" t="s">
        <v>1638</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1637</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1637</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1637</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1637</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1637</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1637</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1637</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1637</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1637</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1637</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1973</v>
      </c>
      <c r="L4" s="16" t="str">
        <f>CONCATENATE("Logical: ",B4)</f>
        <v>Logical: GeneticTestExpressionI4rc</v>
      </c>
    </row>
    <row r="5" spans="1:18" ht="15.5" thickBot="1" x14ac:dyDescent="0.9">
      <c r="A5" s="14" t="s">
        <v>16</v>
      </c>
      <c r="B5" s="30" t="s">
        <v>1943</v>
      </c>
      <c r="L5" s="16" t="str">
        <f>CONCATENATE("Id: ",B5)</f>
        <v>Id: GeneticTestExpression</v>
      </c>
    </row>
    <row r="6" spans="1:18" ht="15.5" thickBot="1" x14ac:dyDescent="0.9">
      <c r="A6" s="14" t="s">
        <v>10</v>
      </c>
      <c r="B6" s="30" t="s">
        <v>1944</v>
      </c>
      <c r="L6" s="17" t="str">
        <f>CONCATENATE("Title: ##34#",B6,"##34#")</f>
        <v>Title: ##34#Genetic Test Expression##34#</v>
      </c>
    </row>
    <row r="7" spans="1:18" x14ac:dyDescent="0.75">
      <c r="A7" s="26" t="s">
        <v>2</v>
      </c>
      <c r="B7" s="104" t="s">
        <v>1944</v>
      </c>
      <c r="C7" s="9" t="s">
        <v>3</v>
      </c>
      <c r="D7" s="1" t="s">
        <v>4</v>
      </c>
      <c r="E7" s="3" t="s">
        <v>5</v>
      </c>
      <c r="F7" s="3" t="s">
        <v>6</v>
      </c>
      <c r="G7" s="3" t="s">
        <v>7</v>
      </c>
      <c r="H7" s="64" t="s">
        <v>1384</v>
      </c>
      <c r="I7" s="134" t="s">
        <v>2148</v>
      </c>
      <c r="J7" s="134" t="s">
        <v>2149</v>
      </c>
      <c r="L7" s="17" t="str">
        <f>CONCATENATE("Description: "," ##334#",B7,"##334#",)</f>
        <v>Description:  ##334#Genetic Test Expression##334#</v>
      </c>
    </row>
    <row r="8" spans="1:18" ht="59" x14ac:dyDescent="0.75">
      <c r="A8" s="59">
        <v>0</v>
      </c>
      <c r="B8" s="11" t="s">
        <v>1608</v>
      </c>
      <c r="C8" s="106" t="s">
        <v>1614</v>
      </c>
      <c r="D8" t="s">
        <v>1576</v>
      </c>
      <c r="E8" s="11">
        <v>1</v>
      </c>
      <c r="F8" s="11">
        <v>1</v>
      </c>
      <c r="G8" s="11" t="s">
        <v>1629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1945</v>
      </c>
      <c r="C9" s="106" t="s">
        <v>1614</v>
      </c>
      <c r="D9" t="s">
        <v>1946</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1947</v>
      </c>
      <c r="C10" s="106" t="s">
        <v>1614</v>
      </c>
      <c r="D10" t="s">
        <v>1948</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1949</v>
      </c>
      <c r="C11" s="106" t="s">
        <v>1614</v>
      </c>
      <c r="D11" t="s">
        <v>1950</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1951</v>
      </c>
      <c r="C12" s="106" t="s">
        <v>1614</v>
      </c>
      <c r="D12" t="s">
        <v>1952</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1953</v>
      </c>
      <c r="C13" s="106" t="s">
        <v>1614</v>
      </c>
      <c r="D13" t="s">
        <v>1954</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1955</v>
      </c>
      <c r="C14" s="106" t="s">
        <v>1614</v>
      </c>
      <c r="D14" t="s">
        <v>1956</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2200</v>
      </c>
      <c r="C15" s="106" t="s">
        <v>1614</v>
      </c>
      <c r="D15" t="s">
        <v>1957</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1958</v>
      </c>
      <c r="C16" s="106" t="s">
        <v>1614</v>
      </c>
      <c r="D16" t="s">
        <v>1959</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2201</v>
      </c>
      <c r="C17" s="106" t="s">
        <v>1614</v>
      </c>
      <c r="D17" t="s">
        <v>1960</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1961</v>
      </c>
      <c r="C18" s="106" t="s">
        <v>1614</v>
      </c>
      <c r="D18" t="s">
        <v>1962</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1963</v>
      </c>
      <c r="C19" s="106" t="s">
        <v>1614</v>
      </c>
      <c r="D19" t="s">
        <v>1964</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1965</v>
      </c>
      <c r="C20" s="106" t="s">
        <v>1614</v>
      </c>
      <c r="D20" t="s">
        <v>1966</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2202</v>
      </c>
      <c r="C21" s="106" t="s">
        <v>1614</v>
      </c>
      <c r="D21" t="s">
        <v>1967</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1968</v>
      </c>
      <c r="C22" s="106" t="s">
        <v>1614</v>
      </c>
      <c r="D22" t="s">
        <v>1969</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GeneticTestExpression!L1</f>
        <v>//===================================================</v>
      </c>
    </row>
    <row r="2" spans="3:7" ht="16.75" thickBot="1" x14ac:dyDescent="0.9">
      <c r="C2" s="24" t="str">
        <f>GeneticTestExpression!L2</f>
        <v>//  Logical Model</v>
      </c>
      <c r="G2" s="29" t="s">
        <v>1970</v>
      </c>
    </row>
    <row r="3" spans="3:7" x14ac:dyDescent="0.75">
      <c r="C3" s="24" t="str">
        <f>GeneticTestExpression!L3</f>
        <v>//===================================================</v>
      </c>
    </row>
    <row r="4" spans="3:7" x14ac:dyDescent="0.75">
      <c r="C4" s="108" t="str">
        <f>GeneticTestExpression!L4</f>
        <v>Logical: GeneticTestExpressionI4rc</v>
      </c>
    </row>
    <row r="5" spans="3:7" x14ac:dyDescent="0.75">
      <c r="C5" s="108" t="str">
        <f>GeneticTestExpression!L5</f>
        <v>Id: GeneticTestExpression</v>
      </c>
    </row>
    <row r="6" spans="3:7" x14ac:dyDescent="0.75">
      <c r="C6" s="108" t="str">
        <f>GeneticTestExpression!L6</f>
        <v>Title: ##34#Genetic Test Expression##34#</v>
      </c>
    </row>
    <row r="7" spans="3:7" x14ac:dyDescent="0.75">
      <c r="C7" s="108" t="str">
        <f>GeneticTestExpression!L7</f>
        <v>Description:  ##334#Genetic Test Expression##334#</v>
      </c>
    </row>
    <row r="8" spans="3:7" ht="29.5" x14ac:dyDescent="0.75">
      <c r="C8" s="109"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9" t="str">
        <f>IF(GeneticTestExpression!L9="*  ..  ##34###34# ##334###334#","//--- END",GeneticTestExpression!L9)</f>
        <v>* geneExpressionAnalysisPerformed 0..1 boolean ##34#Cancer Episode Reference##34# ##334#Clarifies whether a gene expression analysis is performed##334#</v>
      </c>
    </row>
    <row r="10" spans="3:7" x14ac:dyDescent="0.75">
      <c r="C10" s="109" t="str">
        <f>IF(GeneticTestExpression!L10="*  ..  ##34###34# ##334###334#","//--- END",GeneticTestExpression!L10)</f>
        <v>* dateOfGeneExpression 0..1 date ##34#Cancer Episode Reference##34# ##334#Date of the gene expression analysis##334#</v>
      </c>
    </row>
    <row r="11" spans="3:7" ht="29.5" x14ac:dyDescent="0.75">
      <c r="C11" s="109" t="str">
        <f>IF(GeneticTestExpression!L11="*  ..  ##34###34# ##334###334#","//--- END",GeneticTestExpression!L11)</f>
        <v>* geneMutationAnalysisPerformed 0..1 boolean ##34#Cancer Episode Reference##34# ##334#Clarifies whether a gene mutation analysis is performed##334#</v>
      </c>
    </row>
    <row r="12" spans="3:7" x14ac:dyDescent="0.75">
      <c r="C12" s="109" t="str">
        <f>IF(GeneticTestExpression!L12="*  ..  ##34###34# ##334###334#","//--- END",GeneticTestExpression!L12)</f>
        <v>* dateOfGeneMutation 0..1 date ##34#Cancer Episode Reference##34# ##334#Date of the gene mutation analysis##334#</v>
      </c>
    </row>
    <row r="13" spans="3:7" ht="29.5" x14ac:dyDescent="0.75">
      <c r="C13" s="109"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9" t="str">
        <f>IF(GeneticTestExpression!L14="*  ..  ##34###34# ##334###334#","//--- END",GeneticTestExpression!L14)</f>
        <v>* dateOfTraslocation 0..1 date ##34#Cancer Episode Reference##34# ##334#Date of the Chromosome translocation test##334#</v>
      </c>
    </row>
    <row r="15" spans="3:7" ht="29.5" x14ac:dyDescent="0.75">
      <c r="C15" s="109" t="str">
        <f>IF(GeneticTestExpression!L15="*  ..  ##34###34# ##334###334#","//--- END",GeneticTestExpression!L15)</f>
        <v>* ngsPerformed 0..1 boolean ##34#Cancer Episode Reference##34# ##334#Clarifies whether a NGS analysis is performed##334#</v>
      </c>
    </row>
    <row r="16" spans="3:7" x14ac:dyDescent="0.75">
      <c r="C16" s="109" t="str">
        <f>IF(GeneticTestExpression!L16="*  ..  ##34###34# ##334###334#","//--- END",GeneticTestExpression!L16)</f>
        <v>* dateOfNgs 0..1 date ##34#Cancer Episode Reference##34# ##334#Date of the NGS analysis##334#</v>
      </c>
    </row>
    <row r="17" spans="3:3" ht="29.5" x14ac:dyDescent="0.75">
      <c r="C17" s="109" t="str">
        <f>IF(GeneticTestExpression!L17="*  ..  ##34###34# ##334###334#","//--- END",GeneticTestExpression!L17)</f>
        <v>* pcrTestPerformed 0..1 boolean ##34#Cancer Episode Reference##34# ##334#Clarifies whether a PCR analysis is performed##334#</v>
      </c>
    </row>
    <row r="18" spans="3:3" x14ac:dyDescent="0.75">
      <c r="C18" s="109" t="str">
        <f>IF(GeneticTestExpression!L18="*  ..  ##34###34# ##334###334#","//--- END",GeneticTestExpression!L18)</f>
        <v>* dateOfPcr 0..1 date ##34#Cancer Episode Reference##34# ##334#Date of the PCR analysis##334#</v>
      </c>
    </row>
    <row r="19" spans="3:3" ht="29.5" x14ac:dyDescent="0.75">
      <c r="C19" s="109" t="str">
        <f>IF(GeneticTestExpression!L19="*  ..  ##34###34# ##334###334#","//--- END",GeneticTestExpression!L19)</f>
        <v>* immunohistochemistryPerformed 0..1 boolean ##34#Cancer Episode Reference##34# ##334#Clarifies whether a immunohiostochemestry analysis is performed##334#</v>
      </c>
    </row>
    <row r="20" spans="3:3" ht="29.5" x14ac:dyDescent="0.75">
      <c r="C20" s="109" t="str">
        <f>IF(GeneticTestExpression!L20="*  ..  ##34###34# ##334###334#","//--- END",GeneticTestExpression!L20)</f>
        <v>* dateOfImmunohistochemistry 0..1 date ##34#Cancer Episode Reference##34# ##334#Date of the immunohiostochemestry analysis##334#</v>
      </c>
    </row>
    <row r="21" spans="3:3" ht="29.5" x14ac:dyDescent="0.75">
      <c r="C21" s="109" t="str">
        <f>IF(GeneticTestExpression!L21="*  ..  ##34###34# ##334###334#","//--- END",GeneticTestExpression!L21)</f>
        <v>* ctDnaPerformed 0..1 boolean ##34#Cancer Episode Reference##34# ##334#Clarifies whether a ctDNA analysis is performed##334#</v>
      </c>
    </row>
    <row r="22" spans="3:3" x14ac:dyDescent="0.75">
      <c r="C22" s="109" t="str">
        <f>IF(GeneticTestExpression!L22="*  ..  ##34###34# ##334###334#","//--- END",GeneticTestExpression!L22)</f>
        <v>* dateOfCtdna 0..1 date ##34#Cancer Episode Reference##34# ##334#Date of the ctDNA analysis##334#</v>
      </c>
    </row>
    <row r="23" spans="3:3" x14ac:dyDescent="0.75">
      <c r="C23" s="109" t="str">
        <f>IF(GeneticTestExpression!L23="*  ..  ##34###34# ##334###334#","//--- END",GeneticTestExpression!L23)</f>
        <v>//--- END</v>
      </c>
    </row>
    <row r="24" spans="3:3" x14ac:dyDescent="0.75">
      <c r="C24" s="109" t="str">
        <f>IF(GeneticTestExpression!L24="*  ..  ##34###34# ##334###334#","//--- END",GeneticTestExpression!L24)</f>
        <v>//--- END</v>
      </c>
    </row>
    <row r="25" spans="3:3" x14ac:dyDescent="0.75">
      <c r="C25" s="109" t="str">
        <f>IF(GeneticTestExpression!L25="*  ..  ##34###34# ##334###334#","//--- END",GeneticTestExpression!L25)</f>
        <v>//--- END</v>
      </c>
    </row>
    <row r="26" spans="3:3" x14ac:dyDescent="0.75">
      <c r="C26" s="109" t="str">
        <f>IF(GeneticTestExpression!L26="*  ..  ##34###34# ##334###334#","//--- END",GeneticTestExpression!L26)</f>
        <v>//--- END</v>
      </c>
    </row>
    <row r="27" spans="3:3" x14ac:dyDescent="0.75">
      <c r="C27" s="109" t="str">
        <f>IF(GeneticTestExpression!L27="*  ..  ##34###34# ##334###334#","//--- END",GeneticTestExpression!L27)</f>
        <v>//--- END</v>
      </c>
    </row>
    <row r="31" spans="3:3" x14ac:dyDescent="0.75">
      <c r="C31" s="107" t="s">
        <v>1387</v>
      </c>
    </row>
    <row r="32" spans="3:3" x14ac:dyDescent="0.75">
      <c r="C32" s="24" t="s">
        <v>1421</v>
      </c>
    </row>
    <row r="33" spans="3:3" x14ac:dyDescent="0.75">
      <c r="C33" s="24" t="s">
        <v>1387</v>
      </c>
    </row>
    <row r="34" spans="3:3" x14ac:dyDescent="0.75">
      <c r="C34" s="109" t="str">
        <f>IF(GeneticTestExpression!N8="*  ..  ##34###34# ##334###334#","//--- END",GeneticTestExpression!N8)</f>
        <v/>
      </c>
    </row>
    <row r="35" spans="3:3" x14ac:dyDescent="0.75">
      <c r="C35" s="109" t="str">
        <f>IF(GeneticTestExpression!N9="*  ..  ##34###34# ##334###334#","//--- END",GeneticTestExpression!N9)</f>
        <v/>
      </c>
    </row>
    <row r="36" spans="3:3" x14ac:dyDescent="0.75">
      <c r="C36" s="109" t="str">
        <f>IF(GeneticTestExpression!N10="*  ..  ##34###34# ##334###334#","//--- END",GeneticTestExpression!N10)</f>
        <v/>
      </c>
    </row>
    <row r="37" spans="3:3" x14ac:dyDescent="0.75">
      <c r="C37" s="109" t="str">
        <f>IF(GeneticTestExpression!N11="*  ..  ##34###34# ##334###334#","//--- END",GeneticTestExpression!N11)</f>
        <v/>
      </c>
    </row>
    <row r="38" spans="3:3" x14ac:dyDescent="0.75">
      <c r="C38" s="109" t="str">
        <f>IF(GeneticTestExpression!N12="*  ..  ##34###34# ##334###334#","//--- END",GeneticTestExpression!N12)</f>
        <v/>
      </c>
    </row>
    <row r="39" spans="3:3" x14ac:dyDescent="0.75">
      <c r="C39" s="109" t="str">
        <f>IF(GeneticTestExpression!N13="*  ..  ##34###34# ##334###334#","//--- END",GeneticTestExpression!N13)</f>
        <v/>
      </c>
    </row>
    <row r="40" spans="3:3" x14ac:dyDescent="0.75">
      <c r="C40" s="109" t="str">
        <f>IF(GeneticTestExpression!N14="*  ..  ##34###34# ##334###334#","//--- END",GeneticTestExpression!N14)</f>
        <v/>
      </c>
    </row>
    <row r="41" spans="3:3" x14ac:dyDescent="0.75">
      <c r="C41" s="109" t="str">
        <f>IF(GeneticTestExpression!N15="*  ..  ##34###34# ##334###334#","//--- END",GeneticTestExpression!N15)</f>
        <v/>
      </c>
    </row>
    <row r="42" spans="3:3" x14ac:dyDescent="0.75">
      <c r="C42" s="109" t="str">
        <f>IF(GeneticTestExpression!N16="*  ..  ##34###34# ##334###334#","//--- END",GeneticTestExpression!N16)</f>
        <v/>
      </c>
    </row>
    <row r="43" spans="3:3" x14ac:dyDescent="0.75">
      <c r="C43" s="109" t="str">
        <f>IF(GeneticTestExpression!N17="*  ..  ##34###34# ##334###334#","//--- END",GeneticTestExpression!N17)</f>
        <v/>
      </c>
    </row>
    <row r="44" spans="3:3" x14ac:dyDescent="0.75">
      <c r="C44" s="109" t="str">
        <f>IF(GeneticTestExpression!N18="*  ..  ##34###34# ##334###334#","//--- END",GeneticTestExpression!N18)</f>
        <v/>
      </c>
    </row>
    <row r="45" spans="3:3" x14ac:dyDescent="0.75">
      <c r="C45" s="109" t="str">
        <f>IF(GeneticTestExpression!N19="*  ..  ##34###34# ##334###334#","//--- END",GeneticTestExpression!N19)</f>
        <v/>
      </c>
    </row>
    <row r="46" spans="3:3" x14ac:dyDescent="0.75">
      <c r="C46" s="109" t="str">
        <f>IF(GeneticTestExpression!N20="*  ..  ##34###34# ##334###334#","//--- END",GeneticTestExpression!N20)</f>
        <v/>
      </c>
    </row>
    <row r="47" spans="3:3" x14ac:dyDescent="0.75">
      <c r="C47" s="109" t="str">
        <f>IF(GeneticTestExpression!N21="*  ..  ##34###34# ##334###334#","//--- END",GeneticTestExpression!N21)</f>
        <v/>
      </c>
    </row>
    <row r="48" spans="3:3" x14ac:dyDescent="0.75">
      <c r="C48" s="109" t="str">
        <f>IF(GeneticTestExpression!N22="*  ..  ##34###34# ##334###334#","//--- END",GeneticTestExpression!N22)</f>
        <v/>
      </c>
    </row>
    <row r="49" spans="3:3" x14ac:dyDescent="0.75">
      <c r="C49" s="109" t="str">
        <f>IF(GeneticTestExpression!N23="*  ..  ##34###34# ##334###334#","//--- END",GeneticTestExpression!N23)</f>
        <v>//--- END</v>
      </c>
    </row>
    <row r="50" spans="3:3" x14ac:dyDescent="0.75">
      <c r="C50" s="109" t="str">
        <f>IF(GeneticTestExpression!N24="*  ..  ##34###34# ##334###334#","//--- END",GeneticTestExpression!N24)</f>
        <v>//--- END</v>
      </c>
    </row>
    <row r="51" spans="3:3" x14ac:dyDescent="0.75">
      <c r="C51" s="109" t="str">
        <f>IF(GeneticTestExpression!N25="*  ..  ##34###34# ##334###334#","//--- END",GeneticTestExpression!N25)</f>
        <v>//--- END</v>
      </c>
    </row>
    <row r="52" spans="3:3" x14ac:dyDescent="0.75">
      <c r="C52" s="109" t="str">
        <f>IF(GeneticTestExpression!N26="*  ..  ##34###34# ##334###334#","//--- END",GeneticTestExpression!N26)</f>
        <v>//--- END</v>
      </c>
    </row>
    <row r="53" spans="3:3" x14ac:dyDescent="0.75">
      <c r="C53" s="109" t="str">
        <f>IF(GeneticTestExpression!N27="*  ..  ##34###34# ##334###334#","//--- END",GeneticTestExpression!N27)</f>
        <v>//--- END</v>
      </c>
    </row>
    <row r="54" spans="3:3" x14ac:dyDescent="0.75">
      <c r="C54" s="109"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http://hl7.eu/fhir/ig/idea4rc/StructureDefinition/GeneticTestExpressionI4rc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http://hl7.eu/fhir/ig/idea4rc/StructureDefinition/GeneticTestExpressionI4rc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44" t="s">
        <v>2245</v>
      </c>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2246</v>
      </c>
      <c r="L4" s="16" t="str">
        <f>CONCATENATE("Logical: ",B4)</f>
        <v>Logical: StageI4rc</v>
      </c>
    </row>
    <row r="5" spans="1:18" ht="19.899999999999999" customHeight="1" x14ac:dyDescent="0.75">
      <c r="A5" s="14" t="s">
        <v>16</v>
      </c>
      <c r="B5" s="31" t="s">
        <v>2247</v>
      </c>
      <c r="L5" s="16" t="str">
        <f>CONCATENATE("Id: ",B5)</f>
        <v>Id: Stage</v>
      </c>
    </row>
    <row r="6" spans="1:18" ht="19.899999999999999" customHeight="1" x14ac:dyDescent="0.75">
      <c r="A6" s="14" t="s">
        <v>10</v>
      </c>
      <c r="B6" s="32" t="s">
        <v>2247</v>
      </c>
      <c r="L6" s="17" t="str">
        <f>CONCATENATE("Title: ##34#",B6,"##34#")</f>
        <v>Title: ##34#Stage##34#</v>
      </c>
    </row>
    <row r="7" spans="1:18" ht="19.899999999999999" customHeight="1" x14ac:dyDescent="0.75">
      <c r="A7" s="26" t="s">
        <v>2</v>
      </c>
      <c r="B7" s="63" t="s">
        <v>2247</v>
      </c>
      <c r="C7" s="9" t="s">
        <v>3</v>
      </c>
      <c r="D7" s="1" t="s">
        <v>4</v>
      </c>
      <c r="E7" s="3" t="s">
        <v>5</v>
      </c>
      <c r="F7" s="3" t="s">
        <v>6</v>
      </c>
      <c r="G7" s="3" t="s">
        <v>7</v>
      </c>
      <c r="H7" s="64" t="s">
        <v>1384</v>
      </c>
      <c r="I7" s="134" t="s">
        <v>2148</v>
      </c>
      <c r="J7" s="134" t="s">
        <v>2149</v>
      </c>
      <c r="L7" s="17" t="str">
        <f>CONCATENATE("Description: "," ##334#",B7,"##334#",)</f>
        <v>Description:  ##334#Stage##334#</v>
      </c>
    </row>
    <row r="8" spans="1:18" ht="20.25" customHeight="1" x14ac:dyDescent="0.75">
      <c r="A8" s="140">
        <v>0</v>
      </c>
      <c r="B8" s="42" t="s">
        <v>1581</v>
      </c>
      <c r="C8" s="11" t="s">
        <v>1575</v>
      </c>
      <c r="D8" s="11" t="s">
        <v>1576</v>
      </c>
      <c r="E8" s="11">
        <v>1</v>
      </c>
      <c r="F8" s="11">
        <v>1</v>
      </c>
      <c r="G8" t="s">
        <v>1629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0">
        <v>1</v>
      </c>
      <c r="B9" s="11" t="s">
        <v>1937</v>
      </c>
      <c r="C9" s="11" t="s">
        <v>2212</v>
      </c>
      <c r="D9" s="11" t="s">
        <v>2212</v>
      </c>
      <c r="E9" s="11">
        <v>1</v>
      </c>
      <c r="F9" s="11">
        <v>1</v>
      </c>
      <c r="G9" t="s">
        <v>1474</v>
      </c>
      <c r="H9" s="12" t="s">
        <v>2222</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0">
        <v>2</v>
      </c>
      <c r="B10" s="11" t="s">
        <v>2203</v>
      </c>
      <c r="C10" s="11" t="s">
        <v>292</v>
      </c>
      <c r="D10" s="11" t="s">
        <v>1388</v>
      </c>
      <c r="E10" s="11">
        <v>1</v>
      </c>
      <c r="F10" s="11">
        <v>1</v>
      </c>
      <c r="G10" t="s">
        <v>1474</v>
      </c>
      <c r="H10" s="12" t="s">
        <v>2223</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1">
        <v>3</v>
      </c>
      <c r="B11" s="11" t="s">
        <v>2204</v>
      </c>
      <c r="C11" s="11" t="s">
        <v>299</v>
      </c>
      <c r="D11" s="11" t="s">
        <v>1389</v>
      </c>
      <c r="E11" s="11">
        <v>1</v>
      </c>
      <c r="F11" s="11">
        <v>1</v>
      </c>
      <c r="G11" t="s">
        <v>1474</v>
      </c>
      <c r="H11" s="12" t="s">
        <v>2224</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0">
        <v>4</v>
      </c>
      <c r="B12" s="11" t="s">
        <v>2205</v>
      </c>
      <c r="C12" s="11" t="s">
        <v>306</v>
      </c>
      <c r="D12" s="11" t="s">
        <v>1390</v>
      </c>
      <c r="E12" s="11">
        <v>1</v>
      </c>
      <c r="F12" s="11">
        <v>1</v>
      </c>
      <c r="G12" t="s">
        <v>1474</v>
      </c>
      <c r="H12" s="12" t="s">
        <v>2225</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0">
        <v>5</v>
      </c>
      <c r="B13" s="11" t="s">
        <v>2206</v>
      </c>
      <c r="C13" s="11" t="s">
        <v>1577</v>
      </c>
      <c r="D13" s="11" t="s">
        <v>1578</v>
      </c>
      <c r="E13" s="11">
        <v>1</v>
      </c>
      <c r="F13" s="11">
        <v>1</v>
      </c>
      <c r="G13" t="s">
        <v>1474</v>
      </c>
      <c r="H13" s="12" t="s">
        <v>2226</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0">
        <v>6</v>
      </c>
      <c r="B14" s="11" t="s">
        <v>2207</v>
      </c>
      <c r="C14" s="11" t="s">
        <v>2213</v>
      </c>
      <c r="D14" s="11" t="s">
        <v>2214</v>
      </c>
      <c r="E14" s="11">
        <v>1</v>
      </c>
      <c r="F14" s="11">
        <v>1</v>
      </c>
      <c r="G14" t="s">
        <v>1474</v>
      </c>
      <c r="H14" s="12" t="s">
        <v>2229</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2">
        <v>7</v>
      </c>
      <c r="B15" s="11" t="s">
        <v>2208</v>
      </c>
      <c r="C15" s="11" t="s">
        <v>2215</v>
      </c>
      <c r="D15" s="11" t="s">
        <v>2216</v>
      </c>
      <c r="E15" s="11">
        <v>1</v>
      </c>
      <c r="F15" s="11">
        <v>1</v>
      </c>
      <c r="G15" t="s">
        <v>1474</v>
      </c>
      <c r="H15" s="12" t="s">
        <v>2230</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2">
        <v>8</v>
      </c>
      <c r="B16" s="11" t="s">
        <v>2209</v>
      </c>
      <c r="C16" s="11" t="s">
        <v>2217</v>
      </c>
      <c r="D16" s="11" t="s">
        <v>2218</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2">
        <v>9</v>
      </c>
      <c r="B17" s="11" t="s">
        <v>1417</v>
      </c>
      <c r="C17" s="11" t="s">
        <v>1392</v>
      </c>
      <c r="D17" s="11" t="s">
        <v>1393</v>
      </c>
      <c r="E17" s="11">
        <v>1</v>
      </c>
      <c r="F17" s="11">
        <v>1</v>
      </c>
      <c r="G17" t="s">
        <v>1474</v>
      </c>
      <c r="H17" s="12" t="s">
        <v>2227</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2">
        <v>10</v>
      </c>
      <c r="B18" s="11" t="s">
        <v>2210</v>
      </c>
      <c r="C18" s="11" t="s">
        <v>2219</v>
      </c>
      <c r="D18" s="11" t="s">
        <v>2220</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2"/>
      <c r="B19" s="6" t="s">
        <v>2231</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2">
        <v>11</v>
      </c>
      <c r="B20" s="11" t="s">
        <v>2232</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2">
        <v>12</v>
      </c>
      <c r="B21" s="11" t="s">
        <v>2233</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2">
        <v>13</v>
      </c>
      <c r="B22" s="11" t="s">
        <v>2234</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2">
        <v>14</v>
      </c>
      <c r="B23" s="11" t="s">
        <v>2235</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2">
        <v>15</v>
      </c>
      <c r="B24" s="11" t="s">
        <v>2236</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2">
        <v>16</v>
      </c>
      <c r="B25" s="11" t="s">
        <v>2237</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3">
        <v>17</v>
      </c>
      <c r="B26" s="11" t="s">
        <v>2238</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0">
        <v>18</v>
      </c>
      <c r="B27" s="11" t="s">
        <v>2239</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3">
        <v>19</v>
      </c>
      <c r="B28" s="11" t="s">
        <v>2240</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0">
        <v>20</v>
      </c>
      <c r="B29" s="11" t="s">
        <v>2241</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3">
        <v>21</v>
      </c>
      <c r="B30" s="11" t="s">
        <v>2211</v>
      </c>
      <c r="C30" s="11" t="s">
        <v>2221</v>
      </c>
      <c r="D30" s="11" t="s">
        <v>1391</v>
      </c>
      <c r="E30" s="11">
        <v>1</v>
      </c>
      <c r="F30" s="11">
        <v>1</v>
      </c>
      <c r="G30" t="s">
        <v>1474</v>
      </c>
      <c r="H30" s="12" t="s">
        <v>2228</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1583</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1651</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1651</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81" t="s">
        <v>1652</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1653</v>
      </c>
      <c r="E16" s="12"/>
      <c r="F16" s="49" t="s">
        <v>1294</v>
      </c>
      <c r="G16" s="81" t="s">
        <v>1667</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1654</v>
      </c>
      <c r="E17" s="12"/>
      <c r="F17" s="101" t="s">
        <v>1294</v>
      </c>
      <c r="G17" s="81" t="s">
        <v>1667</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8" t="s">
        <v>1294</v>
      </c>
      <c r="G18" s="80" t="s">
        <v>1662</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1655</v>
      </c>
      <c r="E19" s="12"/>
      <c r="F19" s="49" t="s">
        <v>1317</v>
      </c>
      <c r="G19" s="81" t="s">
        <v>1667</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1656</v>
      </c>
      <c r="E20" s="12"/>
      <c r="F20" s="49" t="s">
        <v>1316</v>
      </c>
      <c r="G20" s="81" t="s">
        <v>1667</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1657</v>
      </c>
      <c r="E21" s="12"/>
      <c r="F21" s="49" t="s">
        <v>1294</v>
      </c>
      <c r="G21" s="81" t="s">
        <v>1668</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102" t="s">
        <v>1661</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80" t="s">
        <v>1661</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80" t="s">
        <v>1661</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80" t="s">
        <v>1661</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80" t="s">
        <v>1661</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80" t="s">
        <v>1661</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80" t="s">
        <v>1661</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80" t="s">
        <v>1661</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80" t="s">
        <v>1661</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80" t="s">
        <v>1661</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INDEX('Stage-ConceptMap-1'!$I$15:$N$124,Q45+1,R45)</f>
        <v>* group[=].element[+].code = #Stage.rENE</v>
      </c>
    </row>
    <row r="46" spans="1:19" x14ac:dyDescent="0.75">
      <c r="B46" s="11"/>
      <c r="C46" s="11"/>
      <c r="G46" s="81"/>
      <c r="P46" s="11">
        <v>32</v>
      </c>
      <c r="Q46" s="11">
        <f t="shared" si="5"/>
        <v>5</v>
      </c>
      <c r="R46" s="11">
        <f t="shared" si="6"/>
        <v>2</v>
      </c>
      <c r="S46" s="12" t="str" cm="1">
        <f t="array" ref="S46">INDEX('Stage-ConceptMap-1'!$I$15:$N$124,Q46+1,R46)</f>
        <v>* group[=].element[=].display = ##34#Radiological Extra-nodal extension (rENE)##34#</v>
      </c>
    </row>
    <row r="47" spans="1:19" x14ac:dyDescent="0.75">
      <c r="G47" s="81"/>
      <c r="P47" s="11">
        <v>33</v>
      </c>
      <c r="Q47" s="11">
        <f t="shared" si="5"/>
        <v>5</v>
      </c>
      <c r="R47" s="11">
        <f t="shared" si="6"/>
        <v>3</v>
      </c>
      <c r="S47" s="12" t="str" cm="1">
        <f t="array" ref="S47">INDEX('Stage-ConceptMap-1'!$I$15:$N$124,Q47+1,R47)</f>
        <v>* group[=].element[=].target.code = #Observation.valueCodeableConcept</v>
      </c>
    </row>
    <row r="48" spans="1:19" x14ac:dyDescent="0.75">
      <c r="G48" s="81"/>
      <c r="P48" s="11">
        <v>34</v>
      </c>
      <c r="Q48" s="11">
        <f t="shared" si="5"/>
        <v>5</v>
      </c>
      <c r="R48" s="11">
        <f t="shared" si="6"/>
        <v>4</v>
      </c>
      <c r="S48" s="12" t="str" cm="1">
        <f t="array" ref="S48">INDEX('Stage-ConceptMap-1'!$I$15:$N$124,Q48+1,R48)</f>
        <v>* group[=].element[=].target.display = ##34###34#</v>
      </c>
    </row>
    <row r="49" spans="7:19" x14ac:dyDescent="0.75">
      <c r="G49" s="81"/>
      <c r="P49" s="11">
        <v>35</v>
      </c>
      <c r="Q49" s="11">
        <f t="shared" si="5"/>
        <v>5</v>
      </c>
      <c r="R49" s="11">
        <f t="shared" si="6"/>
        <v>5</v>
      </c>
      <c r="S49" s="12" t="str" cm="1">
        <f t="array" ref="S49">INDEX('Stage-ConceptMap-1'!$I$15:$N$124,Q49+1,R49)</f>
        <v>* group[=].element[=].target.equivalence = #equivalent</v>
      </c>
    </row>
    <row r="50" spans="7:19" ht="29.5" x14ac:dyDescent="0.75">
      <c r="G50" s="81"/>
      <c r="P50" s="11">
        <v>36</v>
      </c>
      <c r="Q50" s="11">
        <f t="shared" si="5"/>
        <v>5</v>
      </c>
      <c r="R50" s="11">
        <f t="shared" si="6"/>
        <v>6</v>
      </c>
      <c r="S50" s="12" t="str" cm="1">
        <f t="array" ref="S50">INDEX('Stage-ConceptMap-1'!$I$15:$N$124,Q50+1,R50)</f>
        <v>* group[=].element[=].target.comment = ##34#where code = 21908-9 'Stage group.clinical'##34#</v>
      </c>
    </row>
    <row r="51" spans="7:19" x14ac:dyDescent="0.75">
      <c r="G51" s="81"/>
      <c r="P51" s="11">
        <v>37</v>
      </c>
      <c r="Q51" s="11">
        <f t="shared" si="5"/>
        <v>6</v>
      </c>
      <c r="R51" s="11">
        <f t="shared" si="6"/>
        <v>1</v>
      </c>
      <c r="S51" s="12" t="str" cm="1">
        <f t="array" ref="S51">INDEX('Stage-ConceptMap-1'!$I$15:$N$124,Q51+1,R51)</f>
        <v>* group[=].element[+].code = #Stage.localised</v>
      </c>
    </row>
    <row r="52" spans="7:19" x14ac:dyDescent="0.75">
      <c r="G52" s="81"/>
      <c r="P52" s="11">
        <v>38</v>
      </c>
      <c r="Q52" s="11">
        <f t="shared" si="5"/>
        <v>6</v>
      </c>
      <c r="R52" s="11">
        <f t="shared" si="6"/>
        <v>2</v>
      </c>
      <c r="S52" s="12" t="str" cm="1">
        <f t="array" ref="S52">INDEX('Stage-ConceptMap-1'!$I$15:$N$124,Q52+1,R52)</f>
        <v>* group[=].element[=].display = ##34#Localised##34#</v>
      </c>
    </row>
    <row r="53" spans="7:19" ht="29.5" x14ac:dyDescent="0.75">
      <c r="G53" s="81"/>
      <c r="P53" s="11">
        <v>39</v>
      </c>
      <c r="Q53" s="11">
        <f t="shared" si="5"/>
        <v>6</v>
      </c>
      <c r="R53" s="11">
        <f t="shared" si="6"/>
        <v>3</v>
      </c>
      <c r="S53" s="12" t="str" cm="1">
        <f t="array" ref="S53">INDEX('Stage-ConceptMap-1'!$I$15:$N$124,Q53+1,R53)</f>
        <v>* group[=].element[=].target.code = #Observation.valueCodeableConcept.coding.system</v>
      </c>
    </row>
    <row r="54" spans="7:19" x14ac:dyDescent="0.75">
      <c r="G54" s="81"/>
      <c r="P54" s="11">
        <v>40</v>
      </c>
      <c r="Q54" s="11">
        <f t="shared" si="5"/>
        <v>6</v>
      </c>
      <c r="R54" s="11">
        <f t="shared" si="6"/>
        <v>4</v>
      </c>
      <c r="S54" s="12" t="str" cm="1">
        <f t="array" ref="S54">INDEX('Stage-ConceptMap-1'!$I$15:$N$124,Q54+1,R54)</f>
        <v>* group[=].element[=].target.display = ##34###34#</v>
      </c>
    </row>
    <row r="55" spans="7:19" x14ac:dyDescent="0.75">
      <c r="G55" s="81"/>
      <c r="P55" s="11">
        <v>41</v>
      </c>
      <c r="Q55" s="11">
        <f t="shared" si="5"/>
        <v>6</v>
      </c>
      <c r="R55" s="11">
        <f t="shared" si="6"/>
        <v>5</v>
      </c>
      <c r="S55" s="12" t="str" cm="1">
        <f t="array" ref="S55">INDEX('Stage-ConceptMap-1'!$I$15:$N$124,Q55+1,R55)</f>
        <v>* group[=].element[=].target.equivalence = #relatedto</v>
      </c>
    </row>
    <row r="56" spans="7:19" ht="44.25" x14ac:dyDescent="0.75">
      <c r="G56" s="81"/>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INDEX('Stage-ConceptMap-1'!$I$15:$N$124,Q57+1,R57)</f>
        <v>* group[=].element[+].code = #Stage.locoRegional</v>
      </c>
    </row>
    <row r="58" spans="7:19" x14ac:dyDescent="0.75">
      <c r="G58" s="81"/>
      <c r="P58" s="11">
        <v>44</v>
      </c>
      <c r="Q58" s="11">
        <f t="shared" si="5"/>
        <v>7</v>
      </c>
      <c r="R58" s="11">
        <f t="shared" si="6"/>
        <v>2</v>
      </c>
      <c r="S58" s="12" t="str" cm="1">
        <f t="array" ref="S58">INDEX('Stage-ConceptMap-1'!$I$15:$N$124,Q58+1,R58)</f>
        <v>* group[=].element[=].display = ##34#Loco-regional##34#</v>
      </c>
    </row>
    <row r="59" spans="7:19" x14ac:dyDescent="0.75">
      <c r="G59" s="81"/>
      <c r="P59" s="11">
        <v>45</v>
      </c>
      <c r="Q59" s="11">
        <f t="shared" si="5"/>
        <v>7</v>
      </c>
      <c r="R59" s="11">
        <f t="shared" si="6"/>
        <v>3</v>
      </c>
      <c r="S59" s="12" t="str" cm="1">
        <f t="array" ref="S59">INDEX('Stage-ConceptMap-1'!$I$15:$N$124,Q59+1,R59)</f>
        <v>* group[=].element[=].target.code = #Observation.</v>
      </c>
    </row>
    <row r="60" spans="7:19" x14ac:dyDescent="0.75">
      <c r="G60" s="81"/>
      <c r="P60" s="11">
        <v>46</v>
      </c>
      <c r="Q60" s="11">
        <f t="shared" si="5"/>
        <v>7</v>
      </c>
      <c r="R60" s="11">
        <f t="shared" si="6"/>
        <v>4</v>
      </c>
      <c r="S60" s="12" t="str" cm="1">
        <f t="array" ref="S60">INDEX('Stage-ConceptMap-1'!$I$15:$N$124,Q60+1,R60)</f>
        <v>* group[=].element[=].target.display = ##34###34#</v>
      </c>
    </row>
    <row r="61" spans="7:19" x14ac:dyDescent="0.75">
      <c r="G61" s="81"/>
      <c r="P61" s="11">
        <v>47</v>
      </c>
      <c r="Q61" s="11">
        <f t="shared" si="5"/>
        <v>7</v>
      </c>
      <c r="R61" s="11">
        <f t="shared" si="6"/>
        <v>5</v>
      </c>
      <c r="S61" s="12" t="str" cm="1">
        <f t="array" ref="S61">INDEX('Stage-ConceptMap-1'!$I$15:$N$124,Q61+1,R61)</f>
        <v>* group[=].element[=].target.equivalence = #relatedto</v>
      </c>
    </row>
    <row r="62" spans="7:19" ht="29.5" x14ac:dyDescent="0.75">
      <c r="G62" s="81"/>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INDEX('Stage-ConceptMap-1'!$I$15:$N$124,Q63+1,R63)</f>
        <v>* group[=].element[+].code = #Stage.isMetastatic</v>
      </c>
    </row>
    <row r="64" spans="7:19" x14ac:dyDescent="0.75">
      <c r="G64" s="81"/>
      <c r="P64" s="11">
        <v>50</v>
      </c>
      <c r="Q64" s="11">
        <f t="shared" si="5"/>
        <v>8</v>
      </c>
      <c r="R64" s="11">
        <f t="shared" si="6"/>
        <v>2</v>
      </c>
      <c r="S64" s="12" t="str" cm="1">
        <f t="array" ref="S64">INDEX('Stage-ConceptMap-1'!$I$15:$N$124,Q64+1,R64)</f>
        <v>* group[=].element[=].display = ##34#Is metastatic##34#</v>
      </c>
    </row>
    <row r="65" spans="7:19" x14ac:dyDescent="0.75">
      <c r="G65" s="81"/>
      <c r="P65" s="11">
        <v>51</v>
      </c>
      <c r="Q65" s="11">
        <f t="shared" si="5"/>
        <v>8</v>
      </c>
      <c r="R65" s="11">
        <f t="shared" si="6"/>
        <v>3</v>
      </c>
      <c r="S65" s="12" t="str" cm="1">
        <f t="array" ref="S65">INDEX('Stage-ConceptMap-1'!$I$15:$N$124,Q65+1,R65)</f>
        <v>* group[=].element[=].target.code = #Observation.</v>
      </c>
    </row>
    <row r="66" spans="7:19" x14ac:dyDescent="0.75">
      <c r="G66" s="81"/>
      <c r="P66" s="11">
        <v>52</v>
      </c>
      <c r="Q66" s="11">
        <f t="shared" si="5"/>
        <v>8</v>
      </c>
      <c r="R66" s="11">
        <f t="shared" si="6"/>
        <v>4</v>
      </c>
      <c r="S66" s="12" t="str" cm="1">
        <f t="array" ref="S66">INDEX('Stage-ConceptMap-1'!$I$15:$N$124,Q66+1,R66)</f>
        <v>* group[=].element[=].target.display = ##34###34#</v>
      </c>
    </row>
    <row r="67" spans="7:19" x14ac:dyDescent="0.75">
      <c r="G67" s="81"/>
      <c r="P67" s="11">
        <v>53</v>
      </c>
      <c r="Q67" s="11">
        <f t="shared" si="5"/>
        <v>8</v>
      </c>
      <c r="R67" s="11">
        <f t="shared" si="6"/>
        <v>5</v>
      </c>
      <c r="S67" s="12" t="str" cm="1">
        <f t="array" ref="S67">INDEX('Stage-ConceptMap-1'!$I$15:$N$124,Q67+1,R67)</f>
        <v>* group[=].element[=].target.equivalence = #relatedto</v>
      </c>
    </row>
    <row r="68" spans="7:19" ht="29.5" x14ac:dyDescent="0.75">
      <c r="G68" s="81"/>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INDEX('Stage-ConceptMap-1'!$I$15:$N$124,Q69+1,R69)</f>
        <v>* group[=].element[+].code = #Stage.ajccEdition</v>
      </c>
    </row>
    <row r="70" spans="7:19" x14ac:dyDescent="0.75">
      <c r="G70" s="81"/>
      <c r="P70" s="11">
        <v>56</v>
      </c>
      <c r="Q70" s="11">
        <f t="shared" si="5"/>
        <v>9</v>
      </c>
      <c r="R70" s="11">
        <f t="shared" si="6"/>
        <v>2</v>
      </c>
      <c r="S70" s="12" t="str" cm="1">
        <f t="array" ref="S70">INDEX('Stage-ConceptMap-1'!$I$15:$N$124,Q70+1,R70)</f>
        <v>* group[=].element[=].display = ##34#Ajcc edition##34#</v>
      </c>
    </row>
    <row r="71" spans="7:19" x14ac:dyDescent="0.75">
      <c r="G71" s="81"/>
      <c r="P71" s="11">
        <v>57</v>
      </c>
      <c r="Q71" s="11">
        <f t="shared" si="5"/>
        <v>9</v>
      </c>
      <c r="R71" s="11">
        <f t="shared" si="6"/>
        <v>3</v>
      </c>
      <c r="S71" s="12" t="str" cm="1">
        <f t="array" ref="S71">INDEX('Stage-ConceptMap-1'!$I$15:$N$124,Q71+1,R71)</f>
        <v>* group[=].element[=].target.code = #Observation.</v>
      </c>
    </row>
    <row r="72" spans="7:19" x14ac:dyDescent="0.75">
      <c r="G72" s="81"/>
      <c r="P72" s="11">
        <v>58</v>
      </c>
      <c r="Q72" s="11">
        <f t="shared" si="5"/>
        <v>9</v>
      </c>
      <c r="R72" s="11">
        <f t="shared" si="6"/>
        <v>4</v>
      </c>
      <c r="S72" s="12" t="str" cm="1">
        <f t="array" ref="S72">INDEX('Stage-ConceptMap-1'!$I$15:$N$124,Q72+1,R72)</f>
        <v>* group[=].element[=].target.display = ##34###34#</v>
      </c>
    </row>
    <row r="73" spans="7:19" x14ac:dyDescent="0.75">
      <c r="G73" s="81"/>
      <c r="P73" s="11">
        <v>59</v>
      </c>
      <c r="Q73" s="11">
        <f t="shared" si="5"/>
        <v>9</v>
      </c>
      <c r="R73" s="11">
        <f t="shared" si="6"/>
        <v>5</v>
      </c>
      <c r="S73" s="12" t="str" cm="1">
        <f t="array" ref="S73">INDEX('Stage-ConceptMap-1'!$I$15:$N$124,Q73+1,R73)</f>
        <v>* group[=].element[=].target.equivalence = #relatedto</v>
      </c>
    </row>
    <row r="74" spans="7:19" ht="29.5" x14ac:dyDescent="0.75">
      <c r="G74" s="81"/>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INDEX('Stage-ConceptMap-1'!$I$15:$N$124,Q75+1,R75)</f>
        <v>* group[=].element[+].code = #Stage.regionalNodalMetastases</v>
      </c>
    </row>
    <row r="76" spans="7:19" x14ac:dyDescent="0.75">
      <c r="G76" s="81"/>
      <c r="P76" s="11">
        <v>62</v>
      </c>
      <c r="Q76" s="11">
        <f t="shared" si="5"/>
        <v>10</v>
      </c>
      <c r="R76" s="11">
        <f t="shared" si="6"/>
        <v>2</v>
      </c>
      <c r="S76" s="12" t="str" cm="1">
        <f t="array" ref="S76">INDEX('Stage-ConceptMap-1'!$I$15:$N$124,Q76+1,R76)</f>
        <v>* group[=].element[=].display = ##34#Regional nodal metastases##34#</v>
      </c>
    </row>
    <row r="77" spans="7:19" x14ac:dyDescent="0.75">
      <c r="G77" s="81"/>
      <c r="P77" s="11">
        <v>63</v>
      </c>
      <c r="Q77" s="11">
        <f t="shared" si="5"/>
        <v>10</v>
      </c>
      <c r="R77" s="11">
        <f t="shared" si="6"/>
        <v>3</v>
      </c>
      <c r="S77" s="12" t="str" cm="1">
        <f t="array" ref="S77">INDEX('Stage-ConceptMap-1'!$I$15:$N$124,Q77+1,R77)</f>
        <v>* group[=].element[=].target.code = #Observation.</v>
      </c>
    </row>
    <row r="78" spans="7:19" x14ac:dyDescent="0.75">
      <c r="G78" s="81"/>
      <c r="P78" s="11">
        <v>64</v>
      </c>
      <c r="Q78" s="11">
        <f t="shared" si="5"/>
        <v>10</v>
      </c>
      <c r="R78" s="11">
        <f t="shared" si="6"/>
        <v>4</v>
      </c>
      <c r="S78" s="12" t="str" cm="1">
        <f t="array" ref="S78">INDEX('Stage-ConceptMap-1'!$I$15:$N$124,Q78+1,R78)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81"/>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INDEX('Stage-ConceptMap-1'!$I$15:$N$124,Q81+1,R81)</f>
        <v>* group[=].element[+].code = #Stage.sites.softTissue</v>
      </c>
    </row>
    <row r="82" spans="7:19" x14ac:dyDescent="0.75">
      <c r="G82" s="81"/>
      <c r="P82" s="11">
        <v>68</v>
      </c>
      <c r="Q82" s="11">
        <f t="shared" si="8"/>
        <v>11</v>
      </c>
      <c r="R82" s="11">
        <f t="shared" si="9"/>
        <v>2</v>
      </c>
      <c r="S82" s="12" t="str" cm="1">
        <f t="array" ref="S82">INDEX('Stage-ConceptMap-1'!$I$15:$N$124,Q82+1,R82)</f>
        <v>* group[=].element[=].display = ##34#Soft tissue##34#</v>
      </c>
    </row>
    <row r="83" spans="7:19" x14ac:dyDescent="0.75">
      <c r="G83" s="81"/>
      <c r="P83" s="11">
        <v>69</v>
      </c>
      <c r="Q83" s="11">
        <f t="shared" si="8"/>
        <v>11</v>
      </c>
      <c r="R83" s="11">
        <f t="shared" si="9"/>
        <v>3</v>
      </c>
      <c r="S83" s="12" t="str" cm="1">
        <f t="array" ref="S83">INDEX('Stage-ConceptMap-1'!$I$15:$N$124,Q83+1,R83)</f>
        <v>* group[=].element[=].target.code = #Observation.</v>
      </c>
    </row>
    <row r="84" spans="7:19" x14ac:dyDescent="0.75">
      <c r="G84" s="81"/>
      <c r="P84" s="11">
        <v>70</v>
      </c>
      <c r="Q84" s="11">
        <f t="shared" si="8"/>
        <v>11</v>
      </c>
      <c r="R84" s="11">
        <f t="shared" si="9"/>
        <v>4</v>
      </c>
      <c r="S84" s="12" t="str" cm="1">
        <f t="array" ref="S84">INDEX('Stage-ConceptMap-1'!$I$15:$N$124,Q84+1,R84)</f>
        <v>* group[=].element[=].target.display = ##34###34#</v>
      </c>
    </row>
    <row r="85" spans="7:19" x14ac:dyDescent="0.75">
      <c r="G85" s="81"/>
      <c r="P85" s="11">
        <v>71</v>
      </c>
      <c r="Q85" s="11">
        <f t="shared" si="8"/>
        <v>11</v>
      </c>
      <c r="R85" s="11">
        <f t="shared" si="9"/>
        <v>5</v>
      </c>
      <c r="S85" s="12" t="str" cm="1">
        <f t="array" ref="S85">INDEX('Stage-ConceptMap-1'!$I$15:$N$124,Q85+1,R85)</f>
        <v>* group[=].element[=].target.equivalence = #relatedto</v>
      </c>
    </row>
    <row r="86" spans="7:19" ht="29.5" x14ac:dyDescent="0.75">
      <c r="G86" s="81"/>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INDEX('Stage-ConceptMap-1'!$I$15:$N$124,Q87+1,R87)</f>
        <v>* group[=].element[+].code = #Stage.sites.distantLymphNode</v>
      </c>
    </row>
    <row r="88" spans="7:19" x14ac:dyDescent="0.75">
      <c r="G88" s="81"/>
      <c r="P88" s="11">
        <v>74</v>
      </c>
      <c r="Q88" s="11">
        <f t="shared" si="8"/>
        <v>12</v>
      </c>
      <c r="R88" s="11">
        <f t="shared" si="9"/>
        <v>2</v>
      </c>
      <c r="S88" s="12" t="str" cm="1">
        <f t="array" ref="S88">INDEX('Stage-ConceptMap-1'!$I$15:$N$124,Q88+1,R88)</f>
        <v>* group[=].element[=].display = ##34#distant lymph node##34#</v>
      </c>
    </row>
    <row r="89" spans="7:19" x14ac:dyDescent="0.75">
      <c r="G89" s="81"/>
      <c r="P89" s="11">
        <v>75</v>
      </c>
      <c r="Q89" s="11">
        <f t="shared" si="8"/>
        <v>12</v>
      </c>
      <c r="R89" s="11">
        <f t="shared" si="9"/>
        <v>3</v>
      </c>
      <c r="S89" s="12" t="str" cm="1">
        <f t="array" ref="S89">INDEX('Stage-ConceptMap-1'!$I$15:$N$124,Q89+1,R89)</f>
        <v>* group[=].element[=].target.code = #Observation.</v>
      </c>
    </row>
    <row r="90" spans="7:19" x14ac:dyDescent="0.75">
      <c r="G90" s="81"/>
      <c r="P90" s="11">
        <v>76</v>
      </c>
      <c r="Q90" s="11">
        <f t="shared" si="8"/>
        <v>12</v>
      </c>
      <c r="R90" s="11">
        <f t="shared" si="9"/>
        <v>4</v>
      </c>
      <c r="S90" s="12" t="str" cm="1">
        <f t="array" ref="S90">INDEX('Stage-ConceptMap-1'!$I$15:$N$124,Q90+1,R90)</f>
        <v>* group[=].element[=].target.display = ##34###34#</v>
      </c>
    </row>
    <row r="91" spans="7:19" x14ac:dyDescent="0.75">
      <c r="G91" s="81"/>
      <c r="P91" s="11">
        <v>77</v>
      </c>
      <c r="Q91" s="11">
        <f t="shared" si="8"/>
        <v>12</v>
      </c>
      <c r="R91" s="11">
        <f t="shared" si="9"/>
        <v>5</v>
      </c>
      <c r="S91" s="12" t="str" cm="1">
        <f t="array" ref="S91">INDEX('Stage-ConceptMap-1'!$I$15:$N$124,Q91+1,R91)</f>
        <v>* group[=].element[=].target.equivalence = #relatedto</v>
      </c>
    </row>
    <row r="92" spans="7:19" ht="29.5" x14ac:dyDescent="0.75">
      <c r="G92" s="81"/>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INDEX('Stage-ConceptMap-1'!$I$15:$N$124,Q93+1,R93)</f>
        <v>* group[=].element[+].code = #Stage.sites.lung</v>
      </c>
    </row>
    <row r="94" spans="7:19" x14ac:dyDescent="0.75">
      <c r="G94" s="81"/>
      <c r="P94" s="11">
        <v>80</v>
      </c>
      <c r="Q94" s="11">
        <f t="shared" si="8"/>
        <v>13</v>
      </c>
      <c r="R94" s="11">
        <f t="shared" si="9"/>
        <v>2</v>
      </c>
      <c r="S94" s="12" t="str" cm="1">
        <f t="array" ref="S94">INDEX('Stage-ConceptMap-1'!$I$15:$N$124,Q94+1,R94)</f>
        <v>* group[=].element[=].display = ##34#lung##34#</v>
      </c>
    </row>
    <row r="95" spans="7:19" x14ac:dyDescent="0.75">
      <c r="G95" s="81"/>
      <c r="P95" s="11">
        <v>81</v>
      </c>
      <c r="Q95" s="11">
        <f t="shared" si="8"/>
        <v>13</v>
      </c>
      <c r="R95" s="11">
        <f t="shared" si="9"/>
        <v>3</v>
      </c>
      <c r="S95" s="12" t="str" cm="1">
        <f t="array" ref="S95">INDEX('Stage-ConceptMap-1'!$I$15:$N$124,Q95+1,R95)</f>
        <v>* group[=].element[=].target.code = #Observation.</v>
      </c>
    </row>
    <row r="96" spans="7:19" x14ac:dyDescent="0.75">
      <c r="G96" s="81"/>
      <c r="P96" s="11">
        <v>82</v>
      </c>
      <c r="Q96" s="11">
        <f t="shared" si="8"/>
        <v>13</v>
      </c>
      <c r="R96" s="11">
        <f t="shared" si="9"/>
        <v>4</v>
      </c>
      <c r="S96" s="12" t="str" cm="1">
        <f t="array" ref="S96">INDEX('Stage-ConceptMap-1'!$I$15:$N$124,Q96+1,R96)</f>
        <v>* group[=].element[=].target.display = ##34###34#</v>
      </c>
    </row>
    <row r="97" spans="7:19" x14ac:dyDescent="0.75">
      <c r="G97" s="81"/>
      <c r="P97" s="11">
        <v>83</v>
      </c>
      <c r="Q97" s="11">
        <f t="shared" si="8"/>
        <v>13</v>
      </c>
      <c r="R97" s="11">
        <f t="shared" si="9"/>
        <v>5</v>
      </c>
      <c r="S97" s="12" t="str" cm="1">
        <f t="array" ref="S97">INDEX('Stage-ConceptMap-1'!$I$15:$N$124,Q97+1,R97)</f>
        <v>* group[=].element[=].target.equivalence = #relatedto</v>
      </c>
    </row>
    <row r="98" spans="7:19" ht="29.5" x14ac:dyDescent="0.75">
      <c r="G98" s="81"/>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INDEX('Stage-ConceptMap-1'!$I$15:$N$124,Q99+1,R99)</f>
        <v>* group[=].element[+].code = #Stage.sites.bone</v>
      </c>
    </row>
    <row r="100" spans="7:19" x14ac:dyDescent="0.75">
      <c r="G100" s="81"/>
      <c r="P100" s="11">
        <v>86</v>
      </c>
      <c r="Q100" s="11">
        <f t="shared" si="8"/>
        <v>14</v>
      </c>
      <c r="R100" s="11">
        <f t="shared" si="9"/>
        <v>2</v>
      </c>
      <c r="S100" s="12" t="str" cm="1">
        <f t="array" ref="S100">INDEX('Stage-ConceptMap-1'!$I$15:$N$124,Q100+1,R100)</f>
        <v>* group[=].element[=].display = ##34#bone##34#</v>
      </c>
    </row>
    <row r="101" spans="7:19" x14ac:dyDescent="0.75">
      <c r="G101" s="81"/>
      <c r="P101" s="11">
        <v>87</v>
      </c>
      <c r="Q101" s="11">
        <f t="shared" si="8"/>
        <v>14</v>
      </c>
      <c r="R101" s="11">
        <f t="shared" si="9"/>
        <v>3</v>
      </c>
      <c r="S101" s="12" t="str" cm="1">
        <f t="array" ref="S101">INDEX('Stage-ConceptMap-1'!$I$15:$N$124,Q101+1,R101)</f>
        <v>* group[=].element[=].target.code = #Observation.</v>
      </c>
    </row>
    <row r="102" spans="7:19" x14ac:dyDescent="0.75">
      <c r="G102" s="81"/>
      <c r="P102" s="11">
        <v>88</v>
      </c>
      <c r="Q102" s="11">
        <f t="shared" si="8"/>
        <v>14</v>
      </c>
      <c r="R102" s="11">
        <f t="shared" si="9"/>
        <v>4</v>
      </c>
      <c r="S102" s="12" t="str" cm="1">
        <f t="array" ref="S102">INDEX('Stage-ConceptMap-1'!$I$15:$N$124,Q102+1,R102)</f>
        <v>* group[=].element[=].target.display = ##34###34#</v>
      </c>
    </row>
    <row r="103" spans="7:19" x14ac:dyDescent="0.75">
      <c r="G103" s="81"/>
      <c r="P103" s="11">
        <v>89</v>
      </c>
      <c r="Q103" s="11">
        <f t="shared" si="8"/>
        <v>14</v>
      </c>
      <c r="R103" s="11">
        <f t="shared" si="9"/>
        <v>5</v>
      </c>
      <c r="S103" s="12" t="str" cm="1">
        <f t="array" ref="S103">INDEX('Stage-ConceptMap-1'!$I$15:$N$124,Q103+1,R103)</f>
        <v>* group[=].element[=].target.equivalence = #relatedto</v>
      </c>
    </row>
    <row r="104" spans="7:19" ht="29.5" x14ac:dyDescent="0.75">
      <c r="G104" s="81"/>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INDEX('Stage-ConceptMap-1'!$I$15:$N$124,Q105+1,R105)</f>
        <v>* group[=].element[+].code = #Stage.sites.liver</v>
      </c>
    </row>
    <row r="106" spans="7:19" x14ac:dyDescent="0.75">
      <c r="G106" s="81"/>
      <c r="P106" s="11">
        <v>92</v>
      </c>
      <c r="Q106" s="11">
        <f t="shared" si="8"/>
        <v>15</v>
      </c>
      <c r="R106" s="11">
        <f t="shared" si="9"/>
        <v>2</v>
      </c>
      <c r="S106" s="12" t="str" cm="1">
        <f t="array" ref="S106">INDEX('Stage-ConceptMap-1'!$I$15:$N$124,Q106+1,R106)</f>
        <v>* group[=].element[=].display = ##34#liver##34#</v>
      </c>
    </row>
    <row r="107" spans="7:19" x14ac:dyDescent="0.75">
      <c r="G107" s="81"/>
      <c r="P107" s="11">
        <v>93</v>
      </c>
      <c r="Q107" s="11">
        <f t="shared" si="8"/>
        <v>15</v>
      </c>
      <c r="R107" s="11">
        <f t="shared" si="9"/>
        <v>3</v>
      </c>
      <c r="S107" s="12" t="str" cm="1">
        <f t="array" ref="S107">INDEX('Stage-ConceptMap-1'!$I$15:$N$124,Q107+1,R107)</f>
        <v>* group[=].element[=].target.code = #Observation.</v>
      </c>
    </row>
    <row r="108" spans="7:19" x14ac:dyDescent="0.75">
      <c r="G108" s="81"/>
      <c r="P108" s="11">
        <v>94</v>
      </c>
      <c r="Q108" s="11">
        <f t="shared" si="8"/>
        <v>15</v>
      </c>
      <c r="R108" s="11">
        <f t="shared" si="9"/>
        <v>4</v>
      </c>
      <c r="S108" s="12" t="str" cm="1">
        <f t="array" ref="S108">INDEX('Stage-ConceptMap-1'!$I$15:$N$124,Q108+1,R108)</f>
        <v>* group[=].element[=].target.display = ##34###34#</v>
      </c>
    </row>
    <row r="109" spans="7:19" x14ac:dyDescent="0.75">
      <c r="G109" s="81"/>
      <c r="P109" s="11">
        <v>95</v>
      </c>
      <c r="Q109" s="11">
        <f t="shared" si="8"/>
        <v>15</v>
      </c>
      <c r="R109" s="11">
        <f t="shared" si="9"/>
        <v>5</v>
      </c>
      <c r="S109" s="12" t="str" cm="1">
        <f t="array" ref="S109">INDEX('Stage-ConceptMap-1'!$I$15:$N$124,Q109+1,R109)</f>
        <v>* group[=].element[=].target.equivalence = #relatedto</v>
      </c>
    </row>
    <row r="110" spans="7:19" ht="29.5" x14ac:dyDescent="0.75">
      <c r="G110" s="81"/>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INDEX('Stage-ConceptMap-1'!$I$15:$N$124,Q111+1,R111)</f>
        <v>* group[=].element[+].code = #Stage.sites.pleura</v>
      </c>
    </row>
    <row r="112" spans="7:19" x14ac:dyDescent="0.75">
      <c r="G112" s="81"/>
      <c r="P112" s="11">
        <v>98</v>
      </c>
      <c r="Q112" s="11">
        <f t="shared" si="8"/>
        <v>16</v>
      </c>
      <c r="R112" s="11">
        <f t="shared" si="9"/>
        <v>2</v>
      </c>
      <c r="S112" s="12" t="str" cm="1">
        <f t="array" ref="S112">INDEX('Stage-ConceptMap-1'!$I$15:$N$124,Q112+1,R112)</f>
        <v>* group[=].element[=].display = ##34#pleura##34#</v>
      </c>
    </row>
    <row r="113" spans="7:19" x14ac:dyDescent="0.75">
      <c r="G113" s="81"/>
      <c r="P113" s="11">
        <v>99</v>
      </c>
      <c r="Q113" s="11">
        <f t="shared" si="8"/>
        <v>16</v>
      </c>
      <c r="R113" s="11">
        <f t="shared" si="9"/>
        <v>3</v>
      </c>
      <c r="S113" s="12" t="str" cm="1">
        <f t="array" ref="S113">INDEX('Stage-ConceptMap-1'!$I$15:$N$124,Q113+1,R113)</f>
        <v>* group[=].element[=].target.code = #Observation.</v>
      </c>
    </row>
    <row r="114" spans="7:19" x14ac:dyDescent="0.75">
      <c r="G114" s="81"/>
      <c r="P114" s="11">
        <v>100</v>
      </c>
      <c r="Q114" s="11">
        <f t="shared" si="8"/>
        <v>16</v>
      </c>
      <c r="R114" s="11">
        <f t="shared" si="9"/>
        <v>4</v>
      </c>
      <c r="S114" s="12" t="str" cm="1">
        <f t="array" ref="S114">INDEX('Stage-ConceptMap-1'!$I$15:$N$124,Q114+1,R114)</f>
        <v>* group[=].element[=].target.display = ##34###34#</v>
      </c>
    </row>
    <row r="115" spans="7:19" x14ac:dyDescent="0.75">
      <c r="G115" s="81"/>
      <c r="P115" s="11">
        <v>101</v>
      </c>
      <c r="Q115" s="11">
        <f t="shared" si="8"/>
        <v>16</v>
      </c>
      <c r="R115" s="11">
        <f t="shared" si="9"/>
        <v>5</v>
      </c>
      <c r="S115" s="12" t="str" cm="1">
        <f t="array" ref="S115">INDEX('Stage-ConceptMap-1'!$I$15:$N$124,Q115+1,R115)</f>
        <v>* group[=].element[=].target.equivalence = #relatedto</v>
      </c>
    </row>
    <row r="116" spans="7:19" ht="29.5" x14ac:dyDescent="0.75">
      <c r="G116" s="81"/>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1663</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1663</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1664</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1664</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81"/>
      <c r="P44" s="11">
        <v>30</v>
      </c>
      <c r="Q44" s="11">
        <f t="shared" si="6"/>
        <v>4</v>
      </c>
      <c r="R44" s="11">
        <f t="shared" si="7"/>
        <v>6</v>
      </c>
      <c r="S44" s="12" cm="1">
        <f t="array" ref="S44">INDEX('Stage-ConceptMap-3'!$I$15:$N$123,Q44+1,R44)</f>
        <v>0</v>
      </c>
    </row>
    <row r="45" spans="1:19" x14ac:dyDescent="0.75">
      <c r="B45" s="11"/>
      <c r="C45" s="11"/>
      <c r="G45" s="81"/>
      <c r="P45" s="11">
        <v>31</v>
      </c>
      <c r="Q45" s="11">
        <f t="shared" si="6"/>
        <v>5</v>
      </c>
      <c r="R45" s="11">
        <f t="shared" si="7"/>
        <v>1</v>
      </c>
      <c r="S45" s="12" cm="1">
        <f t="array" ref="S45">INDEX('Stage-ConceptMap-3'!$I$15:$N$123,Q45+1,R45)</f>
        <v>0</v>
      </c>
    </row>
    <row r="46" spans="1:19" x14ac:dyDescent="0.75">
      <c r="G46" s="81"/>
      <c r="P46" s="11">
        <v>32</v>
      </c>
      <c r="Q46" s="11">
        <f t="shared" si="6"/>
        <v>5</v>
      </c>
      <c r="R46" s="11">
        <f t="shared" si="7"/>
        <v>2</v>
      </c>
      <c r="S46" s="12" cm="1">
        <f t="array" ref="S46">INDEX('Stage-ConceptMap-3'!$I$15:$N$123,Q46+1,R46)</f>
        <v>0</v>
      </c>
    </row>
    <row r="47" spans="1:19" x14ac:dyDescent="0.75">
      <c r="G47" s="81"/>
      <c r="P47" s="11">
        <v>33</v>
      </c>
      <c r="Q47" s="11">
        <f t="shared" si="6"/>
        <v>5</v>
      </c>
      <c r="R47" s="11">
        <f t="shared" si="7"/>
        <v>3</v>
      </c>
      <c r="S47" s="12" cm="1">
        <f t="array" ref="S47">INDEX('Stage-ConceptMap-3'!$I$15:$N$123,Q47+1,R47)</f>
        <v>0</v>
      </c>
    </row>
    <row r="48" spans="1:19" x14ac:dyDescent="0.75">
      <c r="G48" s="81"/>
      <c r="P48" s="11">
        <v>34</v>
      </c>
      <c r="Q48" s="11">
        <f t="shared" si="6"/>
        <v>5</v>
      </c>
      <c r="R48" s="11">
        <f t="shared" si="7"/>
        <v>4</v>
      </c>
      <c r="S48" s="12" cm="1">
        <f t="array" ref="S48">INDEX('Stage-ConceptMap-3'!$I$15:$N$123,Q48+1,R48)</f>
        <v>0</v>
      </c>
    </row>
    <row r="49" spans="7:19" x14ac:dyDescent="0.75">
      <c r="G49" s="81"/>
      <c r="P49" s="11">
        <v>35</v>
      </c>
      <c r="Q49" s="11">
        <f t="shared" si="6"/>
        <v>5</v>
      </c>
      <c r="R49" s="11">
        <f t="shared" si="7"/>
        <v>5</v>
      </c>
      <c r="S49" s="12" cm="1">
        <f t="array" ref="S49">INDEX('Stage-ConceptMap-3'!$I$15:$N$123,Q49+1,R49)</f>
        <v>0</v>
      </c>
    </row>
    <row r="50" spans="7:19" x14ac:dyDescent="0.75">
      <c r="G50" s="81"/>
      <c r="P50" s="11">
        <v>36</v>
      </c>
      <c r="Q50" s="11">
        <f t="shared" si="6"/>
        <v>5</v>
      </c>
      <c r="R50" s="11">
        <f t="shared" si="7"/>
        <v>6</v>
      </c>
      <c r="S50" s="12" cm="1">
        <f t="array" ref="S50">INDEX('Stage-ConceptMap-3'!$I$15:$N$123,Q50+1,R50)</f>
        <v>0</v>
      </c>
    </row>
    <row r="51" spans="7:19" x14ac:dyDescent="0.75">
      <c r="G51" s="81"/>
      <c r="P51" s="11">
        <v>37</v>
      </c>
      <c r="Q51" s="11">
        <f t="shared" si="6"/>
        <v>6</v>
      </c>
      <c r="R51" s="11">
        <f t="shared" si="7"/>
        <v>1</v>
      </c>
      <c r="S51" s="12" cm="1">
        <f t="array" ref="S51">INDEX('Stage-ConceptMap-3'!$I$15:$N$123,Q51+1,R51)</f>
        <v>0</v>
      </c>
    </row>
    <row r="52" spans="7:19" x14ac:dyDescent="0.75">
      <c r="G52" s="81"/>
      <c r="P52" s="11">
        <v>38</v>
      </c>
      <c r="Q52" s="11">
        <f t="shared" si="6"/>
        <v>6</v>
      </c>
      <c r="R52" s="11">
        <f t="shared" si="7"/>
        <v>2</v>
      </c>
      <c r="S52" s="12" cm="1">
        <f t="array" ref="S52">INDEX('Stage-ConceptMap-3'!$I$15:$N$123,Q52+1,R52)</f>
        <v>0</v>
      </c>
    </row>
    <row r="53" spans="7:19" x14ac:dyDescent="0.75">
      <c r="G53" s="81"/>
      <c r="P53" s="11">
        <v>39</v>
      </c>
      <c r="Q53" s="11">
        <f t="shared" si="6"/>
        <v>6</v>
      </c>
      <c r="R53" s="11">
        <f t="shared" si="7"/>
        <v>3</v>
      </c>
      <c r="S53" s="12" cm="1">
        <f t="array" ref="S53">INDEX('Stage-ConceptMap-3'!$I$15:$N$123,Q53+1,R53)</f>
        <v>0</v>
      </c>
    </row>
    <row r="54" spans="7:19" x14ac:dyDescent="0.75">
      <c r="G54" s="81"/>
      <c r="P54" s="11">
        <v>40</v>
      </c>
      <c r="Q54" s="11">
        <f t="shared" si="6"/>
        <v>6</v>
      </c>
      <c r="R54" s="11">
        <f t="shared" si="7"/>
        <v>4</v>
      </c>
      <c r="S54" s="12" cm="1">
        <f t="array" ref="S54">INDEX('Stage-ConceptMap-3'!$I$15:$N$123,Q54+1,R54)</f>
        <v>0</v>
      </c>
    </row>
    <row r="55" spans="7:19" x14ac:dyDescent="0.75">
      <c r="G55" s="81"/>
      <c r="P55" s="11">
        <v>41</v>
      </c>
      <c r="Q55" s="11">
        <f t="shared" si="6"/>
        <v>6</v>
      </c>
      <c r="R55" s="11">
        <f t="shared" si="7"/>
        <v>5</v>
      </c>
      <c r="S55" s="12" cm="1">
        <f t="array" ref="S55">INDEX('Stage-ConceptMap-3'!$I$15:$N$123,Q55+1,R55)</f>
        <v>0</v>
      </c>
    </row>
    <row r="56" spans="7:19" x14ac:dyDescent="0.75">
      <c r="G56" s="81"/>
      <c r="P56" s="11">
        <v>42</v>
      </c>
      <c r="Q56" s="11">
        <f t="shared" si="6"/>
        <v>6</v>
      </c>
      <c r="R56" s="11">
        <f t="shared" si="7"/>
        <v>6</v>
      </c>
      <c r="S56" s="12" cm="1">
        <f t="array" ref="S56">INDEX('Stage-ConceptMap-3'!$I$15:$N$123,Q56+1,R56)</f>
        <v>0</v>
      </c>
    </row>
    <row r="57" spans="7:19" x14ac:dyDescent="0.75">
      <c r="G57" s="81"/>
      <c r="P57" s="11">
        <v>43</v>
      </c>
      <c r="Q57" s="11">
        <f t="shared" si="6"/>
        <v>7</v>
      </c>
      <c r="R57" s="11">
        <f t="shared" si="7"/>
        <v>1</v>
      </c>
      <c r="S57" s="12" cm="1">
        <f t="array" ref="S57">INDEX('Stage-ConceptMap-3'!$I$15:$N$123,Q57+1,R57)</f>
        <v>0</v>
      </c>
    </row>
    <row r="58" spans="7:19" x14ac:dyDescent="0.75">
      <c r="G58" s="81"/>
      <c r="P58" s="11">
        <v>44</v>
      </c>
      <c r="Q58" s="11">
        <f t="shared" si="6"/>
        <v>7</v>
      </c>
      <c r="R58" s="11">
        <f t="shared" si="7"/>
        <v>2</v>
      </c>
      <c r="S58" s="12" cm="1">
        <f t="array" ref="S58">INDEX('Stage-ConceptMap-3'!$I$15:$N$123,Q58+1,R58)</f>
        <v>0</v>
      </c>
    </row>
    <row r="59" spans="7:19" x14ac:dyDescent="0.75">
      <c r="G59" s="81"/>
      <c r="P59" s="11">
        <v>45</v>
      </c>
      <c r="Q59" s="11">
        <f t="shared" si="6"/>
        <v>7</v>
      </c>
      <c r="R59" s="11">
        <f t="shared" si="7"/>
        <v>3</v>
      </c>
      <c r="S59" s="12" cm="1">
        <f t="array" ref="S59">INDEX('Stage-ConceptMap-3'!$I$15:$N$123,Q59+1,R59)</f>
        <v>0</v>
      </c>
    </row>
    <row r="60" spans="7:19" x14ac:dyDescent="0.75">
      <c r="G60" s="81"/>
      <c r="P60" s="11">
        <v>46</v>
      </c>
      <c r="Q60" s="11">
        <f t="shared" si="6"/>
        <v>7</v>
      </c>
      <c r="R60" s="11">
        <f t="shared" si="7"/>
        <v>4</v>
      </c>
      <c r="S60" s="12" cm="1">
        <f t="array" ref="S60">INDEX('Stage-ConceptMap-3'!$I$15:$N$123,Q60+1,R60)</f>
        <v>0</v>
      </c>
    </row>
    <row r="61" spans="7:19" x14ac:dyDescent="0.75">
      <c r="G61" s="81"/>
      <c r="P61" s="11">
        <v>47</v>
      </c>
      <c r="Q61" s="11">
        <f t="shared" si="6"/>
        <v>7</v>
      </c>
      <c r="R61" s="11">
        <f t="shared" si="7"/>
        <v>5</v>
      </c>
      <c r="S61" s="12" cm="1">
        <f t="array" ref="S61">INDEX('Stage-ConceptMap-3'!$I$15:$N$123,Q61+1,R61)</f>
        <v>0</v>
      </c>
    </row>
    <row r="62" spans="7:19" x14ac:dyDescent="0.75">
      <c r="G62" s="81"/>
      <c r="P62" s="11">
        <v>48</v>
      </c>
      <c r="Q62" s="11">
        <f t="shared" si="6"/>
        <v>7</v>
      </c>
      <c r="R62" s="11">
        <f t="shared" si="7"/>
        <v>6</v>
      </c>
      <c r="S62" s="12" cm="1">
        <f t="array" ref="S62">INDEX('Stage-ConceptMap-3'!$I$15:$N$123,Q62+1,R62)</f>
        <v>0</v>
      </c>
    </row>
    <row r="63" spans="7:19" x14ac:dyDescent="0.75">
      <c r="G63" s="81"/>
      <c r="P63" s="11">
        <v>49</v>
      </c>
      <c r="Q63" s="11">
        <f t="shared" si="6"/>
        <v>8</v>
      </c>
      <c r="R63" s="11">
        <f t="shared" si="7"/>
        <v>1</v>
      </c>
      <c r="S63" s="12" cm="1">
        <f t="array" ref="S63">INDEX('Stage-ConceptMap-3'!$I$15:$N$123,Q63+1,R63)</f>
        <v>0</v>
      </c>
    </row>
    <row r="64" spans="7:19" x14ac:dyDescent="0.75">
      <c r="G64" s="81"/>
      <c r="P64" s="11">
        <v>50</v>
      </c>
      <c r="Q64" s="11">
        <f t="shared" si="6"/>
        <v>8</v>
      </c>
      <c r="R64" s="11">
        <f t="shared" si="7"/>
        <v>2</v>
      </c>
      <c r="S64" s="12" cm="1">
        <f t="array" ref="S64">INDEX('Stage-ConceptMap-3'!$I$15:$N$123,Q64+1,R64)</f>
        <v>0</v>
      </c>
    </row>
    <row r="65" spans="7:19" x14ac:dyDescent="0.75">
      <c r="G65" s="81"/>
      <c r="P65" s="11">
        <v>51</v>
      </c>
      <c r="Q65" s="11">
        <f t="shared" si="6"/>
        <v>8</v>
      </c>
      <c r="R65" s="11">
        <f t="shared" si="7"/>
        <v>3</v>
      </c>
      <c r="S65" s="12" cm="1">
        <f t="array" ref="S65">INDEX('Stage-ConceptMap-3'!$I$15:$N$123,Q65+1,R65)</f>
        <v>0</v>
      </c>
    </row>
    <row r="66" spans="7:19" x14ac:dyDescent="0.75">
      <c r="G66" s="81"/>
      <c r="P66" s="11">
        <v>52</v>
      </c>
      <c r="Q66" s="11">
        <f t="shared" si="6"/>
        <v>8</v>
      </c>
      <c r="R66" s="11">
        <f t="shared" si="7"/>
        <v>4</v>
      </c>
      <c r="S66" s="12" cm="1">
        <f t="array" ref="S66">INDEX('Stage-ConceptMap-3'!$I$15:$N$123,Q66+1,R66)</f>
        <v>0</v>
      </c>
    </row>
    <row r="67" spans="7:19" x14ac:dyDescent="0.75">
      <c r="G67" s="81"/>
      <c r="P67" s="11">
        <v>53</v>
      </c>
      <c r="Q67" s="11">
        <f t="shared" si="6"/>
        <v>8</v>
      </c>
      <c r="R67" s="11">
        <f t="shared" si="7"/>
        <v>5</v>
      </c>
      <c r="S67" s="12" cm="1">
        <f t="array" ref="S67">INDEX('Stage-ConceptMap-3'!$I$15:$N$123,Q67+1,R67)</f>
        <v>0</v>
      </c>
    </row>
    <row r="68" spans="7:19" x14ac:dyDescent="0.75">
      <c r="G68" s="81"/>
      <c r="P68" s="11">
        <v>54</v>
      </c>
      <c r="Q68" s="11">
        <f t="shared" si="6"/>
        <v>8</v>
      </c>
      <c r="R68" s="11">
        <f t="shared" si="7"/>
        <v>6</v>
      </c>
      <c r="S68" s="12" cm="1">
        <f t="array" ref="S68">INDEX('Stage-ConceptMap-3'!$I$15:$N$123,Q68+1,R68)</f>
        <v>0</v>
      </c>
    </row>
    <row r="69" spans="7:19" x14ac:dyDescent="0.75">
      <c r="G69" s="81"/>
      <c r="P69" s="11">
        <v>55</v>
      </c>
      <c r="Q69" s="11">
        <f t="shared" si="6"/>
        <v>9</v>
      </c>
      <c r="R69" s="11">
        <f t="shared" si="7"/>
        <v>1</v>
      </c>
      <c r="S69" s="12" cm="1">
        <f t="array" ref="S69">INDEX('Stage-ConceptMap-3'!$I$15:$N$123,Q69+1,R69)</f>
        <v>0</v>
      </c>
    </row>
    <row r="70" spans="7:19" x14ac:dyDescent="0.75">
      <c r="G70" s="81"/>
      <c r="P70" s="11">
        <v>56</v>
      </c>
      <c r="Q70" s="11">
        <f t="shared" si="6"/>
        <v>9</v>
      </c>
      <c r="R70" s="11">
        <f t="shared" si="7"/>
        <v>2</v>
      </c>
      <c r="S70" s="12" cm="1">
        <f t="array" ref="S70">INDEX('Stage-ConceptMap-3'!$I$15:$N$123,Q70+1,R70)</f>
        <v>0</v>
      </c>
    </row>
    <row r="71" spans="7:19" x14ac:dyDescent="0.75">
      <c r="G71" s="81"/>
      <c r="P71" s="11">
        <v>57</v>
      </c>
      <c r="Q71" s="11">
        <f t="shared" si="6"/>
        <v>9</v>
      </c>
      <c r="R71" s="11">
        <f t="shared" si="7"/>
        <v>3</v>
      </c>
      <c r="S71" s="12" cm="1">
        <f t="array" ref="S71">INDEX('Stage-ConceptMap-3'!$I$15:$N$123,Q71+1,R71)</f>
        <v>0</v>
      </c>
    </row>
    <row r="72" spans="7:19" x14ac:dyDescent="0.75">
      <c r="G72" s="81"/>
      <c r="P72" s="11">
        <v>58</v>
      </c>
      <c r="Q72" s="11">
        <f t="shared" si="6"/>
        <v>9</v>
      </c>
      <c r="R72" s="11">
        <f t="shared" si="7"/>
        <v>4</v>
      </c>
      <c r="S72" s="12" cm="1">
        <f t="array" ref="S72">INDEX('Stage-ConceptMap-3'!$I$15:$N$123,Q72+1,R72)</f>
        <v>0</v>
      </c>
    </row>
    <row r="73" spans="7:19" x14ac:dyDescent="0.75">
      <c r="G73" s="81"/>
      <c r="P73" s="11">
        <v>59</v>
      </c>
      <c r="Q73" s="11">
        <f t="shared" si="6"/>
        <v>9</v>
      </c>
      <c r="R73" s="11">
        <f t="shared" si="7"/>
        <v>5</v>
      </c>
      <c r="S73" s="12" cm="1">
        <f t="array" ref="S73">INDEX('Stage-ConceptMap-3'!$I$15:$N$123,Q73+1,R73)</f>
        <v>0</v>
      </c>
    </row>
    <row r="74" spans="7:19" x14ac:dyDescent="0.75">
      <c r="G74" s="81"/>
      <c r="P74" s="11">
        <v>60</v>
      </c>
      <c r="Q74" s="11">
        <f t="shared" si="6"/>
        <v>9</v>
      </c>
      <c r="R74" s="11">
        <f t="shared" si="7"/>
        <v>6</v>
      </c>
      <c r="S74" s="12" cm="1">
        <f t="array" ref="S74">INDEX('Stage-ConceptMap-3'!$I$15:$N$123,Q74+1,R74)</f>
        <v>0</v>
      </c>
    </row>
    <row r="75" spans="7:19" x14ac:dyDescent="0.75">
      <c r="G75" s="81"/>
      <c r="P75" s="11">
        <v>61</v>
      </c>
      <c r="Q75" s="11">
        <f t="shared" si="6"/>
        <v>10</v>
      </c>
      <c r="R75" s="11">
        <f t="shared" si="7"/>
        <v>1</v>
      </c>
      <c r="S75" s="12" cm="1">
        <f t="array" ref="S75">INDEX('Stage-ConceptMap-3'!$I$15:$N$123,Q75+1,R75)</f>
        <v>0</v>
      </c>
    </row>
    <row r="76" spans="7:19" x14ac:dyDescent="0.75">
      <c r="G76" s="81"/>
      <c r="P76" s="11">
        <v>62</v>
      </c>
      <c r="Q76" s="11">
        <f t="shared" si="6"/>
        <v>10</v>
      </c>
      <c r="R76" s="11">
        <f t="shared" si="7"/>
        <v>2</v>
      </c>
      <c r="S76" s="12" cm="1">
        <f t="array" ref="S76">INDEX('Stage-ConceptMap-3'!$I$15:$N$123,Q76+1,R76)</f>
        <v>0</v>
      </c>
    </row>
    <row r="77" spans="7:19" x14ac:dyDescent="0.75">
      <c r="G77" s="81"/>
      <c r="P77" s="11">
        <v>63</v>
      </c>
      <c r="Q77" s="11">
        <f t="shared" si="6"/>
        <v>10</v>
      </c>
      <c r="R77" s="11">
        <f t="shared" si="7"/>
        <v>3</v>
      </c>
      <c r="S77" s="12" cm="1">
        <f t="array" ref="S77">INDEX('Stage-ConceptMap-3'!$I$15:$N$123,Q77+1,R77)</f>
        <v>0</v>
      </c>
    </row>
    <row r="78" spans="7:19" x14ac:dyDescent="0.75">
      <c r="G78" s="81"/>
      <c r="P78" s="11">
        <v>64</v>
      </c>
      <c r="Q78" s="11">
        <f t="shared" si="6"/>
        <v>10</v>
      </c>
      <c r="R78" s="11">
        <f t="shared" si="7"/>
        <v>4</v>
      </c>
      <c r="S78" s="12" cm="1">
        <f t="array" ref="S78">INDEX('Stage-ConceptMap-3'!$I$15:$N$123,Q78+1,R78)</f>
        <v>0</v>
      </c>
    </row>
    <row r="79" spans="7:19" x14ac:dyDescent="0.75">
      <c r="G79" s="81"/>
      <c r="P79" s="11">
        <v>65</v>
      </c>
      <c r="Q79" s="11">
        <f t="shared" ref="Q79:Q142" si="8">IF(MOD(P79,$Q$8)=0,P79/$Q$8-1,INT(P79/$Q$8))</f>
        <v>10</v>
      </c>
      <c r="R79" s="11">
        <f t="shared" ref="R79:R142" si="9">IF(MOD(P79,$Q$8)=0,$Q$8,MOD(P79,$Q$8))</f>
        <v>5</v>
      </c>
      <c r="S79" s="12" cm="1">
        <f t="array" ref="S79">INDEX('Stage-ConceptMap-3'!$I$15:$N$123,Q79+1,R79)</f>
        <v>0</v>
      </c>
    </row>
    <row r="80" spans="7:19" x14ac:dyDescent="0.75">
      <c r="G80" s="81"/>
      <c r="P80" s="11">
        <v>66</v>
      </c>
      <c r="Q80" s="11">
        <f t="shared" si="8"/>
        <v>10</v>
      </c>
      <c r="R80" s="11">
        <f t="shared" si="9"/>
        <v>6</v>
      </c>
      <c r="S80" s="12" cm="1">
        <f t="array" ref="S80">INDEX('Stage-ConceptMap-3'!$I$15:$N$123,Q80+1,R80)</f>
        <v>0</v>
      </c>
    </row>
    <row r="81" spans="7:19" x14ac:dyDescent="0.75">
      <c r="G81" s="81"/>
      <c r="P81" s="11">
        <v>67</v>
      </c>
      <c r="Q81" s="11">
        <f t="shared" si="8"/>
        <v>11</v>
      </c>
      <c r="R81" s="11">
        <f t="shared" si="9"/>
        <v>1</v>
      </c>
      <c r="S81" s="12" cm="1">
        <f t="array" ref="S81">INDEX('Stage-ConceptMap-3'!$I$15:$N$123,Q81+1,R81)</f>
        <v>0</v>
      </c>
    </row>
    <row r="82" spans="7:19" x14ac:dyDescent="0.75">
      <c r="G82" s="81"/>
      <c r="P82" s="11">
        <v>68</v>
      </c>
      <c r="Q82" s="11">
        <f t="shared" si="8"/>
        <v>11</v>
      </c>
      <c r="R82" s="11">
        <f t="shared" si="9"/>
        <v>2</v>
      </c>
      <c r="S82" s="12" cm="1">
        <f t="array" ref="S82">INDEX('Stage-ConceptMap-3'!$I$15:$N$123,Q82+1,R82)</f>
        <v>0</v>
      </c>
    </row>
    <row r="83" spans="7:19" x14ac:dyDescent="0.75">
      <c r="G83" s="81"/>
      <c r="P83" s="11">
        <v>69</v>
      </c>
      <c r="Q83" s="11">
        <f t="shared" si="8"/>
        <v>11</v>
      </c>
      <c r="R83" s="11">
        <f t="shared" si="9"/>
        <v>3</v>
      </c>
      <c r="S83" s="12" cm="1">
        <f t="array" ref="S83">INDEX('Stage-ConceptMap-3'!$I$15:$N$123,Q83+1,R83)</f>
        <v>0</v>
      </c>
    </row>
    <row r="84" spans="7:19" x14ac:dyDescent="0.75">
      <c r="G84" s="81"/>
      <c r="P84" s="11">
        <v>70</v>
      </c>
      <c r="Q84" s="11">
        <f t="shared" si="8"/>
        <v>11</v>
      </c>
      <c r="R84" s="11">
        <f t="shared" si="9"/>
        <v>4</v>
      </c>
      <c r="S84" s="12" cm="1">
        <f t="array" ref="S84">INDEX('Stage-ConceptMap-3'!$I$15:$N$123,Q84+1,R84)</f>
        <v>0</v>
      </c>
    </row>
    <row r="85" spans="7:19" x14ac:dyDescent="0.75">
      <c r="G85" s="81"/>
      <c r="P85" s="11">
        <v>71</v>
      </c>
      <c r="Q85" s="11">
        <f t="shared" si="8"/>
        <v>11</v>
      </c>
      <c r="R85" s="11">
        <f t="shared" si="9"/>
        <v>5</v>
      </c>
      <c r="S85" s="12" cm="1">
        <f t="array" ref="S85">INDEX('Stage-ConceptMap-3'!$I$15:$N$123,Q85+1,R85)</f>
        <v>0</v>
      </c>
    </row>
    <row r="86" spans="7:19" x14ac:dyDescent="0.75">
      <c r="G86" s="81"/>
      <c r="P86" s="11">
        <v>72</v>
      </c>
      <c r="Q86" s="11">
        <f t="shared" si="8"/>
        <v>11</v>
      </c>
      <c r="R86" s="11">
        <f t="shared" si="9"/>
        <v>6</v>
      </c>
      <c r="S86" s="12" cm="1">
        <f t="array" ref="S86">INDEX('Stage-ConceptMap-3'!$I$15:$N$123,Q86+1,R86)</f>
        <v>0</v>
      </c>
    </row>
    <row r="87" spans="7:19" x14ac:dyDescent="0.75">
      <c r="G87" s="81"/>
      <c r="P87" s="11">
        <v>73</v>
      </c>
      <c r="Q87" s="11">
        <f t="shared" si="8"/>
        <v>12</v>
      </c>
      <c r="R87" s="11">
        <f t="shared" si="9"/>
        <v>1</v>
      </c>
      <c r="S87" s="12" cm="1">
        <f t="array" ref="S87">INDEX('Stage-ConceptMap-3'!$I$15:$N$123,Q87+1,R87)</f>
        <v>0</v>
      </c>
    </row>
    <row r="88" spans="7:19" x14ac:dyDescent="0.75">
      <c r="G88" s="81"/>
      <c r="P88" s="11">
        <v>74</v>
      </c>
      <c r="Q88" s="11">
        <f t="shared" si="8"/>
        <v>12</v>
      </c>
      <c r="R88" s="11">
        <f t="shared" si="9"/>
        <v>2</v>
      </c>
      <c r="S88" s="12" cm="1">
        <f t="array" ref="S88">INDEX('Stage-ConceptMap-3'!$I$15:$N$123,Q88+1,R88)</f>
        <v>0</v>
      </c>
    </row>
    <row r="89" spans="7:19" x14ac:dyDescent="0.75">
      <c r="G89" s="81"/>
      <c r="P89" s="11">
        <v>75</v>
      </c>
      <c r="Q89" s="11">
        <f t="shared" si="8"/>
        <v>12</v>
      </c>
      <c r="R89" s="11">
        <f t="shared" si="9"/>
        <v>3</v>
      </c>
      <c r="S89" s="12" cm="1">
        <f t="array" ref="S89">INDEX('Stage-ConceptMap-3'!$I$15:$N$123,Q89+1,R89)</f>
        <v>0</v>
      </c>
    </row>
    <row r="90" spans="7:19" x14ac:dyDescent="0.75">
      <c r="G90" s="81"/>
      <c r="P90" s="11">
        <v>76</v>
      </c>
      <c r="Q90" s="11">
        <f t="shared" si="8"/>
        <v>12</v>
      </c>
      <c r="R90" s="11">
        <f t="shared" si="9"/>
        <v>4</v>
      </c>
      <c r="S90" s="12" cm="1">
        <f t="array" ref="S90">INDEX('Stage-ConceptMap-3'!$I$15:$N$123,Q90+1,R90)</f>
        <v>0</v>
      </c>
    </row>
    <row r="91" spans="7:19" x14ac:dyDescent="0.75">
      <c r="G91" s="81"/>
      <c r="P91" s="11">
        <v>77</v>
      </c>
      <c r="Q91" s="11">
        <f t="shared" si="8"/>
        <v>12</v>
      </c>
      <c r="R91" s="11">
        <f t="shared" si="9"/>
        <v>5</v>
      </c>
      <c r="S91" s="12" cm="1">
        <f t="array" ref="S91">INDEX('Stage-ConceptMap-3'!$I$15:$N$123,Q91+1,R91)</f>
        <v>0</v>
      </c>
    </row>
    <row r="92" spans="7:19" x14ac:dyDescent="0.75">
      <c r="G92" s="81"/>
      <c r="P92" s="11">
        <v>78</v>
      </c>
      <c r="Q92" s="11">
        <f t="shared" si="8"/>
        <v>12</v>
      </c>
      <c r="R92" s="11">
        <f t="shared" si="9"/>
        <v>6</v>
      </c>
      <c r="S92" s="12" cm="1">
        <f t="array" ref="S92">INDEX('Stage-ConceptMap-3'!$I$15:$N$123,Q92+1,R92)</f>
        <v>0</v>
      </c>
    </row>
    <row r="93" spans="7:19" x14ac:dyDescent="0.75">
      <c r="G93" s="81"/>
      <c r="P93" s="11">
        <v>79</v>
      </c>
      <c r="Q93" s="11">
        <f t="shared" si="8"/>
        <v>13</v>
      </c>
      <c r="R93" s="11">
        <f t="shared" si="9"/>
        <v>1</v>
      </c>
      <c r="S93" s="12" cm="1">
        <f t="array" ref="S93">INDEX('Stage-ConceptMap-3'!$I$15:$N$123,Q93+1,R93)</f>
        <v>0</v>
      </c>
    </row>
    <row r="94" spans="7:19" x14ac:dyDescent="0.75">
      <c r="G94" s="81"/>
      <c r="P94" s="11">
        <v>80</v>
      </c>
      <c r="Q94" s="11">
        <f t="shared" si="8"/>
        <v>13</v>
      </c>
      <c r="R94" s="11">
        <f t="shared" si="9"/>
        <v>2</v>
      </c>
      <c r="S94" s="12" cm="1">
        <f t="array" ref="S94">INDEX('Stage-ConceptMap-3'!$I$15:$N$123,Q94+1,R94)</f>
        <v>0</v>
      </c>
    </row>
    <row r="95" spans="7:19" x14ac:dyDescent="0.75">
      <c r="G95" s="81"/>
      <c r="P95" s="11">
        <v>81</v>
      </c>
      <c r="Q95" s="11">
        <f t="shared" si="8"/>
        <v>13</v>
      </c>
      <c r="R95" s="11">
        <f t="shared" si="9"/>
        <v>3</v>
      </c>
      <c r="S95" s="12" cm="1">
        <f t="array" ref="S95">INDEX('Stage-ConceptMap-3'!$I$15:$N$123,Q95+1,R95)</f>
        <v>0</v>
      </c>
    </row>
    <row r="96" spans="7:19" x14ac:dyDescent="0.75">
      <c r="G96" s="81"/>
      <c r="P96" s="11">
        <v>82</v>
      </c>
      <c r="Q96" s="11">
        <f t="shared" si="8"/>
        <v>13</v>
      </c>
      <c r="R96" s="11">
        <f t="shared" si="9"/>
        <v>4</v>
      </c>
      <c r="S96" s="12" cm="1">
        <f t="array" ref="S96">INDEX('Stage-ConceptMap-3'!$I$15:$N$123,Q96+1,R96)</f>
        <v>0</v>
      </c>
    </row>
    <row r="97" spans="7:19" x14ac:dyDescent="0.75">
      <c r="G97" s="81"/>
      <c r="P97" s="11">
        <v>83</v>
      </c>
      <c r="Q97" s="11">
        <f t="shared" si="8"/>
        <v>13</v>
      </c>
      <c r="R97" s="11">
        <f t="shared" si="9"/>
        <v>5</v>
      </c>
      <c r="S97" s="12" cm="1">
        <f t="array" ref="S97">INDEX('Stage-ConceptMap-3'!$I$15:$N$123,Q97+1,R97)</f>
        <v>0</v>
      </c>
    </row>
    <row r="98" spans="7:19" x14ac:dyDescent="0.75">
      <c r="G98" s="81"/>
      <c r="P98" s="11">
        <v>84</v>
      </c>
      <c r="Q98" s="11">
        <f t="shared" si="8"/>
        <v>13</v>
      </c>
      <c r="R98" s="11">
        <f t="shared" si="9"/>
        <v>6</v>
      </c>
      <c r="S98" s="12" cm="1">
        <f t="array" ref="S98">INDEX('Stage-ConceptMap-3'!$I$15:$N$123,Q98+1,R98)</f>
        <v>0</v>
      </c>
    </row>
    <row r="99" spans="7:19" x14ac:dyDescent="0.75">
      <c r="G99" s="81"/>
      <c r="P99" s="11">
        <v>85</v>
      </c>
      <c r="Q99" s="11">
        <f t="shared" si="8"/>
        <v>14</v>
      </c>
      <c r="R99" s="11">
        <f t="shared" si="9"/>
        <v>1</v>
      </c>
      <c r="S99" s="12" cm="1">
        <f t="array" ref="S99">INDEX('Stage-ConceptMap-3'!$I$15:$N$123,Q99+1,R99)</f>
        <v>0</v>
      </c>
    </row>
    <row r="100" spans="7:19" x14ac:dyDescent="0.75">
      <c r="G100" s="81"/>
      <c r="P100" s="11">
        <v>86</v>
      </c>
      <c r="Q100" s="11">
        <f t="shared" si="8"/>
        <v>14</v>
      </c>
      <c r="R100" s="11">
        <f t="shared" si="9"/>
        <v>2</v>
      </c>
      <c r="S100" s="12" cm="1">
        <f t="array" ref="S100">INDEX('Stage-ConceptMap-3'!$I$15:$N$123,Q100+1,R100)</f>
        <v>0</v>
      </c>
    </row>
    <row r="101" spans="7:19" x14ac:dyDescent="0.75">
      <c r="G101" s="81"/>
      <c r="P101" s="11">
        <v>87</v>
      </c>
      <c r="Q101" s="11">
        <f t="shared" si="8"/>
        <v>14</v>
      </c>
      <c r="R101" s="11">
        <f t="shared" si="9"/>
        <v>3</v>
      </c>
      <c r="S101" s="12" cm="1">
        <f t="array" ref="S101">INDEX('Stage-ConceptMap-3'!$I$15:$N$123,Q101+1,R101)</f>
        <v>0</v>
      </c>
    </row>
    <row r="102" spans="7:19" x14ac:dyDescent="0.75">
      <c r="G102" s="81"/>
      <c r="P102" s="11">
        <v>88</v>
      </c>
      <c r="Q102" s="11">
        <f t="shared" si="8"/>
        <v>14</v>
      </c>
      <c r="R102" s="11">
        <f t="shared" si="9"/>
        <v>4</v>
      </c>
      <c r="S102" s="12" cm="1">
        <f t="array" ref="S102">INDEX('Stage-ConceptMap-3'!$I$15:$N$123,Q102+1,R102)</f>
        <v>0</v>
      </c>
    </row>
    <row r="103" spans="7:19" x14ac:dyDescent="0.75">
      <c r="G103" s="81"/>
      <c r="P103" s="11">
        <v>89</v>
      </c>
      <c r="Q103" s="11">
        <f t="shared" si="8"/>
        <v>14</v>
      </c>
      <c r="R103" s="11">
        <f t="shared" si="9"/>
        <v>5</v>
      </c>
      <c r="S103" s="12" cm="1">
        <f t="array" ref="S103">INDEX('Stage-ConceptMap-3'!$I$15:$N$123,Q103+1,R103)</f>
        <v>0</v>
      </c>
    </row>
    <row r="104" spans="7:19" x14ac:dyDescent="0.75">
      <c r="G104" s="81"/>
      <c r="P104" s="11">
        <v>90</v>
      </c>
      <c r="Q104" s="11">
        <f t="shared" si="8"/>
        <v>14</v>
      </c>
      <c r="R104" s="11">
        <f t="shared" si="9"/>
        <v>6</v>
      </c>
      <c r="S104" s="12" cm="1">
        <f t="array" ref="S104">INDEX('Stage-ConceptMap-3'!$I$15:$N$123,Q104+1,R104)</f>
        <v>0</v>
      </c>
    </row>
    <row r="105" spans="7:19" x14ac:dyDescent="0.75">
      <c r="G105" s="81"/>
      <c r="P105" s="11">
        <v>91</v>
      </c>
      <c r="Q105" s="11">
        <f t="shared" si="8"/>
        <v>15</v>
      </c>
      <c r="R105" s="11">
        <f t="shared" si="9"/>
        <v>1</v>
      </c>
      <c r="S105" s="12" cm="1">
        <f t="array" ref="S105">INDEX('Stage-ConceptMap-3'!$I$15:$N$123,Q105+1,R105)</f>
        <v>0</v>
      </c>
    </row>
    <row r="106" spans="7:19" x14ac:dyDescent="0.75">
      <c r="G106" s="81"/>
      <c r="P106" s="11">
        <v>92</v>
      </c>
      <c r="Q106" s="11">
        <f t="shared" si="8"/>
        <v>15</v>
      </c>
      <c r="R106" s="11">
        <f t="shared" si="9"/>
        <v>2</v>
      </c>
      <c r="S106" s="12" cm="1">
        <f t="array" ref="S106">INDEX('Stage-ConceptMap-3'!$I$15:$N$123,Q106+1,R106)</f>
        <v>0</v>
      </c>
    </row>
    <row r="107" spans="7:19" x14ac:dyDescent="0.75">
      <c r="G107" s="81"/>
      <c r="P107" s="11">
        <v>93</v>
      </c>
      <c r="Q107" s="11">
        <f t="shared" si="8"/>
        <v>15</v>
      </c>
      <c r="R107" s="11">
        <f t="shared" si="9"/>
        <v>3</v>
      </c>
      <c r="S107" s="12" cm="1">
        <f t="array" ref="S107">INDEX('Stage-ConceptMap-3'!$I$15:$N$123,Q107+1,R107)</f>
        <v>0</v>
      </c>
    </row>
    <row r="108" spans="7:19" x14ac:dyDescent="0.75">
      <c r="G108" s="81"/>
      <c r="P108" s="11">
        <v>94</v>
      </c>
      <c r="Q108" s="11">
        <f t="shared" si="8"/>
        <v>15</v>
      </c>
      <c r="R108" s="11">
        <f t="shared" si="9"/>
        <v>4</v>
      </c>
      <c r="S108" s="12" cm="1">
        <f t="array" ref="S108">INDEX('Stage-ConceptMap-3'!$I$15:$N$123,Q108+1,R108)</f>
        <v>0</v>
      </c>
    </row>
    <row r="109" spans="7:19" x14ac:dyDescent="0.75">
      <c r="G109" s="81"/>
      <c r="P109" s="11">
        <v>95</v>
      </c>
      <c r="Q109" s="11">
        <f t="shared" si="8"/>
        <v>15</v>
      </c>
      <c r="R109" s="11">
        <f t="shared" si="9"/>
        <v>5</v>
      </c>
      <c r="S109" s="12" cm="1">
        <f t="array" ref="S109">INDEX('Stage-ConceptMap-3'!$I$15:$N$123,Q109+1,R109)</f>
        <v>0</v>
      </c>
    </row>
    <row r="110" spans="7:19" x14ac:dyDescent="0.75">
      <c r="G110" s="81"/>
      <c r="P110" s="11">
        <v>96</v>
      </c>
      <c r="Q110" s="11">
        <f t="shared" si="8"/>
        <v>15</v>
      </c>
      <c r="R110" s="11">
        <f t="shared" si="9"/>
        <v>6</v>
      </c>
      <c r="S110" s="12" cm="1">
        <f t="array" ref="S110">INDEX('Stage-ConceptMap-3'!$I$15:$N$123,Q110+1,R110)</f>
        <v>0</v>
      </c>
    </row>
    <row r="111" spans="7:19" x14ac:dyDescent="0.75">
      <c r="G111" s="81"/>
      <c r="P111" s="11">
        <v>97</v>
      </c>
      <c r="Q111" s="11">
        <f t="shared" si="8"/>
        <v>16</v>
      </c>
      <c r="R111" s="11">
        <f t="shared" si="9"/>
        <v>1</v>
      </c>
      <c r="S111" s="12" cm="1">
        <f t="array" ref="S111">INDEX('Stage-ConceptMap-3'!$I$15:$N$123,Q111+1,R111)</f>
        <v>0</v>
      </c>
    </row>
    <row r="112" spans="7:19" x14ac:dyDescent="0.75">
      <c r="G112" s="81"/>
      <c r="P112" s="11">
        <v>98</v>
      </c>
      <c r="Q112" s="11">
        <f t="shared" si="8"/>
        <v>16</v>
      </c>
      <c r="R112" s="11">
        <f t="shared" si="9"/>
        <v>2</v>
      </c>
      <c r="S112" s="12" cm="1">
        <f t="array" ref="S112">INDEX('Stage-ConceptMap-3'!$I$15:$N$123,Q112+1,R112)</f>
        <v>0</v>
      </c>
    </row>
    <row r="113" spans="7:19" x14ac:dyDescent="0.75">
      <c r="G113" s="81"/>
      <c r="P113" s="11">
        <v>99</v>
      </c>
      <c r="Q113" s="11">
        <f t="shared" si="8"/>
        <v>16</v>
      </c>
      <c r="R113" s="11">
        <f t="shared" si="9"/>
        <v>3</v>
      </c>
      <c r="S113" s="12" cm="1">
        <f t="array" ref="S113">INDEX('Stage-ConceptMap-3'!$I$15:$N$123,Q113+1,R113)</f>
        <v>0</v>
      </c>
    </row>
    <row r="114" spans="7:19" x14ac:dyDescent="0.75">
      <c r="G114" s="81"/>
      <c r="P114" s="11">
        <v>100</v>
      </c>
      <c r="Q114" s="11">
        <f t="shared" si="8"/>
        <v>16</v>
      </c>
      <c r="R114" s="11">
        <f t="shared" si="9"/>
        <v>4</v>
      </c>
      <c r="S114" s="12" cm="1">
        <f t="array" ref="S114">INDEX('Stage-ConceptMap-3'!$I$15:$N$123,Q114+1,R114)</f>
        <v>0</v>
      </c>
    </row>
    <row r="115" spans="7:19" x14ac:dyDescent="0.75">
      <c r="G115" s="81"/>
      <c r="P115" s="11">
        <v>101</v>
      </c>
      <c r="Q115" s="11">
        <f t="shared" si="8"/>
        <v>16</v>
      </c>
      <c r="R115" s="11">
        <f t="shared" si="9"/>
        <v>5</v>
      </c>
      <c r="S115" s="12" cm="1">
        <f t="array" ref="S115">INDEX('Stage-ConceptMap-3'!$I$15:$N$123,Q115+1,R115)</f>
        <v>0</v>
      </c>
    </row>
    <row r="116" spans="7:19" x14ac:dyDescent="0.75">
      <c r="G116" s="81"/>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1665</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1665</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1666</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9"/>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8"/>
    </row>
    <row r="165" spans="2:2" x14ac:dyDescent="0.75">
      <c r="B165" s="53" t="str">
        <f>"* group[+].source = ##34#"&amp;'Stage-ConceptMap-2'!E6&amp;"##34#"</f>
        <v>* group[+].source = ##34#http://hl7.eu/fhir/ig/idea4rc/StructureDefinition/StageI4rc##34#</v>
      </c>
    </row>
    <row r="166" spans="2:2" x14ac:dyDescent="0.75">
      <c r="B166" s="89" t="str">
        <f>"* group[=].target = ##34#"&amp;'Stage-ConceptMap-2'!E7&amp;"##34#"</f>
        <v>* group[=].target = ##34#http://hl7.eu/fhir/ig/idea4rc/StructureDefinition/mcode-tnm-primary-tumor-category##34#</v>
      </c>
    </row>
    <row r="167" spans="2:2" x14ac:dyDescent="0.75">
      <c r="B167" s="90"/>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9" t="str">
        <f>"* group[=].target = ##34#"&amp;'Stage-ConceptMap-3'!E7&amp;"##34#"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IF('Stage-ConceptMap-3'!S15=0,"//---END",'Stage-ConceptMap-3'!S15)</f>
        <v>* group[=].element[+].code = #Stage.type</v>
      </c>
      <c r="C195" s="7"/>
      <c r="D195" s="7"/>
      <c r="E195" s="7"/>
      <c r="F195" s="7"/>
      <c r="G195" s="7"/>
    </row>
    <row r="196" spans="2:7" x14ac:dyDescent="0.75">
      <c r="B196" s="77" t="str">
        <f>IF('Stage-ConceptMap-3'!S16=0,"//---END",'Stage-ConceptMap-3'!S16)</f>
        <v>* group[=].element[=].display = ##34#Type of stage##34#</v>
      </c>
      <c r="C196" s="7"/>
      <c r="D196" s="7"/>
      <c r="E196" s="7"/>
      <c r="F196" s="7"/>
      <c r="G196" s="7"/>
    </row>
    <row r="197" spans="2:7" x14ac:dyDescent="0.75">
      <c r="B197" s="77" t="str">
        <f>IF('Stage-ConceptMap-3'!S17=0,"//---END",'Stage-ConceptMap-3'!S17)</f>
        <v>* group[=].element[=].target.code = #Observation.valueCodeableConcept</v>
      </c>
      <c r="C197" s="7"/>
      <c r="D197" s="7"/>
      <c r="E197" s="7"/>
      <c r="F197" s="7"/>
      <c r="G197" s="7"/>
    </row>
    <row r="198" spans="2:7" x14ac:dyDescent="0.75">
      <c r="B198" s="77" t="str">
        <f>IF('Stage-ConceptMap-3'!S18=0,"//---END",'Stage-ConceptMap-3'!S18)</f>
        <v>* group[=].element[=].target.display = ##34###34#</v>
      </c>
      <c r="C198" s="7"/>
      <c r="D198" s="7"/>
      <c r="E198" s="7"/>
      <c r="F198" s="7"/>
      <c r="G198" s="7"/>
    </row>
    <row r="199" spans="2:7" x14ac:dyDescent="0.75">
      <c r="B199" s="77" t="str">
        <f>IF('Stage-ConceptMap-3'!S19=0,"//---END",'Stage-ConceptMap-3'!S19)</f>
        <v>* group[=].element[=].target.equivalence = #relatedto</v>
      </c>
      <c r="C199" s="7"/>
      <c r="D199" s="7"/>
      <c r="E199" s="7"/>
      <c r="F199" s="7"/>
      <c r="G199" s="7"/>
    </row>
    <row r="200" spans="2:7" x14ac:dyDescent="0.75">
      <c r="B200" s="77" t="str">
        <f>IF('Stage-ConceptMap-3'!S20=0,"//---END",'Stage-ConceptMap-3'!S20)</f>
        <v/>
      </c>
      <c r="C200" s="7"/>
      <c r="D200" s="7"/>
      <c r="E200" s="7"/>
      <c r="F200" s="7"/>
      <c r="G200" s="7"/>
    </row>
    <row r="201" spans="2:7" x14ac:dyDescent="0.75">
      <c r="B201" s="77" t="str">
        <f>IF('Stage-ConceptMap-3'!S21=0,"//---END",'Stage-ConceptMap-3'!S21)</f>
        <v>* group[=].element[+].code = #Stage.t</v>
      </c>
      <c r="C201" s="7"/>
      <c r="D201" s="7"/>
      <c r="E201" s="7"/>
      <c r="F201" s="7"/>
      <c r="G201" s="7"/>
    </row>
    <row r="202" spans="2:7" x14ac:dyDescent="0.75">
      <c r="B202" s="77" t="str">
        <f>IF('Stage-ConceptMap-3'!S22=0,"//---END",'Stage-ConceptMap-3'!S22)</f>
        <v>* group[=].element[=].display = ##34#T##34#</v>
      </c>
      <c r="C202" s="7"/>
      <c r="D202" s="7"/>
      <c r="E202" s="7"/>
      <c r="F202" s="7"/>
      <c r="G202" s="7"/>
    </row>
    <row r="203" spans="2:7" x14ac:dyDescent="0.75">
      <c r="B203" s="77" t="str">
        <f>IF('Stage-ConceptMap-3'!S23=0,"//---END",'Stage-ConceptMap-3'!S23)</f>
        <v>//-- unmatched</v>
      </c>
      <c r="C203" s="7"/>
      <c r="D203" s="7"/>
      <c r="E203" s="7"/>
      <c r="F203" s="7"/>
      <c r="G203" s="7"/>
    </row>
    <row r="204" spans="2:7" x14ac:dyDescent="0.75">
      <c r="B204" s="77" t="str">
        <f>IF('Stage-ConceptMap-3'!S24=0,"//---END",'Stage-ConceptMap-3'!S24)</f>
        <v>//-- unmatched</v>
      </c>
      <c r="C204" s="7"/>
      <c r="D204" s="7"/>
      <c r="E204" s="7"/>
      <c r="F204" s="7"/>
      <c r="G204" s="7"/>
    </row>
    <row r="205" spans="2:7" x14ac:dyDescent="0.75">
      <c r="B205" s="77" t="str">
        <f>IF('Stage-ConceptMap-3'!S25=0,"//---END",'Stage-ConceptMap-3'!S25)</f>
        <v>* group[=].element[=].target.equivalence = #unmatched</v>
      </c>
      <c r="C205" s="7"/>
      <c r="D205" s="7"/>
      <c r="E205" s="7"/>
      <c r="F205" s="7"/>
      <c r="G205" s="7"/>
    </row>
    <row r="206" spans="2:7" x14ac:dyDescent="0.75">
      <c r="B206" s="77" t="str">
        <f>IF('Stage-ConceptMap-3'!S26=0,"//---END",'Stage-ConceptMap-3'!S26)</f>
        <v/>
      </c>
      <c r="C206" s="7"/>
      <c r="D206" s="7"/>
      <c r="E206" s="7"/>
      <c r="F206" s="7"/>
      <c r="G206" s="7"/>
    </row>
    <row r="207" spans="2:7" x14ac:dyDescent="0.75">
      <c r="B207" s="77" t="str">
        <f>IF('Stage-ConceptMap-3'!S27=0,"//---END",'Stage-ConceptMap-3'!S27)</f>
        <v>* group[=].element[+].code = #Stage.n</v>
      </c>
      <c r="C207" s="7"/>
      <c r="D207" s="7"/>
      <c r="E207" s="7"/>
      <c r="F207" s="7"/>
      <c r="G207" s="7"/>
    </row>
    <row r="208" spans="2:7" x14ac:dyDescent="0.75">
      <c r="B208" s="77" t="str">
        <f>IF('Stage-ConceptMap-3'!S28=0,"//---END",'Stage-ConceptMap-3'!S28)</f>
        <v>* group[=].element[=].display = ##34#N##34#</v>
      </c>
      <c r="C208" s="7"/>
      <c r="D208" s="7"/>
      <c r="E208" s="7"/>
      <c r="F208" s="7"/>
      <c r="G208" s="7"/>
    </row>
    <row r="209" spans="2:7" x14ac:dyDescent="0.75">
      <c r="B209" s="77" t="str">
        <f>IF('Stage-ConceptMap-3'!S29=0,"//---END",'Stage-ConceptMap-3'!S29)</f>
        <v>//-- unmatched</v>
      </c>
      <c r="C209" s="7"/>
      <c r="D209" s="7"/>
      <c r="E209" s="7"/>
      <c r="F209" s="7"/>
      <c r="G209" s="7"/>
    </row>
    <row r="210" spans="2:7" x14ac:dyDescent="0.75">
      <c r="B210" s="77" t="str">
        <f>IF('Stage-ConceptMap-3'!S30=0,"//---END",'Stage-ConceptMap-3'!S30)</f>
        <v>//-- unmatched</v>
      </c>
      <c r="C210" s="7"/>
      <c r="D210" s="7"/>
      <c r="E210" s="7"/>
      <c r="F210" s="7"/>
      <c r="G210" s="7"/>
    </row>
    <row r="211" spans="2:7" x14ac:dyDescent="0.75">
      <c r="B211" s="77" t="str">
        <f>IF('Stage-ConceptMap-3'!S31=0,"//---END",'Stage-ConceptMap-3'!S31)</f>
        <v>* group[=].element[=].target.equivalence = #unmatched</v>
      </c>
      <c r="C211" s="7"/>
      <c r="D211" s="7"/>
      <c r="E211" s="7"/>
      <c r="F211" s="7"/>
      <c r="G211" s="7"/>
    </row>
    <row r="212" spans="2:7" x14ac:dyDescent="0.75">
      <c r="B212" s="77" t="str">
        <f>IF('Stage-ConceptMap-3'!S32=0,"//---END",'Stage-ConceptMap-3'!S32)</f>
        <v/>
      </c>
      <c r="C212" s="7"/>
      <c r="D212" s="7"/>
      <c r="E212" s="7"/>
      <c r="F212" s="7"/>
      <c r="G212" s="7"/>
    </row>
    <row r="213" spans="2:7" x14ac:dyDescent="0.75">
      <c r="B213" s="77" t="str">
        <f>IF('Stage-ConceptMap-3'!S33=0,"//---END",'Stage-ConceptMap-3'!S33)</f>
        <v>* group[=].element[+].code = #Stage.m</v>
      </c>
      <c r="C213" s="7"/>
      <c r="D213" s="7"/>
      <c r="E213" s="7"/>
      <c r="F213" s="7"/>
      <c r="G213" s="7"/>
    </row>
    <row r="214" spans="2:7" x14ac:dyDescent="0.75">
      <c r="B214" s="77" t="str">
        <f>IF('Stage-ConceptMap-3'!S34=0,"//---END",'Stage-ConceptMap-3'!S34)</f>
        <v>* group[=].element[=].display = ##34#M##34#</v>
      </c>
      <c r="C214" s="7"/>
      <c r="D214" s="7"/>
      <c r="E214" s="7"/>
      <c r="F214" s="7"/>
      <c r="G214" s="7"/>
    </row>
    <row r="215" spans="2:7" x14ac:dyDescent="0.75">
      <c r="B215" s="77" t="str">
        <f>IF('Stage-ConceptMap-3'!S35=0,"//---END",'Stage-ConceptMap-3'!S35)</f>
        <v>//-- unmatched</v>
      </c>
      <c r="C215" s="7"/>
      <c r="D215" s="7"/>
      <c r="E215" s="7"/>
      <c r="F215" s="7"/>
      <c r="G215" s="7"/>
    </row>
    <row r="216" spans="2:7" x14ac:dyDescent="0.75">
      <c r="B216" s="77" t="str">
        <f>IF('Stage-ConceptMap-3'!S36=0,"//---END",'Stage-ConceptMap-3'!S36)</f>
        <v>//-- unmatched</v>
      </c>
      <c r="C216" s="7"/>
      <c r="D216" s="7"/>
      <c r="E216" s="7"/>
      <c r="F216" s="7"/>
      <c r="G216" s="7"/>
    </row>
    <row r="217" spans="2:7" x14ac:dyDescent="0.75">
      <c r="B217" s="77" t="str">
        <f>IF('Stage-ConceptMap-3'!S37=0,"//---END",'Stage-ConceptMap-3'!S37)</f>
        <v>* group[=].element[=].target.equivalence = #unmatched</v>
      </c>
      <c r="C217" s="7"/>
      <c r="D217" s="7"/>
      <c r="E217" s="7"/>
      <c r="F217" s="7"/>
      <c r="G217" s="7"/>
    </row>
    <row r="218" spans="2:7" x14ac:dyDescent="0.75">
      <c r="B218" s="77" t="str">
        <f>IF('Stage-ConceptMap-3'!S38=0,"//---END",'Stage-ConceptMap-3'!S38)</f>
        <v/>
      </c>
      <c r="C218" s="7"/>
      <c r="D218" s="7"/>
      <c r="E218" s="7"/>
      <c r="F218" s="7"/>
      <c r="G218" s="7"/>
    </row>
    <row r="219" spans="2:7" x14ac:dyDescent="0.75">
      <c r="B219" s="77" t="str">
        <f>IF('Stage-ConceptMap-3'!S39=0,"//---END",'Stage-ConceptMap-3'!S39)</f>
        <v>//---END</v>
      </c>
      <c r="C219" s="7"/>
      <c r="D219" s="7"/>
      <c r="E219" s="7"/>
      <c r="F219" s="7"/>
      <c r="G219" s="7"/>
    </row>
    <row r="220" spans="2:7" x14ac:dyDescent="0.75">
      <c r="B220" s="77" t="str">
        <f>IF('Stage-ConceptMap-3'!S40=0,"//---END",'Stage-ConceptMap-3'!S40)</f>
        <v>//---END</v>
      </c>
      <c r="C220" s="7"/>
      <c r="D220" s="7"/>
      <c r="E220" s="7"/>
      <c r="F220" s="7"/>
      <c r="G220" s="7"/>
    </row>
    <row r="221" spans="2:7" x14ac:dyDescent="0.75">
      <c r="B221" s="77" t="str">
        <f>IF('Stage-ConceptMap-3'!S41=0,"//---END",'Stage-ConceptMap-3'!S41)</f>
        <v>//---END</v>
      </c>
      <c r="C221" s="7"/>
      <c r="D221" s="7"/>
      <c r="E221" s="7"/>
      <c r="F221" s="7"/>
      <c r="G221" s="7"/>
    </row>
    <row r="222" spans="2:7" x14ac:dyDescent="0.75">
      <c r="B222" s="77" t="str">
        <f>IF('Stage-ConceptMap-3'!S42=0,"//---END",'Stage-ConceptMap-3'!S42)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9" t="str">
        <f>"* group[=].target = ##34#"&amp;'Stage-ConceptMap-4'!E7&amp;"##34#"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2242</v>
      </c>
      <c r="L4" s="16" t="str">
        <f>CONCATENATE("Logical: ",B4)</f>
        <v>Logical: PathologicalReportInfoI4rc</v>
      </c>
    </row>
    <row r="5" spans="1:18" ht="15.5" thickBot="1" x14ac:dyDescent="0.9">
      <c r="A5" s="14" t="s">
        <v>16</v>
      </c>
      <c r="B5" s="30" t="s">
        <v>2243</v>
      </c>
      <c r="L5" s="16" t="str">
        <f>CONCATENATE("Id: ",B5)</f>
        <v>Id: PathologicalReportInfo</v>
      </c>
    </row>
    <row r="6" spans="1:18" ht="15.5" thickBot="1" x14ac:dyDescent="0.9">
      <c r="A6" s="14" t="s">
        <v>10</v>
      </c>
      <c r="B6" s="30" t="s">
        <v>2244</v>
      </c>
      <c r="L6" s="17" t="str">
        <f>CONCATENATE("Title: ##34#",B6,"##34#")</f>
        <v>Title: ##34#Pathological Report Info##34#</v>
      </c>
    </row>
    <row r="7" spans="1:18" x14ac:dyDescent="0.75">
      <c r="A7" s="26" t="s">
        <v>2</v>
      </c>
      <c r="B7" s="104" t="s">
        <v>2244</v>
      </c>
      <c r="C7" s="9" t="s">
        <v>3</v>
      </c>
      <c r="D7" s="1" t="s">
        <v>4</v>
      </c>
      <c r="E7" s="3" t="s">
        <v>5</v>
      </c>
      <c r="F7" s="3" t="s">
        <v>6</v>
      </c>
      <c r="G7" s="131" t="s">
        <v>7</v>
      </c>
      <c r="H7" s="64" t="s">
        <v>1384</v>
      </c>
      <c r="I7" s="134" t="s">
        <v>2148</v>
      </c>
      <c r="J7" s="134" t="s">
        <v>2149</v>
      </c>
      <c r="L7" s="17" t="str">
        <f>CONCATENATE("Description: "," ##334#",B7,"##334#",)</f>
        <v>Description:  ##334#Pathological Report Info##334#</v>
      </c>
    </row>
    <row r="8" spans="1:18" ht="59" x14ac:dyDescent="0.75">
      <c r="A8" s="59">
        <v>0</v>
      </c>
      <c r="B8" s="11" t="s">
        <v>1581</v>
      </c>
      <c r="C8" s="11" t="s">
        <v>1575</v>
      </c>
      <c r="D8" s="11" t="s">
        <v>1576</v>
      </c>
      <c r="E8" s="11">
        <v>1</v>
      </c>
      <c r="F8" s="11">
        <v>1</v>
      </c>
      <c r="G8" s="82" t="s">
        <v>1629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2316</v>
      </c>
      <c r="C9" s="11" t="s">
        <v>2324</v>
      </c>
      <c r="D9" s="11" t="s">
        <v>2325</v>
      </c>
      <c r="E9" s="11">
        <v>0</v>
      </c>
      <c r="F9" s="11">
        <v>1</v>
      </c>
      <c r="G9" s="12" t="s">
        <v>1474</v>
      </c>
      <c r="H9" s="12" t="s">
        <v>2326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2317</v>
      </c>
      <c r="C10" s="11" t="s">
        <v>2327</v>
      </c>
      <c r="D10" s="11" t="s">
        <v>2327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2318</v>
      </c>
      <c r="C11" s="11" t="s">
        <v>2328</v>
      </c>
      <c r="D11" s="11" t="s">
        <v>2328</v>
      </c>
      <c r="E11" s="11">
        <v>0</v>
      </c>
      <c r="F11" s="11">
        <v>1</v>
      </c>
      <c r="G11" s="12" t="s">
        <v>2056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2319</v>
      </c>
      <c r="C12" s="11" t="s">
        <v>2329</v>
      </c>
      <c r="D12" s="11" t="s">
        <v>2329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2320</v>
      </c>
      <c r="C13" s="11" t="s">
        <v>2330</v>
      </c>
      <c r="D13" s="11" t="s">
        <v>2330</v>
      </c>
      <c r="E13" s="11">
        <v>0</v>
      </c>
      <c r="F13" s="11">
        <v>1</v>
      </c>
      <c r="G13" s="12" t="s">
        <v>1474</v>
      </c>
      <c r="H13" s="12" t="s">
        <v>2331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2321</v>
      </c>
      <c r="C14" s="11" t="s">
        <v>2332</v>
      </c>
      <c r="D14" s="11" t="s">
        <v>2332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2322</v>
      </c>
      <c r="C15" s="11" t="s">
        <v>2333</v>
      </c>
      <c r="D15" s="11" t="s">
        <v>2333</v>
      </c>
      <c r="E15" s="11">
        <v>0</v>
      </c>
      <c r="F15" s="11">
        <v>1</v>
      </c>
      <c r="G15" s="12" t="s">
        <v>44</v>
      </c>
      <c r="H15" s="12" t="s">
        <v>2334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2323</v>
      </c>
      <c r="C16" s="11" t="s">
        <v>2335</v>
      </c>
      <c r="D16" s="11" t="s">
        <v>2335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PathologicalReportInfo!L1</f>
        <v>//===================================================</v>
      </c>
    </row>
    <row r="2" spans="3:7" ht="16.75" thickBot="1" x14ac:dyDescent="0.9">
      <c r="C2" s="24" t="str">
        <f>PathologicalReportInfo!L2</f>
        <v>//  Logical Model</v>
      </c>
      <c r="G2" s="29" t="s">
        <v>2336</v>
      </c>
    </row>
    <row r="3" spans="3:7" x14ac:dyDescent="0.75">
      <c r="C3" s="24" t="str">
        <f>PathologicalReportInfo!L3</f>
        <v>//===================================================</v>
      </c>
    </row>
    <row r="4" spans="3:7" x14ac:dyDescent="0.75">
      <c r="C4" s="108" t="str">
        <f>PathologicalReportInfo!L4</f>
        <v>Logical: PathologicalReportInfoI4rc</v>
      </c>
    </row>
    <row r="5" spans="3:7" x14ac:dyDescent="0.75">
      <c r="C5" s="108" t="str">
        <f>PathologicalReportInfo!L5</f>
        <v>Id: PathologicalReportInfo</v>
      </c>
    </row>
    <row r="6" spans="3:7" x14ac:dyDescent="0.75">
      <c r="C6" s="108" t="str">
        <f>PathologicalReportInfo!L6</f>
        <v>Title: ##34#Pathological Report Info##34#</v>
      </c>
    </row>
    <row r="7" spans="3:7" x14ac:dyDescent="0.75">
      <c r="C7" s="108" t="str">
        <f>PathologicalReportInfo!L7</f>
        <v>Description:  ##334#Pathological Report Info##334#</v>
      </c>
    </row>
    <row r="8" spans="3:7" ht="29.5" x14ac:dyDescent="0.75">
      <c r="C8" s="109"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9" t="str">
        <f>IF(PathologicalReportInfo!L9="*  ..  ##34###34# ##334###334#","//--- END",PathologicalReportInfo!L9)</f>
        <v>* degreeOfCytologicAtypia 0..1 CodeableConcept ##34#Degree of cytologic Atypia##34# ##334#Defines the degree of cytologic atypia##334#</v>
      </c>
    </row>
    <row r="10" spans="3:7" ht="29.5" x14ac:dyDescent="0.75">
      <c r="C10" s="109" t="str">
        <f>IF(PathologicalReportInfo!L10="*  ..  ##34###34# ##334###334#","//--- END",PathologicalReportInfo!L10)</f>
        <v>* patternOfGrowth 0..1 BackboneElement ##34#Pattern of Growth##34# ##334#Pattern of Growth##334#</v>
      </c>
    </row>
    <row r="11" spans="3:7" ht="29.5" x14ac:dyDescent="0.75">
      <c r="C11" s="109" t="str">
        <f>IF(PathologicalReportInfo!L11="*  ..  ##34###34# ##334###334#","//--- END",PathologicalReportInfo!L11)</f>
        <v>* mitoticActivity 0..1 Quantity ##34#Mitotic Activity##34# ##334#Mitotic Activity##334#</v>
      </c>
    </row>
    <row r="12" spans="3:7" x14ac:dyDescent="0.75">
      <c r="C12" s="109" t="str">
        <f>IF(PathologicalReportInfo!L12="*  ..  ##34###34# ##334###334#","//--- END",PathologicalReportInfo!L12)</f>
        <v>* infiltrationOfSurroundingMyometrium 0..1 BackboneElement ##34#Infiltration of surrounding myometrium##34# ##334#Infiltration of surrounding myometrium##334#</v>
      </c>
    </row>
    <row r="13" spans="3:7" x14ac:dyDescent="0.75">
      <c r="C13" s="109" t="str">
        <f>IF(PathologicalReportInfo!L13="*  ..  ##34###34# ##334###334#","//--- END",PathologicalReportInfo!L13)</f>
        <v>* typeOfNecrosis 0..1 CodeableConcept ##34#Type of necrosis##34# ##334#Type of necrosis##334#</v>
      </c>
    </row>
    <row r="14" spans="3:7" x14ac:dyDescent="0.75">
      <c r="C14" s="109" t="str">
        <f>IF(PathologicalReportInfo!L14="*  ..  ##34###34# ##334###334#","//--- END",PathologicalReportInfo!L14)</f>
        <v>* expressionOfErPr 0..1 BackboneElement ##34#Expression of ER/PR##34# ##334#Expression of ER/PR##334#</v>
      </c>
    </row>
    <row r="15" spans="3:7" x14ac:dyDescent="0.75">
      <c r="C15" s="109" t="str">
        <f>IF(PathologicalReportInfo!L15="*  ..  ##34###34# ##334###334#","//--- END",PathologicalReportInfo!L15)</f>
        <v>* vascularIntrusionOrInvasion 0..1 boolean ##34#vascular intrusion or invasion##34# ##334#vascular intrusion or invasion##334#</v>
      </c>
    </row>
    <row r="16" spans="3:7" x14ac:dyDescent="0.75">
      <c r="C16" s="109" t="str">
        <f>IF(PathologicalReportInfo!L16="*  ..  ##34###34# ##334###334#","//--- END",PathologicalReportInfo!L16)</f>
        <v>* p16AndP53Expression 0..1 BackboneElement ##34#p16 and p53 expression##34# ##334#p16 and p53 expression##334#</v>
      </c>
    </row>
    <row r="17" spans="3:3" x14ac:dyDescent="0.75">
      <c r="C17" s="109" t="str">
        <f>IF(PathologicalReportInfo!L17="*  ..  ##34###34# ##334###334#","//--- END",PathologicalReportInfo!L17)</f>
        <v>//--- END</v>
      </c>
    </row>
    <row r="18" spans="3:3" x14ac:dyDescent="0.75">
      <c r="C18" s="109" t="str">
        <f>IF(PathologicalReportInfo!L18="*  ..  ##34###34# ##334###334#","//--- END",PathologicalReportInfo!L18)</f>
        <v>//--- END</v>
      </c>
    </row>
    <row r="19" spans="3:3" x14ac:dyDescent="0.75">
      <c r="C19" s="109" t="str">
        <f>IF(PathologicalReportInfo!L19="*  ..  ##34###34# ##334###334#","//--- END",PathologicalReportInfo!L19)</f>
        <v>//--- END</v>
      </c>
    </row>
    <row r="23" spans="3:3" x14ac:dyDescent="0.75">
      <c r="C23" s="107" t="s">
        <v>1387</v>
      </c>
    </row>
    <row r="24" spans="3:3" x14ac:dyDescent="0.75">
      <c r="C24" s="24" t="s">
        <v>1421</v>
      </c>
    </row>
    <row r="25" spans="3:3" x14ac:dyDescent="0.75">
      <c r="C25" s="24" t="s">
        <v>1387</v>
      </c>
    </row>
    <row r="26" spans="3:3" ht="29.5" x14ac:dyDescent="0.75">
      <c r="C26" s="109" t="str">
        <f>IF(PathologicalReportInfo!N8="*  ..  ##34###34# ##334###334#","//--- END",PathologicalReportInfo!N8)</f>
        <v/>
      </c>
    </row>
    <row r="27" spans="3:3" x14ac:dyDescent="0.75">
      <c r="C27" s="109"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9" t="str">
        <f>IF(PathologicalReportInfo!N10="*  ..  ##34###34# ##334###334#","//--- END",PathologicalReportInfo!N10)</f>
        <v/>
      </c>
    </row>
    <row r="29" spans="3:3" x14ac:dyDescent="0.75">
      <c r="C29" s="109" t="str">
        <f>IF(PathologicalReportInfo!N11="*  ..  ##34###34# ##334###334#","//--- END",PathologicalReportInfo!N11)</f>
        <v/>
      </c>
    </row>
    <row r="30" spans="3:3" x14ac:dyDescent="0.75">
      <c r="C30" s="109" t="str">
        <f>IF(PathologicalReportInfo!N12="*  ..  ##34###34# ##334###334#","//--- END",PathologicalReportInfo!N12)</f>
        <v/>
      </c>
    </row>
    <row r="31" spans="3:3" x14ac:dyDescent="0.75">
      <c r="C31" s="109"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9" t="str">
        <f>IF(PathologicalReportInfo!N14="*  ..  ##34###34# ##334###334#","//--- END",PathologicalReportInfo!N14)</f>
        <v/>
      </c>
    </row>
    <row r="33" spans="3:3" x14ac:dyDescent="0.75">
      <c r="C33" s="109" t="str">
        <f>IF(PathologicalReportInfo!N15="*  ..  ##34###34# ##334###334#","//--- END",PathologicalReportInfo!N15)</f>
        <v>* vascularIntrusionOrInvasion ^comment = ##334#True;False
Vascular invasion by tumor present - 4163142##334#</v>
      </c>
    </row>
    <row r="34" spans="3:3" x14ac:dyDescent="0.75">
      <c r="C34" s="109" t="str">
        <f>IF(PathologicalReportInfo!N16="*  ..  ##34###34# ##334###334#","//--- END",PathologicalReportInfo!N16)</f>
        <v/>
      </c>
    </row>
    <row r="35" spans="3:3" x14ac:dyDescent="0.75">
      <c r="C35" s="109" t="str">
        <f>IF(PathologicalReportInfo!N17="*  ..  ##34###34# ##334###334#","//--- END",PathologicalReportInfo!N17)</f>
        <v>//--- END</v>
      </c>
    </row>
    <row r="36" spans="3:3" x14ac:dyDescent="0.75">
      <c r="C36" s="109" t="str">
        <f>IF(PathologicalReportInfo!N18="*  ..  ##34###34# ##334###334#","//--- END",PathologicalReportInfo!N18)</f>
        <v>//--- END</v>
      </c>
    </row>
    <row r="37" spans="3:3" x14ac:dyDescent="0.75">
      <c r="C37" s="109" t="str">
        <f>IF(PathologicalReportInfo!N19="*  ..  ##34###34# ##334###334#","//--- END",PathologicalReportInfo!N19)</f>
        <v>//--- END</v>
      </c>
    </row>
    <row r="40" spans="3:3" x14ac:dyDescent="0.75">
      <c r="C40" s="107" t="str">
        <f>PathologicalReportInfo!P1</f>
        <v>// -------------------------------------------------------------------------------</v>
      </c>
    </row>
    <row r="41" spans="3:3" x14ac:dyDescent="0.75">
      <c r="C41" s="24" t="str">
        <f>PathologicalReportInfo!P2</f>
        <v>// Obligations H&amp;N</v>
      </c>
    </row>
    <row r="42" spans="3:3" x14ac:dyDescent="0.75">
      <c r="C42" s="24" t="str">
        <f>PathologicalReportInfo!P3</f>
        <v>// -------------------------------------------------------------------------------</v>
      </c>
    </row>
    <row r="43" spans="3:3" x14ac:dyDescent="0.75">
      <c r="C43" s="109" t="str">
        <f>IF(PathologicalReportInfo!P8="*  ..  ##34###34# ##334###334#","//--- END",PathologicalReportInfo!P8)</f>
        <v/>
      </c>
    </row>
    <row r="44" spans="3:3" x14ac:dyDescent="0.75">
      <c r="C44" s="109" t="str">
        <f>IF(PathologicalReportInfo!P9="*  ..  ##34###34# ##334###334#","//--- END",PathologicalReportInfo!P9)</f>
        <v/>
      </c>
    </row>
    <row r="45" spans="3:3" x14ac:dyDescent="0.75">
      <c r="C45" s="109" t="str">
        <f>IF(PathologicalReportInfo!P10="*  ..  ##34###34# ##334###334#","//--- END",PathologicalReportInfo!P10)</f>
        <v/>
      </c>
    </row>
    <row r="46" spans="3:3" x14ac:dyDescent="0.75">
      <c r="C46" s="109" t="str">
        <f>IF(PathologicalReportInfo!P11="*  ..  ##34###34# ##334###334#","//--- END",PathologicalReportInfo!P11)</f>
        <v/>
      </c>
    </row>
    <row r="47" spans="3:3" x14ac:dyDescent="0.75">
      <c r="C47" s="109" t="str">
        <f>IF(PathologicalReportInfo!P12="*  ..  ##34###34# ##334###334#","//--- END",PathologicalReportInfo!P12)</f>
        <v/>
      </c>
    </row>
    <row r="48" spans="3:3" x14ac:dyDescent="0.75">
      <c r="C48" s="109" t="str">
        <f>IF(PathologicalReportInfo!P13="*  ..  ##34###34# ##334###334#","//--- END",PathologicalReportInfo!P13)</f>
        <v/>
      </c>
    </row>
    <row r="49" spans="3:3" x14ac:dyDescent="0.75">
      <c r="C49" s="109" t="str">
        <f>IF(PathologicalReportInfo!P14="*  ..  ##34###34# ##334###334#","//--- END",PathologicalReportInfo!P14)</f>
        <v/>
      </c>
    </row>
    <row r="50" spans="3:3" x14ac:dyDescent="0.75">
      <c r="C50" s="109" t="str">
        <f>IF(PathologicalReportInfo!P15="*  ..  ##34###34# ##334###334#","//--- END",PathologicalReportInfo!P15)</f>
        <v/>
      </c>
    </row>
    <row r="51" spans="3:3" x14ac:dyDescent="0.75">
      <c r="C51" s="109" t="str">
        <f>IF(PathologicalReportInfo!P16="*  ..  ##34###34# ##334###334#","//--- END",PathologicalReportInfo!P16)</f>
        <v/>
      </c>
    </row>
    <row r="52" spans="3:3" x14ac:dyDescent="0.75">
      <c r="C52" s="109" t="str">
        <f>IF(PathologicalReportInfo!P17="*  ..  ##34###34# ##334###334#","//--- END",PathologicalReportInfo!P17)</f>
        <v>//--- END</v>
      </c>
    </row>
    <row r="53" spans="3:3" x14ac:dyDescent="0.75">
      <c r="C53" s="109" t="str">
        <f>IF(PathologicalReportInfo!P18="*  ..  ##34###34# ##334###334#","//--- END",PathologicalReportInfo!P18)</f>
        <v>//--- END</v>
      </c>
    </row>
    <row r="54" spans="3:3" x14ac:dyDescent="0.75">
      <c r="C54" s="109" t="str">
        <f>IF(PathologicalReportInfo!P19="*  ..  ##34###34# ##334###334#","//--- END",PathologicalReportInfo!P19)</f>
        <v>//--- END</v>
      </c>
    </row>
    <row r="58" spans="3:3" x14ac:dyDescent="0.75">
      <c r="C58" s="107"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9" t="str">
        <f>IF(PathologicalReportInfo!R8="*  ..  ##34###34# ##334###334#","//--- END",PathologicalReportInfo!R8)</f>
        <v>* episodeEvent insert ObligationActorAndCode($actor-sarcoma-i4rc, #handle)</v>
      </c>
    </row>
    <row r="62" spans="3:3" x14ac:dyDescent="0.75">
      <c r="C62" s="109" t="str">
        <f>IF(PathologicalReportInfo!R9="*  ..  ##34###34# ##334###334#","//--- END",PathologicalReportInfo!R9)</f>
        <v>* degreeOfCytologicAtypia insert ObligationActorAndCode($actor-sarcoma-i4rc, #handle)</v>
      </c>
    </row>
    <row r="63" spans="3:3" x14ac:dyDescent="0.75">
      <c r="C63" s="109" t="str">
        <f>IF(PathologicalReportInfo!R10="*  ..  ##34###34# ##334###334#","//--- END",PathologicalReportInfo!R10)</f>
        <v>* patternOfGrowth insert ObligationActorAndCode($actor-sarcoma-i4rc, #handle)</v>
      </c>
    </row>
    <row r="64" spans="3:3" x14ac:dyDescent="0.75">
      <c r="C64" s="109" t="str">
        <f>IF(PathologicalReportInfo!R11="*  ..  ##34###34# ##334###334#","//--- END",PathologicalReportInfo!R11)</f>
        <v>* mitoticActivity insert ObligationActorAndCode($actor-sarcoma-i4rc, #handle)</v>
      </c>
    </row>
    <row r="65" spans="3:3" x14ac:dyDescent="0.75">
      <c r="C65" s="109" t="str">
        <f>IF(PathologicalReportInfo!R12="*  ..  ##34###34# ##334###334#","//--- END",PathologicalReportInfo!R12)</f>
        <v>* infiltrationOfSurroundingMyometrium insert ObligationActorAndCode($actor-sarcoma-i4rc, #handle)</v>
      </c>
    </row>
    <row r="66" spans="3:3" x14ac:dyDescent="0.75">
      <c r="C66" s="109" t="str">
        <f>IF(PathologicalReportInfo!R13="*  ..  ##34###34# ##334###334#","//--- END",PathologicalReportInfo!R13)</f>
        <v>* typeOfNecrosis insert ObligationActorAndCode($actor-sarcoma-i4rc, #handle)</v>
      </c>
    </row>
    <row r="67" spans="3:3" x14ac:dyDescent="0.75">
      <c r="C67" s="109" t="str">
        <f>IF(PathologicalReportInfo!R14="*  ..  ##34###34# ##334###334#","//--- END",PathologicalReportInfo!R14)</f>
        <v>* expressionOfErPr insert ObligationActorAndCode($actor-sarcoma-i4rc, #handle)</v>
      </c>
    </row>
    <row r="68" spans="3:3" x14ac:dyDescent="0.75">
      <c r="C68" s="109" t="str">
        <f>IF(PathologicalReportInfo!R15="*  ..  ##34###34# ##334###334#","//--- END",PathologicalReportInfo!R15)</f>
        <v>* vascularIntrusionOrInvasion insert ObligationActorAndCode($actor-sarcoma-i4rc, #handle)</v>
      </c>
    </row>
    <row r="69" spans="3:3" x14ac:dyDescent="0.75">
      <c r="C69" s="109" t="str">
        <f>IF(PathologicalReportInfo!R16="*  ..  ##34###34# ##334###334#","//--- END",PathologicalReportInfo!R16)</f>
        <v>* p16AndP53Expression insert ObligationActorAndCode($actor-sarcoma-i4rc, #handle)</v>
      </c>
    </row>
    <row r="70" spans="3:3" x14ac:dyDescent="0.75">
      <c r="C70" s="109" t="str">
        <f>IF(PathologicalReportInfo!R17="*  ..  ##34###34# ##334###334#","//--- END",PathologicalReportInfo!R17)</f>
        <v>//--- END</v>
      </c>
    </row>
    <row r="71" spans="3:3" x14ac:dyDescent="0.75">
      <c r="C71" s="109" t="str">
        <f>IF(PathologicalReportInfo!R18="*  ..  ##34###34# ##334###334#","//--- END",PathologicalReportInfo!R18)</f>
        <v>//--- END</v>
      </c>
    </row>
    <row r="72" spans="3:3" x14ac:dyDescent="0.75">
      <c r="C72" s="109"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http://hl7.eu/fhir/ig/idea4rc/StructureDefinition/PathologicalReportInfo</v>
      </c>
    </row>
    <row r="4" spans="1:19" x14ac:dyDescent="0.75">
      <c r="B4" s="47" t="s">
        <v>16</v>
      </c>
      <c r="C4" s="28" t="s">
        <v>1981</v>
      </c>
      <c r="D4" s="47" t="s">
        <v>1480</v>
      </c>
      <c r="E4" s="150" t="s">
        <v>1984</v>
      </c>
      <c r="F4" s="151"/>
      <c r="G4" s="151"/>
    </row>
    <row r="5" spans="1:19" x14ac:dyDescent="0.75">
      <c r="B5" s="47" t="s">
        <v>10</v>
      </c>
      <c r="C5" s="7" t="s">
        <v>1982</v>
      </c>
      <c r="D5" s="47"/>
      <c r="E5" s="7"/>
    </row>
    <row r="6" spans="1:19" x14ac:dyDescent="0.75">
      <c r="B6" s="47" t="s">
        <v>18</v>
      </c>
      <c r="C6" s="41"/>
      <c r="D6" s="47" t="s">
        <v>1481</v>
      </c>
      <c r="E6" s="150" t="str">
        <f>E3</f>
        <v>http://hl7.eu/fhir/ig/idea4rc/StructureDefinition/PathologicalReportInfo</v>
      </c>
      <c r="F6" s="151"/>
      <c r="G6" s="151"/>
    </row>
    <row r="7" spans="1:19" x14ac:dyDescent="0.75">
      <c r="B7" s="47" t="s">
        <v>15</v>
      </c>
      <c r="C7" s="76"/>
      <c r="D7" s="47" t="s">
        <v>1482</v>
      </c>
      <c r="E7" s="150" t="str">
        <f>E4</f>
        <v>http://hl7.eu/fhir/ig/idea4rc/StructureDefinition/episodeOfCare-eu-i4rc</v>
      </c>
      <c r="F7" s="151"/>
      <c r="G7" s="151"/>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1985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81"/>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1986</v>
      </c>
      <c r="E16" s="12"/>
      <c r="F16" s="49" t="s">
        <v>1316</v>
      </c>
      <c r="G16" s="81"/>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1987</v>
      </c>
      <c r="E17" s="12"/>
      <c r="F17" s="49" t="s">
        <v>1316</v>
      </c>
      <c r="G17" s="81"/>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1988</v>
      </c>
      <c r="E18" s="12"/>
      <c r="F18" s="49" t="s">
        <v>1317</v>
      </c>
      <c r="G18" s="81"/>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81"/>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81"/>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81"/>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81"/>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81"/>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81"/>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81"/>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81"/>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81"/>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81"/>
      <c r="P45" s="11">
        <v>31</v>
      </c>
      <c r="Q45" s="11">
        <f t="shared" si="5"/>
        <v>5</v>
      </c>
      <c r="R45" s="11">
        <f t="shared" si="6"/>
        <v>1</v>
      </c>
      <c r="S45" s="12" cm="1">
        <f t="array" ref="S45">INDEX('PathologicalReportInfo-CM'!$I$15:$N$124,Q45+1,R45)</f>
        <v>0</v>
      </c>
    </row>
    <row r="46" spans="1:19" x14ac:dyDescent="0.75">
      <c r="B46" s="11"/>
      <c r="C46" s="11"/>
      <c r="D46" s="12"/>
      <c r="E46" s="12"/>
      <c r="F46" s="49"/>
      <c r="G46" s="81"/>
      <c r="P46" s="11">
        <v>32</v>
      </c>
      <c r="Q46" s="11">
        <f t="shared" si="5"/>
        <v>5</v>
      </c>
      <c r="R46" s="11">
        <f t="shared" si="6"/>
        <v>2</v>
      </c>
      <c r="S46" s="12" cm="1">
        <f t="array" ref="S46">INDEX('PathologicalReportInfo-CM'!$I$15:$N$124,Q46+1,R46)</f>
        <v>0</v>
      </c>
    </row>
    <row r="47" spans="1:19" x14ac:dyDescent="0.75">
      <c r="B47" s="11"/>
      <c r="C47" s="11"/>
      <c r="D47" s="12"/>
      <c r="E47" s="12"/>
      <c r="F47" s="49"/>
      <c r="G47" s="81"/>
      <c r="P47" s="11">
        <v>33</v>
      </c>
      <c r="Q47" s="11">
        <f t="shared" si="5"/>
        <v>5</v>
      </c>
      <c r="R47" s="11">
        <f t="shared" si="6"/>
        <v>3</v>
      </c>
      <c r="S47" s="12" cm="1">
        <f t="array" ref="S47">INDEX('PathologicalReportInfo-CM'!$I$15:$N$124,Q47+1,R47)</f>
        <v>0</v>
      </c>
    </row>
    <row r="48" spans="1:19" x14ac:dyDescent="0.75">
      <c r="B48" s="11"/>
      <c r="C48" s="11"/>
      <c r="D48" s="12"/>
      <c r="E48" s="12"/>
      <c r="F48" s="49"/>
      <c r="G48" s="81"/>
      <c r="P48" s="11">
        <v>34</v>
      </c>
      <c r="Q48" s="11">
        <f t="shared" si="5"/>
        <v>5</v>
      </c>
      <c r="R48" s="11">
        <f t="shared" si="6"/>
        <v>4</v>
      </c>
      <c r="S48" s="12" cm="1">
        <f t="array" ref="S48">INDEX('PathologicalReportInfo-CM'!$I$15:$N$124,Q48+1,R48)</f>
        <v>0</v>
      </c>
    </row>
    <row r="49" spans="2:19" x14ac:dyDescent="0.75">
      <c r="B49" s="11"/>
      <c r="C49" s="11"/>
      <c r="D49" s="12"/>
      <c r="E49" s="12"/>
      <c r="F49" s="49"/>
      <c r="G49" s="81"/>
      <c r="P49" s="11">
        <v>35</v>
      </c>
      <c r="Q49" s="11">
        <f t="shared" si="5"/>
        <v>5</v>
      </c>
      <c r="R49" s="11">
        <f t="shared" si="6"/>
        <v>5</v>
      </c>
      <c r="S49" s="12" cm="1">
        <f t="array" ref="S49">INDEX('PathologicalReportInfo-CM'!$I$15:$N$124,Q49+1,R49)</f>
        <v>0</v>
      </c>
    </row>
    <row r="50" spans="2:19" x14ac:dyDescent="0.75">
      <c r="B50" s="11"/>
      <c r="C50" s="11"/>
      <c r="D50" s="12"/>
      <c r="E50" s="12"/>
      <c r="F50" s="49"/>
      <c r="G50" s="81"/>
      <c r="P50" s="11">
        <v>36</v>
      </c>
      <c r="Q50" s="11">
        <f t="shared" si="5"/>
        <v>5</v>
      </c>
      <c r="R50" s="11">
        <f t="shared" si="6"/>
        <v>6</v>
      </c>
      <c r="S50" s="12" cm="1">
        <f t="array" ref="S50">INDEX('PathologicalReportInfo-CM'!$I$15:$N$124,Q50+1,R50)</f>
        <v>0</v>
      </c>
    </row>
    <row r="51" spans="2:19" x14ac:dyDescent="0.75">
      <c r="B51" s="11"/>
      <c r="C51" s="11"/>
      <c r="D51" s="12"/>
      <c r="E51" s="12"/>
      <c r="F51" s="49"/>
      <c r="G51" s="81"/>
      <c r="P51" s="11">
        <v>37</v>
      </c>
      <c r="Q51" s="11">
        <f t="shared" si="5"/>
        <v>6</v>
      </c>
      <c r="R51" s="11">
        <f t="shared" si="6"/>
        <v>1</v>
      </c>
      <c r="S51" s="12" cm="1">
        <f t="array" ref="S51">INDEX('PathologicalReportInfo-CM'!$I$15:$N$124,Q51+1,R51)</f>
        <v>0</v>
      </c>
    </row>
    <row r="52" spans="2:19" x14ac:dyDescent="0.75">
      <c r="B52" s="11"/>
      <c r="C52" s="11"/>
      <c r="D52" s="12"/>
      <c r="E52" s="12"/>
      <c r="F52" s="49"/>
      <c r="G52" s="81"/>
      <c r="P52" s="11">
        <v>38</v>
      </c>
      <c r="Q52" s="11">
        <f t="shared" si="5"/>
        <v>6</v>
      </c>
      <c r="R52" s="11">
        <f t="shared" si="6"/>
        <v>2</v>
      </c>
      <c r="S52" s="12" cm="1">
        <f t="array" ref="S52">INDEX('PathologicalReportInfo-CM'!$I$15:$N$124,Q52+1,R52)</f>
        <v>0</v>
      </c>
    </row>
    <row r="53" spans="2:19" x14ac:dyDescent="0.75">
      <c r="B53" s="11"/>
      <c r="C53" s="11"/>
      <c r="D53" s="12"/>
      <c r="E53" s="12"/>
      <c r="F53" s="49"/>
      <c r="G53" s="81"/>
      <c r="P53" s="11">
        <v>39</v>
      </c>
      <c r="Q53" s="11">
        <f t="shared" si="5"/>
        <v>6</v>
      </c>
      <c r="R53" s="11">
        <f t="shared" si="6"/>
        <v>3</v>
      </c>
      <c r="S53" s="12" cm="1">
        <f t="array" ref="S53">INDEX('PathologicalReportInfo-CM'!$I$15:$N$124,Q53+1,R53)</f>
        <v>0</v>
      </c>
    </row>
    <row r="54" spans="2:19" x14ac:dyDescent="0.75">
      <c r="B54" s="11"/>
      <c r="C54" s="11"/>
      <c r="D54" s="12"/>
      <c r="E54" s="12"/>
      <c r="F54" s="49"/>
      <c r="G54" s="81"/>
      <c r="P54" s="11">
        <v>40</v>
      </c>
      <c r="Q54" s="11">
        <f t="shared" si="5"/>
        <v>6</v>
      </c>
      <c r="R54" s="11">
        <f t="shared" si="6"/>
        <v>4</v>
      </c>
      <c r="S54" s="12" cm="1">
        <f t="array" ref="S54">INDEX('PathologicalReportInfo-CM'!$I$15:$N$124,Q54+1,R54)</f>
        <v>0</v>
      </c>
    </row>
    <row r="55" spans="2:19" x14ac:dyDescent="0.75">
      <c r="B55" s="11"/>
      <c r="C55" s="11"/>
      <c r="D55" s="12"/>
      <c r="E55" s="12"/>
      <c r="F55" s="49"/>
      <c r="G55" s="81"/>
      <c r="P55" s="11">
        <v>41</v>
      </c>
      <c r="Q55" s="11">
        <f t="shared" si="5"/>
        <v>6</v>
      </c>
      <c r="R55" s="11">
        <f t="shared" si="6"/>
        <v>5</v>
      </c>
      <c r="S55" s="12" cm="1">
        <f t="array" ref="S55">INDEX('PathologicalReportInfo-CM'!$I$15:$N$124,Q55+1,R55)</f>
        <v>0</v>
      </c>
    </row>
    <row r="56" spans="2:19" x14ac:dyDescent="0.75">
      <c r="B56" s="11"/>
      <c r="C56" s="11"/>
      <c r="D56" s="12"/>
      <c r="E56" s="12"/>
      <c r="F56" s="49"/>
      <c r="G56" s="81"/>
      <c r="P56" s="11">
        <v>42</v>
      </c>
      <c r="Q56" s="11">
        <f t="shared" si="5"/>
        <v>6</v>
      </c>
      <c r="R56" s="11">
        <f t="shared" si="6"/>
        <v>6</v>
      </c>
      <c r="S56" s="12" cm="1">
        <f t="array" ref="S56">INDEX('PathologicalReportInfo-CM'!$I$15:$N$124,Q56+1,R56)</f>
        <v>0</v>
      </c>
    </row>
    <row r="57" spans="2:19" x14ac:dyDescent="0.75">
      <c r="B57" s="11"/>
      <c r="C57" s="11"/>
      <c r="D57" s="12"/>
      <c r="E57" s="12"/>
      <c r="F57" s="49"/>
      <c r="G57" s="81"/>
      <c r="P57" s="11">
        <v>43</v>
      </c>
      <c r="Q57" s="11">
        <f t="shared" si="5"/>
        <v>7</v>
      </c>
      <c r="R57" s="11">
        <f t="shared" si="6"/>
        <v>1</v>
      </c>
      <c r="S57" s="12" cm="1">
        <f t="array" ref="S57">INDEX('PathologicalReportInfo-CM'!$I$15:$N$124,Q57+1,R57)</f>
        <v>0</v>
      </c>
    </row>
    <row r="58" spans="2:19" x14ac:dyDescent="0.75">
      <c r="B58" s="11"/>
      <c r="C58" s="11"/>
      <c r="D58" s="12"/>
      <c r="E58" s="12"/>
      <c r="F58" s="49"/>
      <c r="G58" s="81"/>
      <c r="P58" s="11">
        <v>44</v>
      </c>
      <c r="Q58" s="11">
        <f t="shared" si="5"/>
        <v>7</v>
      </c>
      <c r="R58" s="11">
        <f t="shared" si="6"/>
        <v>2</v>
      </c>
      <c r="S58" s="12" cm="1">
        <f t="array" ref="S58">INDEX('PathologicalReportInfo-CM'!$I$15:$N$124,Q58+1,R58)</f>
        <v>0</v>
      </c>
    </row>
    <row r="59" spans="2:19" x14ac:dyDescent="0.75">
      <c r="B59" s="11"/>
      <c r="C59" s="11"/>
      <c r="D59" s="12"/>
      <c r="E59" s="12"/>
      <c r="F59" s="49"/>
      <c r="G59" s="81"/>
      <c r="P59" s="11">
        <v>45</v>
      </c>
      <c r="Q59" s="11">
        <f t="shared" si="5"/>
        <v>7</v>
      </c>
      <c r="R59" s="11">
        <f t="shared" si="6"/>
        <v>3</v>
      </c>
      <c r="S59" s="12" cm="1">
        <f t="array" ref="S59">INDEX('PathologicalReportInfo-CM'!$I$15:$N$124,Q59+1,R59)</f>
        <v>0</v>
      </c>
    </row>
    <row r="60" spans="2:19" x14ac:dyDescent="0.75">
      <c r="B60" s="11"/>
      <c r="C60" s="11"/>
      <c r="D60" s="12"/>
      <c r="E60" s="12"/>
      <c r="F60" s="49"/>
      <c r="G60" s="81"/>
      <c r="P60" s="11">
        <v>46</v>
      </c>
      <c r="Q60" s="11">
        <f t="shared" si="5"/>
        <v>7</v>
      </c>
      <c r="R60" s="11">
        <f t="shared" si="6"/>
        <v>4</v>
      </c>
      <c r="S60" s="12" cm="1">
        <f t="array" ref="S60">INDEX('PathologicalReportInfo-CM'!$I$15:$N$124,Q60+1,R60)</f>
        <v>0</v>
      </c>
    </row>
    <row r="61" spans="2:19" x14ac:dyDescent="0.75">
      <c r="B61" s="11"/>
      <c r="C61" s="11"/>
      <c r="D61" s="12"/>
      <c r="E61" s="12"/>
      <c r="F61" s="49"/>
      <c r="G61" s="81"/>
      <c r="P61" s="11">
        <v>47</v>
      </c>
      <c r="Q61" s="11">
        <f t="shared" si="5"/>
        <v>7</v>
      </c>
      <c r="R61" s="11">
        <f t="shared" si="6"/>
        <v>5</v>
      </c>
      <c r="S61" s="12" cm="1">
        <f t="array" ref="S61">INDEX('PathologicalReportInfo-CM'!$I$15:$N$124,Q61+1,R61)</f>
        <v>0</v>
      </c>
    </row>
    <row r="62" spans="2:19" x14ac:dyDescent="0.75">
      <c r="B62" s="11"/>
      <c r="C62" s="11"/>
      <c r="D62" s="12"/>
      <c r="E62" s="12"/>
      <c r="F62" s="49"/>
      <c r="G62" s="81"/>
      <c r="P62" s="11">
        <v>48</v>
      </c>
      <c r="Q62" s="11">
        <f t="shared" si="5"/>
        <v>7</v>
      </c>
      <c r="R62" s="11">
        <f t="shared" si="6"/>
        <v>6</v>
      </c>
      <c r="S62" s="12" cm="1">
        <f t="array" ref="S62">INDEX('PathologicalReportInfo-CM'!$I$15:$N$124,Q62+1,R62)</f>
        <v>0</v>
      </c>
    </row>
    <row r="63" spans="2:19" x14ac:dyDescent="0.75">
      <c r="B63" s="11"/>
      <c r="C63" s="11"/>
      <c r="D63" s="12"/>
      <c r="E63" s="12"/>
      <c r="F63" s="49"/>
      <c r="G63" s="81"/>
      <c r="P63" s="11">
        <v>49</v>
      </c>
      <c r="Q63" s="11">
        <f t="shared" si="5"/>
        <v>8</v>
      </c>
      <c r="R63" s="11">
        <f t="shared" si="6"/>
        <v>1</v>
      </c>
      <c r="S63" s="12" cm="1">
        <f t="array" ref="S63">INDEX('PathologicalReportInfo-CM'!$I$15:$N$124,Q63+1,R63)</f>
        <v>0</v>
      </c>
    </row>
    <row r="64" spans="2:19" x14ac:dyDescent="0.75">
      <c r="B64" s="11"/>
      <c r="C64" s="11"/>
      <c r="D64" s="12"/>
      <c r="E64" s="12"/>
      <c r="F64" s="49"/>
      <c r="G64" s="81"/>
      <c r="P64" s="11">
        <v>50</v>
      </c>
      <c r="Q64" s="11">
        <f t="shared" si="5"/>
        <v>8</v>
      </c>
      <c r="R64" s="11">
        <f t="shared" si="6"/>
        <v>2</v>
      </c>
      <c r="S64" s="12" cm="1">
        <f t="array" ref="S64">INDEX('PathologicalReportInfo-CM'!$I$15:$N$124,Q64+1,R64)</f>
        <v>0</v>
      </c>
    </row>
    <row r="65" spans="2:19" x14ac:dyDescent="0.75">
      <c r="B65" s="11"/>
      <c r="C65" s="11"/>
      <c r="D65" s="12"/>
      <c r="E65" s="12"/>
      <c r="F65" s="49"/>
      <c r="G65" s="81"/>
      <c r="P65" s="11">
        <v>51</v>
      </c>
      <c r="Q65" s="11">
        <f t="shared" si="5"/>
        <v>8</v>
      </c>
      <c r="R65" s="11">
        <f t="shared" si="6"/>
        <v>3</v>
      </c>
      <c r="S65" s="12" cm="1">
        <f t="array" ref="S65">INDEX('PathologicalReportInfo-CM'!$I$15:$N$124,Q65+1,R65)</f>
        <v>0</v>
      </c>
    </row>
    <row r="66" spans="2:19" x14ac:dyDescent="0.75">
      <c r="B66" s="11"/>
      <c r="C66" s="11"/>
      <c r="D66" s="12"/>
      <c r="E66" s="12"/>
      <c r="F66" s="49"/>
      <c r="G66" s="81"/>
      <c r="P66" s="11">
        <v>52</v>
      </c>
      <c r="Q66" s="11">
        <f t="shared" si="5"/>
        <v>8</v>
      </c>
      <c r="R66" s="11">
        <f t="shared" si="6"/>
        <v>4</v>
      </c>
      <c r="S66" s="12" cm="1">
        <f t="array" ref="S66">INDEX('PathologicalReportInfo-CM'!$I$15:$N$124,Q66+1,R66)</f>
        <v>0</v>
      </c>
    </row>
    <row r="67" spans="2:19" x14ac:dyDescent="0.75">
      <c r="B67" s="11"/>
      <c r="C67" s="11"/>
      <c r="D67" s="12"/>
      <c r="E67" s="12"/>
      <c r="F67" s="49"/>
      <c r="G67" s="81"/>
      <c r="P67" s="11">
        <v>53</v>
      </c>
      <c r="Q67" s="11">
        <f t="shared" si="5"/>
        <v>8</v>
      </c>
      <c r="R67" s="11">
        <f t="shared" si="6"/>
        <v>5</v>
      </c>
      <c r="S67" s="12" cm="1">
        <f t="array" ref="S67">INDEX('PathologicalReportInfo-CM'!$I$15:$N$124,Q67+1,R67)</f>
        <v>0</v>
      </c>
    </row>
    <row r="68" spans="2:19" x14ac:dyDescent="0.75">
      <c r="B68" s="11"/>
      <c r="C68" s="11"/>
      <c r="D68" s="12"/>
      <c r="E68" s="12"/>
      <c r="F68" s="49"/>
      <c r="G68" s="81"/>
      <c r="P68" s="11">
        <v>54</v>
      </c>
      <c r="Q68" s="11">
        <f t="shared" si="5"/>
        <v>8</v>
      </c>
      <c r="R68" s="11">
        <f t="shared" si="6"/>
        <v>6</v>
      </c>
      <c r="S68" s="12" cm="1">
        <f t="array" ref="S68">INDEX('PathologicalReportInfo-CM'!$I$15:$N$124,Q68+1,R68)</f>
        <v>0</v>
      </c>
    </row>
    <row r="69" spans="2:19" x14ac:dyDescent="0.75">
      <c r="B69" s="11"/>
      <c r="C69" s="11"/>
      <c r="D69" s="12"/>
      <c r="E69" s="12"/>
      <c r="F69" s="49"/>
      <c r="G69" s="81"/>
      <c r="P69" s="11">
        <v>55</v>
      </c>
      <c r="Q69" s="11">
        <f t="shared" si="5"/>
        <v>9</v>
      </c>
      <c r="R69" s="11">
        <f t="shared" si="6"/>
        <v>1</v>
      </c>
      <c r="S69" s="12" cm="1">
        <f t="array" ref="S69">INDEX('PathologicalReportInfo-CM'!$I$15:$N$124,Q69+1,R69)</f>
        <v>0</v>
      </c>
    </row>
    <row r="70" spans="2:19" x14ac:dyDescent="0.75">
      <c r="B70" s="11"/>
      <c r="C70" s="11"/>
      <c r="D70" s="12"/>
      <c r="E70" s="12"/>
      <c r="F70" s="49"/>
      <c r="G70" s="81"/>
      <c r="P70" s="11">
        <v>56</v>
      </c>
      <c r="Q70" s="11">
        <f t="shared" si="5"/>
        <v>9</v>
      </c>
      <c r="R70" s="11">
        <f t="shared" si="6"/>
        <v>2</v>
      </c>
      <c r="S70" s="12" cm="1">
        <f t="array" ref="S70">INDEX('PathologicalReportInfo-CM'!$I$15:$N$124,Q70+1,R70)</f>
        <v>0</v>
      </c>
    </row>
    <row r="71" spans="2:19" x14ac:dyDescent="0.75">
      <c r="B71" s="11"/>
      <c r="C71" s="11"/>
      <c r="D71" s="12"/>
      <c r="E71" s="12"/>
      <c r="F71" s="49"/>
      <c r="G71" s="81"/>
      <c r="P71" s="11">
        <v>57</v>
      </c>
      <c r="Q71" s="11">
        <f t="shared" si="5"/>
        <v>9</v>
      </c>
      <c r="R71" s="11">
        <f t="shared" si="6"/>
        <v>3</v>
      </c>
      <c r="S71" s="12" cm="1">
        <f t="array" ref="S71">INDEX('PathologicalReportInfo-CM'!$I$15:$N$124,Q71+1,R71)</f>
        <v>0</v>
      </c>
    </row>
    <row r="72" spans="2:19" x14ac:dyDescent="0.75">
      <c r="B72" s="11"/>
      <c r="C72" s="11"/>
      <c r="D72" s="12"/>
      <c r="E72" s="12"/>
      <c r="F72" s="49"/>
      <c r="G72" s="81"/>
      <c r="P72" s="11">
        <v>58</v>
      </c>
      <c r="Q72" s="11">
        <f t="shared" si="5"/>
        <v>9</v>
      </c>
      <c r="R72" s="11">
        <f t="shared" si="6"/>
        <v>4</v>
      </c>
      <c r="S72" s="12" cm="1">
        <f t="array" ref="S72">INDEX('PathologicalReportInfo-CM'!$I$15:$N$124,Q72+1,R72)</f>
        <v>0</v>
      </c>
    </row>
    <row r="73" spans="2:19" x14ac:dyDescent="0.75">
      <c r="B73" s="11"/>
      <c r="C73" s="11"/>
      <c r="D73" s="12"/>
      <c r="E73" s="12"/>
      <c r="F73" s="49"/>
      <c r="G73" s="81"/>
      <c r="P73" s="11">
        <v>59</v>
      </c>
      <c r="Q73" s="11">
        <f t="shared" si="5"/>
        <v>9</v>
      </c>
      <c r="R73" s="11">
        <f t="shared" si="6"/>
        <v>5</v>
      </c>
      <c r="S73" s="12" cm="1">
        <f t="array" ref="S73">INDEX('PathologicalReportInfo-CM'!$I$15:$N$124,Q73+1,R73)</f>
        <v>0</v>
      </c>
    </row>
    <row r="74" spans="2:19" x14ac:dyDescent="0.75">
      <c r="B74" s="11"/>
      <c r="C74" s="11"/>
      <c r="D74" s="12"/>
      <c r="E74" s="12"/>
      <c r="F74" s="49"/>
      <c r="G74" s="81"/>
      <c r="P74" s="11">
        <v>60</v>
      </c>
      <c r="Q74" s="11">
        <f t="shared" si="5"/>
        <v>9</v>
      </c>
      <c r="R74" s="11">
        <f t="shared" si="6"/>
        <v>6</v>
      </c>
      <c r="S74" s="12" cm="1">
        <f t="array" ref="S74">INDEX('PathologicalReportInfo-CM'!$I$15:$N$124,Q74+1,R74)</f>
        <v>0</v>
      </c>
    </row>
    <row r="75" spans="2:19" x14ac:dyDescent="0.75">
      <c r="B75" s="11"/>
      <c r="C75" s="11"/>
      <c r="D75" s="12"/>
      <c r="E75" s="12"/>
      <c r="F75" s="49"/>
      <c r="G75" s="81"/>
      <c r="P75" s="11">
        <v>61</v>
      </c>
      <c r="Q75" s="11">
        <f t="shared" si="5"/>
        <v>10</v>
      </c>
      <c r="R75" s="11">
        <f t="shared" si="6"/>
        <v>1</v>
      </c>
      <c r="S75" s="12" cm="1">
        <f t="array" ref="S75">INDEX('PathologicalReportInfo-CM'!$I$15:$N$124,Q75+1,R75)</f>
        <v>0</v>
      </c>
    </row>
    <row r="76" spans="2:19" x14ac:dyDescent="0.75">
      <c r="B76" s="11"/>
      <c r="C76" s="11"/>
      <c r="D76" s="12"/>
      <c r="E76" s="12"/>
      <c r="F76" s="49"/>
      <c r="G76" s="81"/>
      <c r="P76" s="11">
        <v>62</v>
      </c>
      <c r="Q76" s="11">
        <f t="shared" si="5"/>
        <v>10</v>
      </c>
      <c r="R76" s="11">
        <f t="shared" si="6"/>
        <v>2</v>
      </c>
      <c r="S76" s="12" cm="1">
        <f t="array" ref="S76">INDEX('PathologicalReportInfo-CM'!$I$15:$N$124,Q76+1,R76)</f>
        <v>0</v>
      </c>
    </row>
    <row r="77" spans="2:19" x14ac:dyDescent="0.75">
      <c r="B77" s="11"/>
      <c r="C77" s="11"/>
      <c r="D77" s="12"/>
      <c r="E77" s="12"/>
      <c r="F77" s="49"/>
      <c r="G77" s="81"/>
      <c r="P77" s="11">
        <v>63</v>
      </c>
      <c r="Q77" s="11">
        <f t="shared" si="5"/>
        <v>10</v>
      </c>
      <c r="R77" s="11">
        <f t="shared" si="6"/>
        <v>3</v>
      </c>
      <c r="S77" s="12" cm="1">
        <f t="array" ref="S77">INDEX('PathologicalReportInfo-CM'!$I$15:$N$124,Q77+1,R77)</f>
        <v>0</v>
      </c>
    </row>
    <row r="78" spans="2:19" x14ac:dyDescent="0.75">
      <c r="B78" s="11"/>
      <c r="C78" s="11"/>
      <c r="D78" s="12"/>
      <c r="E78" s="12"/>
      <c r="F78" s="49"/>
      <c r="G78" s="81"/>
      <c r="P78" s="11">
        <v>64</v>
      </c>
      <c r="Q78" s="11">
        <f t="shared" si="5"/>
        <v>10</v>
      </c>
      <c r="R78" s="11">
        <f t="shared" si="6"/>
        <v>4</v>
      </c>
      <c r="S78" s="12" cm="1">
        <f t="array" ref="S78">INDEX('PathologicalReportInfo-CM'!$I$15:$N$124,Q78+1,R78)</f>
        <v>0</v>
      </c>
    </row>
    <row r="79" spans="2:19" x14ac:dyDescent="0.75">
      <c r="B79" s="11"/>
      <c r="C79" s="11"/>
      <c r="D79" s="12"/>
      <c r="E79" s="12"/>
      <c r="F79" s="49"/>
      <c r="G79" s="81"/>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81"/>
      <c r="P80" s="11">
        <v>66</v>
      </c>
      <c r="Q80" s="11">
        <f t="shared" si="8"/>
        <v>10</v>
      </c>
      <c r="R80" s="11">
        <f t="shared" si="9"/>
        <v>6</v>
      </c>
      <c r="S80" s="12" cm="1">
        <f t="array" ref="S80">INDEX('PathologicalReportInfo-CM'!$I$15:$N$124,Q80+1,R80)</f>
        <v>0</v>
      </c>
    </row>
    <row r="81" spans="2:19" x14ac:dyDescent="0.75">
      <c r="B81" s="11"/>
      <c r="C81" s="11"/>
      <c r="D81" s="12"/>
      <c r="E81" s="12"/>
      <c r="F81" s="49"/>
      <c r="G81" s="81"/>
      <c r="P81" s="11">
        <v>67</v>
      </c>
      <c r="Q81" s="11">
        <f t="shared" si="8"/>
        <v>11</v>
      </c>
      <c r="R81" s="11">
        <f t="shared" si="9"/>
        <v>1</v>
      </c>
      <c r="S81" s="12" cm="1">
        <f t="array" ref="S81">INDEX('PathologicalReportInfo-CM'!$I$15:$N$124,Q81+1,R81)</f>
        <v>0</v>
      </c>
    </row>
    <row r="82" spans="2:19" x14ac:dyDescent="0.75">
      <c r="B82" s="11"/>
      <c r="C82" s="11"/>
      <c r="D82" s="12"/>
      <c r="E82" s="12"/>
      <c r="F82" s="49"/>
      <c r="G82" s="81"/>
      <c r="P82" s="11">
        <v>68</v>
      </c>
      <c r="Q82" s="11">
        <f t="shared" si="8"/>
        <v>11</v>
      </c>
      <c r="R82" s="11">
        <f t="shared" si="9"/>
        <v>2</v>
      </c>
      <c r="S82" s="12" cm="1">
        <f t="array" ref="S82">INDEX('PathologicalReportInfo-CM'!$I$15:$N$124,Q82+1,R82)</f>
        <v>0</v>
      </c>
    </row>
    <row r="83" spans="2:19" x14ac:dyDescent="0.75">
      <c r="B83" s="11"/>
      <c r="C83" s="11"/>
      <c r="D83" s="12"/>
      <c r="E83" s="12"/>
      <c r="F83" s="49"/>
      <c r="G83" s="81"/>
      <c r="P83" s="11">
        <v>69</v>
      </c>
      <c r="Q83" s="11">
        <f t="shared" si="8"/>
        <v>11</v>
      </c>
      <c r="R83" s="11">
        <f t="shared" si="9"/>
        <v>3</v>
      </c>
      <c r="S83" s="12" cm="1">
        <f t="array" ref="S83">INDEX('PathologicalReportInfo-CM'!$I$15:$N$124,Q83+1,R83)</f>
        <v>0</v>
      </c>
    </row>
    <row r="84" spans="2:19" x14ac:dyDescent="0.75">
      <c r="B84" s="11"/>
      <c r="C84" s="11"/>
      <c r="D84" s="12"/>
      <c r="E84" s="12"/>
      <c r="F84" s="49"/>
      <c r="G84" s="81"/>
      <c r="P84" s="11">
        <v>70</v>
      </c>
      <c r="Q84" s="11">
        <f t="shared" si="8"/>
        <v>11</v>
      </c>
      <c r="R84" s="11">
        <f t="shared" si="9"/>
        <v>4</v>
      </c>
      <c r="S84" s="12" cm="1">
        <f t="array" ref="S84">INDEX('PathologicalReportInfo-CM'!$I$15:$N$124,Q84+1,R84)</f>
        <v>0</v>
      </c>
    </row>
    <row r="85" spans="2:19" x14ac:dyDescent="0.75">
      <c r="B85" s="11"/>
      <c r="C85" s="11"/>
      <c r="D85" s="12"/>
      <c r="E85" s="12"/>
      <c r="F85" s="49"/>
      <c r="G85" s="81"/>
      <c r="P85" s="11">
        <v>71</v>
      </c>
      <c r="Q85" s="11">
        <f t="shared" si="8"/>
        <v>11</v>
      </c>
      <c r="R85" s="11">
        <f t="shared" si="9"/>
        <v>5</v>
      </c>
      <c r="S85" s="12" cm="1">
        <f t="array" ref="S85">INDEX('PathologicalReportInfo-CM'!$I$15:$N$124,Q85+1,R85)</f>
        <v>0</v>
      </c>
    </row>
    <row r="86" spans="2:19" x14ac:dyDescent="0.75">
      <c r="B86" s="11"/>
      <c r="C86" s="11"/>
      <c r="D86" s="12"/>
      <c r="E86" s="12"/>
      <c r="F86" s="49"/>
      <c r="G86" s="81"/>
      <c r="P86" s="11">
        <v>72</v>
      </c>
      <c r="Q86" s="11">
        <f t="shared" si="8"/>
        <v>11</v>
      </c>
      <c r="R86" s="11">
        <f t="shared" si="9"/>
        <v>6</v>
      </c>
      <c r="S86" s="12" cm="1">
        <f t="array" ref="S86">INDEX('PathologicalReportInfo-CM'!$I$15:$N$124,Q86+1,R86)</f>
        <v>0</v>
      </c>
    </row>
    <row r="87" spans="2:19" x14ac:dyDescent="0.75">
      <c r="B87" s="11"/>
      <c r="C87" s="11"/>
      <c r="D87" s="12"/>
      <c r="E87" s="12"/>
      <c r="F87" s="49"/>
      <c r="G87" s="81"/>
      <c r="P87" s="11">
        <v>73</v>
      </c>
      <c r="Q87" s="11">
        <f t="shared" si="8"/>
        <v>12</v>
      </c>
      <c r="R87" s="11">
        <f t="shared" si="9"/>
        <v>1</v>
      </c>
      <c r="S87" s="12" cm="1">
        <f t="array" ref="S87">INDEX('PathologicalReportInfo-CM'!$I$15:$N$124,Q87+1,R87)</f>
        <v>0</v>
      </c>
    </row>
    <row r="88" spans="2:19" x14ac:dyDescent="0.75">
      <c r="B88" s="11"/>
      <c r="C88" s="11"/>
      <c r="D88" s="12"/>
      <c r="E88" s="12"/>
      <c r="F88" s="49"/>
      <c r="G88" s="81"/>
      <c r="P88" s="11">
        <v>74</v>
      </c>
      <c r="Q88" s="11">
        <f t="shared" si="8"/>
        <v>12</v>
      </c>
      <c r="R88" s="11">
        <f t="shared" si="9"/>
        <v>2</v>
      </c>
      <c r="S88" s="12" cm="1">
        <f t="array" ref="S88">INDEX('PathologicalReportInfo-CM'!$I$15:$N$124,Q88+1,R88)</f>
        <v>0</v>
      </c>
    </row>
    <row r="89" spans="2:19" x14ac:dyDescent="0.75">
      <c r="B89" s="11"/>
      <c r="C89" s="11"/>
      <c r="D89" s="12"/>
      <c r="E89" s="12"/>
      <c r="F89" s="49"/>
      <c r="G89" s="81"/>
      <c r="P89" s="11">
        <v>75</v>
      </c>
      <c r="Q89" s="11">
        <f t="shared" si="8"/>
        <v>12</v>
      </c>
      <c r="R89" s="11">
        <f t="shared" si="9"/>
        <v>3</v>
      </c>
      <c r="S89" s="12" cm="1">
        <f t="array" ref="S89">INDEX('PathologicalReportInfo-CM'!$I$15:$N$124,Q89+1,R89)</f>
        <v>0</v>
      </c>
    </row>
    <row r="90" spans="2:19" x14ac:dyDescent="0.75">
      <c r="B90" s="11"/>
      <c r="C90" s="11"/>
      <c r="D90" s="12"/>
      <c r="E90" s="12"/>
      <c r="F90" s="49"/>
      <c r="G90" s="81"/>
      <c r="P90" s="11">
        <v>76</v>
      </c>
      <c r="Q90" s="11">
        <f t="shared" si="8"/>
        <v>12</v>
      </c>
      <c r="R90" s="11">
        <f t="shared" si="9"/>
        <v>4</v>
      </c>
      <c r="S90" s="12" cm="1">
        <f t="array" ref="S90">INDEX('PathologicalReportInfo-CM'!$I$15:$N$124,Q90+1,R90)</f>
        <v>0</v>
      </c>
    </row>
    <row r="91" spans="2:19" x14ac:dyDescent="0.75">
      <c r="B91" s="11"/>
      <c r="C91" s="11"/>
      <c r="D91" s="12"/>
      <c r="E91" s="12"/>
      <c r="F91" s="49"/>
      <c r="G91" s="81"/>
      <c r="P91" s="11">
        <v>77</v>
      </c>
      <c r="Q91" s="11">
        <f t="shared" si="8"/>
        <v>12</v>
      </c>
      <c r="R91" s="11">
        <f t="shared" si="9"/>
        <v>5</v>
      </c>
      <c r="S91" s="12" cm="1">
        <f t="array" ref="S91">INDEX('PathologicalReportInfo-CM'!$I$15:$N$124,Q91+1,R91)</f>
        <v>0</v>
      </c>
    </row>
    <row r="92" spans="2:19" x14ac:dyDescent="0.75">
      <c r="B92" s="11"/>
      <c r="C92" s="11"/>
      <c r="D92" s="12"/>
      <c r="E92" s="12"/>
      <c r="F92" s="49"/>
      <c r="G92" s="81"/>
      <c r="P92" s="11">
        <v>78</v>
      </c>
      <c r="Q92" s="11">
        <f t="shared" si="8"/>
        <v>12</v>
      </c>
      <c r="R92" s="11">
        <f t="shared" si="9"/>
        <v>6</v>
      </c>
      <c r="S92" s="12" cm="1">
        <f t="array" ref="S92">INDEX('PathologicalReportInfo-CM'!$I$15:$N$124,Q92+1,R92)</f>
        <v>0</v>
      </c>
    </row>
    <row r="93" spans="2:19" x14ac:dyDescent="0.75">
      <c r="B93" s="11"/>
      <c r="C93" s="11"/>
      <c r="D93" s="12"/>
      <c r="E93" s="12"/>
      <c r="F93" s="49"/>
      <c r="G93" s="81"/>
      <c r="P93" s="11">
        <v>79</v>
      </c>
      <c r="Q93" s="11">
        <f t="shared" si="8"/>
        <v>13</v>
      </c>
      <c r="R93" s="11">
        <f t="shared" si="9"/>
        <v>1</v>
      </c>
      <c r="S93" s="12" cm="1">
        <f t="array" ref="S93">INDEX('PathologicalReportInfo-CM'!$I$15:$N$124,Q93+1,R93)</f>
        <v>0</v>
      </c>
    </row>
    <row r="94" spans="2:19" x14ac:dyDescent="0.75">
      <c r="B94" s="11"/>
      <c r="C94" s="11"/>
      <c r="D94" s="12"/>
      <c r="E94" s="12"/>
      <c r="F94" s="49"/>
      <c r="G94" s="81"/>
      <c r="P94" s="11">
        <v>80</v>
      </c>
      <c r="Q94" s="11">
        <f t="shared" si="8"/>
        <v>13</v>
      </c>
      <c r="R94" s="11">
        <f t="shared" si="9"/>
        <v>2</v>
      </c>
      <c r="S94" s="12" cm="1">
        <f t="array" ref="S94">INDEX('PathologicalReportInfo-CM'!$I$15:$N$124,Q94+1,R94)</f>
        <v>0</v>
      </c>
    </row>
    <row r="95" spans="2:19" x14ac:dyDescent="0.75">
      <c r="B95" s="11"/>
      <c r="C95" s="11"/>
      <c r="D95" s="12"/>
      <c r="E95" s="12"/>
      <c r="F95" s="49"/>
      <c r="G95" s="81"/>
      <c r="P95" s="11">
        <v>81</v>
      </c>
      <c r="Q95" s="11">
        <f t="shared" si="8"/>
        <v>13</v>
      </c>
      <c r="R95" s="11">
        <f t="shared" si="9"/>
        <v>3</v>
      </c>
      <c r="S95" s="12" cm="1">
        <f t="array" ref="S95">INDEX('PathologicalReportInfo-CM'!$I$15:$N$124,Q95+1,R95)</f>
        <v>0</v>
      </c>
    </row>
    <row r="96" spans="2:19" x14ac:dyDescent="0.75">
      <c r="B96" s="11"/>
      <c r="C96" s="11"/>
      <c r="D96" s="12"/>
      <c r="E96" s="12"/>
      <c r="F96" s="49"/>
      <c r="G96" s="81"/>
      <c r="P96" s="11">
        <v>82</v>
      </c>
      <c r="Q96" s="11">
        <f t="shared" si="8"/>
        <v>13</v>
      </c>
      <c r="R96" s="11">
        <f t="shared" si="9"/>
        <v>4</v>
      </c>
      <c r="S96" s="12" cm="1">
        <f t="array" ref="S96">INDEX('PathologicalReportInfo-CM'!$I$15:$N$124,Q96+1,R96)</f>
        <v>0</v>
      </c>
    </row>
    <row r="97" spans="2:19" x14ac:dyDescent="0.75">
      <c r="B97" s="11"/>
      <c r="C97" s="11"/>
      <c r="D97" s="12"/>
      <c r="E97" s="12"/>
      <c r="F97" s="49"/>
      <c r="G97" s="81"/>
      <c r="P97" s="11">
        <v>83</v>
      </c>
      <c r="Q97" s="11">
        <f t="shared" si="8"/>
        <v>13</v>
      </c>
      <c r="R97" s="11">
        <f t="shared" si="9"/>
        <v>5</v>
      </c>
      <c r="S97" s="12" cm="1">
        <f t="array" ref="S97">INDEX('PathologicalReportInfo-CM'!$I$15:$N$124,Q97+1,R97)</f>
        <v>0</v>
      </c>
    </row>
    <row r="98" spans="2:19" x14ac:dyDescent="0.75">
      <c r="B98" s="11"/>
      <c r="C98" s="11"/>
      <c r="D98" s="12"/>
      <c r="E98" s="12"/>
      <c r="F98" s="49"/>
      <c r="G98" s="81"/>
      <c r="P98" s="11">
        <v>84</v>
      </c>
      <c r="Q98" s="11">
        <f t="shared" si="8"/>
        <v>13</v>
      </c>
      <c r="R98" s="11">
        <f t="shared" si="9"/>
        <v>6</v>
      </c>
      <c r="S98" s="12" cm="1">
        <f t="array" ref="S98">INDEX('PathologicalReportInfo-CM'!$I$15:$N$124,Q98+1,R98)</f>
        <v>0</v>
      </c>
    </row>
    <row r="99" spans="2:19" x14ac:dyDescent="0.75">
      <c r="B99" s="11"/>
      <c r="C99" s="11"/>
      <c r="D99" s="12"/>
      <c r="E99" s="12"/>
      <c r="F99" s="49"/>
      <c r="G99" s="81"/>
      <c r="P99" s="11">
        <v>85</v>
      </c>
      <c r="Q99" s="11">
        <f t="shared" si="8"/>
        <v>14</v>
      </c>
      <c r="R99" s="11">
        <f t="shared" si="9"/>
        <v>1</v>
      </c>
      <c r="S99" s="12" cm="1">
        <f t="array" ref="S99">INDEX('PathologicalReportInfo-CM'!$I$15:$N$124,Q99+1,R99)</f>
        <v>0</v>
      </c>
    </row>
    <row r="100" spans="2:19" x14ac:dyDescent="0.75">
      <c r="B100" s="11"/>
      <c r="C100" s="11"/>
      <c r="D100" s="12"/>
      <c r="E100" s="12"/>
      <c r="F100" s="49"/>
      <c r="G100" s="81"/>
      <c r="P100" s="11">
        <v>86</v>
      </c>
      <c r="Q100" s="11">
        <f t="shared" si="8"/>
        <v>14</v>
      </c>
      <c r="R100" s="11">
        <f t="shared" si="9"/>
        <v>2</v>
      </c>
      <c r="S100" s="12" cm="1">
        <f t="array" ref="S100">INDEX('PathologicalReportInfo-CM'!$I$15:$N$124,Q100+1,R100)</f>
        <v>0</v>
      </c>
    </row>
    <row r="101" spans="2:19" x14ac:dyDescent="0.75">
      <c r="B101" s="11"/>
      <c r="C101" s="11"/>
      <c r="D101" s="12"/>
      <c r="E101" s="12"/>
      <c r="F101" s="49"/>
      <c r="G101" s="81"/>
      <c r="P101" s="11">
        <v>87</v>
      </c>
      <c r="Q101" s="11">
        <f t="shared" si="8"/>
        <v>14</v>
      </c>
      <c r="R101" s="11">
        <f t="shared" si="9"/>
        <v>3</v>
      </c>
      <c r="S101" s="12" cm="1">
        <f t="array" ref="S101">INDEX('PathologicalReportInfo-CM'!$I$15:$N$124,Q101+1,R101)</f>
        <v>0</v>
      </c>
    </row>
    <row r="102" spans="2:19" x14ac:dyDescent="0.75">
      <c r="B102" s="11"/>
      <c r="C102" s="11"/>
      <c r="D102" s="12"/>
      <c r="E102" s="12"/>
      <c r="F102" s="49"/>
      <c r="G102" s="81"/>
      <c r="P102" s="11">
        <v>88</v>
      </c>
      <c r="Q102" s="11">
        <f t="shared" si="8"/>
        <v>14</v>
      </c>
      <c r="R102" s="11">
        <f t="shared" si="9"/>
        <v>4</v>
      </c>
      <c r="S102" s="12" cm="1">
        <f t="array" ref="S102">INDEX('PathologicalReportInfo-CM'!$I$15:$N$124,Q102+1,R102)</f>
        <v>0</v>
      </c>
    </row>
    <row r="103" spans="2:19" x14ac:dyDescent="0.75">
      <c r="B103" s="11"/>
      <c r="C103" s="11"/>
      <c r="D103" s="12"/>
      <c r="E103" s="12"/>
      <c r="F103" s="49"/>
      <c r="G103" s="81"/>
      <c r="P103" s="11">
        <v>89</v>
      </c>
      <c r="Q103" s="11">
        <f t="shared" si="8"/>
        <v>14</v>
      </c>
      <c r="R103" s="11">
        <f t="shared" si="9"/>
        <v>5</v>
      </c>
      <c r="S103" s="12" cm="1">
        <f t="array" ref="S103">INDEX('PathologicalReportInfo-CM'!$I$15:$N$124,Q103+1,R103)</f>
        <v>0</v>
      </c>
    </row>
    <row r="104" spans="2:19" x14ac:dyDescent="0.75">
      <c r="B104" s="11"/>
      <c r="C104" s="11"/>
      <c r="D104" s="12"/>
      <c r="E104" s="12"/>
      <c r="F104" s="49"/>
      <c r="G104" s="81"/>
      <c r="P104" s="11">
        <v>90</v>
      </c>
      <c r="Q104" s="11">
        <f t="shared" si="8"/>
        <v>14</v>
      </c>
      <c r="R104" s="11">
        <f t="shared" si="9"/>
        <v>6</v>
      </c>
      <c r="S104" s="12" cm="1">
        <f t="array" ref="S104">INDEX('PathologicalReportInfo-CM'!$I$15:$N$124,Q104+1,R104)</f>
        <v>0</v>
      </c>
    </row>
    <row r="105" spans="2:19" x14ac:dyDescent="0.75">
      <c r="B105" s="11"/>
      <c r="C105" s="11"/>
      <c r="D105" s="12"/>
      <c r="E105" s="12"/>
      <c r="F105" s="49"/>
      <c r="G105" s="81"/>
      <c r="P105" s="11">
        <v>91</v>
      </c>
      <c r="Q105" s="11">
        <f t="shared" si="8"/>
        <v>15</v>
      </c>
      <c r="R105" s="11">
        <f t="shared" si="9"/>
        <v>1</v>
      </c>
      <c r="S105" s="12" cm="1">
        <f t="array" ref="S105">INDEX('PathologicalReportInfo-CM'!$I$15:$N$124,Q105+1,R105)</f>
        <v>0</v>
      </c>
    </row>
    <row r="106" spans="2:19" x14ac:dyDescent="0.75">
      <c r="B106" s="11"/>
      <c r="C106" s="11"/>
      <c r="D106" s="12"/>
      <c r="E106" s="12"/>
      <c r="F106" s="49"/>
      <c r="G106" s="81"/>
      <c r="P106" s="11">
        <v>92</v>
      </c>
      <c r="Q106" s="11">
        <f t="shared" si="8"/>
        <v>15</v>
      </c>
      <c r="R106" s="11">
        <f t="shared" si="9"/>
        <v>2</v>
      </c>
      <c r="S106" s="12" cm="1">
        <f t="array" ref="S106">INDEX('PathologicalReportInfo-CM'!$I$15:$N$124,Q106+1,R106)</f>
        <v>0</v>
      </c>
    </row>
    <row r="107" spans="2:19" x14ac:dyDescent="0.75">
      <c r="B107" s="11"/>
      <c r="C107" s="11"/>
      <c r="D107" s="12"/>
      <c r="E107" s="12"/>
      <c r="F107" s="49"/>
      <c r="G107" s="81"/>
      <c r="P107" s="11">
        <v>93</v>
      </c>
      <c r="Q107" s="11">
        <f t="shared" si="8"/>
        <v>15</v>
      </c>
      <c r="R107" s="11">
        <f t="shared" si="9"/>
        <v>3</v>
      </c>
      <c r="S107" s="12" cm="1">
        <f t="array" ref="S107">INDEX('PathologicalReportInfo-CM'!$I$15:$N$124,Q107+1,R107)</f>
        <v>0</v>
      </c>
    </row>
    <row r="108" spans="2:19" x14ac:dyDescent="0.75">
      <c r="B108" s="11"/>
      <c r="C108" s="11"/>
      <c r="D108" s="12"/>
      <c r="E108" s="12"/>
      <c r="F108" s="49"/>
      <c r="G108" s="81"/>
      <c r="P108" s="11">
        <v>94</v>
      </c>
      <c r="Q108" s="11">
        <f t="shared" si="8"/>
        <v>15</v>
      </c>
      <c r="R108" s="11">
        <f t="shared" si="9"/>
        <v>4</v>
      </c>
      <c r="S108" s="12" cm="1">
        <f t="array" ref="S108">INDEX('PathologicalReportInfo-CM'!$I$15:$N$124,Q108+1,R108)</f>
        <v>0</v>
      </c>
    </row>
    <row r="109" spans="2:19" x14ac:dyDescent="0.75">
      <c r="B109" s="11"/>
      <c r="C109" s="11"/>
      <c r="D109" s="12"/>
      <c r="E109" s="12"/>
      <c r="F109" s="49"/>
      <c r="G109" s="81"/>
      <c r="P109" s="11">
        <v>95</v>
      </c>
      <c r="Q109" s="11">
        <f t="shared" si="8"/>
        <v>15</v>
      </c>
      <c r="R109" s="11">
        <f t="shared" si="9"/>
        <v>5</v>
      </c>
      <c r="S109" s="12" cm="1">
        <f t="array" ref="S109">INDEX('PathologicalReportInfo-CM'!$I$15:$N$124,Q109+1,R109)</f>
        <v>0</v>
      </c>
    </row>
    <row r="110" spans="2:19" x14ac:dyDescent="0.75">
      <c r="B110" s="11"/>
      <c r="C110" s="11"/>
      <c r="D110" s="12"/>
      <c r="E110" s="12"/>
      <c r="F110" s="49"/>
      <c r="G110" s="81"/>
      <c r="P110" s="11">
        <v>96</v>
      </c>
      <c r="Q110" s="11">
        <f t="shared" si="8"/>
        <v>15</v>
      </c>
      <c r="R110" s="11">
        <f t="shared" si="9"/>
        <v>6</v>
      </c>
      <c r="S110" s="12" cm="1">
        <f t="array" ref="S110">INDEX('PathologicalReportInfo-CM'!$I$15:$N$124,Q110+1,R110)</f>
        <v>0</v>
      </c>
    </row>
    <row r="111" spans="2:19" x14ac:dyDescent="0.75">
      <c r="B111" s="11"/>
      <c r="C111" s="11"/>
      <c r="D111" s="12"/>
      <c r="E111" s="12"/>
      <c r="F111" s="49"/>
      <c r="G111" s="81"/>
      <c r="P111" s="11">
        <v>97</v>
      </c>
      <c r="Q111" s="11">
        <f t="shared" si="8"/>
        <v>16</v>
      </c>
      <c r="R111" s="11">
        <f t="shared" si="9"/>
        <v>1</v>
      </c>
      <c r="S111" s="12" cm="1">
        <f t="array" ref="S111">INDEX('PathologicalReportInfo-CM'!$I$15:$N$124,Q111+1,R111)</f>
        <v>0</v>
      </c>
    </row>
    <row r="112" spans="2:19" x14ac:dyDescent="0.75">
      <c r="B112" s="11"/>
      <c r="C112" s="11"/>
      <c r="D112" s="12"/>
      <c r="E112" s="12"/>
      <c r="F112" s="49"/>
      <c r="G112" s="81"/>
      <c r="P112" s="11">
        <v>98</v>
      </c>
      <c r="Q112" s="11">
        <f t="shared" si="8"/>
        <v>16</v>
      </c>
      <c r="R112" s="11">
        <f t="shared" si="9"/>
        <v>2</v>
      </c>
      <c r="S112" s="12" cm="1">
        <f t="array" ref="S112">INDEX('PathologicalReportInfo-CM'!$I$15:$N$124,Q112+1,R112)</f>
        <v>0</v>
      </c>
    </row>
    <row r="113" spans="2:19" x14ac:dyDescent="0.75">
      <c r="B113" s="11"/>
      <c r="C113" s="11"/>
      <c r="D113" s="12"/>
      <c r="E113" s="12"/>
      <c r="F113" s="49"/>
      <c r="G113" s="81"/>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9"/>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1979</v>
      </c>
      <c r="L4" s="16" t="str">
        <f>CONCATENATE("Logical: ",B4)</f>
        <v>Logical: SurgeryI4rc</v>
      </c>
    </row>
    <row r="5" spans="1:18" ht="15.5" thickBot="1" x14ac:dyDescent="0.9">
      <c r="A5" s="14" t="s">
        <v>16</v>
      </c>
      <c r="B5" s="30" t="s">
        <v>1697</v>
      </c>
      <c r="L5" s="16" t="str">
        <f>CONCATENATE("Id: ",B5)</f>
        <v>Id: Surgery</v>
      </c>
    </row>
    <row r="6" spans="1:18" ht="15.5" thickBot="1" x14ac:dyDescent="0.9">
      <c r="A6" s="14" t="s">
        <v>10</v>
      </c>
      <c r="B6" s="30" t="s">
        <v>1697</v>
      </c>
      <c r="L6" s="17" t="str">
        <f>CONCATENATE("Title: ##34#",B6,"##34#")</f>
        <v>Title: ##34#Surgery##34#</v>
      </c>
    </row>
    <row r="7" spans="1:18" x14ac:dyDescent="0.75">
      <c r="A7" s="26" t="s">
        <v>2</v>
      </c>
      <c r="B7" s="104" t="s">
        <v>1697</v>
      </c>
      <c r="C7" s="9" t="s">
        <v>3</v>
      </c>
      <c r="D7" s="1" t="s">
        <v>4</v>
      </c>
      <c r="E7" s="3" t="s">
        <v>5</v>
      </c>
      <c r="F7" s="3" t="s">
        <v>6</v>
      </c>
      <c r="G7" s="3" t="s">
        <v>7</v>
      </c>
      <c r="H7" s="64" t="s">
        <v>1384</v>
      </c>
      <c r="I7" s="134" t="s">
        <v>2148</v>
      </c>
      <c r="J7" s="134" t="s">
        <v>2149</v>
      </c>
      <c r="L7" s="17" t="str">
        <f>CONCATENATE("Description: "," ##334#",B7,"##334#",)</f>
        <v>Description:  ##334#Surgery##334#</v>
      </c>
    </row>
    <row r="8" spans="1:18" ht="59" x14ac:dyDescent="0.75">
      <c r="A8" s="145">
        <v>0</v>
      </c>
      <c r="B8" s="11" t="s">
        <v>1581</v>
      </c>
      <c r="C8" s="11" t="s">
        <v>1676</v>
      </c>
      <c r="D8" s="11" t="s">
        <v>1576</v>
      </c>
      <c r="E8" s="11">
        <v>1</v>
      </c>
      <c r="F8" s="11">
        <v>1</v>
      </c>
      <c r="G8" s="42" t="s">
        <v>1629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45">
        <v>1</v>
      </c>
      <c r="B9" s="11" t="s">
        <v>1937</v>
      </c>
      <c r="C9" s="11" t="s">
        <v>2252</v>
      </c>
      <c r="D9" s="11" t="s">
        <v>2253</v>
      </c>
      <c r="E9" s="11">
        <v>1</v>
      </c>
      <c r="F9" s="11">
        <v>1</v>
      </c>
      <c r="G9" s="11" t="s">
        <v>1474</v>
      </c>
      <c r="H9" s="12" t="s">
        <v>2260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45">
        <v>2</v>
      </c>
      <c r="B10" s="6" t="s">
        <v>2248</v>
      </c>
      <c r="C10" s="11" t="s">
        <v>2254</v>
      </c>
      <c r="D10" s="11" t="s">
        <v>1698</v>
      </c>
      <c r="E10" s="11">
        <v>1</v>
      </c>
      <c r="F10" s="11">
        <v>1</v>
      </c>
      <c r="G10" s="11" t="s">
        <v>1474</v>
      </c>
      <c r="H10" s="12" t="s">
        <v>1699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45">
        <v>3</v>
      </c>
      <c r="B11" s="11" t="s">
        <v>43</v>
      </c>
      <c r="C11" s="11" t="s">
        <v>1700</v>
      </c>
      <c r="D11" s="11" t="s">
        <v>1701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45">
        <v>4</v>
      </c>
      <c r="B12" s="11" t="s">
        <v>2267</v>
      </c>
      <c r="C12" s="11" t="s">
        <v>1702</v>
      </c>
      <c r="D12" s="11" t="s">
        <v>1703</v>
      </c>
      <c r="E12" s="11">
        <v>1</v>
      </c>
      <c r="F12" s="11">
        <v>1</v>
      </c>
      <c r="G12" s="11" t="s">
        <v>1474</v>
      </c>
      <c r="H12" s="12" t="s">
        <v>2261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45">
        <v>5</v>
      </c>
      <c r="B13" s="11" t="s">
        <v>2268</v>
      </c>
      <c r="C13" s="11" t="s">
        <v>1704</v>
      </c>
      <c r="D13" s="11" t="s">
        <v>1705</v>
      </c>
      <c r="E13" s="11">
        <v>1</v>
      </c>
      <c r="F13" s="11">
        <v>1</v>
      </c>
      <c r="G13" s="11" t="s">
        <v>1474</v>
      </c>
      <c r="H13" s="12" t="s">
        <v>1706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45">
        <v>6</v>
      </c>
      <c r="B14" s="11" t="s">
        <v>1707</v>
      </c>
      <c r="C14" s="11" t="s">
        <v>1708</v>
      </c>
      <c r="D14" s="11" t="s">
        <v>1709</v>
      </c>
      <c r="E14" s="11">
        <v>0</v>
      </c>
      <c r="F14" s="11">
        <v>1</v>
      </c>
      <c r="G14" s="11" t="s">
        <v>1474</v>
      </c>
      <c r="H14" s="12" t="s">
        <v>2262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45">
        <v>7</v>
      </c>
      <c r="B15" s="11" t="s">
        <v>2249</v>
      </c>
      <c r="C15" s="11" t="s">
        <v>2255</v>
      </c>
      <c r="D15" s="11" t="s">
        <v>2256</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45">
        <v>8</v>
      </c>
      <c r="B16" s="11" t="s">
        <v>2269</v>
      </c>
      <c r="C16" s="11" t="s">
        <v>2257</v>
      </c>
      <c r="D16" s="11" t="s">
        <v>2257</v>
      </c>
      <c r="E16" s="11">
        <v>1</v>
      </c>
      <c r="F16" s="11">
        <v>1</v>
      </c>
      <c r="G16" s="11" t="s">
        <v>2056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45">
        <v>9</v>
      </c>
      <c r="B17" s="11" t="s">
        <v>2270</v>
      </c>
      <c r="C17" s="11" t="s">
        <v>2258</v>
      </c>
      <c r="D17" s="11"/>
      <c r="E17" s="11">
        <v>1</v>
      </c>
      <c r="F17" s="11">
        <v>1</v>
      </c>
      <c r="G17" s="11" t="s">
        <v>1474</v>
      </c>
      <c r="H17" s="12" t="s">
        <v>2263</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45">
        <v>10</v>
      </c>
      <c r="B18" s="11" t="s">
        <v>2250</v>
      </c>
      <c r="C18" s="11" t="s">
        <v>2259</v>
      </c>
      <c r="D18" s="11"/>
      <c r="E18" s="11">
        <v>1</v>
      </c>
      <c r="F18" s="11">
        <v>1</v>
      </c>
      <c r="G18" s="11" t="s">
        <v>1474</v>
      </c>
      <c r="H18" s="12" t="s">
        <v>2264</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45">
        <v>11</v>
      </c>
      <c r="B19" s="11" t="s">
        <v>1710</v>
      </c>
      <c r="C19" s="11" t="s">
        <v>1711</v>
      </c>
      <c r="D19" s="11" t="s">
        <v>1712</v>
      </c>
      <c r="E19" s="11">
        <v>1</v>
      </c>
      <c r="F19" s="11">
        <v>1</v>
      </c>
      <c r="G19" s="11" t="s">
        <v>1474</v>
      </c>
      <c r="H19" s="12" t="s">
        <v>1713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45">
        <v>12</v>
      </c>
      <c r="B20" s="11" t="s">
        <v>1714</v>
      </c>
      <c r="C20" s="11" t="s">
        <v>1715</v>
      </c>
      <c r="D20" s="11" t="s">
        <v>1716</v>
      </c>
      <c r="E20" s="6">
        <v>1</v>
      </c>
      <c r="F20" s="6">
        <v>1</v>
      </c>
      <c r="G20" s="11" t="s">
        <v>1474</v>
      </c>
      <c r="H20" s="12" t="s">
        <v>1717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45">
        <v>13</v>
      </c>
      <c r="B21" s="6" t="s">
        <v>1718</v>
      </c>
      <c r="C21" s="11" t="s">
        <v>1719</v>
      </c>
      <c r="D21" s="11" t="s">
        <v>1720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45">
        <v>14</v>
      </c>
      <c r="B22" s="11" t="s">
        <v>1721</v>
      </c>
      <c r="C22" s="11" t="s">
        <v>1722</v>
      </c>
      <c r="D22" s="11" t="s">
        <v>1723</v>
      </c>
      <c r="E22" s="11">
        <v>0</v>
      </c>
      <c r="F22" s="11">
        <v>1</v>
      </c>
      <c r="G22" s="11" t="s">
        <v>1474</v>
      </c>
      <c r="H22" s="12" t="s">
        <v>2265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45">
        <v>15</v>
      </c>
      <c r="B23" s="11" t="s">
        <v>1724</v>
      </c>
      <c r="C23" s="11" t="s">
        <v>1725</v>
      </c>
      <c r="D23" s="11" t="s">
        <v>1726</v>
      </c>
      <c r="E23" s="11">
        <v>0</v>
      </c>
      <c r="F23" s="11">
        <v>1</v>
      </c>
      <c r="G23" s="11" t="s">
        <v>1474</v>
      </c>
      <c r="H23" s="12" t="s">
        <v>1717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45">
        <v>16</v>
      </c>
      <c r="B24" s="6" t="s">
        <v>1727</v>
      </c>
      <c r="C24" s="11" t="s">
        <v>1728</v>
      </c>
      <c r="D24" s="11" t="s">
        <v>1729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45">
        <v>17</v>
      </c>
      <c r="B25" s="11" t="s">
        <v>2271</v>
      </c>
      <c r="C25" s="11" t="s">
        <v>1825</v>
      </c>
      <c r="D25" s="11" t="s">
        <v>1731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45">
        <v>17</v>
      </c>
      <c r="B26" s="11" t="s">
        <v>2272</v>
      </c>
      <c r="C26" s="11" t="s">
        <v>1730</v>
      </c>
      <c r="D26" s="11" t="s">
        <v>1731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45">
        <v>18</v>
      </c>
      <c r="B27" s="11" t="s">
        <v>2273</v>
      </c>
      <c r="C27" s="11" t="s">
        <v>1732</v>
      </c>
      <c r="D27" s="11" t="s">
        <v>1733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45">
        <v>19</v>
      </c>
      <c r="B28" s="11" t="s">
        <v>2274</v>
      </c>
      <c r="C28" s="11" t="s">
        <v>1734</v>
      </c>
      <c r="D28" s="11" t="s">
        <v>1735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45">
        <v>20</v>
      </c>
      <c r="B29" s="11" t="s">
        <v>2275</v>
      </c>
      <c r="C29" s="11" t="s">
        <v>1736</v>
      </c>
      <c r="D29" s="11" t="s">
        <v>1737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45">
        <v>21</v>
      </c>
      <c r="B30" s="11" t="s">
        <v>2276</v>
      </c>
      <c r="C30" s="11" t="s">
        <v>1738</v>
      </c>
      <c r="D30" s="11" t="s">
        <v>1739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45">
        <v>22</v>
      </c>
      <c r="B31" s="11" t="s">
        <v>2277</v>
      </c>
      <c r="C31" s="11" t="s">
        <v>1740</v>
      </c>
      <c r="D31" s="11" t="s">
        <v>1741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45">
        <v>23</v>
      </c>
      <c r="B32" s="11" t="s">
        <v>2278</v>
      </c>
      <c r="C32" s="11" t="s">
        <v>1742</v>
      </c>
      <c r="D32" s="11" t="s">
        <v>1743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45">
        <v>24</v>
      </c>
      <c r="B33" s="11" t="s">
        <v>2279</v>
      </c>
      <c r="C33" s="11" t="s">
        <v>1744</v>
      </c>
      <c r="D33" s="11" t="s">
        <v>1745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45">
        <v>25</v>
      </c>
      <c r="B34" s="11" t="s">
        <v>2280</v>
      </c>
      <c r="C34" s="11" t="s">
        <v>1746</v>
      </c>
      <c r="D34" s="11" t="s">
        <v>1747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45">
        <v>26</v>
      </c>
      <c r="B35" s="11" t="s">
        <v>2281</v>
      </c>
      <c r="C35" s="11" t="s">
        <v>1748</v>
      </c>
      <c r="D35" s="11" t="s">
        <v>1749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45">
        <v>27</v>
      </c>
      <c r="B36" s="11" t="s">
        <v>2251</v>
      </c>
      <c r="C36" s="11" t="s">
        <v>1750</v>
      </c>
      <c r="D36" s="11" t="s">
        <v>1751</v>
      </c>
      <c r="E36">
        <v>1</v>
      </c>
      <c r="F36">
        <v>1</v>
      </c>
      <c r="G36" s="11" t="s">
        <v>1474</v>
      </c>
      <c r="H36" s="12" t="s">
        <v>2266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1696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1828</v>
      </c>
      <c r="D3" s="47" t="s">
        <v>1479</v>
      </c>
      <c r="E3" s="75" t="str">
        <f>$C$1&amp;B14</f>
        <v>http://hl7.eu/fhir/ig/idea4rc/StructureDefinition/SurgeryI4rc</v>
      </c>
    </row>
    <row r="4" spans="1:19" x14ac:dyDescent="0.75">
      <c r="B4" s="47" t="s">
        <v>16</v>
      </c>
      <c r="C4" s="28" t="s">
        <v>1828</v>
      </c>
      <c r="D4" s="47" t="s">
        <v>1480</v>
      </c>
      <c r="E4" s="150" t="s">
        <v>1831</v>
      </c>
      <c r="F4" s="151"/>
      <c r="G4" s="151"/>
    </row>
    <row r="5" spans="1:19" x14ac:dyDescent="0.75">
      <c r="B5" s="47" t="s">
        <v>10</v>
      </c>
      <c r="C5" s="7" t="s">
        <v>1829</v>
      </c>
      <c r="D5" s="47"/>
      <c r="E5" s="7"/>
    </row>
    <row r="6" spans="1:19" x14ac:dyDescent="0.75">
      <c r="B6" s="47" t="s">
        <v>18</v>
      </c>
      <c r="C6" s="41"/>
      <c r="D6" s="47" t="s">
        <v>1481</v>
      </c>
      <c r="E6" s="150" t="str">
        <f>E3</f>
        <v>http://hl7.eu/fhir/ig/idea4rc/StructureDefinition/SurgeryI4rc</v>
      </c>
      <c r="F6" s="151"/>
      <c r="G6" s="151"/>
    </row>
    <row r="7" spans="1:19" x14ac:dyDescent="0.75">
      <c r="B7" s="47" t="s">
        <v>15</v>
      </c>
      <c r="C7" s="76"/>
      <c r="D7" s="47" t="s">
        <v>1482</v>
      </c>
      <c r="E7" s="150" t="str">
        <f>E4</f>
        <v>http://hl7.eu/fhir/ig/idea4rc/StructureDefinition/Procedure-surgery-eu-i4rc</v>
      </c>
      <c r="F7" s="151"/>
      <c r="G7" s="151"/>
    </row>
    <row r="8" spans="1:19" ht="45" thickBot="1" x14ac:dyDescent="0.9">
      <c r="B8" s="47" t="s">
        <v>1483</v>
      </c>
      <c r="C8" s="7" t="s">
        <v>1829</v>
      </c>
      <c r="D8" s="47"/>
      <c r="E8" s="7"/>
      <c r="I8" s="12" t="s">
        <v>1289</v>
      </c>
      <c r="J8" s="12" t="s">
        <v>1290</v>
      </c>
      <c r="K8" s="12" t="s">
        <v>1291</v>
      </c>
      <c r="L8" s="12" t="s">
        <v>1292</v>
      </c>
      <c r="M8" s="11" t="s">
        <v>1293</v>
      </c>
      <c r="P8" s="34" t="s">
        <v>1328</v>
      </c>
      <c r="Q8" s="34">
        <v>6</v>
      </c>
    </row>
    <row r="9" spans="1:19" ht="15.5" thickBot="1" x14ac:dyDescent="0.9">
      <c r="B9" s="47" t="s">
        <v>1484</v>
      </c>
      <c r="C9" s="12" t="s">
        <v>1830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1832</v>
      </c>
      <c r="E14" s="6"/>
      <c r="F14" s="49"/>
      <c r="G14" s="49"/>
      <c r="I14" s="12"/>
      <c r="J14" s="11"/>
      <c r="K14" s="11"/>
      <c r="L14" s="11"/>
      <c r="M14" s="48"/>
      <c r="N14" s="51"/>
    </row>
    <row r="15" spans="1:19" ht="44.25" x14ac:dyDescent="0.75">
      <c r="A15" s="44"/>
      <c r="B15" s="11" t="str">
        <f>Surgery!B8</f>
        <v>episodeEvent</v>
      </c>
      <c r="C15" s="11" t="str">
        <f>Surgery!C8</f>
        <v>Episode Event reference</v>
      </c>
      <c r="D15" s="12" t="s">
        <v>1833</v>
      </c>
      <c r="E15" s="12"/>
      <c r="F15" s="49" t="s">
        <v>1294</v>
      </c>
      <c r="G15" s="81"/>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1847</v>
      </c>
      <c r="E16" s="12"/>
      <c r="F16" s="49" t="s">
        <v>1294</v>
      </c>
      <c r="G16" s="80" t="s">
        <v>1835</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1834</v>
      </c>
      <c r="E17" s="12"/>
      <c r="F17" s="49" t="s">
        <v>1317</v>
      </c>
      <c r="G17" s="81"/>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80" t="s">
        <v>1836</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1837</v>
      </c>
      <c r="E19" s="12"/>
      <c r="F19" s="49" t="s">
        <v>1294</v>
      </c>
      <c r="G19" s="80" t="s">
        <v>1838</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1839</v>
      </c>
      <c r="E20" s="12"/>
      <c r="F20" s="49" t="s">
        <v>1294</v>
      </c>
      <c r="G20" s="81"/>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80" t="s">
        <v>1840</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81" t="s">
        <v>1841</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1834</v>
      </c>
      <c r="E23" s="11"/>
      <c r="F23" s="49" t="s">
        <v>1317</v>
      </c>
      <c r="G23" s="80" t="s">
        <v>1842</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1843</v>
      </c>
      <c r="E24" s="11"/>
      <c r="F24" s="49" t="s">
        <v>1294</v>
      </c>
      <c r="G24" s="81"/>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81" t="s">
        <v>1844</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80" t="s">
        <v>1842</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1637</v>
      </c>
      <c r="E27" s="12"/>
      <c r="F27" s="49" t="s">
        <v>1316</v>
      </c>
      <c r="G27" s="81"/>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1637</v>
      </c>
      <c r="E28" s="12"/>
      <c r="F28" s="49" t="s">
        <v>1316</v>
      </c>
      <c r="G28" s="81"/>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1637</v>
      </c>
      <c r="E29" s="12"/>
      <c r="F29" s="49" t="s">
        <v>1316</v>
      </c>
      <c r="G29" s="81"/>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1637</v>
      </c>
      <c r="E30" s="12"/>
      <c r="F30" s="49" t="s">
        <v>1316</v>
      </c>
      <c r="G30" s="81"/>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1637</v>
      </c>
      <c r="E31" s="12"/>
      <c r="F31" s="49" t="s">
        <v>1316</v>
      </c>
      <c r="G31" s="81"/>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1637</v>
      </c>
      <c r="E32" s="12"/>
      <c r="F32" s="49" t="s">
        <v>1316</v>
      </c>
      <c r="G32" s="81"/>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1637</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1637</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1637</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1637</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1637</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1845</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1846</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1978</v>
      </c>
      <c r="L4" s="16" t="str">
        <f>CONCATENATE("Logical: ",B4)</f>
        <v>Logical: SystemicTreatmentI4rc</v>
      </c>
    </row>
    <row r="5" spans="1:18" ht="15.5" thickBot="1" x14ac:dyDescent="0.9">
      <c r="A5" s="14" t="s">
        <v>16</v>
      </c>
      <c r="B5" s="30" t="s">
        <v>1674</v>
      </c>
      <c r="L5" s="16" t="str">
        <f>CONCATENATE("Id: ",B5)</f>
        <v>Id: SystemicTreatment</v>
      </c>
    </row>
    <row r="6" spans="1:18" ht="15.5" thickBot="1" x14ac:dyDescent="0.9">
      <c r="A6" s="14" t="s">
        <v>10</v>
      </c>
      <c r="B6" s="30" t="s">
        <v>1675</v>
      </c>
      <c r="L6" s="17" t="str">
        <f>CONCATENATE("Title: ##34#",B6,"##34#")</f>
        <v>Title: ##34#Systemic Treatment##34#</v>
      </c>
    </row>
    <row r="7" spans="1:18" x14ac:dyDescent="0.75">
      <c r="A7" s="26" t="s">
        <v>2</v>
      </c>
      <c r="B7" s="30" t="s">
        <v>1675</v>
      </c>
      <c r="C7" s="9" t="s">
        <v>3</v>
      </c>
      <c r="D7" s="1" t="s">
        <v>4</v>
      </c>
      <c r="E7" s="3" t="s">
        <v>5</v>
      </c>
      <c r="F7" s="3" t="s">
        <v>6</v>
      </c>
      <c r="G7" s="3" t="s">
        <v>7</v>
      </c>
      <c r="H7" s="64" t="s">
        <v>1384</v>
      </c>
      <c r="I7" s="134" t="s">
        <v>2148</v>
      </c>
      <c r="J7" s="134" t="s">
        <v>2149</v>
      </c>
      <c r="L7" s="17" t="str">
        <f>CONCATENATE("Description: "," ##334#",B7,"##334#",)</f>
        <v>Description:  ##334#Systemic Treatment##334#</v>
      </c>
    </row>
    <row r="8" spans="1:18" ht="59" x14ac:dyDescent="0.75">
      <c r="A8" s="59">
        <v>0</v>
      </c>
      <c r="B8" s="12" t="s">
        <v>1608</v>
      </c>
      <c r="C8" s="12" t="s">
        <v>1676</v>
      </c>
      <c r="D8" s="12" t="s">
        <v>1576</v>
      </c>
      <c r="E8" s="11">
        <v>1</v>
      </c>
      <c r="F8" s="11">
        <v>1</v>
      </c>
      <c r="G8" s="146"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1677</v>
      </c>
      <c r="C9" s="12" t="s">
        <v>1678</v>
      </c>
      <c r="D9" s="12" t="s">
        <v>1679</v>
      </c>
      <c r="E9" s="11">
        <v>1</v>
      </c>
      <c r="F9" s="11">
        <v>1</v>
      </c>
      <c r="G9" s="91" t="s">
        <v>1474</v>
      </c>
      <c r="H9" s="12" t="s">
        <v>1680</v>
      </c>
      <c r="I9" s="12" t="b">
        <v>1</v>
      </c>
      <c r="J9" s="12" t="b">
        <v>1</v>
      </c>
      <c r="K9" s="25" t="s">
        <v>1677</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1681</v>
      </c>
      <c r="E10" s="11">
        <v>1</v>
      </c>
      <c r="F10" s="11">
        <v>1</v>
      </c>
      <c r="G10" s="109" t="s">
        <v>1474</v>
      </c>
      <c r="H10" s="12" t="s">
        <v>1682</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1683</v>
      </c>
      <c r="D11" s="12" t="s">
        <v>1684</v>
      </c>
      <c r="E11" s="11">
        <v>1</v>
      </c>
      <c r="F11" s="11">
        <v>1</v>
      </c>
      <c r="G11" s="109" t="s">
        <v>1474</v>
      </c>
      <c r="H11" s="12" t="s">
        <v>1685</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2282</v>
      </c>
      <c r="C12" s="11" t="s">
        <v>2288</v>
      </c>
      <c r="D12" s="11" t="s">
        <v>2289</v>
      </c>
      <c r="E12" s="11">
        <v>0</v>
      </c>
      <c r="F12" s="11">
        <v>1</v>
      </c>
      <c r="G12" t="s">
        <v>1474</v>
      </c>
      <c r="H12" s="2" t="s">
        <v>2290</v>
      </c>
      <c r="I12" s="12" t="b">
        <v>0</v>
      </c>
      <c r="J12" s="12" t="b">
        <v>1</v>
      </c>
      <c r="K12" s="25" t="s">
        <v>2282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91"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91"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1686</v>
      </c>
      <c r="D15" s="12" t="s">
        <v>1687</v>
      </c>
      <c r="E15" s="11">
        <v>0</v>
      </c>
      <c r="F15" s="11">
        <v>1</v>
      </c>
      <c r="G15" s="147" t="s">
        <v>1826</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4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1820</v>
      </c>
      <c r="C17" s="12" t="s">
        <v>1428</v>
      </c>
      <c r="D17" s="13" t="s">
        <v>1428</v>
      </c>
      <c r="E17" s="11">
        <v>1</v>
      </c>
      <c r="F17" s="11">
        <v>1</v>
      </c>
      <c r="G17" s="91" t="s">
        <v>1474</v>
      </c>
      <c r="H17" s="12" t="s">
        <v>1688</v>
      </c>
      <c r="I17" s="12" t="b">
        <v>1</v>
      </c>
      <c r="J17" s="12" t="b">
        <v>1</v>
      </c>
      <c r="K17" s="25" t="s">
        <v>2283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1821</v>
      </c>
      <c r="C18" s="12" t="s">
        <v>1429</v>
      </c>
      <c r="D18" s="13" t="s">
        <v>1429</v>
      </c>
      <c r="E18" s="11">
        <v>1</v>
      </c>
      <c r="F18" s="11">
        <v>1</v>
      </c>
      <c r="G18" s="91" t="s">
        <v>1474</v>
      </c>
      <c r="H18" s="12" t="s">
        <v>1688</v>
      </c>
      <c r="I18" s="12" t="b">
        <v>1</v>
      </c>
      <c r="J18" s="12" t="b">
        <v>1</v>
      </c>
      <c r="K18" s="25" t="s">
        <v>2284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1822</v>
      </c>
      <c r="C19" s="12" t="s">
        <v>1430</v>
      </c>
      <c r="D19" s="13" t="s">
        <v>1430</v>
      </c>
      <c r="E19" s="11">
        <v>1</v>
      </c>
      <c r="F19" s="11">
        <v>1</v>
      </c>
      <c r="G19" s="91" t="s">
        <v>1474</v>
      </c>
      <c r="H19" s="12" t="s">
        <v>1688</v>
      </c>
      <c r="I19" s="12" t="b">
        <v>1</v>
      </c>
      <c r="J19" s="12" t="b">
        <v>1</v>
      </c>
      <c r="K19" t="s">
        <v>2285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1823</v>
      </c>
      <c r="C20" s="12" t="s">
        <v>1433</v>
      </c>
      <c r="D20" s="12" t="s">
        <v>1689</v>
      </c>
      <c r="E20" s="11">
        <v>1</v>
      </c>
      <c r="F20" s="11">
        <v>1</v>
      </c>
      <c r="G20" s="91" t="s">
        <v>43</v>
      </c>
      <c r="H20" s="12"/>
      <c r="I20" s="12" t="b">
        <v>1</v>
      </c>
      <c r="J20" s="12" t="b">
        <v>0</v>
      </c>
      <c r="K20" t="s">
        <v>2286</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1824</v>
      </c>
      <c r="C21" s="12" t="s">
        <v>1434</v>
      </c>
      <c r="D21" s="12" t="s">
        <v>1690</v>
      </c>
      <c r="E21" s="11">
        <v>1</v>
      </c>
      <c r="F21" s="11">
        <v>1</v>
      </c>
      <c r="G21" s="91" t="s">
        <v>43</v>
      </c>
      <c r="H21" s="12"/>
      <c r="I21" s="12" t="b">
        <v>1</v>
      </c>
      <c r="J21" s="12" t="b">
        <v>0</v>
      </c>
      <c r="K21" t="s">
        <v>2287</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91" t="s">
        <v>1474</v>
      </c>
      <c r="H22" s="12" t="s">
        <v>1691</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1920</v>
      </c>
      <c r="C23" s="11" t="s">
        <v>1692</v>
      </c>
      <c r="D23" s="11" t="s">
        <v>1693</v>
      </c>
      <c r="E23" s="11">
        <v>1</v>
      </c>
      <c r="F23" s="11">
        <v>1</v>
      </c>
      <c r="G23" t="s">
        <v>1474</v>
      </c>
      <c r="H23" s="12" t="s">
        <v>1694</v>
      </c>
      <c r="I23" s="12" t="b">
        <v>1</v>
      </c>
      <c r="J23" s="12" t="b">
        <v>1</v>
      </c>
      <c r="K23" t="s">
        <v>1920</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1695</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http://hl7.eu/fhir/ig/idea4rc/StructureDefinition/SystemicTreatment</v>
      </c>
    </row>
    <row r="4" spans="1:19" x14ac:dyDescent="0.75">
      <c r="B4" s="47" t="s">
        <v>16</v>
      </c>
      <c r="C4" s="28" t="s">
        <v>1868</v>
      </c>
      <c r="D4" s="47" t="s">
        <v>1480</v>
      </c>
      <c r="E4" s="150" t="s">
        <v>1880</v>
      </c>
      <c r="F4" s="155"/>
      <c r="G4" s="155"/>
    </row>
    <row r="5" spans="1:19" x14ac:dyDescent="0.75">
      <c r="B5" s="47" t="s">
        <v>10</v>
      </c>
      <c r="C5" s="7" t="s">
        <v>1869</v>
      </c>
      <c r="D5" s="47"/>
      <c r="E5" s="7"/>
    </row>
    <row r="6" spans="1:19" x14ac:dyDescent="0.75">
      <c r="B6" s="47" t="s">
        <v>18</v>
      </c>
      <c r="C6" s="41"/>
      <c r="D6" s="47" t="s">
        <v>1481</v>
      </c>
      <c r="E6" s="150" t="str">
        <f>E3</f>
        <v>http://hl7.eu/fhir/ig/idea4rc/StructureDefinition/SystemicTreatment</v>
      </c>
      <c r="F6" s="151"/>
      <c r="G6" s="151"/>
    </row>
    <row r="7" spans="1:19" x14ac:dyDescent="0.75">
      <c r="B7" s="47" t="s">
        <v>15</v>
      </c>
      <c r="C7" s="76"/>
      <c r="D7" s="47" t="s">
        <v>1482</v>
      </c>
      <c r="E7" s="150" t="str">
        <f>E4</f>
        <v>http://hl7.eu/fhir/ig/idea4rc/StructureDefinition/MedicationAdministration-eu-i4rc</v>
      </c>
      <c r="F7" s="151"/>
      <c r="G7" s="151"/>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1832</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1833</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1871</v>
      </c>
      <c r="E16" s="12"/>
      <c r="F16" s="49" t="s">
        <v>1316</v>
      </c>
      <c r="G16" s="81" t="s">
        <v>1879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1872</v>
      </c>
      <c r="E17" s="12"/>
      <c r="F17" s="49" t="s">
        <v>1294</v>
      </c>
      <c r="G17" s="80"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1873</v>
      </c>
      <c r="E18" s="12"/>
      <c r="F18" s="49" t="s">
        <v>1294</v>
      </c>
      <c r="G18" s="80"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1634</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1874</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1875</v>
      </c>
      <c r="E23" s="11"/>
      <c r="F23" s="49" t="s">
        <v>1294</v>
      </c>
      <c r="G23" s="80"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1875</v>
      </c>
      <c r="E24" s="11"/>
      <c r="F24" s="49" t="s">
        <v>1294</v>
      </c>
      <c r="G24" s="80"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1875</v>
      </c>
      <c r="E25" s="11"/>
      <c r="F25" s="49" t="s">
        <v>1294</v>
      </c>
      <c r="G25" s="80"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80"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80"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1876</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1877</v>
      </c>
      <c r="E29" s="12"/>
      <c r="F29" s="49" t="s">
        <v>1294</v>
      </c>
      <c r="G29" s="80" t="s">
        <v>1878</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1980</v>
      </c>
      <c r="L4" s="16" t="str">
        <f>CONCATENATE("Logical: ",B4)</f>
        <v>Logical: RadiotherapyI4rc</v>
      </c>
    </row>
    <row r="5" spans="1:18" ht="15.5" thickBot="1" x14ac:dyDescent="0.9">
      <c r="A5" s="14" t="s">
        <v>16</v>
      </c>
      <c r="B5" s="30" t="s">
        <v>1753</v>
      </c>
      <c r="L5" s="16" t="str">
        <f>CONCATENATE("Id: ",B5)</f>
        <v>Id: Radiotherapy</v>
      </c>
    </row>
    <row r="6" spans="1:18" ht="15.5" thickBot="1" x14ac:dyDescent="0.9">
      <c r="A6" s="14" t="s">
        <v>10</v>
      </c>
      <c r="B6" s="30" t="s">
        <v>1753</v>
      </c>
      <c r="L6" s="17" t="str">
        <f>CONCATENATE("Title: ##34#",B6,"##34#")</f>
        <v>Title: ##34#Radiotherapy##34#</v>
      </c>
    </row>
    <row r="7" spans="1:18" x14ac:dyDescent="0.75">
      <c r="A7" s="26" t="s">
        <v>2</v>
      </c>
      <c r="B7" s="30" t="s">
        <v>1753</v>
      </c>
      <c r="C7" s="9" t="s">
        <v>3</v>
      </c>
      <c r="D7" s="1" t="s">
        <v>4</v>
      </c>
      <c r="E7" s="3" t="s">
        <v>5</v>
      </c>
      <c r="F7" s="3" t="s">
        <v>6</v>
      </c>
      <c r="G7" s="3" t="s">
        <v>7</v>
      </c>
      <c r="H7" s="64" t="s">
        <v>1384</v>
      </c>
      <c r="I7" s="134" t="s">
        <v>2148</v>
      </c>
      <c r="J7" s="134" t="s">
        <v>2149</v>
      </c>
      <c r="L7" s="17" t="str">
        <f>CONCATENATE("Description: "," ##334#",B7,"##334#",)</f>
        <v>Description:  ##334#Radiotherapy##334#</v>
      </c>
    </row>
    <row r="8" spans="1:18" ht="59" x14ac:dyDescent="0.75">
      <c r="A8" s="59">
        <v>0</v>
      </c>
      <c r="B8" s="11" t="s">
        <v>1608</v>
      </c>
      <c r="C8" s="11" t="s">
        <v>1676</v>
      </c>
      <c r="D8" s="11" t="s">
        <v>1576</v>
      </c>
      <c r="E8" s="11">
        <v>1</v>
      </c>
      <c r="F8" s="11">
        <v>1</v>
      </c>
      <c r="G8" s="149"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1752</v>
      </c>
      <c r="C9" s="11" t="s">
        <v>1753</v>
      </c>
      <c r="D9" s="11" t="s">
        <v>1754</v>
      </c>
      <c r="E9" s="11">
        <v>1</v>
      </c>
      <c r="F9" s="11">
        <v>1</v>
      </c>
      <c r="G9" s="11" t="s">
        <v>1474</v>
      </c>
      <c r="H9" s="12" t="s">
        <v>1699</v>
      </c>
      <c r="I9" s="12" t="b">
        <v>1</v>
      </c>
      <c r="J9" s="12" t="b">
        <v>1</v>
      </c>
      <c r="K9" s="25" t="s">
        <v>1752</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1755</v>
      </c>
      <c r="E10" s="11">
        <v>1</v>
      </c>
      <c r="F10" s="11">
        <v>1</v>
      </c>
      <c r="G10" s="11" t="s">
        <v>1474</v>
      </c>
      <c r="H10" s="12" t="s">
        <v>1682</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1683</v>
      </c>
      <c r="D11" s="11" t="s">
        <v>1756</v>
      </c>
      <c r="E11" s="11">
        <v>0</v>
      </c>
      <c r="F11" s="11">
        <v>1</v>
      </c>
      <c r="G11" s="11" t="s">
        <v>1474</v>
      </c>
      <c r="H11" s="12" t="s">
        <v>1757</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1758</v>
      </c>
      <c r="C12" s="11" t="s">
        <v>1759</v>
      </c>
      <c r="D12" s="11" t="s">
        <v>1760</v>
      </c>
      <c r="E12" s="11">
        <v>1</v>
      </c>
      <c r="F12" s="11">
        <v>1</v>
      </c>
      <c r="G12" s="11" t="s">
        <v>1474</v>
      </c>
      <c r="H12" s="12" t="s">
        <v>1761</v>
      </c>
      <c r="I12" s="12" t="b">
        <v>1</v>
      </c>
      <c r="J12" s="12" t="b">
        <v>1</v>
      </c>
      <c r="K12" s="25" t="s">
        <v>1758</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5">
        <v>5</v>
      </c>
      <c r="B13" s="11" t="s">
        <v>1762</v>
      </c>
      <c r="C13" s="11" t="s">
        <v>1763</v>
      </c>
      <c r="D13" s="6" t="s">
        <v>1763</v>
      </c>
      <c r="E13" s="11">
        <v>0</v>
      </c>
      <c r="F13" s="11">
        <v>1</v>
      </c>
      <c r="G13" s="11" t="s">
        <v>0</v>
      </c>
      <c r="H13" s="12"/>
      <c r="I13" s="12" t="b">
        <v>1</v>
      </c>
      <c r="J13" s="12" t="b">
        <v>0</v>
      </c>
      <c r="K13" s="25" t="s">
        <v>1762</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1764</v>
      </c>
      <c r="C14" s="11" t="s">
        <v>1765</v>
      </c>
      <c r="D14" s="11" t="s">
        <v>1766</v>
      </c>
      <c r="E14" s="11">
        <v>1</v>
      </c>
      <c r="F14" s="11">
        <v>1</v>
      </c>
      <c r="G14" s="11" t="s">
        <v>1474</v>
      </c>
      <c r="H14" s="12" t="s">
        <v>1767</v>
      </c>
      <c r="I14" s="12" t="b">
        <v>1</v>
      </c>
      <c r="J14" s="12" t="b">
        <v>1</v>
      </c>
      <c r="K14" s="25" t="s">
        <v>1764</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1768</v>
      </c>
      <c r="C15" s="11" t="s">
        <v>1769</v>
      </c>
      <c r="D15" s="11" t="s">
        <v>1770</v>
      </c>
      <c r="E15" s="11">
        <v>1</v>
      </c>
      <c r="F15" s="11">
        <v>1</v>
      </c>
      <c r="G15" s="42" t="s">
        <v>1826</v>
      </c>
      <c r="H15" s="12"/>
      <c r="I15" s="12" t="b">
        <v>1</v>
      </c>
      <c r="J15" s="12" t="b">
        <v>1</v>
      </c>
      <c r="K15" s="25" t="s">
        <v>2291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1771</v>
      </c>
      <c r="C16" s="11" t="s">
        <v>1772</v>
      </c>
      <c r="D16" s="11" t="s">
        <v>1773</v>
      </c>
      <c r="E16" s="11">
        <v>1</v>
      </c>
      <c r="F16" s="11">
        <v>1</v>
      </c>
      <c r="G16" s="42" t="s">
        <v>1826</v>
      </c>
      <c r="H16" s="12"/>
      <c r="I16" s="12" t="b">
        <v>1</v>
      </c>
      <c r="J16" s="12" t="b">
        <v>0</v>
      </c>
      <c r="K16" s="25" t="s">
        <v>2292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1774</v>
      </c>
      <c r="C17" s="11" t="s">
        <v>1775</v>
      </c>
      <c r="D17" s="11" t="s">
        <v>1776</v>
      </c>
      <c r="E17" s="11">
        <v>1</v>
      </c>
      <c r="F17" s="11">
        <v>1</v>
      </c>
      <c r="G17" s="42" t="s">
        <v>1826</v>
      </c>
      <c r="H17" s="12"/>
      <c r="I17" s="12" t="b">
        <v>1</v>
      </c>
      <c r="J17" s="12" t="b">
        <v>1</v>
      </c>
      <c r="K17" s="25" t="s">
        <v>1774</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1777</v>
      </c>
      <c r="C18" s="11" t="s">
        <v>1778</v>
      </c>
      <c r="D18" s="11" t="s">
        <v>1779</v>
      </c>
      <c r="E18" s="11">
        <v>0</v>
      </c>
      <c r="F18" s="11">
        <v>1</v>
      </c>
      <c r="G18" s="11" t="s">
        <v>1474</v>
      </c>
      <c r="H18" s="12" t="s">
        <v>1717</v>
      </c>
      <c r="I18" s="12" t="b">
        <v>1</v>
      </c>
      <c r="J18" s="12" t="b">
        <v>0</v>
      </c>
      <c r="K18" t="s">
        <v>1777</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1780</v>
      </c>
      <c r="C19" s="11" t="s">
        <v>1781</v>
      </c>
      <c r="D19" s="11" t="s">
        <v>1782</v>
      </c>
      <c r="E19" s="11">
        <v>0</v>
      </c>
      <c r="F19" s="11">
        <v>1</v>
      </c>
      <c r="G19" s="11" t="s">
        <v>1474</v>
      </c>
      <c r="H19" s="12" t="s">
        <v>1717</v>
      </c>
      <c r="I19" s="12" t="b">
        <v>1</v>
      </c>
      <c r="J19" s="12" t="b">
        <v>0</v>
      </c>
      <c r="K19" t="s">
        <v>2293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1783</v>
      </c>
      <c r="C20" s="11" t="s">
        <v>1784</v>
      </c>
      <c r="D20" s="11" t="s">
        <v>1785</v>
      </c>
      <c r="E20" s="11">
        <v>1</v>
      </c>
      <c r="F20" s="11">
        <v>1</v>
      </c>
      <c r="G20" s="11" t="s">
        <v>43</v>
      </c>
      <c r="H20" s="12"/>
      <c r="I20" s="12" t="b">
        <v>1</v>
      </c>
      <c r="J20" s="12" t="b">
        <v>1</v>
      </c>
      <c r="K20" t="s">
        <v>1783</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1786</v>
      </c>
      <c r="C21" s="11" t="s">
        <v>1787</v>
      </c>
      <c r="D21" s="11" t="s">
        <v>1788</v>
      </c>
      <c r="E21" s="11">
        <v>1</v>
      </c>
      <c r="F21" s="11">
        <v>1</v>
      </c>
      <c r="G21" s="11" t="s">
        <v>43</v>
      </c>
      <c r="H21" s="12"/>
      <c r="I21" s="12" t="b">
        <v>1</v>
      </c>
      <c r="J21" s="12" t="b">
        <v>1</v>
      </c>
      <c r="K21" t="s">
        <v>1786</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1789</v>
      </c>
      <c r="C22" s="11" t="s">
        <v>1790</v>
      </c>
      <c r="D22" s="11" t="s">
        <v>1791</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1810</v>
      </c>
      <c r="C23" s="11" t="s">
        <v>1792</v>
      </c>
      <c r="D23" s="103" t="s">
        <v>1792</v>
      </c>
      <c r="E23" s="11">
        <v>0</v>
      </c>
      <c r="F23" s="11">
        <v>1</v>
      </c>
      <c r="G23" s="11" t="s">
        <v>44</v>
      </c>
      <c r="H23" s="12"/>
      <c r="I23" s="12" t="b">
        <v>1</v>
      </c>
      <c r="J23" s="12" t="b">
        <v>0</v>
      </c>
      <c r="K23" t="s">
        <v>2294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1811</v>
      </c>
      <c r="C24" s="11" t="s">
        <v>1793</v>
      </c>
      <c r="D24" s="103" t="s">
        <v>1793</v>
      </c>
      <c r="E24" s="11">
        <v>0</v>
      </c>
      <c r="F24" s="11">
        <v>1</v>
      </c>
      <c r="G24" s="11" t="s">
        <v>44</v>
      </c>
      <c r="H24" s="12"/>
      <c r="I24" s="12" t="b">
        <v>1</v>
      </c>
      <c r="J24" s="12" t="b">
        <v>0</v>
      </c>
      <c r="K24" t="s">
        <v>2295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1812</v>
      </c>
      <c r="C25" s="11" t="s">
        <v>1794</v>
      </c>
      <c r="D25" s="103" t="s">
        <v>1794</v>
      </c>
      <c r="E25" s="11">
        <v>1</v>
      </c>
      <c r="F25" s="11">
        <v>1</v>
      </c>
      <c r="G25" s="11" t="s">
        <v>44</v>
      </c>
      <c r="H25" s="12"/>
      <c r="I25" s="12" t="b">
        <v>1</v>
      </c>
      <c r="J25" s="12" t="b">
        <v>0</v>
      </c>
      <c r="K25" t="s">
        <v>2296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1813</v>
      </c>
      <c r="C26" s="11" t="s">
        <v>1795</v>
      </c>
      <c r="D26" s="103" t="s">
        <v>1795</v>
      </c>
      <c r="E26" s="11">
        <v>1</v>
      </c>
      <c r="F26" s="11">
        <v>1</v>
      </c>
      <c r="G26" s="11" t="s">
        <v>44</v>
      </c>
      <c r="H26" s="12"/>
      <c r="I26" s="12" t="b">
        <v>1</v>
      </c>
      <c r="J26" s="12" t="b">
        <v>0</v>
      </c>
      <c r="K26" t="s">
        <v>2297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1814</v>
      </c>
      <c r="C27" s="11" t="s">
        <v>1796</v>
      </c>
      <c r="D27" s="103" t="s">
        <v>1796</v>
      </c>
      <c r="E27" s="11">
        <v>1</v>
      </c>
      <c r="F27" s="11">
        <v>1</v>
      </c>
      <c r="G27" s="11" t="s">
        <v>44</v>
      </c>
      <c r="H27" s="12"/>
      <c r="I27" s="12" t="b">
        <v>1</v>
      </c>
      <c r="J27" s="12" t="b">
        <v>0</v>
      </c>
      <c r="K27" t="s">
        <v>2298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1797</v>
      </c>
      <c r="C28" s="11" t="s">
        <v>1798</v>
      </c>
      <c r="D28" s="11" t="s">
        <v>1799</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1815</v>
      </c>
      <c r="C29" s="11" t="s">
        <v>1800</v>
      </c>
      <c r="D29" s="103" t="s">
        <v>1800</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1816</v>
      </c>
      <c r="C30" s="11" t="s">
        <v>1802</v>
      </c>
      <c r="D30" s="103" t="s">
        <v>1802</v>
      </c>
      <c r="E30" s="11">
        <v>0</v>
      </c>
      <c r="F30" s="11">
        <v>1</v>
      </c>
      <c r="G30" s="11" t="s">
        <v>44</v>
      </c>
      <c r="H30" s="12"/>
      <c r="I30" s="12" t="b">
        <v>1</v>
      </c>
      <c r="J30" s="12" t="b">
        <v>1</v>
      </c>
      <c r="K30" t="s">
        <v>1801</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1817</v>
      </c>
      <c r="C31" s="12" t="s">
        <v>1803</v>
      </c>
      <c r="D31" s="13" t="s">
        <v>1803</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1818</v>
      </c>
      <c r="C32" s="12" t="s">
        <v>1804</v>
      </c>
      <c r="D32" s="13" t="s">
        <v>1804</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1819</v>
      </c>
      <c r="C33" s="12" t="s">
        <v>1805</v>
      </c>
      <c r="D33" s="13" t="s">
        <v>1805</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1806</v>
      </c>
      <c r="C34" s="12" t="s">
        <v>1807</v>
      </c>
      <c r="D34" s="11" t="s">
        <v>1808</v>
      </c>
      <c r="E34" s="11">
        <v>1</v>
      </c>
      <c r="F34" s="11">
        <v>1</v>
      </c>
      <c r="G34" s="11" t="s">
        <v>1474</v>
      </c>
      <c r="H34" s="12" t="s">
        <v>1809</v>
      </c>
      <c r="I34" s="12" t="b">
        <v>1</v>
      </c>
      <c r="J34" s="12" t="b">
        <v>1</v>
      </c>
      <c r="K34" t="s">
        <v>1806</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2299</v>
      </c>
      <c r="C35" s="11" t="s">
        <v>2303</v>
      </c>
      <c r="D35" s="11" t="s">
        <v>2303</v>
      </c>
      <c r="E35" s="11">
        <v>1</v>
      </c>
      <c r="F35" s="11">
        <v>1</v>
      </c>
      <c r="G35" s="106" t="s">
        <v>1</v>
      </c>
      <c r="H35" s="6"/>
      <c r="I35" s="12" t="b">
        <v>0</v>
      </c>
      <c r="J35" s="12" t="b">
        <v>1</v>
      </c>
      <c r="K35" t="s">
        <v>2299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2309</v>
      </c>
      <c r="C36" s="11" t="s">
        <v>2303</v>
      </c>
      <c r="D36" s="11" t="s">
        <v>2304</v>
      </c>
      <c r="E36" s="11">
        <v>0</v>
      </c>
      <c r="F36" s="11">
        <v>1</v>
      </c>
      <c r="G36" s="106" t="s">
        <v>43</v>
      </c>
      <c r="H36" s="11"/>
      <c r="I36" s="12" t="b">
        <v>0</v>
      </c>
      <c r="J36" s="12" t="b">
        <v>1</v>
      </c>
      <c r="K36" t="s">
        <v>2300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2310</v>
      </c>
      <c r="C37" s="11" t="s">
        <v>2303</v>
      </c>
      <c r="D37" s="11" t="s">
        <v>2305</v>
      </c>
      <c r="E37" s="11">
        <v>0</v>
      </c>
      <c r="F37" s="11">
        <v>1</v>
      </c>
      <c r="G37" s="106" t="s">
        <v>43</v>
      </c>
      <c r="H37" s="11"/>
      <c r="I37" s="12" t="b">
        <v>0</v>
      </c>
      <c r="J37" s="12" t="b">
        <v>1</v>
      </c>
      <c r="K37" t="s">
        <v>2301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2302</v>
      </c>
      <c r="C38" s="11" t="s">
        <v>2306</v>
      </c>
      <c r="D38" s="11" t="s">
        <v>2307</v>
      </c>
      <c r="E38" s="11">
        <v>0</v>
      </c>
      <c r="F38" s="11">
        <v>1</v>
      </c>
      <c r="G38" s="11" t="s">
        <v>1474</v>
      </c>
      <c r="H38" s="12" t="s">
        <v>2308</v>
      </c>
      <c r="I38" s="12" t="b">
        <v>0</v>
      </c>
      <c r="J38" s="12" t="b">
        <v>1</v>
      </c>
      <c r="K38" t="s">
        <v>2302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1827</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1848</v>
      </c>
      <c r="D3" s="47" t="s">
        <v>1479</v>
      </c>
      <c r="E3" s="75" t="str">
        <f>$C$1&amp;B14</f>
        <v>http://hl7.eu/fhir/ig/idea4rc/StructureDefinition/RadiotherapyI4rc</v>
      </c>
    </row>
    <row r="4" spans="1:19" x14ac:dyDescent="0.75">
      <c r="B4" s="47" t="s">
        <v>16</v>
      </c>
      <c r="C4" s="28" t="s">
        <v>1848</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http://hl7.eu/fhir/ig/idea4rc/StructureDefinition/RadiotherapyI4rc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1832</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1833</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1866</v>
      </c>
      <c r="E16" s="12"/>
      <c r="F16" s="49" t="s">
        <v>1294</v>
      </c>
      <c r="G16" s="80" t="s">
        <v>1851</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1854</v>
      </c>
      <c r="E17" s="12"/>
      <c r="F17" s="49" t="s">
        <v>1294</v>
      </c>
      <c r="G17" s="80"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1866</v>
      </c>
      <c r="E18" s="12"/>
      <c r="F18" s="49" t="s">
        <v>1294</v>
      </c>
      <c r="G18" s="80" t="s">
        <v>1851</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1861</v>
      </c>
      <c r="E19" s="12"/>
      <c r="F19" s="49" t="s">
        <v>1294</v>
      </c>
      <c r="G19" s="81"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1862</v>
      </c>
      <c r="E20" s="12"/>
      <c r="F20" s="49" t="s">
        <v>1311</v>
      </c>
      <c r="G20" s="81"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1855</v>
      </c>
      <c r="E21" s="12"/>
      <c r="F21" s="49" t="s">
        <v>1294</v>
      </c>
      <c r="G21" s="81"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1856</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1858</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1857</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1859</v>
      </c>
      <c r="E25" s="11"/>
      <c r="F25" s="49" t="s">
        <v>1294</v>
      </c>
      <c r="G25" s="80" t="s">
        <v>1860</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1855</v>
      </c>
      <c r="E26" s="12"/>
      <c r="F26" s="49" t="s">
        <v>1294</v>
      </c>
      <c r="G26" s="80"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1863</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1864</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1637</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1637</v>
      </c>
      <c r="E30" s="12"/>
      <c r="F30" s="49" t="s">
        <v>1294</v>
      </c>
      <c r="G30" s="80"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1637</v>
      </c>
      <c r="E31" s="12"/>
      <c r="F31" s="49" t="s">
        <v>1294</v>
      </c>
      <c r="G31" s="80"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1637</v>
      </c>
      <c r="E32" s="12"/>
      <c r="F32" s="49" t="s">
        <v>1294</v>
      </c>
      <c r="G32" s="80"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1637</v>
      </c>
      <c r="E33" s="12"/>
      <c r="F33" s="49" t="s">
        <v>1294</v>
      </c>
      <c r="G33" s="80"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1637</v>
      </c>
      <c r="E34" s="12"/>
      <c r="F34" s="49" t="s">
        <v>1294</v>
      </c>
      <c r="G34" s="80"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1637</v>
      </c>
      <c r="E35" s="12"/>
      <c r="F35" s="49" t="s">
        <v>1294</v>
      </c>
      <c r="G35" s="80"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1637</v>
      </c>
      <c r="E36" s="12"/>
      <c r="F36" s="49" t="s">
        <v>1294</v>
      </c>
      <c r="G36" s="80"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1637</v>
      </c>
      <c r="E37" s="12"/>
      <c r="F37" s="49" t="s">
        <v>1294</v>
      </c>
      <c r="G37" s="80"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1637</v>
      </c>
      <c r="E38" s="12"/>
      <c r="F38" s="49" t="s">
        <v>1294</v>
      </c>
      <c r="G38" s="80"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1637</v>
      </c>
      <c r="E39" s="12"/>
      <c r="F39" s="49" t="s">
        <v>1294</v>
      </c>
      <c r="G39" s="80"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1637</v>
      </c>
      <c r="E40" s="12"/>
      <c r="F40" s="49" t="s">
        <v>1294</v>
      </c>
      <c r="G40" s="80"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1859</v>
      </c>
      <c r="E41" s="11"/>
      <c r="F41" s="49" t="s">
        <v>1294</v>
      </c>
      <c r="G41" s="80" t="s">
        <v>1865</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1867</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2345</v>
      </c>
      <c r="L4" s="16" t="str">
        <f>CONCATENATE("Logical: ",B4)</f>
        <v>Logical: OtherTreatmentI4rc</v>
      </c>
    </row>
    <row r="5" spans="1:18" ht="15.5" thickBot="1" x14ac:dyDescent="0.9">
      <c r="A5" s="14" t="s">
        <v>16</v>
      </c>
      <c r="B5" s="30" t="s">
        <v>2346</v>
      </c>
      <c r="L5" s="16" t="str">
        <f>CONCATENATE("Id: ",B5)</f>
        <v>Id: OtherTreatment</v>
      </c>
    </row>
    <row r="6" spans="1:18" ht="15.5" thickBot="1" x14ac:dyDescent="0.9">
      <c r="A6" s="14" t="s">
        <v>10</v>
      </c>
      <c r="B6" s="30" t="s">
        <v>2347</v>
      </c>
      <c r="L6" s="17" t="str">
        <f>CONCATENATE("Title: ##34#",B6,"##34#")</f>
        <v>Title: ##34#Other Local Treatment##34#</v>
      </c>
    </row>
    <row r="7" spans="1:18" x14ac:dyDescent="0.75">
      <c r="A7" s="26" t="s">
        <v>2</v>
      </c>
      <c r="B7" s="30" t="s">
        <v>2347</v>
      </c>
      <c r="C7" s="9" t="s">
        <v>3</v>
      </c>
      <c r="D7" s="1" t="s">
        <v>4</v>
      </c>
      <c r="E7" s="3" t="s">
        <v>5</v>
      </c>
      <c r="F7" s="3" t="s">
        <v>6</v>
      </c>
      <c r="G7" s="3" t="s">
        <v>7</v>
      </c>
      <c r="H7" s="64" t="s">
        <v>1384</v>
      </c>
      <c r="I7" s="134" t="s">
        <v>2148</v>
      </c>
      <c r="J7" s="134" t="s">
        <v>2149</v>
      </c>
      <c r="L7" s="17" t="str">
        <f>CONCATENATE("Description: "," ##334#",B7,"##334#",)</f>
        <v>Description:  ##334#Other Local Treatment##334#</v>
      </c>
    </row>
    <row r="8" spans="1:18" ht="59" x14ac:dyDescent="0.75">
      <c r="A8" s="59">
        <v>0</v>
      </c>
      <c r="B8" s="12" t="s">
        <v>1581</v>
      </c>
      <c r="C8" s="12" t="s">
        <v>1676</v>
      </c>
      <c r="D8" s="12" t="s">
        <v>1576</v>
      </c>
      <c r="E8" s="12">
        <v>1</v>
      </c>
      <c r="F8" s="12">
        <v>1</v>
      </c>
      <c r="G8" s="149" t="s">
        <v>1629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1937</v>
      </c>
      <c r="C9" s="12" t="s">
        <v>2337</v>
      </c>
      <c r="D9" s="12" t="s">
        <v>2338</v>
      </c>
      <c r="E9" s="12">
        <v>1</v>
      </c>
      <c r="F9" s="12">
        <v>1</v>
      </c>
      <c r="G9" s="12" t="s">
        <v>1474</v>
      </c>
      <c r="H9" s="12" t="s">
        <v>2339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1783</v>
      </c>
      <c r="C10" s="12" t="s">
        <v>1784</v>
      </c>
      <c r="D10" s="12" t="s">
        <v>2340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1786</v>
      </c>
      <c r="C11" s="12" t="s">
        <v>1787</v>
      </c>
      <c r="D11" s="12" t="s">
        <v>2341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1920</v>
      </c>
      <c r="C12" s="12" t="s">
        <v>2342</v>
      </c>
      <c r="D12" s="12" t="s">
        <v>1693</v>
      </c>
      <c r="E12" s="12">
        <v>0</v>
      </c>
      <c r="F12" s="12">
        <v>1</v>
      </c>
      <c r="G12" s="12" t="s">
        <v>1474</v>
      </c>
      <c r="H12" s="12" t="s">
        <v>2343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56"/>
      <c r="C13" s="156"/>
      <c r="D13" s="156"/>
      <c r="E13" s="157"/>
      <c r="F13" s="11"/>
      <c r="G13" s="158"/>
      <c r="H13" s="156"/>
      <c r="I13" s="156"/>
      <c r="J13" s="156"/>
      <c r="K13" s="25"/>
      <c r="L13" s="12" t="str">
        <f t="shared" si="0"/>
        <v>*  ..  ##34###34# ##334###334#</v>
      </c>
      <c r="N13" s="12" t="str">
        <f t="shared" si="1"/>
        <v>*  ..  ##34###34# ##334###334#</v>
      </c>
      <c r="P13" s="12" t="str">
        <f t="shared" si="2"/>
        <v>*  ..  ##34###34# ##334###334#</v>
      </c>
      <c r="R13" s="12" t="str">
        <f t="shared" si="3"/>
        <v>*  ..  ##34###34# ##334###334#</v>
      </c>
    </row>
    <row r="14" spans="1:18" x14ac:dyDescent="0.75">
      <c r="A14" s="59">
        <v>6</v>
      </c>
      <c r="B14" s="156"/>
      <c r="C14" s="156"/>
      <c r="D14" s="156"/>
      <c r="E14" s="157"/>
      <c r="F14" s="11"/>
      <c r="G14" s="158"/>
      <c r="H14" s="156"/>
      <c r="I14" s="156"/>
      <c r="J14" s="156"/>
      <c r="K14" s="25"/>
      <c r="L14" s="12" t="str">
        <f t="shared" si="0"/>
        <v>*  ..  ##34###34# ##334###334#</v>
      </c>
      <c r="N14" s="12" t="str">
        <f t="shared" si="1"/>
        <v>*  ..  ##34###34# ##334###334#</v>
      </c>
      <c r="P14" s="12" t="str">
        <f t="shared" si="2"/>
        <v>*  ..  ##34###34# ##334###334#</v>
      </c>
      <c r="R14" s="12" t="str">
        <f t="shared" si="3"/>
        <v>*  ..  ##34###34# ##334###334#</v>
      </c>
    </row>
    <row r="15" spans="1:18" x14ac:dyDescent="0.75">
      <c r="A15" s="59">
        <v>7</v>
      </c>
      <c r="B15" s="156"/>
      <c r="C15" s="156"/>
      <c r="D15" s="156"/>
      <c r="E15" s="157"/>
      <c r="F15" s="11"/>
      <c r="G15" s="159"/>
      <c r="H15" s="156"/>
      <c r="I15" s="156"/>
      <c r="J15" s="156"/>
      <c r="K15" s="25"/>
      <c r="L15" s="12" t="str">
        <f t="shared" si="0"/>
        <v>*  ..  ##34###34# ##334###334#</v>
      </c>
      <c r="N15" s="12" t="str">
        <f t="shared" si="1"/>
        <v>*  ..  ##34###34# ##334###334#</v>
      </c>
      <c r="P15" s="12" t="str">
        <f t="shared" si="2"/>
        <v>*  ..  ##34###34# ##334###334#</v>
      </c>
      <c r="R15" s="12" t="str">
        <f t="shared" si="3"/>
        <v>*  ..  ##34###34# ##334###334#</v>
      </c>
    </row>
    <row r="16" spans="1:18" x14ac:dyDescent="0.75">
      <c r="A16" s="59">
        <v>8</v>
      </c>
      <c r="B16" s="156"/>
      <c r="C16" s="156"/>
      <c r="D16" s="156"/>
      <c r="E16" s="157"/>
      <c r="F16" s="11"/>
      <c r="G16" s="158"/>
      <c r="H16" s="156"/>
      <c r="I16" s="156"/>
      <c r="J16" s="156"/>
      <c r="K16" s="25"/>
      <c r="L16" s="12" t="str">
        <f t="shared" si="0"/>
        <v>*  ..  ##34###34# ##334###334#</v>
      </c>
      <c r="N16" s="12" t="str">
        <f t="shared" si="1"/>
        <v>*  ..  ##34###34# ##334###334#</v>
      </c>
      <c r="P16" s="12" t="str">
        <f t="shared" si="2"/>
        <v>*  ..  ##34###34# ##334###334#</v>
      </c>
      <c r="R16" s="12" t="str">
        <f t="shared" si="3"/>
        <v>*  ..  ##34###34# ##334###334#</v>
      </c>
    </row>
    <row r="17" spans="1:18" x14ac:dyDescent="0.75">
      <c r="A17" s="59">
        <v>10</v>
      </c>
      <c r="B17" s="156"/>
      <c r="C17" s="156"/>
      <c r="D17" s="156"/>
      <c r="E17" s="157"/>
      <c r="F17" s="11"/>
      <c r="G17" s="158"/>
      <c r="H17" s="156"/>
      <c r="I17" s="156"/>
      <c r="J17" s="156"/>
      <c r="K17" s="25"/>
      <c r="L17" s="12" t="str">
        <f t="shared" si="0"/>
        <v>*  ..  ##34###34# ##334###334#</v>
      </c>
      <c r="N17" s="12" t="str">
        <f t="shared" si="1"/>
        <v>*  ..  ##34###34# ##334###334#</v>
      </c>
      <c r="P17" s="12" t="str">
        <f t="shared" si="2"/>
        <v>*  ..  ##34###34# ##334###334#</v>
      </c>
      <c r="R17" s="12" t="str">
        <f t="shared" si="3"/>
        <v>*  ..  ##34###34# ##334###334#</v>
      </c>
    </row>
    <row r="18" spans="1:18" ht="44.25" x14ac:dyDescent="0.75">
      <c r="A18" s="59">
        <v>11</v>
      </c>
      <c r="B18" s="156"/>
      <c r="C18" s="156"/>
      <c r="D18" s="156"/>
      <c r="E18" s="157"/>
      <c r="F18" s="11"/>
      <c r="G18" s="158"/>
      <c r="H18" s="156"/>
      <c r="I18" s="156"/>
      <c r="J18" s="156"/>
      <c r="L18" s="12" t="str">
        <f t="shared" si="0"/>
        <v>*  ..  ##34###34# ##334###334#</v>
      </c>
      <c r="N18" s="12" t="str">
        <f t="shared" si="1"/>
        <v>*  ..  ##34###34# ##334###334#</v>
      </c>
      <c r="P18" s="12" t="str">
        <f t="shared" si="2"/>
        <v>*  ..  ##34###34# ##334###334#</v>
      </c>
      <c r="R18" s="12" t="str">
        <f t="shared" si="3"/>
        <v>*  ..  ##34###34# ##334###334#</v>
      </c>
    </row>
    <row r="19" spans="1:18" x14ac:dyDescent="0.75">
      <c r="A19" s="59">
        <v>12</v>
      </c>
      <c r="B19" s="156"/>
      <c r="C19" s="156"/>
      <c r="D19" s="156"/>
      <c r="E19" s="157"/>
      <c r="F19" s="11"/>
      <c r="G19" s="158"/>
      <c r="H19" s="156"/>
      <c r="I19" s="156"/>
      <c r="J19" s="156"/>
      <c r="L19" s="12" t="str">
        <f t="shared" si="0"/>
        <v>*  ..  ##34###34# ##334###334#</v>
      </c>
      <c r="N19" s="12" t="str">
        <f t="shared" si="1"/>
        <v>*  ..  ##34###34# ##334###334#</v>
      </c>
      <c r="P19" s="12" t="str">
        <f t="shared" si="2"/>
        <v>*  ..  ##34###34# ##334###334#</v>
      </c>
      <c r="R19" s="12" t="str">
        <f t="shared" si="3"/>
        <v>*  ..  ##34###34# ##334###334#</v>
      </c>
    </row>
    <row r="20" spans="1:18" x14ac:dyDescent="0.75">
      <c r="A20" s="59">
        <v>13</v>
      </c>
      <c r="B20" s="156"/>
      <c r="C20" s="156"/>
      <c r="D20" s="156"/>
      <c r="E20" s="157"/>
      <c r="F20" s="11"/>
      <c r="G20" s="158"/>
      <c r="H20" s="156"/>
      <c r="I20" s="156"/>
      <c r="J20" s="156"/>
      <c r="L20" s="12" t="str">
        <f t="shared" si="0"/>
        <v>*  ..  ##34###34# ##334###334#</v>
      </c>
      <c r="N20" s="12" t="str">
        <f t="shared" si="1"/>
        <v>*  ..  ##34###34# ##334###334#</v>
      </c>
      <c r="P20" s="12" t="str">
        <f t="shared" si="2"/>
        <v>*  ..  ##34###34# ##334###334#</v>
      </c>
      <c r="R20" s="12" t="str">
        <f t="shared" si="3"/>
        <v>*  ..  ##34###34# ##334###334#</v>
      </c>
    </row>
    <row r="21" spans="1:18" ht="132.75" x14ac:dyDescent="0.75">
      <c r="A21" s="59">
        <v>14</v>
      </c>
      <c r="B21" s="156"/>
      <c r="C21" s="156"/>
      <c r="D21" s="156"/>
      <c r="E21" s="157"/>
      <c r="F21" s="11"/>
      <c r="G21" s="158"/>
      <c r="H21" s="156"/>
      <c r="I21" s="156"/>
      <c r="J21" s="156"/>
      <c r="L21" s="12" t="str">
        <f t="shared" si="0"/>
        <v>*  ..  ##34###34# ##334###334#</v>
      </c>
      <c r="N21" s="12" t="str">
        <f t="shared" si="1"/>
        <v>*  ..  ##34###34# ##334###334#</v>
      </c>
      <c r="P21" s="12" t="str">
        <f t="shared" si="2"/>
        <v>*  ..  ##34###34# ##334###334#</v>
      </c>
      <c r="R21" s="12" t="str">
        <f t="shared" si="3"/>
        <v>*  ..  ##34###34# ##334###334#</v>
      </c>
    </row>
    <row r="22" spans="1:18" ht="103.25" x14ac:dyDescent="0.75">
      <c r="A22" s="59">
        <v>14</v>
      </c>
      <c r="B22" s="157"/>
      <c r="C22" s="157"/>
      <c r="D22" s="157"/>
      <c r="E22" s="157"/>
      <c r="F22" s="11"/>
      <c r="G22" s="160"/>
      <c r="H22" s="156"/>
      <c r="I22" s="156"/>
      <c r="J22" s="156"/>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57"/>
      <c r="H23" s="156"/>
      <c r="I23" s="156"/>
      <c r="J23" s="156"/>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57"/>
      <c r="H24" s="156"/>
      <c r="I24" s="156"/>
      <c r="J24" s="156"/>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57"/>
      <c r="H25" s="156"/>
      <c r="I25" s="156"/>
      <c r="J25" s="156"/>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57"/>
      <c r="H26" s="156"/>
      <c r="I26" s="156"/>
      <c r="J26" s="156"/>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57"/>
      <c r="H27" s="156"/>
      <c r="I27" s="156"/>
      <c r="J27" s="156"/>
      <c r="L27" s="12" t="str">
        <f t="shared" si="0"/>
        <v>*  ..  ##34###34# ##334###334#</v>
      </c>
      <c r="N27" s="12" t="str">
        <f t="shared" si="1"/>
        <v>*  ..  ##34###34# ##334###334#</v>
      </c>
      <c r="P27" s="12" t="str">
        <f t="shared" si="2"/>
        <v>*  ..  ##34###34# ##334###334#</v>
      </c>
      <c r="R27" s="12" t="str">
        <f t="shared" si="3"/>
        <v>*  ..  ##34###34# ##334###334#</v>
      </c>
    </row>
    <row r="28" spans="1:18" x14ac:dyDescent="0.75">
      <c r="G28" s="160"/>
      <c r="H28" s="161"/>
      <c r="I28" s="156"/>
      <c r="J28" s="156"/>
      <c r="L28" s="12" t="str">
        <f t="shared" si="0"/>
        <v>*  ..  ##34###34# ##334###334#</v>
      </c>
      <c r="N28" s="12" t="str">
        <f t="shared" si="1"/>
        <v>*  ..  ##34###34# ##334###334#</v>
      </c>
      <c r="P28" s="12" t="str">
        <f t="shared" si="2"/>
        <v>*  ..  ##34###34# ##334###334#</v>
      </c>
      <c r="R28" s="12" t="str">
        <f t="shared" si="3"/>
        <v>*  ..  ##34###34# ##334###334#</v>
      </c>
    </row>
    <row r="29" spans="1:18" x14ac:dyDescent="0.75">
      <c r="G29" s="160"/>
      <c r="H29" s="161"/>
      <c r="I29" s="156"/>
      <c r="J29" s="156"/>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abSelected="1" workbookViewId="0">
      <selection activeCell="G42" sqref="G4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2344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http://hl7.eu/fhir/ig/idea4rc/StructureDefinition/OtherTreatment</v>
      </c>
    </row>
    <row r="4" spans="1:19" x14ac:dyDescent="0.75">
      <c r="B4" s="47" t="s">
        <v>16</v>
      </c>
      <c r="C4" s="28" t="s">
        <v>1868</v>
      </c>
      <c r="D4" s="47" t="s">
        <v>1480</v>
      </c>
      <c r="E4" s="150" t="s">
        <v>1880</v>
      </c>
      <c r="F4" s="155"/>
      <c r="G4" s="155"/>
    </row>
    <row r="5" spans="1:19" x14ac:dyDescent="0.75">
      <c r="B5" s="47" t="s">
        <v>10</v>
      </c>
      <c r="C5" s="7" t="s">
        <v>1869</v>
      </c>
      <c r="D5" s="47"/>
      <c r="E5" s="7"/>
    </row>
    <row r="6" spans="1:19" x14ac:dyDescent="0.75">
      <c r="B6" s="47" t="s">
        <v>18</v>
      </c>
      <c r="C6" s="41"/>
      <c r="D6" s="47" t="s">
        <v>1481</v>
      </c>
      <c r="E6" s="150" t="str">
        <f>E3</f>
        <v>http://hl7.eu/fhir/ig/idea4rc/StructureDefinition/OtherTreatment</v>
      </c>
      <c r="F6" s="151"/>
      <c r="G6" s="151"/>
    </row>
    <row r="7" spans="1:19" x14ac:dyDescent="0.75">
      <c r="B7" s="47" t="s">
        <v>15</v>
      </c>
      <c r="C7" s="76"/>
      <c r="D7" s="47" t="s">
        <v>1482</v>
      </c>
      <c r="E7" s="150" t="str">
        <f>E4</f>
        <v>http://hl7.eu/fhir/ig/idea4rc/StructureDefinition/MedicationAdministration-eu-i4rc</v>
      </c>
      <c r="F7" s="151"/>
      <c r="G7" s="151"/>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1832</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1833</v>
      </c>
      <c r="E15" s="12"/>
      <c r="F15" s="49" t="s">
        <v>1294</v>
      </c>
      <c r="G15" s="81"/>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1871</v>
      </c>
      <c r="E16" s="12"/>
      <c r="F16" s="49" t="s">
        <v>1316</v>
      </c>
      <c r="G16" s="81" t="s">
        <v>1879</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1872</v>
      </c>
      <c r="E17" s="12"/>
      <c r="F17" s="49" t="s">
        <v>1294</v>
      </c>
      <c r="G17" s="80"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1873</v>
      </c>
      <c r="E18" s="12"/>
      <c r="F18" s="49" t="s">
        <v>1294</v>
      </c>
      <c r="G18" s="80"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1634</v>
      </c>
      <c r="E19" s="12"/>
      <c r="F19" s="49" t="s">
        <v>1294</v>
      </c>
      <c r="G19" s="81"/>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1874</v>
      </c>
      <c r="E20" s="12"/>
      <c r="F20" s="49" t="s">
        <v>1294</v>
      </c>
      <c r="G20" s="81"/>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81"/>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81"/>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1875</v>
      </c>
      <c r="E23" s="11"/>
      <c r="F23" s="49" t="s">
        <v>1294</v>
      </c>
      <c r="G23" s="80"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1875</v>
      </c>
      <c r="E24" s="11"/>
      <c r="F24" s="49" t="s">
        <v>1294</v>
      </c>
      <c r="G24" s="80"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1875</v>
      </c>
      <c r="E25" s="11"/>
      <c r="F25" s="49" t="s">
        <v>1294</v>
      </c>
      <c r="G25" s="80"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80"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80"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1876</v>
      </c>
      <c r="E28" s="12"/>
      <c r="F28" s="49" t="s">
        <v>1294</v>
      </c>
      <c r="G28" s="81"/>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1877</v>
      </c>
      <c r="E29" s="12"/>
      <c r="F29" s="49" t="s">
        <v>1294</v>
      </c>
      <c r="G29" s="80" t="s">
        <v>1878</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9"/>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1974</v>
      </c>
      <c r="L4" s="16" t="str">
        <f>CONCATENATE("Logical: ",B4)</f>
        <v>Logical: TreatmentResponseI4rc</v>
      </c>
    </row>
    <row r="5" spans="1:18" ht="15.5" thickBot="1" x14ac:dyDescent="0.9">
      <c r="A5" s="14" t="s">
        <v>16</v>
      </c>
      <c r="B5" s="30" t="s">
        <v>1919</v>
      </c>
      <c r="L5" s="16" t="str">
        <f>CONCATENATE("Id: ",B5)</f>
        <v>Id: TreatmentResponse</v>
      </c>
    </row>
    <row r="6" spans="1:18" ht="15.5" thickBot="1" x14ac:dyDescent="0.9">
      <c r="A6" s="14" t="s">
        <v>10</v>
      </c>
      <c r="B6" s="30" t="s">
        <v>1921</v>
      </c>
      <c r="L6" s="17" t="str">
        <f>CONCATENATE("Title: ##34#",B6,"##34#")</f>
        <v>Title: ##34#Treatment Response##34#</v>
      </c>
    </row>
    <row r="7" spans="1:18" x14ac:dyDescent="0.75">
      <c r="A7" s="26" t="s">
        <v>2</v>
      </c>
      <c r="B7" s="30" t="s">
        <v>1921</v>
      </c>
      <c r="C7" s="9" t="s">
        <v>3</v>
      </c>
      <c r="D7" s="1" t="s">
        <v>4</v>
      </c>
      <c r="E7" s="3" t="s">
        <v>5</v>
      </c>
      <c r="F7" s="3" t="s">
        <v>6</v>
      </c>
      <c r="G7" s="3" t="s">
        <v>7</v>
      </c>
      <c r="H7" s="64" t="s">
        <v>1384</v>
      </c>
      <c r="I7" s="134" t="s">
        <v>2148</v>
      </c>
      <c r="J7" s="134" t="s">
        <v>2149</v>
      </c>
      <c r="L7" s="17" t="str">
        <f>CONCATENATE("Description: "," ##334#",B7,"##334#",)</f>
        <v>Description:  ##334#Treatment Response##334#</v>
      </c>
    </row>
    <row r="8" spans="1:18" ht="59" x14ac:dyDescent="0.75">
      <c r="A8" s="59">
        <v>0</v>
      </c>
      <c r="B8" s="11" t="s">
        <v>1581</v>
      </c>
      <c r="C8" s="11" t="s">
        <v>1575</v>
      </c>
      <c r="D8" s="11" t="s">
        <v>1576</v>
      </c>
      <c r="E8" s="11">
        <v>1</v>
      </c>
      <c r="F8" s="11">
        <v>1</v>
      </c>
      <c r="G8" s="76" t="s">
        <v>1629</v>
      </c>
      <c r="H8" s="11"/>
      <c r="I8" s="12" t="b">
        <v>1</v>
      </c>
      <c r="J8" s="12" t="b">
        <v>1</v>
      </c>
      <c r="K8" s="25" t="s">
        <v>1581</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1920</v>
      </c>
      <c r="C9" s="11" t="s">
        <v>1692</v>
      </c>
      <c r="D9" s="11" t="s">
        <v>1922</v>
      </c>
      <c r="E9" s="11">
        <v>1</v>
      </c>
      <c r="F9" s="11">
        <v>1</v>
      </c>
      <c r="G9" s="11" t="s">
        <v>1474</v>
      </c>
      <c r="H9" s="12" t="s">
        <v>2312</v>
      </c>
      <c r="I9" s="12" t="b">
        <v>1</v>
      </c>
      <c r="J9" s="12" t="b">
        <v>1</v>
      </c>
      <c r="K9" s="25" t="s">
        <v>1920</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2311</v>
      </c>
      <c r="C10" s="11" t="s">
        <v>1923</v>
      </c>
      <c r="D10" s="11" t="s">
        <v>1924</v>
      </c>
      <c r="E10" s="11">
        <v>1</v>
      </c>
      <c r="F10" s="11">
        <v>1</v>
      </c>
      <c r="G10" s="11" t="s">
        <v>1474</v>
      </c>
      <c r="H10" s="11" t="s">
        <v>1925</v>
      </c>
      <c r="I10" s="12" t="b">
        <v>1</v>
      </c>
      <c r="J10" s="12" t="b">
        <v>1</v>
      </c>
      <c r="K10" s="25" t="s">
        <v>2311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7"/>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1926</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http://hl7.eu/fhir/ig/idea4rc/StructureDefinition/TreatmentResponseI4rc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http://hl7.eu/fhir/ig/idea4rc/StructureDefinition/TreatmentResponseI4rc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1928</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1972</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1936</v>
      </c>
      <c r="L6" s="17" t="str">
        <f>CONCATENATE("Title: ##34#",B6,"##34#")</f>
        <v>Title: ##34#Adverse Event##34#</v>
      </c>
    </row>
    <row r="7" spans="1:18" x14ac:dyDescent="0.75">
      <c r="A7" s="26" t="s">
        <v>2</v>
      </c>
      <c r="B7" s="30" t="s">
        <v>1936</v>
      </c>
      <c r="C7" s="9" t="s">
        <v>3</v>
      </c>
      <c r="D7" s="1" t="s">
        <v>4</v>
      </c>
      <c r="E7" s="3" t="s">
        <v>5</v>
      </c>
      <c r="F7" s="3" t="s">
        <v>6</v>
      </c>
      <c r="G7" s="3" t="s">
        <v>7</v>
      </c>
      <c r="H7" s="64" t="s">
        <v>1384</v>
      </c>
      <c r="I7" s="134" t="s">
        <v>2148</v>
      </c>
      <c r="J7" s="134" t="s">
        <v>2149</v>
      </c>
      <c r="L7" s="17" t="str">
        <f>CONCATENATE("Description: "," ##334#",B7,"##334#",)</f>
        <v>Description:  ##334#Adverse Event##334#</v>
      </c>
    </row>
    <row r="8" spans="1:18" ht="59" x14ac:dyDescent="0.75">
      <c r="A8" s="59">
        <v>0</v>
      </c>
      <c r="B8" s="25" t="s">
        <v>1581</v>
      </c>
      <c r="C8" s="11" t="s">
        <v>1676</v>
      </c>
      <c r="D8" s="11" t="s">
        <v>1576</v>
      </c>
      <c r="E8" s="11">
        <v>1</v>
      </c>
      <c r="F8" s="11">
        <v>1</v>
      </c>
      <c r="G8" s="11" t="s">
        <v>1629</v>
      </c>
      <c r="H8" s="11"/>
      <c r="I8" s="12" t="b">
        <v>1</v>
      </c>
      <c r="J8" s="12" t="b">
        <v>0</v>
      </c>
      <c r="K8" s="25" t="s">
        <v>1581</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1937</v>
      </c>
      <c r="C9" s="11" t="s">
        <v>1929</v>
      </c>
      <c r="D9" s="11" t="s">
        <v>1930</v>
      </c>
      <c r="E9" s="11">
        <v>1</v>
      </c>
      <c r="F9" s="11">
        <v>1</v>
      </c>
      <c r="G9" s="11" t="s">
        <v>1474</v>
      </c>
      <c r="H9" s="11"/>
      <c r="I9" s="12" t="b">
        <v>1</v>
      </c>
      <c r="J9" s="12" t="b">
        <v>0</v>
      </c>
      <c r="K9" s="25" t="s">
        <v>2313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1939</v>
      </c>
      <c r="C10" s="11" t="s">
        <v>1931</v>
      </c>
      <c r="D10" s="11" t="s">
        <v>1932</v>
      </c>
      <c r="E10" s="11">
        <v>1</v>
      </c>
      <c r="F10" s="11">
        <v>1</v>
      </c>
      <c r="G10" s="11" t="s">
        <v>43</v>
      </c>
      <c r="H10" s="11"/>
      <c r="I10" s="12" t="b">
        <v>1</v>
      </c>
      <c r="J10" s="12" t="b">
        <v>0</v>
      </c>
      <c r="K10" s="25" t="s">
        <v>2314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1940</v>
      </c>
      <c r="C11" s="11" t="s">
        <v>1933</v>
      </c>
      <c r="D11" s="11" t="s">
        <v>1934</v>
      </c>
      <c r="E11" s="11">
        <v>1</v>
      </c>
      <c r="F11" s="11">
        <v>1</v>
      </c>
      <c r="G11" s="11" t="s">
        <v>1474</v>
      </c>
      <c r="H11" s="62" t="s">
        <v>1935</v>
      </c>
      <c r="I11" s="12" t="b">
        <v>1</v>
      </c>
      <c r="J11" s="12" t="b">
        <v>0</v>
      </c>
      <c r="K11" s="25" t="s">
        <v>2315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AdverseEvent!L1</f>
        <v>//===================================================</v>
      </c>
    </row>
    <row r="2" spans="3:7" ht="16.75" thickBot="1" x14ac:dyDescent="0.9">
      <c r="C2" s="24" t="str">
        <f>AdverseEvent!L2</f>
        <v>//  Logical Model</v>
      </c>
      <c r="G2" s="29" t="s">
        <v>1941</v>
      </c>
    </row>
    <row r="3" spans="3:7" x14ac:dyDescent="0.75">
      <c r="C3" s="24" t="str">
        <f>AdverseEvent!L3</f>
        <v>//===================================================</v>
      </c>
    </row>
    <row r="4" spans="3:7" x14ac:dyDescent="0.75">
      <c r="C4" s="108" t="str">
        <f>AdverseEvent!L4</f>
        <v>Logical: AdverseEventI4rc</v>
      </c>
    </row>
    <row r="5" spans="3:7" x14ac:dyDescent="0.75">
      <c r="C5" s="108" t="str">
        <f>AdverseEvent!L5</f>
        <v>Id: AdverseEvent</v>
      </c>
    </row>
    <row r="6" spans="3:7" x14ac:dyDescent="0.75">
      <c r="C6" s="108" t="str">
        <f>AdverseEvent!L6</f>
        <v>Title: ##34#Adverse Event##34#</v>
      </c>
    </row>
    <row r="7" spans="3:7" x14ac:dyDescent="0.75">
      <c r="C7" s="108" t="str">
        <f>AdverseEvent!L7</f>
        <v>Description:  ##334#Adverse Event##334#</v>
      </c>
    </row>
    <row r="8" spans="3:7" ht="29.5" x14ac:dyDescent="0.75">
      <c r="C8" s="109"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9"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9" t="str">
        <f>IF(AdverseEvent!L10="*  ..  ##34###34# ##334###334#","//--- END",AdverseEvent!L10)</f>
        <v>* eventStartingDate 1..1 date ##34#Adverse event starting date  ##34# ##334#specifies when adverse events begins##334#</v>
      </c>
    </row>
    <row r="11" spans="3:7" ht="29.5" x14ac:dyDescent="0.75">
      <c r="C11" s="109" t="str">
        <f>IF(AdverseEvent!L11="*  ..  ##34###34# ##334###334#","//--- END",AdverseEvent!L11)</f>
        <v>* eventDuration 1..1 CodeableConcept ##34#Adverse event duration##34# ##334#specifies the duration of the adverse event##334#</v>
      </c>
    </row>
    <row r="12" spans="3:7" x14ac:dyDescent="0.75">
      <c r="C12" s="109" t="str">
        <f>IF(AdverseEvent!L12="*  ..  ##34###34# ##334###334#","//--- END",AdverseEvent!L12)</f>
        <v>//--- END</v>
      </c>
    </row>
    <row r="13" spans="3:7" x14ac:dyDescent="0.75">
      <c r="C13" s="109" t="str">
        <f>IF(AdverseEvent!L13="*  ..  ##34###34# ##334###334#","//--- END",AdverseEvent!L13)</f>
        <v>//--- END</v>
      </c>
    </row>
    <row r="14" spans="3:7" x14ac:dyDescent="0.75">
      <c r="C14" s="109" t="str">
        <f>IF(AdverseEvent!L14="*  ..  ##34###34# ##334###334#","//--- END",AdverseEvent!L14)</f>
        <v>//--- END</v>
      </c>
    </row>
    <row r="16" spans="3:7" x14ac:dyDescent="0.75">
      <c r="C16" s="107" t="s">
        <v>1387</v>
      </c>
    </row>
    <row r="17" spans="3:3" x14ac:dyDescent="0.75">
      <c r="C17" s="24" t="s">
        <v>1421</v>
      </c>
    </row>
    <row r="18" spans="3:3" x14ac:dyDescent="0.75">
      <c r="C18" s="24" t="s">
        <v>1387</v>
      </c>
    </row>
    <row r="19" spans="3:3" x14ac:dyDescent="0.75">
      <c r="C19" s="109" t="str">
        <f>IF(AdverseEvent!N8="*  ..  ##34###34# ##334###334#","//--- END",AdverseEvent!N8)</f>
        <v/>
      </c>
    </row>
    <row r="20" spans="3:3" x14ac:dyDescent="0.75">
      <c r="C20" s="109" t="str">
        <f>IF(AdverseEvent!N9="*  ..  ##34###34# ##334###334#","//--- END",AdverseEvent!N9)</f>
        <v/>
      </c>
    </row>
    <row r="21" spans="3:3" x14ac:dyDescent="0.75">
      <c r="C21" s="109" t="str">
        <f>IF(AdverseEvent!N10="*  ..  ##34###34# ##334###334#","//--- END",AdverseEvent!N10)</f>
        <v/>
      </c>
    </row>
    <row r="22" spans="3:3" ht="44.25" x14ac:dyDescent="0.75">
      <c r="C22" s="109" t="str">
        <f>IF(AdverseEvent!N11="*  ..  ##34###34# ##334###334#","//--- END",AdverseEvent!N11)</f>
        <v>* eventDuration ^comment = ##334#Less than one week; More than one week but  less than a month; More than a month but less than 3 months; More than 3 months; Unknown.
Custom##334#</v>
      </c>
    </row>
    <row r="23" spans="3:3" x14ac:dyDescent="0.75">
      <c r="C23" s="109" t="str">
        <f>IF(AdverseEvent!N12="*  ..  ##34###34# ##334###334#","//--- END",AdverseEvent!N12)</f>
        <v>//--- END</v>
      </c>
    </row>
    <row r="24" spans="3:3" x14ac:dyDescent="0.75">
      <c r="C24" s="109" t="str">
        <f>IF(AdverseEvent!N13="*  ..  ##34###34# ##334###334#","//--- END",AdverseEvent!N13)</f>
        <v>//--- END</v>
      </c>
    </row>
    <row r="25" spans="3:3" x14ac:dyDescent="0.75">
      <c r="C25" s="109"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http://hl7.eu/fhir/ig/idea4rc/StructureDefinition/AdverseEventI4rc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http://hl7.eu/fhir/ig/idea4rc/StructureDefinition/AdverseEventI4rc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1977</v>
      </c>
      <c r="J4" s="16" t="str">
        <f>CONCATENATE("Logical: ",B4)</f>
        <v>Logical: PathologicalStageI4rc</v>
      </c>
    </row>
    <row r="5" spans="1:12" ht="19.899999999999999" customHeight="1" x14ac:dyDescent="0.75">
      <c r="A5" s="14" t="s">
        <v>16</v>
      </c>
      <c r="B5" s="31" t="s">
        <v>1606</v>
      </c>
      <c r="J5" s="16" t="str">
        <f>CONCATENATE("Id: ",B5)</f>
        <v>Id: PathologicalStage</v>
      </c>
    </row>
    <row r="6" spans="1:12" ht="19.899999999999999" customHeight="1" x14ac:dyDescent="0.75">
      <c r="A6" s="14" t="s">
        <v>10</v>
      </c>
      <c r="B6" s="32" t="s">
        <v>1607</v>
      </c>
      <c r="J6" s="17" t="str">
        <f>CONCATENATE("Title: ##34#",B6,"##34#")</f>
        <v>Title: ##34#Pathological Stage##34#</v>
      </c>
    </row>
    <row r="7" spans="1:12" ht="19.899999999999999" customHeight="1" x14ac:dyDescent="0.75">
      <c r="A7" s="26" t="s">
        <v>2</v>
      </c>
      <c r="B7" s="63" t="s">
        <v>1606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1608</v>
      </c>
      <c r="C8" s="11" t="s">
        <v>1575</v>
      </c>
      <c r="D8" s="11" t="s">
        <v>1576</v>
      </c>
      <c r="E8" s="11">
        <v>1</v>
      </c>
      <c r="F8" s="11">
        <v>1</v>
      </c>
      <c r="G8" s="42" t="s">
        <v>1629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1584</v>
      </c>
      <c r="C9" s="11" t="s">
        <v>1584</v>
      </c>
      <c r="D9" s="11" t="s">
        <v>1585</v>
      </c>
      <c r="E9" s="11">
        <v>0</v>
      </c>
      <c r="F9" s="11">
        <v>1</v>
      </c>
      <c r="G9" s="42" t="s">
        <v>1474</v>
      </c>
      <c r="H9" s="12" t="s">
        <v>1599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1586</v>
      </c>
      <c r="C10" s="11" t="s">
        <v>1586</v>
      </c>
      <c r="D10" s="11" t="s">
        <v>1587</v>
      </c>
      <c r="E10" s="11">
        <v>0</v>
      </c>
      <c r="F10" s="11">
        <v>1</v>
      </c>
      <c r="G10" s="42" t="s">
        <v>1474</v>
      </c>
      <c r="H10" s="12" t="s">
        <v>1600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1588</v>
      </c>
      <c r="C11" s="11" t="s">
        <v>1588</v>
      </c>
      <c r="D11" s="11" t="s">
        <v>1589</v>
      </c>
      <c r="E11" s="11">
        <v>0</v>
      </c>
      <c r="F11" s="11">
        <v>1</v>
      </c>
      <c r="G11" s="42" t="s">
        <v>1474</v>
      </c>
      <c r="H11" s="12" t="s">
        <v>1601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1612</v>
      </c>
      <c r="C12" s="11" t="s">
        <v>1590</v>
      </c>
      <c r="D12" s="11" t="s">
        <v>1591</v>
      </c>
      <c r="E12" s="11">
        <v>0</v>
      </c>
      <c r="F12" s="11">
        <v>1</v>
      </c>
      <c r="G12" s="42" t="s">
        <v>1474</v>
      </c>
      <c r="H12" s="12" t="s">
        <v>1602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1609</v>
      </c>
      <c r="C13" s="11" t="s">
        <v>1592</v>
      </c>
      <c r="D13" s="12" t="s">
        <v>1593</v>
      </c>
      <c r="E13" s="11">
        <v>0</v>
      </c>
      <c r="F13" s="11">
        <v>1</v>
      </c>
      <c r="G13" s="42" t="s">
        <v>1474</v>
      </c>
      <c r="H13" s="12" t="s">
        <v>1603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1610</v>
      </c>
      <c r="C14" s="11" t="s">
        <v>1594</v>
      </c>
      <c r="D14" s="12" t="s">
        <v>1416</v>
      </c>
      <c r="E14" s="11">
        <v>1</v>
      </c>
      <c r="F14" s="11">
        <v>1</v>
      </c>
      <c r="G14" s="42" t="s">
        <v>1474</v>
      </c>
      <c r="H14" s="12" t="s">
        <v>1604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1595</v>
      </c>
      <c r="E15" s="11">
        <v>0</v>
      </c>
      <c r="F15" s="11">
        <v>1</v>
      </c>
      <c r="G15" s="42" t="s">
        <v>1474</v>
      </c>
      <c r="H15" s="12" t="s">
        <v>1604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1611</v>
      </c>
      <c r="C16" s="11" t="s">
        <v>1596</v>
      </c>
      <c r="D16" s="12" t="s">
        <v>1597</v>
      </c>
      <c r="E16" s="11">
        <v>1</v>
      </c>
      <c r="F16" s="11">
        <v>1</v>
      </c>
      <c r="G16" s="42" t="s">
        <v>1474</v>
      </c>
      <c r="H16" s="12" t="s">
        <v>1605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1598</v>
      </c>
      <c r="D18" s="11" t="s">
        <v>1395</v>
      </c>
      <c r="E18" s="11">
        <v>0</v>
      </c>
      <c r="F18" s="11">
        <v>1</v>
      </c>
      <c r="G18" s="42" t="s">
        <v>44</v>
      </c>
      <c r="H18" s="12" t="s">
        <v>1580</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1580</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1580</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1580</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1580</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1580</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1580</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1580</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1580</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1580</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1660</v>
      </c>
    </row>
  </sheetData>
  <pageMargins left="0.7" right="0.7" top="0.75" bottom="0.75" header="0.3" footer="0.3"/>
  <pageSetup paperSize="9" orientation="portrait"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1672</v>
      </c>
      <c r="D4" s="47" t="s">
        <v>1480</v>
      </c>
      <c r="E4" s="150" t="s">
        <v>1651</v>
      </c>
      <c r="F4" s="151"/>
      <c r="G4" s="151"/>
    </row>
    <row r="5" spans="1:19" x14ac:dyDescent="0.75">
      <c r="B5" s="47" t="s">
        <v>10</v>
      </c>
      <c r="C5" s="7" t="s">
        <v>1670</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1651</v>
      </c>
      <c r="F7" s="151"/>
      <c r="G7" s="151"/>
    </row>
    <row r="8" spans="1:19" ht="44.25" x14ac:dyDescent="0.75">
      <c r="B8" s="47" t="s">
        <v>1483</v>
      </c>
      <c r="C8" s="77" t="s">
        <v>1670</v>
      </c>
      <c r="D8" s="47"/>
      <c r="E8" s="7"/>
      <c r="I8" s="12" t="s">
        <v>1289</v>
      </c>
      <c r="J8" s="12" t="s">
        <v>1290</v>
      </c>
      <c r="K8" s="12" t="s">
        <v>1291</v>
      </c>
      <c r="L8" s="12" t="s">
        <v>1292</v>
      </c>
      <c r="M8" s="11" t="s">
        <v>1293</v>
      </c>
      <c r="P8" s="34" t="s">
        <v>1328</v>
      </c>
      <c r="Q8" s="34">
        <v>6</v>
      </c>
    </row>
    <row r="9" spans="1:19" ht="29.5" x14ac:dyDescent="0.75">
      <c r="B9" s="47" t="s">
        <v>1484</v>
      </c>
      <c r="C9" s="12" t="s">
        <v>1671</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1653</v>
      </c>
      <c r="E16" s="12"/>
      <c r="F16" s="49" t="s">
        <v>1294</v>
      </c>
      <c r="G16" s="81" t="s">
        <v>1658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1654</v>
      </c>
      <c r="E17" s="12"/>
      <c r="F17" s="101" t="s">
        <v>1294</v>
      </c>
      <c r="G17" s="81" t="s">
        <v>1658</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1655</v>
      </c>
      <c r="E18" s="12"/>
      <c r="F18" s="49" t="s">
        <v>1317</v>
      </c>
      <c r="G18" s="81" t="s">
        <v>1658</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1852</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1852</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1852</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1852</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1656</v>
      </c>
      <c r="E23" s="12"/>
      <c r="F23" s="49" t="s">
        <v>1294</v>
      </c>
      <c r="G23" s="81" t="s">
        <v>1658</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1657</v>
      </c>
      <c r="E24" s="12"/>
      <c r="F24" s="49" t="s">
        <v>1294</v>
      </c>
      <c r="G24" s="81" t="s">
        <v>1659</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1661</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1661</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1661</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1661</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1661</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1661</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1661</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1661</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1661</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1661</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1669</v>
      </c>
      <c r="D4" s="47" t="s">
        <v>1480</v>
      </c>
      <c r="E4" s="150" t="s">
        <v>1663</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1663</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t="s">
        <v>1658</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1664</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1664</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Stage!B10</f>
        <v>t</v>
      </c>
      <c r="C15" s="11" t="str">
        <f>Stage!C10</f>
        <v>T</v>
      </c>
      <c r="D15" s="12" t="s">
        <v>1656</v>
      </c>
      <c r="E15" s="12"/>
      <c r="F15" s="49" t="s">
        <v>1294</v>
      </c>
      <c r="G15" s="81" t="s">
        <v>1658</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1665</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1665</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Stage!B12</f>
        <v>m</v>
      </c>
      <c r="C15" s="11" t="str">
        <f>Stage!C12</f>
        <v>M</v>
      </c>
      <c r="D15" s="12" t="s">
        <v>1656</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82</vt:i4>
      </vt:variant>
    </vt:vector>
  </HeadingPairs>
  <TitlesOfParts>
    <vt:vector size="82" baseType="lpstr">
      <vt:lpstr>OsirisDataElementConcept</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2023-11-15T17:10:38Z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