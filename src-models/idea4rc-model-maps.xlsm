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36E06655-BBE0-4C3A-BA64-1529899CE51B}" xr6:coauthVersionLast="47" xr6:coauthVersionMax="47" xr10:uidLastSave="{00000000-0000-0000-0000-000000000000}"/>
  <bookViews>
    <workbookView xWindow="-90" yWindow="-21710" windowWidth="38620" windowHeight="21100" tabRatio="819" activeTab="7" xr2:uid="{82F0A5E9-86C8-45A2-AB20-6CF6AA2FD42B}"/>
  </bookViews>
  <sheets>
    <sheet name="2.Demographic &amp; life style" sheetId="137" r:id="rId1"/>
    <sheet name="OsirisDataElementConcept" sheetId="139" r:id="rId2"/>
    <sheet name="Common" sheetId="114" r:id="rId3"/>
    <sheet name="Subject" sheetId="108" r:id="rId4"/>
    <sheet name="Subject-Map-1" sheetId="109" r:id="rId5"/>
    <sheet name="Subject-fsh" sheetId="110" r:id="rId6"/>
    <sheet name="Subject-ConceptMap" sheetId="148" r:id="rId7"/>
    <sheet name="Subject-CM-fsh" sheetId="149" r:id="rId8"/>
    <sheet name="ConvertOsiris" sheetId="138" r:id="rId9"/>
    <sheet name="Osiris" sheetId="141" r:id="rId10"/>
    <sheet name="Osiris-Map" sheetId="142" r:id="rId11"/>
    <sheet name="Osiris-fsh-noMap" sheetId="144" r:id="rId12"/>
    <sheet name="Osiris-fsh" sheetId="143" r:id="rId13"/>
    <sheet name="Osiris-ConceptMap" sheetId="145" r:id="rId14"/>
    <sheet name="Osiris-CM-fsh" sheetId="147" r:id="rId15"/>
    <sheet name="Foglio2" sheetId="146" r:id="rId16"/>
  </sheets>
  <definedNames>
    <definedName name="_xlnm._FilterDatabase" localSheetId="0" hidden="1">'2.Demographic &amp; life style'!$A$2:$S$47</definedName>
    <definedName name="_xlnm._FilterDatabase" localSheetId="8" hidden="1">ConvertOsiris!$D$2:$U$232</definedName>
    <definedName name="DatiEsterni_1" localSheetId="1"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1" i="148" l="1"/>
  <c r="J12" i="148"/>
  <c r="J13" i="148"/>
  <c r="J14" i="148"/>
  <c r="J15" i="148"/>
  <c r="J16" i="148"/>
  <c r="J17" i="148"/>
  <c r="J10" i="148"/>
  <c r="D10" i="148"/>
  <c r="D11" i="148"/>
  <c r="D12" i="148"/>
  <c r="D15" i="148"/>
  <c r="D16" i="148"/>
  <c r="H11" i="148"/>
  <c r="H12" i="148"/>
  <c r="H13" i="148"/>
  <c r="H14" i="148"/>
  <c r="H15" i="148"/>
  <c r="H16" i="148"/>
  <c r="H17" i="148"/>
  <c r="H10" i="148"/>
  <c r="E15" i="148"/>
  <c r="E12" i="148"/>
  <c r="E11" i="148"/>
  <c r="E10" i="148"/>
  <c r="E16" i="148"/>
  <c r="B12" i="148"/>
  <c r="C12" i="148"/>
  <c r="B13" i="148"/>
  <c r="C13" i="148"/>
  <c r="B14" i="148"/>
  <c r="C14" i="148"/>
  <c r="B15" i="148"/>
  <c r="C15" i="148"/>
  <c r="I15" i="148" s="1"/>
  <c r="B16" i="148"/>
  <c r="C16" i="148"/>
  <c r="B17" i="148"/>
  <c r="C17" i="148"/>
  <c r="Q56" i="148" a="1"/>
  <c r="Q56" i="148" s="1"/>
  <c r="C11" i="148"/>
  <c r="C10" i="148"/>
  <c r="B11" i="148"/>
  <c r="B10" i="148"/>
  <c r="K14" i="148"/>
  <c r="Q184" i="148" a="1"/>
  <c r="Q184" i="148" s="1"/>
  <c r="P184" i="148"/>
  <c r="O184" i="148"/>
  <c r="P183" i="148"/>
  <c r="O183" i="148"/>
  <c r="Q183" i="148" s="1" a="1"/>
  <c r="Q183" i="148" s="1"/>
  <c r="Q182" i="148" a="1"/>
  <c r="Q182" i="148" s="1"/>
  <c r="P182" i="148"/>
  <c r="O182" i="148"/>
  <c r="P181" i="148"/>
  <c r="O181" i="148"/>
  <c r="Q181" i="148" s="1" a="1"/>
  <c r="Q181" i="148" s="1"/>
  <c r="P180" i="148"/>
  <c r="O180" i="148"/>
  <c r="Q180" i="148" s="1" a="1"/>
  <c r="Q180" i="148" s="1"/>
  <c r="P179" i="148"/>
  <c r="Q179" i="148" s="1" a="1"/>
  <c r="Q179" i="148" s="1"/>
  <c r="O179" i="148"/>
  <c r="P178" i="148"/>
  <c r="Q178" i="148" s="1" a="1"/>
  <c r="Q178" i="148" s="1"/>
  <c r="O178" i="148"/>
  <c r="P177" i="148"/>
  <c r="Q177" i="148" s="1" a="1"/>
  <c r="Q177" i="148" s="1"/>
  <c r="O177" i="148"/>
  <c r="Q176" i="148" a="1"/>
  <c r="Q176" i="148" s="1"/>
  <c r="P176" i="148"/>
  <c r="O176" i="148"/>
  <c r="P175" i="148"/>
  <c r="O175" i="148"/>
  <c r="Q175" i="148" s="1" a="1"/>
  <c r="Q175" i="148" s="1"/>
  <c r="Q174" i="148" a="1"/>
  <c r="Q174" i="148" s="1"/>
  <c r="P174" i="148"/>
  <c r="O174" i="148"/>
  <c r="P173" i="148"/>
  <c r="O173" i="148"/>
  <c r="Q173" i="148" s="1" a="1"/>
  <c r="Q173" i="148" s="1"/>
  <c r="P172" i="148"/>
  <c r="O172" i="148"/>
  <c r="Q172" i="148" s="1" a="1"/>
  <c r="Q172" i="148" s="1"/>
  <c r="P171" i="148"/>
  <c r="Q171" i="148" s="1" a="1"/>
  <c r="Q171" i="148" s="1"/>
  <c r="O171" i="148"/>
  <c r="P170" i="148"/>
  <c r="Q170" i="148" s="1" a="1"/>
  <c r="Q170" i="148" s="1"/>
  <c r="O170" i="148"/>
  <c r="P169" i="148"/>
  <c r="Q169" i="148" s="1" a="1"/>
  <c r="Q169" i="148" s="1"/>
  <c r="O169" i="148"/>
  <c r="Q168" i="148" a="1"/>
  <c r="Q168" i="148" s="1"/>
  <c r="P168" i="148"/>
  <c r="O168" i="148"/>
  <c r="P167" i="148"/>
  <c r="O167" i="148"/>
  <c r="Q167" i="148" s="1" a="1"/>
  <c r="Q167" i="148" s="1"/>
  <c r="Q166" i="148" a="1"/>
  <c r="Q166" i="148" s="1"/>
  <c r="P166" i="148"/>
  <c r="O166" i="148"/>
  <c r="P165" i="148"/>
  <c r="O165" i="148"/>
  <c r="Q165" i="148" s="1" a="1"/>
  <c r="Q165" i="148" s="1"/>
  <c r="P164" i="148"/>
  <c r="O164" i="148"/>
  <c r="Q164" i="148" s="1" a="1"/>
  <c r="Q164" i="148" s="1"/>
  <c r="P163" i="148"/>
  <c r="Q163" i="148" s="1" a="1"/>
  <c r="Q163" i="148" s="1"/>
  <c r="O163" i="148"/>
  <c r="P162" i="148"/>
  <c r="Q162" i="148" s="1" a="1"/>
  <c r="Q162" i="148" s="1"/>
  <c r="O162" i="148"/>
  <c r="P161" i="148"/>
  <c r="Q161" i="148" s="1" a="1"/>
  <c r="Q161" i="148" s="1"/>
  <c r="O161" i="148"/>
  <c r="Q160" i="148" a="1"/>
  <c r="Q160" i="148" s="1"/>
  <c r="P160" i="148"/>
  <c r="O160" i="148"/>
  <c r="P159" i="148"/>
  <c r="O159" i="148"/>
  <c r="Q159" i="148" s="1" a="1"/>
  <c r="Q159" i="148" s="1"/>
  <c r="Q158" i="148" a="1"/>
  <c r="Q158" i="148" s="1"/>
  <c r="P158" i="148"/>
  <c r="O158" i="148"/>
  <c r="P157" i="148"/>
  <c r="O157" i="148"/>
  <c r="Q157" i="148" s="1" a="1"/>
  <c r="Q157" i="148" s="1"/>
  <c r="P156" i="148"/>
  <c r="O156" i="148"/>
  <c r="Q156" i="148" s="1" a="1"/>
  <c r="Q156" i="148" s="1"/>
  <c r="P155" i="148"/>
  <c r="Q155" i="148" s="1" a="1"/>
  <c r="Q155" i="148" s="1"/>
  <c r="O155" i="148"/>
  <c r="P154" i="148"/>
  <c r="O154" i="148"/>
  <c r="Q154" i="148" s="1" a="1"/>
  <c r="Q154" i="148" s="1"/>
  <c r="P153" i="148"/>
  <c r="Q153" i="148" s="1" a="1"/>
  <c r="Q153" i="148" s="1"/>
  <c r="O153" i="148"/>
  <c r="Q152" i="148" a="1"/>
  <c r="Q152" i="148" s="1"/>
  <c r="P152" i="148"/>
  <c r="O152" i="148"/>
  <c r="P151" i="148"/>
  <c r="O151" i="148"/>
  <c r="Q151" i="148" s="1" a="1"/>
  <c r="Q151" i="148" s="1"/>
  <c r="Q150" i="148" a="1"/>
  <c r="Q150" i="148" s="1"/>
  <c r="P150" i="148"/>
  <c r="O150" i="148"/>
  <c r="P149" i="148"/>
  <c r="O149" i="148"/>
  <c r="Q149" i="148" s="1" a="1"/>
  <c r="Q149" i="148" s="1"/>
  <c r="P148" i="148"/>
  <c r="O148" i="148"/>
  <c r="Q148" i="148" s="1" a="1"/>
  <c r="Q148" i="148" s="1"/>
  <c r="P147" i="148"/>
  <c r="Q147" i="148" s="1" a="1"/>
  <c r="Q147" i="148" s="1"/>
  <c r="O147" i="148"/>
  <c r="P146" i="148"/>
  <c r="O146" i="148"/>
  <c r="Q146" i="148" s="1" a="1"/>
  <c r="Q146" i="148" s="1"/>
  <c r="P145" i="148"/>
  <c r="Q145" i="148" s="1" a="1"/>
  <c r="Q145" i="148" s="1"/>
  <c r="O145" i="148"/>
  <c r="Q144" i="148" a="1"/>
  <c r="Q144" i="148" s="1"/>
  <c r="P144" i="148"/>
  <c r="O144" i="148"/>
  <c r="P143" i="148"/>
  <c r="O143" i="148"/>
  <c r="Q143" i="148" s="1" a="1"/>
  <c r="Q143" i="148" s="1"/>
  <c r="Q142" i="148" a="1"/>
  <c r="Q142" i="148" s="1"/>
  <c r="P142" i="148"/>
  <c r="O142" i="148"/>
  <c r="P141" i="148"/>
  <c r="O141" i="148"/>
  <c r="Q141" i="148" s="1" a="1"/>
  <c r="Q141" i="148" s="1"/>
  <c r="P140" i="148"/>
  <c r="O140" i="148"/>
  <c r="Q140" i="148" s="1" a="1"/>
  <c r="Q140" i="148" s="1"/>
  <c r="P139" i="148"/>
  <c r="Q139" i="148" s="1" a="1"/>
  <c r="Q139" i="148" s="1"/>
  <c r="O139" i="148"/>
  <c r="P138" i="148"/>
  <c r="O138" i="148"/>
  <c r="Q138" i="148" s="1" a="1"/>
  <c r="Q138" i="148" s="1"/>
  <c r="P137" i="148"/>
  <c r="Q137" i="148" s="1" a="1"/>
  <c r="Q137" i="148" s="1"/>
  <c r="O137" i="148"/>
  <c r="Q136" i="148" a="1"/>
  <c r="Q136" i="148" s="1"/>
  <c r="P136" i="148"/>
  <c r="O136" i="148"/>
  <c r="P135" i="148"/>
  <c r="O135" i="148"/>
  <c r="Q135" i="148" s="1" a="1"/>
  <c r="Q135" i="148" s="1"/>
  <c r="Q134" i="148" a="1"/>
  <c r="Q134" i="148" s="1"/>
  <c r="P134" i="148"/>
  <c r="O134" i="148"/>
  <c r="P133" i="148"/>
  <c r="O133" i="148"/>
  <c r="Q133" i="148" s="1" a="1"/>
  <c r="Q133" i="148" s="1"/>
  <c r="P132" i="148"/>
  <c r="O132" i="148"/>
  <c r="Q132" i="148" s="1" a="1"/>
  <c r="Q132" i="148" s="1"/>
  <c r="P131" i="148"/>
  <c r="O131" i="148"/>
  <c r="Q131" i="148" s="1" a="1"/>
  <c r="Q131" i="148" s="1"/>
  <c r="P130" i="148"/>
  <c r="O130" i="148"/>
  <c r="Q130" i="148" s="1" a="1"/>
  <c r="Q130" i="148" s="1"/>
  <c r="P129" i="148"/>
  <c r="Q129" i="148" s="1" a="1"/>
  <c r="Q129" i="148" s="1"/>
  <c r="O129" i="148"/>
  <c r="Q128" i="148" a="1"/>
  <c r="Q128" i="148" s="1"/>
  <c r="P128" i="148"/>
  <c r="O128" i="148"/>
  <c r="P127" i="148"/>
  <c r="O127" i="148"/>
  <c r="Q127" i="148" s="1" a="1"/>
  <c r="Q127" i="148" s="1"/>
  <c r="Q126" i="148" a="1"/>
  <c r="Q126" i="148" s="1"/>
  <c r="P126" i="148"/>
  <c r="O126" i="148"/>
  <c r="P125" i="148"/>
  <c r="O125" i="148"/>
  <c r="Q125" i="148" s="1" a="1"/>
  <c r="Q125" i="148" s="1"/>
  <c r="P124" i="148"/>
  <c r="O124" i="148"/>
  <c r="Q124" i="148" s="1" a="1"/>
  <c r="Q124" i="148" s="1"/>
  <c r="P123" i="148"/>
  <c r="O123" i="148"/>
  <c r="Q123" i="148" s="1" a="1"/>
  <c r="Q123" i="148" s="1"/>
  <c r="P122" i="148"/>
  <c r="O122" i="148"/>
  <c r="Q122" i="148" s="1" a="1"/>
  <c r="Q122" i="148" s="1"/>
  <c r="P121" i="148"/>
  <c r="Q121" i="148" s="1" a="1"/>
  <c r="Q121" i="148" s="1"/>
  <c r="O121" i="148"/>
  <c r="Q120" i="148" a="1"/>
  <c r="Q120" i="148" s="1"/>
  <c r="P120" i="148"/>
  <c r="O120" i="148"/>
  <c r="P119" i="148"/>
  <c r="O119" i="148"/>
  <c r="Q119" i="148" s="1" a="1"/>
  <c r="Q119" i="148" s="1"/>
  <c r="Q118" i="148" a="1"/>
  <c r="Q118" i="148" s="1"/>
  <c r="P118" i="148"/>
  <c r="O118" i="148"/>
  <c r="P117" i="148"/>
  <c r="O117" i="148"/>
  <c r="Q117" i="148" s="1" a="1"/>
  <c r="Q117" i="148" s="1"/>
  <c r="P116" i="148"/>
  <c r="O116" i="148"/>
  <c r="Q116" i="148" s="1" a="1"/>
  <c r="Q116" i="148" s="1"/>
  <c r="P115" i="148"/>
  <c r="O115" i="148"/>
  <c r="Q115" i="148" s="1" a="1"/>
  <c r="Q115" i="148" s="1"/>
  <c r="P114" i="148"/>
  <c r="O114" i="148"/>
  <c r="Q114" i="148" s="1" a="1"/>
  <c r="Q114" i="148" s="1"/>
  <c r="P113" i="148"/>
  <c r="Q113" i="148" s="1" a="1"/>
  <c r="Q113" i="148" s="1"/>
  <c r="O113" i="148"/>
  <c r="Q112" i="148" a="1"/>
  <c r="Q112" i="148" s="1"/>
  <c r="P112" i="148"/>
  <c r="O112" i="148"/>
  <c r="P111" i="148"/>
  <c r="O111" i="148"/>
  <c r="Q111" i="148" s="1" a="1"/>
  <c r="Q111" i="148" s="1"/>
  <c r="Q110" i="148" a="1"/>
  <c r="Q110" i="148" s="1"/>
  <c r="P110" i="148"/>
  <c r="O110" i="148"/>
  <c r="P109" i="148"/>
  <c r="O109" i="148"/>
  <c r="Q109" i="148" s="1" a="1"/>
  <c r="Q109" i="148" s="1"/>
  <c r="P108" i="148"/>
  <c r="O108" i="148"/>
  <c r="Q108" i="148" s="1" a="1"/>
  <c r="Q108" i="148" s="1"/>
  <c r="P107" i="148"/>
  <c r="O107" i="148"/>
  <c r="Q107" i="148" s="1" a="1"/>
  <c r="Q107" i="148" s="1"/>
  <c r="P106" i="148"/>
  <c r="O106" i="148"/>
  <c r="Q106" i="148" s="1" a="1"/>
  <c r="Q106" i="148" s="1"/>
  <c r="P105" i="148"/>
  <c r="Q105" i="148" s="1" a="1"/>
  <c r="Q105" i="148" s="1"/>
  <c r="O105" i="148"/>
  <c r="Q104" i="148" a="1"/>
  <c r="Q104" i="148" s="1"/>
  <c r="P104" i="148"/>
  <c r="O104" i="148"/>
  <c r="P103" i="148"/>
  <c r="O103" i="148"/>
  <c r="Q103" i="148" s="1" a="1"/>
  <c r="Q103" i="148" s="1"/>
  <c r="Q102" i="148" a="1"/>
  <c r="Q102" i="148" s="1"/>
  <c r="P102" i="148"/>
  <c r="O102" i="148"/>
  <c r="P101" i="148"/>
  <c r="O101" i="148"/>
  <c r="Q101" i="148" s="1" a="1"/>
  <c r="Q101" i="148" s="1"/>
  <c r="P100" i="148"/>
  <c r="O100" i="148"/>
  <c r="Q100" i="148" s="1" a="1"/>
  <c r="Q100" i="148" s="1"/>
  <c r="P99" i="148"/>
  <c r="O99" i="148"/>
  <c r="Q99" i="148" s="1" a="1"/>
  <c r="Q99" i="148" s="1"/>
  <c r="P98" i="148"/>
  <c r="O98" i="148"/>
  <c r="Q98" i="148" s="1" a="1"/>
  <c r="Q98" i="148" s="1"/>
  <c r="P97" i="148"/>
  <c r="Q97" i="148" s="1" a="1"/>
  <c r="Q97" i="148" s="1"/>
  <c r="O97" i="148"/>
  <c r="Q96" i="148" a="1"/>
  <c r="Q96" i="148" s="1"/>
  <c r="P96" i="148"/>
  <c r="O96" i="148"/>
  <c r="P95" i="148"/>
  <c r="O95" i="148"/>
  <c r="Q95" i="148" s="1" a="1"/>
  <c r="Q95" i="148" s="1"/>
  <c r="Q94" i="148" a="1"/>
  <c r="Q94" i="148" s="1"/>
  <c r="P94" i="148"/>
  <c r="O94" i="148"/>
  <c r="P93" i="148"/>
  <c r="O93" i="148"/>
  <c r="Q93" i="148" s="1" a="1"/>
  <c r="Q93" i="148" s="1"/>
  <c r="P92" i="148"/>
  <c r="O92" i="148"/>
  <c r="Q92" i="148" s="1" a="1"/>
  <c r="Q92" i="148" s="1"/>
  <c r="P91" i="148"/>
  <c r="O91" i="148"/>
  <c r="Q91" i="148" s="1" a="1"/>
  <c r="Q91" i="148" s="1"/>
  <c r="P90" i="148"/>
  <c r="O90" i="148"/>
  <c r="Q90" i="148" s="1" a="1"/>
  <c r="Q90" i="148" s="1"/>
  <c r="P89" i="148"/>
  <c r="Q89" i="148" s="1" a="1"/>
  <c r="Q89" i="148" s="1"/>
  <c r="O89" i="148"/>
  <c r="Q88" i="148" a="1"/>
  <c r="Q88" i="148" s="1"/>
  <c r="P88" i="148"/>
  <c r="O88" i="148"/>
  <c r="P87" i="148"/>
  <c r="O87" i="148"/>
  <c r="Q87" i="148" s="1" a="1"/>
  <c r="Q87" i="148" s="1"/>
  <c r="Q86" i="148" a="1"/>
  <c r="Q86" i="148" s="1"/>
  <c r="P86" i="148"/>
  <c r="O86" i="148"/>
  <c r="P85" i="148"/>
  <c r="O85" i="148"/>
  <c r="Q85" i="148" s="1" a="1"/>
  <c r="Q85" i="148" s="1"/>
  <c r="P84" i="148"/>
  <c r="O84" i="148"/>
  <c r="Q84" i="148" s="1" a="1"/>
  <c r="Q84" i="148" s="1"/>
  <c r="P83" i="148"/>
  <c r="O83" i="148"/>
  <c r="Q83" i="148" s="1" a="1"/>
  <c r="Q83" i="148" s="1"/>
  <c r="P82" i="148"/>
  <c r="O82" i="148"/>
  <c r="Q82" i="148" s="1" a="1"/>
  <c r="Q82" i="148" s="1"/>
  <c r="P81" i="148"/>
  <c r="Q81" i="148" s="1" a="1"/>
  <c r="Q81" i="148" s="1"/>
  <c r="O81" i="148"/>
  <c r="Q80" i="148" a="1"/>
  <c r="Q80" i="148" s="1"/>
  <c r="P80" i="148"/>
  <c r="O80" i="148"/>
  <c r="P79" i="148"/>
  <c r="O79" i="148"/>
  <c r="Q79" i="148" s="1" a="1"/>
  <c r="Q79" i="148" s="1"/>
  <c r="Q78" i="148" a="1"/>
  <c r="Q78" i="148" s="1"/>
  <c r="P78" i="148"/>
  <c r="O78" i="148"/>
  <c r="P77" i="148"/>
  <c r="O77" i="148"/>
  <c r="Q77" i="148" s="1" a="1"/>
  <c r="Q77" i="148" s="1"/>
  <c r="P76" i="148"/>
  <c r="O76" i="148"/>
  <c r="Q76" i="148" s="1" a="1"/>
  <c r="Q76" i="148" s="1"/>
  <c r="P75" i="148"/>
  <c r="O75" i="148"/>
  <c r="Q75" i="148" s="1" a="1"/>
  <c r="Q75" i="148" s="1"/>
  <c r="P74" i="148"/>
  <c r="O74" i="148"/>
  <c r="Q74" i="148" s="1" a="1"/>
  <c r="Q74" i="148" s="1"/>
  <c r="P73" i="148"/>
  <c r="Q73" i="148" s="1" a="1"/>
  <c r="Q73" i="148" s="1"/>
  <c r="O73" i="148"/>
  <c r="Q72" i="148" a="1"/>
  <c r="Q72" i="148" s="1"/>
  <c r="P72" i="148"/>
  <c r="O72" i="148"/>
  <c r="P71" i="148"/>
  <c r="O71" i="148"/>
  <c r="Q71" i="148" s="1" a="1"/>
  <c r="Q71" i="148" s="1"/>
  <c r="Q70" i="148" a="1"/>
  <c r="Q70" i="148" s="1"/>
  <c r="P70" i="148"/>
  <c r="O70" i="148"/>
  <c r="P69" i="148"/>
  <c r="O69" i="148"/>
  <c r="Q69" i="148" s="1" a="1"/>
  <c r="Q69" i="148" s="1"/>
  <c r="P68" i="148"/>
  <c r="O68" i="148"/>
  <c r="Q68" i="148" s="1" a="1"/>
  <c r="Q68" i="148" s="1"/>
  <c r="P67" i="148"/>
  <c r="O67" i="148"/>
  <c r="Q67" i="148" s="1" a="1"/>
  <c r="Q67" i="148" s="1"/>
  <c r="P66" i="148"/>
  <c r="O66" i="148"/>
  <c r="Q66" i="148" s="1" a="1"/>
  <c r="Q66" i="148" s="1"/>
  <c r="P65" i="148"/>
  <c r="Q65" i="148" s="1" a="1"/>
  <c r="Q65" i="148" s="1"/>
  <c r="O65" i="148"/>
  <c r="P64" i="148"/>
  <c r="O64" i="148"/>
  <c r="P63" i="148"/>
  <c r="O63" i="148"/>
  <c r="P62" i="148"/>
  <c r="O62" i="148"/>
  <c r="P61" i="148"/>
  <c r="O61" i="148"/>
  <c r="P60" i="148"/>
  <c r="O60" i="148"/>
  <c r="P59" i="148"/>
  <c r="O59" i="148"/>
  <c r="Q59" i="148" s="1" a="1"/>
  <c r="Q59" i="148" s="1"/>
  <c r="P58" i="148"/>
  <c r="O58" i="148"/>
  <c r="P57" i="148"/>
  <c r="O57" i="148"/>
  <c r="P56" i="148"/>
  <c r="O56" i="148"/>
  <c r="P55" i="148"/>
  <c r="O55" i="148"/>
  <c r="P54" i="148"/>
  <c r="O54" i="148"/>
  <c r="P53" i="148"/>
  <c r="O53" i="148"/>
  <c r="P52" i="148"/>
  <c r="O52" i="148"/>
  <c r="P51" i="148"/>
  <c r="O51" i="148"/>
  <c r="P50" i="148"/>
  <c r="O50" i="148"/>
  <c r="P49" i="148"/>
  <c r="Q49" i="148" s="1" a="1"/>
  <c r="Q49" i="148" s="1"/>
  <c r="B59" i="149" s="1"/>
  <c r="O49" i="148"/>
  <c r="P48" i="148"/>
  <c r="O48" i="148"/>
  <c r="P47" i="148"/>
  <c r="O47" i="148"/>
  <c r="P46" i="148"/>
  <c r="O46" i="148"/>
  <c r="P45" i="148"/>
  <c r="O45" i="148"/>
  <c r="P44" i="148"/>
  <c r="O44" i="148"/>
  <c r="P43" i="148"/>
  <c r="O43" i="148"/>
  <c r="P42" i="148"/>
  <c r="O42" i="148"/>
  <c r="P41" i="148"/>
  <c r="O41" i="148"/>
  <c r="P40" i="148"/>
  <c r="O40" i="148"/>
  <c r="P39" i="148"/>
  <c r="O39" i="148"/>
  <c r="Q39" i="148" s="1" a="1"/>
  <c r="Q39" i="148" s="1"/>
  <c r="B49" i="149" s="1"/>
  <c r="P38" i="148"/>
  <c r="O38" i="148"/>
  <c r="P37" i="148"/>
  <c r="O37" i="148"/>
  <c r="P36" i="148"/>
  <c r="O36" i="148"/>
  <c r="P35" i="148"/>
  <c r="O35" i="148"/>
  <c r="P34" i="148"/>
  <c r="O34" i="148"/>
  <c r="P33" i="148"/>
  <c r="O33" i="148"/>
  <c r="P32" i="148"/>
  <c r="O32" i="148"/>
  <c r="P31" i="148"/>
  <c r="O31" i="148"/>
  <c r="P30" i="148"/>
  <c r="O30" i="148"/>
  <c r="P29" i="148"/>
  <c r="O29" i="148"/>
  <c r="Q29" i="148" s="1" a="1"/>
  <c r="Q29" i="148" s="1"/>
  <c r="B39" i="149" s="1"/>
  <c r="P28" i="148"/>
  <c r="O28" i="148"/>
  <c r="P27" i="148"/>
  <c r="O27" i="148"/>
  <c r="P26" i="148"/>
  <c r="O26" i="148"/>
  <c r="P25" i="148"/>
  <c r="O25" i="148"/>
  <c r="P24" i="148"/>
  <c r="O24" i="148"/>
  <c r="P23" i="148"/>
  <c r="O23" i="148"/>
  <c r="P22" i="148"/>
  <c r="O22" i="148"/>
  <c r="P21" i="148"/>
  <c r="O21" i="148"/>
  <c r="Q21" i="148" s="1" a="1"/>
  <c r="Q21" i="148" s="1"/>
  <c r="B31" i="149" s="1"/>
  <c r="P20" i="148"/>
  <c r="O20" i="148"/>
  <c r="Q64" i="148" a="1"/>
  <c r="Q64" i="148" s="1"/>
  <c r="Q62" i="148" a="1"/>
  <c r="Q62" i="148" s="1"/>
  <c r="P19" i="148"/>
  <c r="O19" i="148"/>
  <c r="P18" i="148"/>
  <c r="O18" i="148"/>
  <c r="Q54" i="148" a="1"/>
  <c r="Q54" i="148" s="1"/>
  <c r="P17" i="148"/>
  <c r="O17" i="148"/>
  <c r="L17" i="148"/>
  <c r="K17" i="148"/>
  <c r="Q48" i="148" s="1" a="1"/>
  <c r="Q48" i="148" s="1"/>
  <c r="B58" i="149" s="1"/>
  <c r="I17" i="148"/>
  <c r="Q46" i="148" s="1" a="1"/>
  <c r="Q46" i="148" s="1"/>
  <c r="B56" i="149" s="1"/>
  <c r="P16" i="148"/>
  <c r="O16" i="148"/>
  <c r="L16" i="148"/>
  <c r="K16" i="148"/>
  <c r="I16" i="148"/>
  <c r="P15" i="148"/>
  <c r="O15" i="148"/>
  <c r="L15" i="148"/>
  <c r="K15" i="148"/>
  <c r="Q38" i="148" s="1" a="1"/>
  <c r="Q38" i="148" s="1"/>
  <c r="B48" i="149" s="1"/>
  <c r="P14" i="148"/>
  <c r="O14" i="148"/>
  <c r="Q14" i="148" s="1" a="1"/>
  <c r="Q14" i="148" s="1"/>
  <c r="B24" i="149" s="1"/>
  <c r="L14" i="148"/>
  <c r="I14" i="148"/>
  <c r="Q30" i="148" a="1"/>
  <c r="Q30" i="148" s="1"/>
  <c r="B40" i="149" s="1"/>
  <c r="P13" i="148"/>
  <c r="O13" i="148"/>
  <c r="L13" i="148"/>
  <c r="K13" i="148"/>
  <c r="I13" i="148"/>
  <c r="P12" i="148"/>
  <c r="O12" i="148"/>
  <c r="L12" i="148"/>
  <c r="K12" i="148"/>
  <c r="I12" i="148"/>
  <c r="Q11" i="148" a="1"/>
  <c r="Q11" i="148" s="1"/>
  <c r="B21" i="149" s="1"/>
  <c r="P11" i="148"/>
  <c r="O11" i="148"/>
  <c r="L11" i="148"/>
  <c r="Q19" i="148" s="1" a="1"/>
  <c r="Q19" i="148" s="1"/>
  <c r="B29" i="149" s="1"/>
  <c r="K11" i="148"/>
  <c r="I11" i="148"/>
  <c r="Q16" i="148" s="1" a="1"/>
  <c r="Q16" i="148" s="1"/>
  <c r="B26" i="149" s="1"/>
  <c r="P10" i="148"/>
  <c r="O10" i="148"/>
  <c r="L10" i="148"/>
  <c r="K10" i="148"/>
  <c r="Q12" i="148" a="1"/>
  <c r="Q12" i="148" s="1"/>
  <c r="B22" i="149" s="1"/>
  <c r="I10" i="148"/>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Q22" i="148" l="1" a="1"/>
  <c r="Q22" i="148" s="1"/>
  <c r="B32" i="149" s="1"/>
  <c r="Q17" i="148" a="1"/>
  <c r="Q17" i="148" s="1"/>
  <c r="B27" i="149" s="1"/>
  <c r="Q37" i="148" a="1"/>
  <c r="Q37" i="148" s="1"/>
  <c r="B47" i="149" s="1"/>
  <c r="Q34" i="148" a="1"/>
  <c r="Q34" i="148" s="1"/>
  <c r="B44" i="149" s="1"/>
  <c r="Q24" i="148" a="1"/>
  <c r="Q24" i="148" s="1"/>
  <c r="B34" i="149" s="1"/>
  <c r="Q44" i="148" a="1"/>
  <c r="Q44" i="148" s="1"/>
  <c r="B54" i="149" s="1"/>
  <c r="Q41" i="148" a="1"/>
  <c r="Q41" i="148" s="1"/>
  <c r="B51" i="149" s="1"/>
  <c r="Q50" i="148" a="1"/>
  <c r="Q50" i="148" s="1"/>
  <c r="B60" i="149" s="1"/>
  <c r="Q26" i="148" a="1"/>
  <c r="Q26" i="148" s="1"/>
  <c r="B36" i="149" s="1"/>
  <c r="Q31" i="148" a="1"/>
  <c r="Q31" i="148" s="1"/>
  <c r="B41" i="149" s="1"/>
  <c r="Q51" i="148" a="1"/>
  <c r="Q51" i="148" s="1"/>
  <c r="B61" i="149" s="1"/>
  <c r="Q43" i="148" a="1"/>
  <c r="Q43" i="148" s="1"/>
  <c r="B53" i="149" s="1"/>
  <c r="Q47" i="148" a="1"/>
  <c r="Q47" i="148" s="1"/>
  <c r="B57" i="149" s="1"/>
  <c r="Q63" i="148" a="1"/>
  <c r="Q63" i="148" s="1"/>
  <c r="Q18" i="148" a="1"/>
  <c r="Q18" i="148" s="1"/>
  <c r="B28" i="149" s="1"/>
  <c r="Q28" i="148" a="1"/>
  <c r="Q28" i="148" s="1"/>
  <c r="B38" i="149" s="1"/>
  <c r="Q52" i="148" a="1"/>
  <c r="Q52" i="148" s="1"/>
  <c r="B62" i="149" s="1"/>
  <c r="Q57" i="148" a="1"/>
  <c r="Q57" i="148" s="1"/>
  <c r="Q53" i="148" a="1"/>
  <c r="Q53" i="148" s="1"/>
  <c r="Q58" i="148" a="1"/>
  <c r="Q58" i="148" s="1"/>
  <c r="Q13" i="148" a="1"/>
  <c r="Q13" i="148" s="1"/>
  <c r="B23" i="149" s="1"/>
  <c r="Q23" i="148" a="1"/>
  <c r="Q23" i="148" s="1"/>
  <c r="B33" i="149" s="1"/>
  <c r="Q33" i="148" a="1"/>
  <c r="Q33" i="148" s="1"/>
  <c r="B43" i="149" s="1"/>
  <c r="Q61" i="148" a="1"/>
  <c r="Q61" i="148" s="1"/>
  <c r="Q27" i="148" a="1"/>
  <c r="Q27" i="148" s="1"/>
  <c r="B37" i="149" s="1"/>
  <c r="Q36" i="148" a="1"/>
  <c r="Q36" i="148" s="1"/>
  <c r="B46" i="149" s="1"/>
  <c r="Q15" i="148" a="1"/>
  <c r="Q15" i="148" s="1"/>
  <c r="B25" i="149" s="1"/>
  <c r="Q10" i="148" a="1"/>
  <c r="Q10" i="148" s="1"/>
  <c r="B20" i="149" s="1"/>
  <c r="Q20" i="148" a="1"/>
  <c r="Q20" i="148" s="1"/>
  <c r="B30" i="149" s="1"/>
  <c r="Q32" i="148" a="1"/>
  <c r="Q32" i="148" s="1"/>
  <c r="B42" i="149" s="1"/>
  <c r="Q40" i="148" a="1"/>
  <c r="Q40" i="148" s="1"/>
  <c r="B50" i="149" s="1"/>
  <c r="Q55" i="148" a="1"/>
  <c r="Q55" i="148" s="1"/>
  <c r="Q60" i="148" a="1"/>
  <c r="Q60" i="148" s="1"/>
  <c r="Q25" i="148" a="1"/>
  <c r="Q25" i="148" s="1"/>
  <c r="B35" i="149" s="1"/>
  <c r="Q35" i="148" a="1"/>
  <c r="Q35" i="148" s="1"/>
  <c r="B45" i="149" s="1"/>
  <c r="Q45" i="148" a="1"/>
  <c r="Q45" i="148" s="1"/>
  <c r="B55" i="149"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51" i="110"/>
  <c r="C41" i="110"/>
  <c r="C42" i="110"/>
  <c r="C43" i="110"/>
  <c r="C44" i="110"/>
  <c r="C45" i="110"/>
  <c r="C46" i="110"/>
  <c r="C47" i="110"/>
  <c r="C48" i="110"/>
  <c r="C49" i="110"/>
  <c r="C50" i="110"/>
  <c r="I17" i="108"/>
  <c r="C17" i="110" s="1"/>
  <c r="I18" i="108"/>
  <c r="I19" i="108"/>
  <c r="I20" i="108"/>
  <c r="C9" i="110"/>
  <c r="C10" i="110"/>
  <c r="C11" i="110"/>
  <c r="C12" i="110"/>
  <c r="C13" i="110"/>
  <c r="C14" i="110"/>
  <c r="C15" i="110"/>
  <c r="C16" i="110"/>
  <c r="E11" i="109"/>
  <c r="E12" i="109"/>
  <c r="E13" i="109"/>
  <c r="E14" i="109"/>
  <c r="E15" i="109"/>
  <c r="E16" i="109"/>
  <c r="E17" i="109"/>
  <c r="E18" i="109"/>
  <c r="E19" i="109"/>
  <c r="E20" i="109"/>
  <c r="E21" i="109"/>
  <c r="E22" i="109"/>
  <c r="E23" i="109"/>
  <c r="E24" i="109"/>
  <c r="B20" i="109"/>
  <c r="B21" i="109"/>
  <c r="B22" i="109"/>
  <c r="B23" i="109"/>
  <c r="B24" i="109"/>
  <c r="B25" i="109"/>
  <c r="B26" i="109"/>
  <c r="B27" i="109"/>
  <c r="B28" i="109"/>
  <c r="B29" i="109"/>
  <c r="B30" i="109"/>
  <c r="B31" i="109"/>
  <c r="B32" i="109"/>
  <c r="B33" i="109"/>
  <c r="B19" i="109"/>
  <c r="B15" i="109"/>
  <c r="B16" i="109"/>
  <c r="B14" i="109"/>
  <c r="B11" i="109"/>
  <c r="B12" i="109"/>
  <c r="B13" i="109"/>
  <c r="B17" i="109"/>
  <c r="B18" i="109"/>
  <c r="B10" i="109"/>
  <c r="B9" i="109"/>
  <c r="C7" i="109" s="1"/>
  <c r="Q42" i="148" l="1" a="1"/>
  <c r="Q42" i="148" s="1"/>
  <c r="B52" i="149" s="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32" i="145" a="1"/>
  <c r="Q32" i="145" s="1"/>
  <c r="B42"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E25" i="109"/>
  <c r="I10" i="108"/>
  <c r="I12" i="108"/>
  <c r="I13" i="108"/>
  <c r="I14" i="108"/>
  <c r="I15" i="108"/>
  <c r="I16" i="108"/>
  <c r="E8" i="109"/>
  <c r="C37" i="110" s="1"/>
  <c r="I9" i="108"/>
  <c r="I11" i="108"/>
  <c r="C31" i="110"/>
  <c r="C30" i="110"/>
  <c r="C2" i="110"/>
  <c r="C1" i="110"/>
  <c r="E10" i="109"/>
  <c r="C40" i="110" s="1"/>
  <c r="E9" i="109"/>
  <c r="C39" i="110" s="1"/>
  <c r="E7" i="109"/>
  <c r="C36" i="110" s="1"/>
  <c r="E6" i="109"/>
  <c r="C35" i="110" s="1"/>
  <c r="E5" i="109"/>
  <c r="C34" i="110" s="1"/>
  <c r="E4" i="109"/>
  <c r="C33" i="110" s="1"/>
  <c r="E3" i="109"/>
  <c r="C32" i="110" s="1"/>
  <c r="I8" i="108"/>
  <c r="C8" i="110" s="1"/>
  <c r="I7" i="108"/>
  <c r="C7" i="110" s="1"/>
  <c r="I6" i="108"/>
  <c r="C6" i="110" s="1"/>
  <c r="I5" i="108"/>
  <c r="C5" i="110" s="1"/>
  <c r="I4" i="108"/>
  <c r="C4" i="110" s="1"/>
  <c r="I3" i="108"/>
  <c r="C3" i="110"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<sst xmlns="http://schemas.openxmlformats.org/spreadsheetml/2006/main" count="3985" uniqueCount="1483">
  <si>
    <t>CodeableConcept</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</si>
  <si>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</si>
  <si>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</si>
  <si>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</si>
  <si>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</si>
  <si>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</si>
  <si>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</si>
  <si>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</si>
  <si>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</si>
  <si>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</si>
  <si>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</si>
  <si>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</si>
  <si>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</si>
  <si>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</si>
  <si>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</si>
  <si>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</si>
  <si>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</si>
  <si>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</si>
  <si>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</si>
  <si>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</si>
  <si>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</si>
  <si>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</si>
  <si>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</si>
  <si>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</si>
  <si>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</si>
  <si>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</si>
  <si>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</si>
  <si>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</si>
  <si>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</si>
  <si>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</si>
  <si>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</si>
  <si>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</si>
  <si>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</si>
  <si>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</si>
  <si>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</si>
  <si>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</si>
  <si>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</si>
  <si>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</si>
  <si>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</si>
  <si>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</si>
  <si>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</si>
  <si>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</si>
  <si>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</si>
  <si>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</si>
  <si>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</si>
  <si>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</si>
  <si>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</si>
  <si>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</si>
  <si>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</si>
  <si>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</si>
  <si>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</si>
  <si>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</si>
  <si>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</si>
  <si>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</si>
  <si>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</si>
  <si>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</si>
  <si>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</si>
  <si>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</si>
  <si>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</si>
  <si>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</si>
  <si>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</si>
  <si>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</si>
  <si>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</si>
  <si>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</si>
  <si>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</si>
  <si>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</si>
  <si>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</si>
  <si>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</si>
  <si>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</si>
  <si>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</si>
  <si>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</si>
  <si>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</si>
  <si>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</si>
  <si>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</si>
  <si>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</si>
  <si>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</si>
  <si>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</si>
  <si>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</si>
  <si>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</si>
  <si>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</si>
  <si>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</si>
  <si>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</si>
  <si>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</si>
  <si>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</si>
  <si>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</si>
  <si>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</si>
  <si>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</si>
  <si>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</si>
  <si>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</si>
  <si>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</si>
  <si>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</si>
  <si>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</si>
  <si>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</si>
  <si>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</si>
  <si>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</si>
  <si>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</si>
  <si>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</si>
  <si>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</si>
  <si>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</si>
  <si>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</si>
  <si>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</si>
  <si>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</si>
  <si>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</si>
  <si>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</si>
  <si>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</si>
  <si>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</si>
  <si>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</si>
  <si>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</si>
  <si>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</si>
  <si>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</si>
  <si>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</si>
  <si>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</si>
  <si>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</si>
  <si>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</si>
  <si>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</si>
  <si>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</si>
  <si>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</si>
  <si>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</si>
  <si>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</si>
  <si>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</si>
  <si>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</si>
  <si>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</si>
  <si>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</si>
  <si>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</si>
  <si>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</si>
  <si>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</si>
  <si>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</si>
  <si>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</si>
  <si>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</si>
  <si>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</si>
  <si>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</si>
  <si>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</si>
  <si>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</si>
  <si>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</si>
  <si>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</si>
  <si>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</si>
  <si>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</si>
  <si>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</si>
  <si>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</si>
  <si>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</si>
  <si>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</si>
  <si>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</si>
  <si>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</si>
  <si>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</si>
  <si>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</si>
  <si>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</si>
  <si>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</si>
  <si>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</si>
  <si>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</si>
  <si>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</si>
  <si>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</si>
  <si>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</si>
  <si>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</si>
  <si>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</si>
  <si>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</si>
  <si>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</si>
  <si>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</si>
  <si>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dateOfBirth</t>
  </si>
  <si>
    <t>dateOfBirth.date</t>
  </si>
  <si>
    <t>dateOfBirth.unknown</t>
  </si>
  <si>
    <t>maritalStatus</t>
  </si>
  <si>
    <t>sexOrGender</t>
  </si>
  <si>
    <t>race</t>
  </si>
  <si>
    <t>countryOfResidence</t>
  </si>
  <si>
    <t>date</t>
  </si>
  <si>
    <t>boolean</t>
  </si>
  <si>
    <t>Gender/Sex</t>
  </si>
  <si>
    <r>
      <t xml:space="preserve">Describes biological sex </t>
    </r>
    <r>
      <rPr>
        <b/>
        <sz val="11"/>
        <color theme="1"/>
        <rFont val="Arial Narrow"/>
        <family val="2"/>
      </rPr>
      <t>as recorded in the patient's identity document or in the hospital record.</t>
    </r>
    <r>
      <rPr>
        <sz val="11"/>
        <color theme="1"/>
        <rFont val="Arial Narrow"/>
        <family val="2"/>
      </rPr>
      <t xml:space="preserve"> In the absence of documentation, the one declared by the patient will be recorded</t>
    </r>
  </si>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</sst>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s>
  <fills count="1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2" applyNumberFormat="0" applyFont="0" applyAlignment="0" applyProtection="0"/>
  </cellStyleXfs>
  <cellXfs count="89">
    <xf numFmtId="0" fontId="0" fillId="0" borderId="0" xfId="0"/>
    <xf numFmtId="0" fontId="1" fillId="4" borderId="0" xfId="0" applyFont="1" applyFill="1" applyAlignment="1">
      <alignment horizontal="center" vertical="top" wrapText="1"/>
    </xf>
    <xf numFmtId="0" fontId="0" fillId="0" borderId="0" xfId="0" applyBorder="1"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0" xfId="0" applyBorder="1"/>
    <xf numFmtId="0" fontId="0" fillId="5" borderId="1" xfId="0" applyFill="1" applyBorder="1" applyAlignment="1">
      <alignment wrapText="1"/>
    </xf>
    <xf numFmtId="0" fontId="0" fillId="0" borderId="8" xfId="0" applyBorder="1"/>
    <xf numFmtId="0" fontId="1" fillId="0" borderId="6" xfId="0" applyFont="1" applyFill="1" applyBorder="1"/>
    <xf numFmtId="0" fontId="1" fillId="0" borderId="6" xfId="0" applyFont="1" applyBorder="1"/>
    <xf numFmtId="0" fontId="6" fillId="7" borderId="11"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2" xfId="0" applyFont="1" applyFill="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6" fillId="7" borderId="0" xfId="2" applyBorder="1" applyAlignment="1">
      <alignment wrapText="1"/>
    </xf>
    <xf numFmtId="0" fontId="8" fillId="7" borderId="11" xfId="2" applyFont="1" applyBorder="1" applyAlignment="1">
      <alignment wrapText="1"/>
    </xf>
    <xf numFmtId="0" fontId="8" fillId="7" borderId="0" xfId="2" applyFont="1" applyBorder="1" applyAlignment="1">
      <alignment wrapText="1"/>
    </xf>
    <xf numFmtId="0" fontId="0" fillId="0" borderId="1" xfId="0" applyFont="1" applyBorder="1" applyAlignment="1">
      <alignment wrapText="1"/>
    </xf>
    <xf numFmtId="0" fontId="0" fillId="0" borderId="16" xfId="0" applyBorder="1"/>
    <xf numFmtId="0" fontId="1" fillId="0" borderId="17" xfId="0" applyFont="1" applyBorder="1"/>
    <xf numFmtId="0" fontId="3" fillId="3" borderId="1" xfId="0" applyFont="1" applyFill="1" applyBorder="1" applyAlignment="1">
      <alignment wrapText="1"/>
    </xf>
    <xf numFmtId="0" fontId="1" fillId="0" borderId="3" xfId="0" applyFont="1" applyFill="1" applyBorder="1" applyAlignment="1">
      <alignment wrapText="1"/>
    </xf>
    <xf numFmtId="0" fontId="9" fillId="8" borderId="18"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9" xfId="0" applyFont="1" applyBorder="1"/>
    <xf numFmtId="0" fontId="0" fillId="0" borderId="9" xfId="0" applyBorder="1"/>
    <xf numFmtId="0" fontId="0" fillId="0" borderId="10" xfId="0" applyBorder="1"/>
    <xf numFmtId="0" fontId="0" fillId="9" borderId="8" xfId="0" applyFill="1" applyBorder="1"/>
    <xf numFmtId="0" fontId="10" fillId="9" borderId="0" xfId="0" applyFont="1" applyFill="1" applyAlignment="1">
      <alignment horizontal="left" vertical="top" wrapText="1"/>
    </xf>
    <xf numFmtId="0" fontId="0" fillId="0" borderId="0" xfId="0" applyNumberFormat="1"/>
    <xf numFmtId="0" fontId="0" fillId="0" borderId="10"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Fill="1" applyBorder="1" applyAlignment="1">
      <alignment wrapText="1"/>
    </xf>
    <xf numFmtId="0" fontId="0" fillId="5" borderId="0" xfId="0" applyFill="1" applyBorder="1" applyAlignment="1">
      <alignment wrapText="1"/>
    </xf>
    <xf numFmtId="0" fontId="2" fillId="0" borderId="0" xfId="1" applyBorder="1"/>
    <xf numFmtId="0" fontId="0" fillId="9" borderId="1" xfId="0" applyFill="1" applyBorder="1"/>
    <xf numFmtId="49" fontId="0" fillId="0" borderId="0" xfId="0" applyNumberFormat="1"/>
    <xf numFmtId="0" fontId="0" fillId="0" borderId="19" xfId="0" applyBorder="1"/>
    <xf numFmtId="0" fontId="1" fillId="6" borderId="20" xfId="0" applyFont="1" applyFill="1" applyBorder="1"/>
    <xf numFmtId="0" fontId="0" fillId="0" borderId="21"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Border="1" applyAlignment="1">
      <alignment horizontal="center"/>
    </xf>
    <xf numFmtId="49" fontId="0" fillId="0" borderId="0" xfId="0" applyNumberFormat="1" applyBorder="1"/>
    <xf numFmtId="0" fontId="0" fillId="0" borderId="1" xfId="0" applyNumberFormat="1" applyBorder="1" applyAlignment="1">
      <alignment wrapText="1"/>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2" xfId="4" applyFont="1"/>
    <xf numFmtId="0" fontId="18" fillId="0" borderId="0" xfId="0" applyFont="1" applyAlignment="1">
      <alignment vertical="center"/>
    </xf>
    <xf numFmtId="0" fontId="0" fillId="3" borderId="0" xfId="0" applyFill="1"/>
    <xf numFmtId="0" fontId="0" fillId="3" borderId="0" xfId="0" applyNumberFormat="1" applyFill="1"/>
    <xf numFmtId="0" fontId="10" fillId="0" borderId="0" xfId="0" applyFont="1" applyAlignment="1">
      <alignment horizontal="left" vertical="top" wrapText="1"/>
    </xf>
    <xf numFmtId="0" fontId="10" fillId="0" borderId="0" xfId="0" applyFont="1" applyAlignment="1">
      <alignment horizontal="center" vertical="top" wrapText="1"/>
    </xf>
  </cellXfs>
  <cellStyles count="5">
    <cellStyle name="Collegamento ipertestuale" xfId="1" builtinId="8"/>
    <cellStyle name="Colore 1" xfId="2" builtinId="29"/>
    <cellStyle name="Colore 2" xfId="3" builtinId="33"/>
    <cellStyle name="Normale" xfId="0" builtinId="0"/>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CFA57C31-64B2-42AE-BA6B-F4383BDACDBF}"/>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09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A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A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x14ac:dyDescent="0.6"/>
  <cols>
    <col min="1" max="1" width="29.86328125" style="39" customWidth="1"/>
    <col min="2" max="3" width="35.26953125" style="36" customWidth="1"/>
    <col min="4" max="4" width="44" style="36" customWidth="1"/>
    <col min="5" max="5" width="16.7265625" style="36" customWidth="1"/>
    <col min="6" max="6" width="20.26953125" style="36" customWidth="1"/>
    <col min="7" max="7" width="17.7265625" style="37" customWidth="1"/>
    <col min="8" max="8" width="9.1328125" style="37"/>
    <col min="9" max="17" width="9.1328125" style="38"/>
    <col min="18" max="18" width="31.54296875" style="38" customWidth="1"/>
    <col min="19" max="19" width="16" style="38" customWidth="1"/>
    <col min="20" max="16384" width="9.1328125" style="38"/>
  </cols>
  <sheetData>
    <row r="1" spans="1:9" x14ac:dyDescent="0.6">
      <c r="A1" s="87" t="s">
        <v>24</v>
      </c>
      <c r="B1" s="87"/>
      <c r="C1" s="87"/>
      <c r="D1" s="87"/>
      <c r="E1" s="87"/>
    </row>
    <row r="2" spans="1:9" ht="28" x14ac:dyDescent="0.6">
      <c r="A2" s="39" t="s">
        <v>25</v>
      </c>
      <c r="B2" s="39" t="s">
        <v>26</v>
      </c>
      <c r="C2" s="39" t="s">
        <v>27</v>
      </c>
      <c r="D2" s="39" t="s">
        <v>28</v>
      </c>
      <c r="E2" s="39" t="s">
        <v>29</v>
      </c>
      <c r="F2" s="39" t="s">
        <v>30</v>
      </c>
      <c r="G2" s="39" t="s">
        <v>31</v>
      </c>
      <c r="H2" s="39" t="s">
        <v>32</v>
      </c>
      <c r="I2" s="40"/>
    </row>
    <row r="3" spans="1:9" ht="56" x14ac:dyDescent="0.6">
      <c r="A3" s="39" t="s">
        <v>33</v>
      </c>
      <c r="B3" s="36" t="s">
        <v>34</v>
      </c>
      <c r="C3" s="36" t="s">
        <v>35</v>
      </c>
      <c r="E3" s="36" t="s">
        <v>36</v>
      </c>
      <c r="F3" s="36" t="s">
        <v>37</v>
      </c>
      <c r="G3" s="36" t="s">
        <v>38</v>
      </c>
      <c r="H3" s="37" t="s">
        <v>38</v>
      </c>
    </row>
    <row r="4" spans="1:9" ht="28" x14ac:dyDescent="0.6">
      <c r="A4" s="39" t="s">
        <v>39</v>
      </c>
      <c r="B4" s="36" t="s">
        <v>40</v>
      </c>
      <c r="C4" s="36" t="s">
        <v>41</v>
      </c>
      <c r="E4" s="36" t="s">
        <v>42</v>
      </c>
    </row>
    <row r="5" spans="1:9" ht="70" x14ac:dyDescent="0.6">
      <c r="A5" s="39" t="s">
        <v>43</v>
      </c>
      <c r="B5" s="36" t="s">
        <v>44</v>
      </c>
      <c r="C5" s="36" t="s">
        <v>45</v>
      </c>
      <c r="D5" s="36" t="s">
        <v>46</v>
      </c>
      <c r="E5" s="36" t="s">
        <v>47</v>
      </c>
      <c r="F5" s="36" t="s">
        <v>48</v>
      </c>
      <c r="G5" s="37" t="s">
        <v>49</v>
      </c>
      <c r="H5" s="37" t="s">
        <v>38</v>
      </c>
    </row>
    <row r="6" spans="1:9" ht="42" x14ac:dyDescent="0.6">
      <c r="A6" s="39" t="s">
        <v>50</v>
      </c>
      <c r="B6" s="36" t="s">
        <v>51</v>
      </c>
      <c r="C6" s="36" t="s">
        <v>52</v>
      </c>
      <c r="E6" s="36" t="s">
        <v>47</v>
      </c>
      <c r="F6" s="36" t="s">
        <v>48</v>
      </c>
    </row>
    <row r="7" spans="1:9" ht="98" x14ac:dyDescent="0.6">
      <c r="A7" s="39" t="s">
        <v>53</v>
      </c>
      <c r="B7" s="36" t="s">
        <v>54</v>
      </c>
      <c r="C7" s="36" t="s">
        <v>55</v>
      </c>
      <c r="D7" s="36" t="s">
        <v>56</v>
      </c>
      <c r="E7" s="41" t="s">
        <v>57</v>
      </c>
      <c r="F7" s="36" t="s">
        <v>58</v>
      </c>
      <c r="G7" s="36" t="s">
        <v>38</v>
      </c>
      <c r="H7" s="37" t="s">
        <v>38</v>
      </c>
    </row>
    <row r="8" spans="1:9" ht="70" x14ac:dyDescent="0.6">
      <c r="A8" s="39" t="s">
        <v>59</v>
      </c>
      <c r="B8" s="36" t="s">
        <v>60</v>
      </c>
      <c r="C8" s="36" t="s">
        <v>61</v>
      </c>
      <c r="D8" s="36" t="s">
        <v>62</v>
      </c>
      <c r="E8" s="42" t="s">
        <v>63</v>
      </c>
      <c r="F8" s="36" t="s">
        <v>64</v>
      </c>
      <c r="G8" s="37" t="s">
        <v>38</v>
      </c>
      <c r="H8" s="37" t="s">
        <v>38</v>
      </c>
    </row>
    <row r="9" spans="1:9" ht="44.25" x14ac:dyDescent="0.6">
      <c r="A9" s="39" t="s">
        <v>65</v>
      </c>
      <c r="B9" s="36" t="s">
        <v>66</v>
      </c>
      <c r="C9" s="36" t="s">
        <v>67</v>
      </c>
      <c r="E9" s="36" t="s">
        <v>68</v>
      </c>
      <c r="F9" s="36" t="s">
        <v>69</v>
      </c>
      <c r="G9" s="37" t="s">
        <v>70</v>
      </c>
      <c r="H9" s="37" t="s">
        <v>38</v>
      </c>
    </row>
    <row r="10" spans="1:9" ht="59" x14ac:dyDescent="0.6">
      <c r="A10" s="39" t="s">
        <v>71</v>
      </c>
      <c r="B10" s="36" t="s">
        <v>72</v>
      </c>
      <c r="C10" s="36" t="s">
        <v>73</v>
      </c>
      <c r="E10" s="36" t="s">
        <v>74</v>
      </c>
      <c r="F10" s="36" t="s">
        <v>75</v>
      </c>
      <c r="G10" s="37" t="s">
        <v>76</v>
      </c>
      <c r="H10" s="37" t="s">
        <v>38</v>
      </c>
    </row>
    <row r="11" spans="1:9" ht="59" x14ac:dyDescent="0.6">
      <c r="A11" s="39" t="s">
        <v>77</v>
      </c>
      <c r="B11" s="36" t="s">
        <v>78</v>
      </c>
      <c r="C11" s="36" t="s">
        <v>79</v>
      </c>
      <c r="E11" s="43" t="s">
        <v>57</v>
      </c>
      <c r="F11" s="36" t="s">
        <v>75</v>
      </c>
      <c r="G11" s="37" t="s">
        <v>76</v>
      </c>
      <c r="H11" s="37" t="s">
        <v>38</v>
      </c>
    </row>
    <row r="12" spans="1:9" ht="59" x14ac:dyDescent="0.6">
      <c r="A12" s="39" t="s">
        <v>80</v>
      </c>
      <c r="B12" s="36" t="s">
        <v>81</v>
      </c>
      <c r="C12" s="36" t="s">
        <v>82</v>
      </c>
      <c r="E12" s="36" t="s">
        <v>83</v>
      </c>
      <c r="F12" s="36" t="s">
        <v>75</v>
      </c>
      <c r="G12" s="37" t="s">
        <v>76</v>
      </c>
      <c r="H12" s="37" t="s">
        <v>38</v>
      </c>
    </row>
    <row r="13" spans="1:9" ht="59" x14ac:dyDescent="0.6">
      <c r="A13" s="39" t="s">
        <v>84</v>
      </c>
      <c r="B13" s="36" t="s">
        <v>81</v>
      </c>
      <c r="C13" s="36" t="s">
        <v>85</v>
      </c>
      <c r="E13" s="36" t="s">
        <v>83</v>
      </c>
      <c r="F13" s="36" t="s">
        <v>75</v>
      </c>
      <c r="G13" s="37" t="s">
        <v>76</v>
      </c>
      <c r="H13" s="37" t="s">
        <v>38</v>
      </c>
    </row>
    <row r="14" spans="1:9" ht="84" x14ac:dyDescent="0.6">
      <c r="A14" s="39" t="s">
        <v>86</v>
      </c>
      <c r="B14" s="36" t="s">
        <v>87</v>
      </c>
      <c r="C14" s="36" t="s">
        <v>88</v>
      </c>
      <c r="D14" s="36" t="s">
        <v>89</v>
      </c>
      <c r="F14" s="36" t="s">
        <v>75</v>
      </c>
      <c r="G14" s="37" t="s">
        <v>76</v>
      </c>
      <c r="H14" s="37" t="s">
        <v>38</v>
      </c>
    </row>
    <row r="15" spans="1:9" ht="94.9" customHeight="1" x14ac:dyDescent="0.6">
      <c r="A15" s="39" t="s">
        <v>90</v>
      </c>
      <c r="B15" s="36" t="s">
        <v>91</v>
      </c>
      <c r="C15" s="36" t="s">
        <v>92</v>
      </c>
      <c r="D15" s="36" t="s">
        <v>89</v>
      </c>
      <c r="E15" s="36" t="s">
        <v>83</v>
      </c>
    </row>
    <row r="16" spans="1:9" ht="59" x14ac:dyDescent="0.6">
      <c r="A16" s="39" t="s">
        <v>93</v>
      </c>
      <c r="B16" s="36" t="s">
        <v>94</v>
      </c>
      <c r="C16" s="36" t="s">
        <v>95</v>
      </c>
      <c r="E16" s="36" t="s">
        <v>96</v>
      </c>
      <c r="F16" s="36" t="s">
        <v>75</v>
      </c>
      <c r="G16" s="37" t="s">
        <v>76</v>
      </c>
      <c r="H16" s="37" t="s">
        <v>38</v>
      </c>
    </row>
    <row r="17" spans="1:9" ht="140" x14ac:dyDescent="0.6">
      <c r="A17" s="39" t="s">
        <v>97</v>
      </c>
      <c r="B17" s="36" t="s">
        <v>98</v>
      </c>
      <c r="C17" s="36" t="s">
        <v>99</v>
      </c>
      <c r="D17" s="36" t="s">
        <v>100</v>
      </c>
      <c r="E17" s="36" t="s">
        <v>101</v>
      </c>
      <c r="F17" s="36" t="s">
        <v>64</v>
      </c>
      <c r="G17" s="37" t="s">
        <v>38</v>
      </c>
      <c r="H17" s="37" t="s">
        <v>38</v>
      </c>
    </row>
    <row r="18" spans="1:9" x14ac:dyDescent="0.6">
      <c r="A18" s="39" t="s">
        <v>102</v>
      </c>
      <c r="B18" s="36" t="s">
        <v>1</v>
      </c>
    </row>
    <row r="19" spans="1:9" ht="42" x14ac:dyDescent="0.6">
      <c r="A19" s="39" t="s">
        <v>103</v>
      </c>
      <c r="B19" s="36" t="s">
        <v>104</v>
      </c>
      <c r="C19" s="36" t="s">
        <v>105</v>
      </c>
      <c r="E19" s="36" t="s">
        <v>83</v>
      </c>
      <c r="F19" s="36" t="s">
        <v>106</v>
      </c>
      <c r="G19" s="36" t="s">
        <v>49</v>
      </c>
      <c r="H19" s="37" t="s">
        <v>38</v>
      </c>
    </row>
    <row r="20" spans="1:9" ht="42" x14ac:dyDescent="0.6">
      <c r="A20" s="39" t="s">
        <v>107</v>
      </c>
      <c r="B20" s="36" t="s">
        <v>108</v>
      </c>
      <c r="C20" s="36" t="s">
        <v>109</v>
      </c>
      <c r="E20" s="36" t="s">
        <v>83</v>
      </c>
      <c r="F20" s="36" t="s">
        <v>106</v>
      </c>
      <c r="G20" s="36" t="s">
        <v>49</v>
      </c>
      <c r="H20" s="37" t="s">
        <v>38</v>
      </c>
    </row>
    <row r="21" spans="1:9" s="46" customFormat="1" ht="70" x14ac:dyDescent="0.6">
      <c r="A21" s="44" t="s">
        <v>110</v>
      </c>
      <c r="B21" s="45" t="s">
        <v>111</v>
      </c>
      <c r="C21" s="36" t="s">
        <v>112</v>
      </c>
      <c r="D21" s="36"/>
      <c r="E21" s="45"/>
      <c r="F21" s="36" t="s">
        <v>106</v>
      </c>
      <c r="G21" s="36" t="s">
        <v>49</v>
      </c>
      <c r="H21" s="37" t="s">
        <v>38</v>
      </c>
    </row>
    <row r="22" spans="1:9" s="46" customFormat="1" ht="42" x14ac:dyDescent="0.6">
      <c r="A22" s="44" t="s">
        <v>113</v>
      </c>
      <c r="B22" s="45" t="s">
        <v>81</v>
      </c>
      <c r="C22" s="36" t="s">
        <v>114</v>
      </c>
      <c r="D22" s="36"/>
      <c r="E22" s="45" t="s">
        <v>83</v>
      </c>
      <c r="F22" s="45"/>
      <c r="G22" s="47"/>
      <c r="H22" s="47"/>
    </row>
    <row r="23" spans="1:9" ht="126" x14ac:dyDescent="0.6">
      <c r="A23" s="39" t="s">
        <v>115</v>
      </c>
      <c r="B23" s="36" t="s">
        <v>116</v>
      </c>
      <c r="C23" s="36" t="s">
        <v>117</v>
      </c>
      <c r="D23" s="36" t="s">
        <v>118</v>
      </c>
      <c r="E23" s="41" t="s">
        <v>57</v>
      </c>
      <c r="F23" s="36" t="s">
        <v>119</v>
      </c>
      <c r="G23" s="36" t="s">
        <v>49</v>
      </c>
      <c r="H23" s="37" t="s">
        <v>38</v>
      </c>
    </row>
    <row r="24" spans="1:9" ht="41.45" customHeight="1" x14ac:dyDescent="0.6">
      <c r="A24" s="39" t="s">
        <v>120</v>
      </c>
      <c r="B24" s="36" t="s">
        <v>40</v>
      </c>
      <c r="C24" s="88" t="s">
        <v>121</v>
      </c>
      <c r="E24" s="36" t="s">
        <v>42</v>
      </c>
      <c r="F24" s="36" t="s">
        <v>119</v>
      </c>
      <c r="G24" s="36" t="s">
        <v>49</v>
      </c>
      <c r="H24" s="37" t="s">
        <v>38</v>
      </c>
    </row>
    <row r="25" spans="1:9" ht="42" x14ac:dyDescent="0.65">
      <c r="A25" s="39" t="s">
        <v>122</v>
      </c>
      <c r="B25" s="36" t="s">
        <v>40</v>
      </c>
      <c r="C25" s="88"/>
      <c r="E25" s="36" t="s">
        <v>42</v>
      </c>
      <c r="F25" s="36" t="s">
        <v>119</v>
      </c>
      <c r="G25" s="36" t="s">
        <v>49</v>
      </c>
      <c r="H25" s="37" t="s">
        <v>38</v>
      </c>
      <c r="I25" s="48"/>
    </row>
    <row r="26" spans="1:9" ht="42" x14ac:dyDescent="0.6">
      <c r="A26" s="39" t="s">
        <v>123</v>
      </c>
      <c r="B26" s="36" t="s">
        <v>40</v>
      </c>
      <c r="C26" s="88"/>
      <c r="E26" s="36" t="s">
        <v>42</v>
      </c>
      <c r="F26" s="36" t="s">
        <v>119</v>
      </c>
      <c r="G26" s="36" t="s">
        <v>49</v>
      </c>
      <c r="H26" s="37" t="s">
        <v>38</v>
      </c>
    </row>
    <row r="27" spans="1:9" ht="42" x14ac:dyDescent="0.6">
      <c r="A27" s="39" t="s">
        <v>124</v>
      </c>
      <c r="B27" s="36" t="s">
        <v>40</v>
      </c>
      <c r="C27" s="88"/>
      <c r="E27" s="36" t="s">
        <v>42</v>
      </c>
      <c r="F27" s="36" t="s">
        <v>119</v>
      </c>
      <c r="G27" s="36" t="s">
        <v>49</v>
      </c>
      <c r="H27" s="37" t="s">
        <v>38</v>
      </c>
    </row>
    <row r="28" spans="1:9" ht="42" x14ac:dyDescent="0.6">
      <c r="A28" s="39" t="s">
        <v>125</v>
      </c>
      <c r="B28" s="36" t="s">
        <v>40</v>
      </c>
      <c r="C28" s="88"/>
      <c r="E28" s="36" t="s">
        <v>42</v>
      </c>
      <c r="F28" s="36" t="s">
        <v>119</v>
      </c>
      <c r="G28" s="36" t="s">
        <v>49</v>
      </c>
      <c r="H28" s="37" t="s">
        <v>38</v>
      </c>
    </row>
    <row r="29" spans="1:9" ht="42" x14ac:dyDescent="0.6">
      <c r="A29" s="39" t="s">
        <v>126</v>
      </c>
      <c r="B29" s="36" t="s">
        <v>40</v>
      </c>
      <c r="C29" s="88"/>
      <c r="E29" s="36" t="s">
        <v>42</v>
      </c>
      <c r="F29" s="36" t="s">
        <v>119</v>
      </c>
      <c r="G29" s="36" t="s">
        <v>49</v>
      </c>
      <c r="H29" s="37" t="s">
        <v>38</v>
      </c>
    </row>
    <row r="30" spans="1:9" ht="42" x14ac:dyDescent="0.6">
      <c r="A30" s="39" t="s">
        <v>127</v>
      </c>
      <c r="B30" s="36" t="s">
        <v>40</v>
      </c>
      <c r="C30" s="88"/>
      <c r="E30" s="36" t="s">
        <v>42</v>
      </c>
      <c r="F30" s="36" t="s">
        <v>119</v>
      </c>
      <c r="G30" s="36" t="s">
        <v>49</v>
      </c>
      <c r="H30" s="37" t="s">
        <v>38</v>
      </c>
    </row>
    <row r="31" spans="1:9" ht="42" x14ac:dyDescent="0.6">
      <c r="A31" s="39" t="s">
        <v>128</v>
      </c>
      <c r="B31" s="36" t="s">
        <v>40</v>
      </c>
      <c r="C31" s="88"/>
      <c r="E31" s="36" t="s">
        <v>42</v>
      </c>
      <c r="F31" s="36" t="s">
        <v>119</v>
      </c>
      <c r="G31" s="36" t="s">
        <v>49</v>
      </c>
      <c r="H31" s="37" t="s">
        <v>38</v>
      </c>
    </row>
    <row r="32" spans="1:9" ht="42" x14ac:dyDescent="0.6">
      <c r="A32" s="39" t="s">
        <v>129</v>
      </c>
      <c r="B32" s="36" t="s">
        <v>40</v>
      </c>
      <c r="C32" s="88"/>
      <c r="E32" s="36" t="s">
        <v>42</v>
      </c>
      <c r="F32" s="36" t="s">
        <v>119</v>
      </c>
      <c r="G32" s="36" t="s">
        <v>49</v>
      </c>
      <c r="H32" s="37" t="s">
        <v>38</v>
      </c>
    </row>
    <row r="33" spans="1:9" ht="42" x14ac:dyDescent="0.6">
      <c r="A33" s="39" t="s">
        <v>130</v>
      </c>
      <c r="B33" s="36" t="s">
        <v>40</v>
      </c>
      <c r="C33" s="88"/>
      <c r="E33" s="36" t="s">
        <v>42</v>
      </c>
      <c r="F33" s="36" t="s">
        <v>119</v>
      </c>
      <c r="G33" s="36" t="s">
        <v>49</v>
      </c>
      <c r="H33" s="37" t="s">
        <v>38</v>
      </c>
    </row>
    <row r="34" spans="1:9" ht="42" x14ac:dyDescent="0.6">
      <c r="A34" s="39" t="s">
        <v>131</v>
      </c>
      <c r="B34" s="36" t="s">
        <v>40</v>
      </c>
      <c r="C34" s="88"/>
      <c r="E34" s="36" t="s">
        <v>42</v>
      </c>
      <c r="F34" s="36" t="s">
        <v>119</v>
      </c>
      <c r="G34" s="36" t="s">
        <v>49</v>
      </c>
      <c r="H34" s="37" t="s">
        <v>38</v>
      </c>
    </row>
    <row r="35" spans="1:9" ht="42" x14ac:dyDescent="0.6">
      <c r="A35" s="39" t="s">
        <v>132</v>
      </c>
      <c r="B35" s="36" t="s">
        <v>40</v>
      </c>
      <c r="C35" s="88"/>
      <c r="E35" s="36" t="s">
        <v>42</v>
      </c>
      <c r="F35" s="36" t="s">
        <v>119</v>
      </c>
      <c r="G35" s="36" t="s">
        <v>49</v>
      </c>
      <c r="H35" s="37" t="s">
        <v>38</v>
      </c>
    </row>
    <row r="36" spans="1:9" ht="42" x14ac:dyDescent="0.6">
      <c r="A36" s="39" t="s">
        <v>133</v>
      </c>
      <c r="B36" s="36" t="s">
        <v>40</v>
      </c>
      <c r="C36" s="88"/>
      <c r="E36" s="36" t="s">
        <v>42</v>
      </c>
      <c r="F36" s="36" t="s">
        <v>119</v>
      </c>
      <c r="G36" s="36" t="s">
        <v>49</v>
      </c>
      <c r="H36" s="37" t="s">
        <v>38</v>
      </c>
    </row>
    <row r="37" spans="1:9" ht="42" x14ac:dyDescent="0.6">
      <c r="A37" s="39" t="s">
        <v>134</v>
      </c>
      <c r="B37" s="36" t="s">
        <v>40</v>
      </c>
      <c r="C37" s="88"/>
      <c r="E37" s="36" t="s">
        <v>42</v>
      </c>
      <c r="F37" s="36" t="s">
        <v>119</v>
      </c>
      <c r="G37" s="36" t="s">
        <v>49</v>
      </c>
      <c r="H37" s="37" t="s">
        <v>38</v>
      </c>
    </row>
    <row r="38" spans="1:9" ht="42" x14ac:dyDescent="0.6">
      <c r="A38" s="39" t="s">
        <v>135</v>
      </c>
      <c r="B38" s="36" t="s">
        <v>40</v>
      </c>
      <c r="C38" s="88"/>
      <c r="E38" s="36" t="s">
        <v>42</v>
      </c>
      <c r="F38" s="36" t="s">
        <v>119</v>
      </c>
      <c r="G38" s="36" t="s">
        <v>49</v>
      </c>
      <c r="H38" s="37" t="s">
        <v>38</v>
      </c>
    </row>
    <row r="39" spans="1:9" ht="42" x14ac:dyDescent="0.6">
      <c r="A39" s="39" t="s">
        <v>136</v>
      </c>
      <c r="B39" s="36" t="s">
        <v>40</v>
      </c>
      <c r="C39" s="88"/>
      <c r="E39" s="36" t="s">
        <v>42</v>
      </c>
      <c r="F39" s="36" t="s">
        <v>119</v>
      </c>
      <c r="G39" s="36" t="s">
        <v>49</v>
      </c>
      <c r="H39" s="37" t="s">
        <v>38</v>
      </c>
    </row>
    <row r="40" spans="1:9" ht="42" x14ac:dyDescent="0.6">
      <c r="A40" s="39" t="s">
        <v>137</v>
      </c>
      <c r="B40" s="36" t="s">
        <v>40</v>
      </c>
      <c r="C40" s="88"/>
      <c r="E40" s="36" t="s">
        <v>42</v>
      </c>
      <c r="F40" s="36" t="s">
        <v>119</v>
      </c>
      <c r="G40" s="36" t="s">
        <v>49</v>
      </c>
      <c r="H40" s="37" t="s">
        <v>38</v>
      </c>
    </row>
    <row r="41" spans="1:9" ht="42" x14ac:dyDescent="0.6">
      <c r="A41" s="39" t="s">
        <v>138</v>
      </c>
      <c r="B41" s="36" t="s">
        <v>40</v>
      </c>
      <c r="C41" s="88"/>
      <c r="E41" s="36" t="s">
        <v>42</v>
      </c>
      <c r="F41" s="36" t="s">
        <v>119</v>
      </c>
      <c r="G41" s="36" t="s">
        <v>49</v>
      </c>
      <c r="H41" s="37" t="s">
        <v>38</v>
      </c>
    </row>
    <row r="42" spans="1:9" ht="42" x14ac:dyDescent="0.6">
      <c r="A42" s="39" t="s">
        <v>139</v>
      </c>
      <c r="B42" s="36" t="s">
        <v>40</v>
      </c>
      <c r="C42" s="88"/>
      <c r="E42" s="36" t="s">
        <v>42</v>
      </c>
      <c r="F42" s="36" t="s">
        <v>119</v>
      </c>
      <c r="G42" s="36" t="s">
        <v>49</v>
      </c>
      <c r="H42" s="37" t="s">
        <v>38</v>
      </c>
    </row>
    <row r="43" spans="1:9" ht="210" x14ac:dyDescent="0.6">
      <c r="A43" s="39" t="s">
        <v>140</v>
      </c>
      <c r="B43" s="36" t="s">
        <v>141</v>
      </c>
      <c r="C43" s="36" t="s">
        <v>142</v>
      </c>
      <c r="D43" s="49" t="s">
        <v>143</v>
      </c>
      <c r="F43" s="36" t="s">
        <v>119</v>
      </c>
      <c r="G43" s="36" t="s">
        <v>49</v>
      </c>
      <c r="H43" s="37" t="s">
        <v>38</v>
      </c>
    </row>
    <row r="44" spans="1:9" ht="59" x14ac:dyDescent="0.75">
      <c r="A44" s="44" t="s">
        <v>144</v>
      </c>
      <c r="B44" s="45" t="s">
        <v>145</v>
      </c>
      <c r="D44" s="36" t="s">
        <v>146</v>
      </c>
      <c r="E44" s="36" t="s">
        <v>147</v>
      </c>
      <c r="F44" s="36" t="s">
        <v>75</v>
      </c>
      <c r="G44" s="37" t="s">
        <v>76</v>
      </c>
      <c r="H44" s="37" t="s">
        <v>38</v>
      </c>
      <c r="I44" s="50"/>
    </row>
    <row r="45" spans="1:9" ht="56" x14ac:dyDescent="0.6">
      <c r="A45" s="44" t="s">
        <v>148</v>
      </c>
      <c r="B45" s="45" t="s">
        <v>145</v>
      </c>
      <c r="D45" s="36" t="s">
        <v>149</v>
      </c>
      <c r="E45" s="36" t="s">
        <v>150</v>
      </c>
      <c r="F45" s="36" t="s">
        <v>64</v>
      </c>
      <c r="G45" s="37" t="s">
        <v>38</v>
      </c>
      <c r="H45" s="37" t="s">
        <v>38</v>
      </c>
    </row>
    <row r="46" spans="1:9" ht="28" x14ac:dyDescent="0.6">
      <c r="A46" s="39" t="s">
        <v>151</v>
      </c>
      <c r="B46" s="36" t="s">
        <v>152</v>
      </c>
      <c r="C46" s="36" t="s">
        <v>153</v>
      </c>
      <c r="E46" s="36" t="s">
        <v>42</v>
      </c>
    </row>
    <row r="47" spans="1:9" ht="14" x14ac:dyDescent="0.6">
      <c r="C47" s="45"/>
      <c r="E47" s="41"/>
      <c r="G47" s="36"/>
      <c r="H47" s="36"/>
    </row>
  </sheetData>
  <mergeCells count="2">
    <mergeCell ref="A1:E1"/>
    <mergeCell ref="C24:C42"/>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s="11" customFormat="1" x14ac:dyDescent="0.75">
      <c r="A1" s="57" t="s">
        <v>178</v>
      </c>
      <c r="B1" s="57" t="s">
        <v>179</v>
      </c>
      <c r="C1" s="57" t="s">
        <v>180</v>
      </c>
      <c r="D1" s="57" t="s">
        <v>181</v>
      </c>
      <c r="E1" s="57" t="s">
        <v>182</v>
      </c>
      <c r="F1" s="57" t="s">
        <v>183</v>
      </c>
      <c r="G1" s="57" t="s">
        <v>184</v>
      </c>
      <c r="H1" s="57" t="s">
        <v>185</v>
      </c>
      <c r="I1" s="57" t="s">
        <v>186</v>
      </c>
      <c r="J1" s="57" t="s">
        <v>187</v>
      </c>
      <c r="K1" s="57" t="s">
        <v>188</v>
      </c>
      <c r="L1" s="57" t="s">
        <v>189</v>
      </c>
      <c r="M1" s="57" t="s">
        <v>190</v>
      </c>
    </row>
    <row r="2" spans="1:13" x14ac:dyDescent="0.75">
      <c r="A2" s="57" t="s">
        <v>15</v>
      </c>
      <c r="B2" s="57" t="s">
        <v>17</v>
      </c>
      <c r="C2" s="57" t="s">
        <v>191</v>
      </c>
      <c r="D2" s="57" t="s">
        <v>192</v>
      </c>
      <c r="E2" s="57" t="s">
        <v>193</v>
      </c>
      <c r="F2" s="57" t="s">
        <v>194</v>
      </c>
      <c r="G2" s="57" t="s">
        <v>195</v>
      </c>
      <c r="H2" s="57" t="s">
        <v>194</v>
      </c>
      <c r="I2" s="57" t="s">
        <v>196</v>
      </c>
      <c r="J2" s="57" t="s">
        <v>197</v>
      </c>
      <c r="K2" s="57" t="s">
        <v>198</v>
      </c>
      <c r="L2" s="57" t="s">
        <v>199</v>
      </c>
      <c r="M2" s="57" t="s">
        <v>200</v>
      </c>
    </row>
    <row r="3" spans="1:13" x14ac:dyDescent="0.75">
      <c r="A3" s="57" t="s">
        <v>15</v>
      </c>
      <c r="B3" s="57" t="s">
        <v>201</v>
      </c>
      <c r="C3" s="57" t="s">
        <v>202</v>
      </c>
      <c r="D3" s="57" t="s">
        <v>201</v>
      </c>
      <c r="E3" s="57" t="s">
        <v>203</v>
      </c>
      <c r="F3" s="57" t="s">
        <v>204</v>
      </c>
      <c r="G3" s="57" t="s">
        <v>195</v>
      </c>
      <c r="H3" s="57" t="s">
        <v>194</v>
      </c>
      <c r="I3" s="57" t="s">
        <v>196</v>
      </c>
      <c r="J3" s="57" t="s">
        <v>203</v>
      </c>
      <c r="K3" s="57" t="s">
        <v>205</v>
      </c>
      <c r="L3" s="57" t="s">
        <v>206</v>
      </c>
      <c r="M3" s="57" t="s">
        <v>194</v>
      </c>
    </row>
    <row r="4" spans="1:13" x14ac:dyDescent="0.75">
      <c r="A4" s="57" t="s">
        <v>15</v>
      </c>
      <c r="B4" s="57" t="s">
        <v>207</v>
      </c>
      <c r="C4" s="57" t="s">
        <v>208</v>
      </c>
      <c r="D4" s="57" t="s">
        <v>207</v>
      </c>
      <c r="E4" s="57" t="s">
        <v>209</v>
      </c>
      <c r="F4" s="57" t="s">
        <v>210</v>
      </c>
      <c r="G4" s="57" t="s">
        <v>195</v>
      </c>
      <c r="H4" s="57" t="s">
        <v>194</v>
      </c>
      <c r="I4" s="57" t="s">
        <v>211</v>
      </c>
      <c r="J4" s="57" t="s">
        <v>212</v>
      </c>
      <c r="K4" s="57" t="s">
        <v>213</v>
      </c>
      <c r="L4" s="57" t="s">
        <v>214</v>
      </c>
      <c r="M4" s="57" t="s">
        <v>194</v>
      </c>
    </row>
    <row r="5" spans="1:13" x14ac:dyDescent="0.75">
      <c r="A5" s="57" t="s">
        <v>15</v>
      </c>
      <c r="B5" s="57" t="s">
        <v>215</v>
      </c>
      <c r="C5" s="57" t="s">
        <v>216</v>
      </c>
      <c r="D5" s="57" t="s">
        <v>217</v>
      </c>
      <c r="E5" s="57" t="s">
        <v>218</v>
      </c>
      <c r="F5" s="57" t="s">
        <v>194</v>
      </c>
      <c r="G5" s="57" t="s">
        <v>219</v>
      </c>
      <c r="H5" s="57" t="s">
        <v>194</v>
      </c>
      <c r="I5" s="57" t="s">
        <v>196</v>
      </c>
      <c r="J5" s="57" t="s">
        <v>220</v>
      </c>
      <c r="K5" s="57" t="s">
        <v>221</v>
      </c>
      <c r="L5" s="57" t="s">
        <v>222</v>
      </c>
      <c r="M5" s="57" t="s">
        <v>223</v>
      </c>
    </row>
    <row r="6" spans="1:13" x14ac:dyDescent="0.75">
      <c r="A6" s="57" t="s">
        <v>15</v>
      </c>
      <c r="B6" s="57" t="s">
        <v>224</v>
      </c>
      <c r="C6" s="57" t="s">
        <v>225</v>
      </c>
      <c r="D6" s="57" t="s">
        <v>226</v>
      </c>
      <c r="E6" s="57" t="s">
        <v>227</v>
      </c>
      <c r="F6" s="57" t="s">
        <v>194</v>
      </c>
      <c r="G6" s="57" t="s">
        <v>219</v>
      </c>
      <c r="H6" s="57" t="s">
        <v>194</v>
      </c>
      <c r="I6" s="57" t="s">
        <v>211</v>
      </c>
      <c r="J6" s="57" t="s">
        <v>228</v>
      </c>
      <c r="K6" s="57" t="s">
        <v>229</v>
      </c>
      <c r="L6" s="57" t="s">
        <v>230</v>
      </c>
      <c r="M6" s="57" t="s">
        <v>223</v>
      </c>
    </row>
    <row r="7" spans="1:13" x14ac:dyDescent="0.75">
      <c r="A7" s="57" t="s">
        <v>15</v>
      </c>
      <c r="B7" s="57" t="s">
        <v>231</v>
      </c>
      <c r="C7" s="57" t="s">
        <v>232</v>
      </c>
      <c r="D7" s="57" t="s">
        <v>233</v>
      </c>
      <c r="E7" s="57" t="s">
        <v>234</v>
      </c>
      <c r="F7" s="57" t="s">
        <v>194</v>
      </c>
      <c r="G7" s="57" t="s">
        <v>195</v>
      </c>
      <c r="H7" s="57" t="s">
        <v>194</v>
      </c>
      <c r="I7" s="57" t="s">
        <v>196</v>
      </c>
      <c r="J7" s="57" t="s">
        <v>235</v>
      </c>
      <c r="K7" s="57" t="s">
        <v>236</v>
      </c>
      <c r="L7" s="57" t="s">
        <v>237</v>
      </c>
      <c r="M7" s="57" t="s">
        <v>194</v>
      </c>
    </row>
    <row r="8" spans="1:13" x14ac:dyDescent="0.75">
      <c r="A8" s="57" t="s">
        <v>15</v>
      </c>
      <c r="B8" s="57" t="s">
        <v>238</v>
      </c>
      <c r="C8" s="57" t="s">
        <v>239</v>
      </c>
      <c r="D8" s="57" t="s">
        <v>240</v>
      </c>
      <c r="E8" s="57" t="s">
        <v>241</v>
      </c>
      <c r="F8" s="57" t="s">
        <v>194</v>
      </c>
      <c r="G8" s="57" t="s">
        <v>195</v>
      </c>
      <c r="H8" s="57" t="s">
        <v>194</v>
      </c>
      <c r="I8" s="57" t="s">
        <v>196</v>
      </c>
      <c r="J8" s="57" t="s">
        <v>242</v>
      </c>
      <c r="K8" s="57" t="s">
        <v>243</v>
      </c>
      <c r="L8" s="57" t="s">
        <v>244</v>
      </c>
      <c r="M8" s="57" t="s">
        <v>194</v>
      </c>
    </row>
    <row r="9" spans="1:13" x14ac:dyDescent="0.75">
      <c r="A9" s="57" t="s">
        <v>15</v>
      </c>
      <c r="B9" s="57" t="s">
        <v>245</v>
      </c>
      <c r="C9" s="57" t="s">
        <v>246</v>
      </c>
      <c r="D9" s="57" t="s">
        <v>247</v>
      </c>
      <c r="E9" s="57" t="s">
        <v>248</v>
      </c>
      <c r="F9" s="57" t="s">
        <v>249</v>
      </c>
      <c r="G9" s="57" t="s">
        <v>195</v>
      </c>
      <c r="H9" s="57" t="s">
        <v>194</v>
      </c>
      <c r="I9" s="57" t="s">
        <v>250</v>
      </c>
      <c r="J9" s="57" t="s">
        <v>251</v>
      </c>
      <c r="K9" s="57" t="s">
        <v>252</v>
      </c>
      <c r="L9" s="57" t="s">
        <v>253</v>
      </c>
      <c r="M9" s="57" t="s">
        <v>194</v>
      </c>
    </row>
    <row r="10" spans="1:13" x14ac:dyDescent="0.75">
      <c r="A10" s="57" t="s">
        <v>15</v>
      </c>
      <c r="B10" s="57" t="s">
        <v>254</v>
      </c>
      <c r="C10" s="57" t="s">
        <v>255</v>
      </c>
      <c r="D10" s="57" t="s">
        <v>256</v>
      </c>
      <c r="E10" s="57" t="s">
        <v>257</v>
      </c>
      <c r="F10" s="57" t="s">
        <v>194</v>
      </c>
      <c r="G10" s="57" t="s">
        <v>219</v>
      </c>
      <c r="H10" s="57"/>
      <c r="I10" s="57" t="s">
        <v>196</v>
      </c>
      <c r="J10" s="57" t="s">
        <v>258</v>
      </c>
      <c r="K10" s="57" t="s">
        <v>259</v>
      </c>
      <c r="L10" s="57" t="s">
        <v>260</v>
      </c>
      <c r="M10" s="57" t="s">
        <v>194</v>
      </c>
    </row>
    <row r="11" spans="1:13" x14ac:dyDescent="0.75">
      <c r="A11" s="57" t="s">
        <v>15</v>
      </c>
      <c r="B11" s="57" t="s">
        <v>261</v>
      </c>
      <c r="C11" s="57" t="s">
        <v>262</v>
      </c>
      <c r="D11" s="57" t="s">
        <v>263</v>
      </c>
      <c r="E11" s="57" t="s">
        <v>264</v>
      </c>
      <c r="F11" s="57" t="s">
        <v>265</v>
      </c>
      <c r="G11" s="57" t="s">
        <v>195</v>
      </c>
      <c r="H11" s="57" t="s">
        <v>194</v>
      </c>
      <c r="I11" s="57" t="s">
        <v>196</v>
      </c>
      <c r="J11" s="57" t="s">
        <v>266</v>
      </c>
      <c r="K11" s="57" t="s">
        <v>267</v>
      </c>
      <c r="L11" s="57" t="s">
        <v>268</v>
      </c>
      <c r="M11" s="57" t="s">
        <v>194</v>
      </c>
    </row>
    <row r="12" spans="1:13" x14ac:dyDescent="0.75">
      <c r="A12" s="57" t="s">
        <v>269</v>
      </c>
      <c r="B12" s="57" t="s">
        <v>219</v>
      </c>
      <c r="C12" s="57" t="s">
        <v>270</v>
      </c>
      <c r="D12" s="57" t="s">
        <v>219</v>
      </c>
      <c r="E12" s="57" t="s">
        <v>271</v>
      </c>
      <c r="F12" s="57" t="s">
        <v>194</v>
      </c>
      <c r="G12" s="57" t="s">
        <v>219</v>
      </c>
      <c r="H12" s="57" t="s">
        <v>194</v>
      </c>
      <c r="I12" s="57" t="s">
        <v>196</v>
      </c>
      <c r="J12" s="57" t="s">
        <v>271</v>
      </c>
      <c r="K12" s="57" t="s">
        <v>272</v>
      </c>
      <c r="L12" s="57" t="s">
        <v>273</v>
      </c>
      <c r="M12" s="57" t="s">
        <v>194</v>
      </c>
    </row>
    <row r="13" spans="1:13" x14ac:dyDescent="0.75">
      <c r="A13" s="57" t="s">
        <v>269</v>
      </c>
      <c r="B13" s="57" t="s">
        <v>274</v>
      </c>
      <c r="C13" s="57" t="s">
        <v>275</v>
      </c>
      <c r="D13" s="57" t="s">
        <v>276</v>
      </c>
      <c r="E13" s="57" t="s">
        <v>277</v>
      </c>
      <c r="F13" s="57" t="s">
        <v>278</v>
      </c>
      <c r="G13" s="57" t="s">
        <v>195</v>
      </c>
      <c r="H13" s="57" t="s">
        <v>194</v>
      </c>
      <c r="I13" s="57" t="s">
        <v>196</v>
      </c>
      <c r="J13" s="57" t="s">
        <v>277</v>
      </c>
      <c r="K13" s="57" t="s">
        <v>279</v>
      </c>
      <c r="L13" s="57" t="s">
        <v>280</v>
      </c>
      <c r="M13" s="57" t="s">
        <v>194</v>
      </c>
    </row>
    <row r="14" spans="1:13" x14ac:dyDescent="0.75">
      <c r="A14" s="57" t="s">
        <v>281</v>
      </c>
      <c r="B14" s="57" t="s">
        <v>282</v>
      </c>
      <c r="C14" s="57" t="s">
        <v>283</v>
      </c>
      <c r="D14" s="57" t="s">
        <v>284</v>
      </c>
      <c r="E14" s="57" t="s">
        <v>285</v>
      </c>
      <c r="F14" s="57" t="s">
        <v>286</v>
      </c>
      <c r="G14" s="57" t="s">
        <v>195</v>
      </c>
      <c r="H14" s="57" t="s">
        <v>194</v>
      </c>
      <c r="I14" s="57" t="s">
        <v>287</v>
      </c>
      <c r="J14" s="57" t="s">
        <v>288</v>
      </c>
      <c r="K14" s="57" t="s">
        <v>289</v>
      </c>
      <c r="L14" s="57" t="s">
        <v>290</v>
      </c>
      <c r="M14" s="57" t="s">
        <v>291</v>
      </c>
    </row>
    <row r="15" spans="1:13" x14ac:dyDescent="0.75">
      <c r="A15" s="57" t="s">
        <v>281</v>
      </c>
      <c r="B15" s="57" t="s">
        <v>292</v>
      </c>
      <c r="C15" s="57" t="s">
        <v>293</v>
      </c>
      <c r="D15" s="57" t="s">
        <v>294</v>
      </c>
      <c r="E15" s="57" t="s">
        <v>219</v>
      </c>
      <c r="F15" s="57" t="s">
        <v>194</v>
      </c>
      <c r="G15" s="57" t="s">
        <v>219</v>
      </c>
      <c r="H15" s="57" t="s">
        <v>194</v>
      </c>
      <c r="I15" s="57" t="s">
        <v>287</v>
      </c>
      <c r="J15" s="57" t="s">
        <v>295</v>
      </c>
      <c r="K15" s="57" t="s">
        <v>296</v>
      </c>
      <c r="L15" s="57" t="s">
        <v>297</v>
      </c>
      <c r="M15" s="57" t="s">
        <v>194</v>
      </c>
    </row>
    <row r="16" spans="1:13" x14ac:dyDescent="0.75">
      <c r="A16" s="57" t="s">
        <v>281</v>
      </c>
      <c r="B16" s="57" t="s">
        <v>298</v>
      </c>
      <c r="C16" s="57" t="s">
        <v>299</v>
      </c>
      <c r="D16" s="57" t="s">
        <v>300</v>
      </c>
      <c r="E16" s="57" t="s">
        <v>301</v>
      </c>
      <c r="F16" s="57" t="s">
        <v>194</v>
      </c>
      <c r="G16" s="57" t="s">
        <v>219</v>
      </c>
      <c r="H16" s="57" t="s">
        <v>194</v>
      </c>
      <c r="I16" s="57" t="s">
        <v>211</v>
      </c>
      <c r="J16" s="57" t="s">
        <v>302</v>
      </c>
      <c r="K16" s="57" t="s">
        <v>303</v>
      </c>
      <c r="L16" s="57" t="s">
        <v>304</v>
      </c>
      <c r="M16" s="57" t="s">
        <v>194</v>
      </c>
    </row>
    <row r="17" spans="1:13" x14ac:dyDescent="0.75">
      <c r="A17" s="57" t="s">
        <v>305</v>
      </c>
      <c r="B17" s="57" t="s">
        <v>306</v>
      </c>
      <c r="C17" s="57" t="s">
        <v>307</v>
      </c>
      <c r="D17" s="57" t="s">
        <v>308</v>
      </c>
      <c r="E17" s="57" t="s">
        <v>309</v>
      </c>
      <c r="F17" s="57" t="s">
        <v>310</v>
      </c>
      <c r="G17" s="57" t="s">
        <v>195</v>
      </c>
      <c r="H17" s="57" t="s">
        <v>194</v>
      </c>
      <c r="I17" s="57" t="s">
        <v>287</v>
      </c>
      <c r="J17" s="57" t="s">
        <v>311</v>
      </c>
      <c r="K17" s="57" t="s">
        <v>312</v>
      </c>
      <c r="L17" s="57" t="s">
        <v>313</v>
      </c>
      <c r="M17" s="57" t="s">
        <v>194</v>
      </c>
    </row>
    <row r="18" spans="1:13" x14ac:dyDescent="0.75">
      <c r="A18" s="57" t="s">
        <v>305</v>
      </c>
      <c r="B18" s="57" t="s">
        <v>314</v>
      </c>
      <c r="C18" s="57" t="s">
        <v>315</v>
      </c>
      <c r="D18" s="57" t="s">
        <v>314</v>
      </c>
      <c r="E18" s="57" t="s">
        <v>314</v>
      </c>
      <c r="F18" s="57" t="s">
        <v>316</v>
      </c>
      <c r="G18" s="57" t="s">
        <v>195</v>
      </c>
      <c r="H18" s="57" t="s">
        <v>194</v>
      </c>
      <c r="I18" s="57" t="s">
        <v>287</v>
      </c>
      <c r="J18" s="57" t="s">
        <v>317</v>
      </c>
      <c r="K18" s="57" t="s">
        <v>318</v>
      </c>
      <c r="L18" s="57" t="s">
        <v>319</v>
      </c>
      <c r="M18" s="57" t="s">
        <v>194</v>
      </c>
    </row>
    <row r="19" spans="1:13" x14ac:dyDescent="0.75">
      <c r="A19" s="57" t="s">
        <v>320</v>
      </c>
      <c r="B19" s="57" t="s">
        <v>321</v>
      </c>
      <c r="C19" s="57" t="s">
        <v>322</v>
      </c>
      <c r="D19" s="57" t="s">
        <v>321</v>
      </c>
      <c r="E19" s="57" t="s">
        <v>323</v>
      </c>
      <c r="F19" s="57" t="s">
        <v>324</v>
      </c>
      <c r="G19" s="57" t="s">
        <v>195</v>
      </c>
      <c r="H19" s="57" t="s">
        <v>194</v>
      </c>
      <c r="I19" s="57" t="s">
        <v>196</v>
      </c>
      <c r="J19" s="57" t="s">
        <v>325</v>
      </c>
      <c r="K19" s="57" t="s">
        <v>326</v>
      </c>
      <c r="L19" s="57" t="s">
        <v>327</v>
      </c>
      <c r="M19" s="57" t="s">
        <v>194</v>
      </c>
    </row>
    <row r="20" spans="1:13" x14ac:dyDescent="0.75">
      <c r="A20" s="57" t="s">
        <v>320</v>
      </c>
      <c r="B20" s="57" t="s">
        <v>328</v>
      </c>
      <c r="C20" s="57" t="s">
        <v>329</v>
      </c>
      <c r="D20" s="57" t="s">
        <v>330</v>
      </c>
      <c r="E20" s="57" t="s">
        <v>331</v>
      </c>
      <c r="F20" s="57" t="s">
        <v>194</v>
      </c>
      <c r="G20" s="57" t="s">
        <v>219</v>
      </c>
      <c r="H20" s="57" t="s">
        <v>194</v>
      </c>
      <c r="I20" s="57" t="s">
        <v>196</v>
      </c>
      <c r="J20" s="57" t="s">
        <v>332</v>
      </c>
      <c r="K20" s="57" t="s">
        <v>333</v>
      </c>
      <c r="L20" s="57" t="s">
        <v>334</v>
      </c>
      <c r="M20" s="57" t="s">
        <v>194</v>
      </c>
    </row>
    <row r="21" spans="1:13" x14ac:dyDescent="0.75">
      <c r="A21" s="57" t="s">
        <v>320</v>
      </c>
      <c r="B21" s="57" t="s">
        <v>335</v>
      </c>
      <c r="C21" s="57" t="s">
        <v>336</v>
      </c>
      <c r="D21" s="57" t="s">
        <v>337</v>
      </c>
      <c r="E21" s="57" t="s">
        <v>338</v>
      </c>
      <c r="F21" s="57" t="s">
        <v>194</v>
      </c>
      <c r="G21" s="57" t="s">
        <v>219</v>
      </c>
      <c r="H21" s="57" t="s">
        <v>194</v>
      </c>
      <c r="I21" s="57" t="s">
        <v>211</v>
      </c>
      <c r="J21" s="57" t="s">
        <v>339</v>
      </c>
      <c r="K21" s="57" t="s">
        <v>340</v>
      </c>
      <c r="L21" s="57" t="s">
        <v>341</v>
      </c>
      <c r="M21" s="57" t="s">
        <v>194</v>
      </c>
    </row>
    <row r="22" spans="1:13" x14ac:dyDescent="0.75">
      <c r="A22" s="57" t="s">
        <v>320</v>
      </c>
      <c r="B22" s="57" t="s">
        <v>342</v>
      </c>
      <c r="C22" s="57" t="s">
        <v>343</v>
      </c>
      <c r="D22" s="57" t="s">
        <v>344</v>
      </c>
      <c r="E22" s="57" t="s">
        <v>345</v>
      </c>
      <c r="F22" s="57" t="s">
        <v>346</v>
      </c>
      <c r="G22" s="57" t="s">
        <v>195</v>
      </c>
      <c r="H22" s="57" t="s">
        <v>194</v>
      </c>
      <c r="I22" s="57" t="s">
        <v>211</v>
      </c>
      <c r="J22" s="57" t="s">
        <v>347</v>
      </c>
      <c r="K22" s="57" t="s">
        <v>348</v>
      </c>
      <c r="L22" s="57" t="s">
        <v>349</v>
      </c>
      <c r="M22" s="57" t="s">
        <v>194</v>
      </c>
    </row>
    <row r="23" spans="1:13" x14ac:dyDescent="0.75">
      <c r="A23" s="57" t="s">
        <v>320</v>
      </c>
      <c r="B23" s="57" t="s">
        <v>350</v>
      </c>
      <c r="C23" s="57" t="s">
        <v>351</v>
      </c>
      <c r="D23" s="57" t="s">
        <v>352</v>
      </c>
      <c r="E23" s="57" t="s">
        <v>353</v>
      </c>
      <c r="F23" s="57" t="s">
        <v>194</v>
      </c>
      <c r="G23" s="57" t="s">
        <v>354</v>
      </c>
      <c r="H23" s="57" t="s">
        <v>194</v>
      </c>
      <c r="I23" s="57" t="s">
        <v>211</v>
      </c>
      <c r="J23" s="57" t="s">
        <v>355</v>
      </c>
      <c r="K23" s="57" t="s">
        <v>356</v>
      </c>
      <c r="L23" s="57" t="s">
        <v>357</v>
      </c>
      <c r="M23" s="57" t="s">
        <v>194</v>
      </c>
    </row>
    <row r="24" spans="1:13" x14ac:dyDescent="0.75">
      <c r="A24" s="57" t="s">
        <v>320</v>
      </c>
      <c r="B24" s="57" t="s">
        <v>358</v>
      </c>
      <c r="C24" s="57" t="s">
        <v>359</v>
      </c>
      <c r="D24" s="57" t="s">
        <v>360</v>
      </c>
      <c r="E24" s="57" t="s">
        <v>358</v>
      </c>
      <c r="F24" s="57" t="s">
        <v>361</v>
      </c>
      <c r="G24" s="57" t="s">
        <v>195</v>
      </c>
      <c r="H24" s="57" t="s">
        <v>194</v>
      </c>
      <c r="I24" s="57" t="s">
        <v>362</v>
      </c>
      <c r="J24" s="57" t="s">
        <v>363</v>
      </c>
      <c r="K24" s="57" t="s">
        <v>364</v>
      </c>
      <c r="L24" s="57" t="s">
        <v>365</v>
      </c>
      <c r="M24" s="57" t="s">
        <v>194</v>
      </c>
    </row>
    <row r="25" spans="1:13" x14ac:dyDescent="0.75">
      <c r="A25" s="57" t="s">
        <v>320</v>
      </c>
      <c r="B25" s="57" t="s">
        <v>366</v>
      </c>
      <c r="C25" s="57" t="s">
        <v>367</v>
      </c>
      <c r="D25" s="57" t="s">
        <v>368</v>
      </c>
      <c r="E25" s="57" t="s">
        <v>366</v>
      </c>
      <c r="F25" s="57" t="s">
        <v>369</v>
      </c>
      <c r="G25" s="57" t="s">
        <v>195</v>
      </c>
      <c r="H25" s="57" t="s">
        <v>194</v>
      </c>
      <c r="I25" s="57" t="s">
        <v>370</v>
      </c>
      <c r="J25" s="57" t="s">
        <v>371</v>
      </c>
      <c r="K25" s="57" t="s">
        <v>372</v>
      </c>
      <c r="L25" s="57" t="s">
        <v>373</v>
      </c>
      <c r="M25" s="57" t="s">
        <v>194</v>
      </c>
    </row>
    <row r="26" spans="1:13" x14ac:dyDescent="0.75">
      <c r="A26" s="57" t="s">
        <v>320</v>
      </c>
      <c r="B26" s="57" t="s">
        <v>374</v>
      </c>
      <c r="C26" s="57" t="s">
        <v>375</v>
      </c>
      <c r="D26" s="57" t="s">
        <v>376</v>
      </c>
      <c r="E26" s="57" t="s">
        <v>374</v>
      </c>
      <c r="F26" s="57" t="s">
        <v>377</v>
      </c>
      <c r="G26" s="57" t="s">
        <v>195</v>
      </c>
      <c r="H26" s="57" t="s">
        <v>194</v>
      </c>
      <c r="I26" s="57" t="s">
        <v>378</v>
      </c>
      <c r="J26" s="57" t="s">
        <v>379</v>
      </c>
      <c r="K26" s="57" t="s">
        <v>380</v>
      </c>
      <c r="L26" s="57" t="s">
        <v>381</v>
      </c>
      <c r="M26" s="57" t="s">
        <v>194</v>
      </c>
    </row>
    <row r="27" spans="1:13" x14ac:dyDescent="0.75">
      <c r="A27" s="57" t="s">
        <v>320</v>
      </c>
      <c r="B27" s="57" t="s">
        <v>382</v>
      </c>
      <c r="C27" s="57" t="s">
        <v>383</v>
      </c>
      <c r="D27" s="57" t="s">
        <v>384</v>
      </c>
      <c r="E27" s="57" t="s">
        <v>382</v>
      </c>
      <c r="F27" s="57" t="s">
        <v>385</v>
      </c>
      <c r="G27" s="57" t="s">
        <v>195</v>
      </c>
      <c r="H27" s="57" t="s">
        <v>194</v>
      </c>
      <c r="I27" s="57" t="s">
        <v>386</v>
      </c>
      <c r="J27" s="57" t="s">
        <v>387</v>
      </c>
      <c r="K27" s="57" t="s">
        <v>388</v>
      </c>
      <c r="L27" s="57" t="s">
        <v>389</v>
      </c>
      <c r="M27" s="57" t="s">
        <v>194</v>
      </c>
    </row>
    <row r="28" spans="1:13" x14ac:dyDescent="0.75">
      <c r="A28" s="57" t="s">
        <v>320</v>
      </c>
      <c r="B28" s="57" t="s">
        <v>292</v>
      </c>
      <c r="C28" s="57" t="s">
        <v>390</v>
      </c>
      <c r="D28" s="57" t="s">
        <v>294</v>
      </c>
      <c r="E28" s="57" t="s">
        <v>391</v>
      </c>
      <c r="F28" s="57" t="s">
        <v>194</v>
      </c>
      <c r="G28" s="57" t="s">
        <v>219</v>
      </c>
      <c r="H28" s="57" t="s">
        <v>194</v>
      </c>
      <c r="I28" s="57" t="s">
        <v>196</v>
      </c>
      <c r="J28" s="57" t="s">
        <v>392</v>
      </c>
      <c r="K28" s="57" t="s">
        <v>393</v>
      </c>
      <c r="L28" s="57" t="s">
        <v>394</v>
      </c>
      <c r="M28" s="57" t="s">
        <v>194</v>
      </c>
    </row>
    <row r="29" spans="1:13" x14ac:dyDescent="0.75">
      <c r="A29" s="57" t="s">
        <v>320</v>
      </c>
      <c r="B29" s="57" t="s">
        <v>306</v>
      </c>
      <c r="C29" s="57" t="s">
        <v>395</v>
      </c>
      <c r="D29" s="57" t="s">
        <v>308</v>
      </c>
      <c r="E29" s="57" t="s">
        <v>309</v>
      </c>
      <c r="F29" s="57" t="s">
        <v>310</v>
      </c>
      <c r="G29" s="57" t="s">
        <v>195</v>
      </c>
      <c r="H29" s="57" t="s">
        <v>194</v>
      </c>
      <c r="I29" s="57" t="s">
        <v>196</v>
      </c>
      <c r="J29" s="57" t="s">
        <v>396</v>
      </c>
      <c r="K29" s="57" t="s">
        <v>397</v>
      </c>
      <c r="L29" s="57" t="s">
        <v>398</v>
      </c>
      <c r="M29" s="57" t="s">
        <v>194</v>
      </c>
    </row>
    <row r="30" spans="1:13" x14ac:dyDescent="0.75">
      <c r="A30" s="57" t="s">
        <v>320</v>
      </c>
      <c r="B30" s="57" t="s">
        <v>399</v>
      </c>
      <c r="C30" s="57" t="s">
        <v>400</v>
      </c>
      <c r="D30" s="57" t="s">
        <v>401</v>
      </c>
      <c r="E30" s="57" t="s">
        <v>402</v>
      </c>
      <c r="F30" s="57" t="s">
        <v>403</v>
      </c>
      <c r="G30" s="57" t="s">
        <v>195</v>
      </c>
      <c r="H30" s="57" t="s">
        <v>194</v>
      </c>
      <c r="I30" s="57" t="s">
        <v>196</v>
      </c>
      <c r="J30" s="57" t="s">
        <v>404</v>
      </c>
      <c r="K30" s="57" t="s">
        <v>405</v>
      </c>
      <c r="L30" s="57" t="s">
        <v>406</v>
      </c>
      <c r="M30" s="57" t="s">
        <v>194</v>
      </c>
    </row>
    <row r="31" spans="1:13" x14ac:dyDescent="0.75">
      <c r="A31" s="57" t="s">
        <v>320</v>
      </c>
      <c r="B31" s="57" t="s">
        <v>407</v>
      </c>
      <c r="C31" s="57" t="s">
        <v>408</v>
      </c>
      <c r="D31" s="57" t="s">
        <v>407</v>
      </c>
      <c r="E31" s="57" t="s">
        <v>409</v>
      </c>
      <c r="F31" s="57" t="s">
        <v>410</v>
      </c>
      <c r="G31" s="57" t="s">
        <v>195</v>
      </c>
      <c r="H31" s="57" t="s">
        <v>194</v>
      </c>
      <c r="I31" s="57" t="s">
        <v>211</v>
      </c>
      <c r="J31" s="57" t="s">
        <v>411</v>
      </c>
      <c r="K31" s="57" t="s">
        <v>412</v>
      </c>
      <c r="L31" s="57" t="s">
        <v>413</v>
      </c>
      <c r="M31" s="57" t="s">
        <v>194</v>
      </c>
    </row>
    <row r="32" spans="1:13" x14ac:dyDescent="0.75">
      <c r="A32" s="57" t="s">
        <v>414</v>
      </c>
      <c r="B32" s="57" t="s">
        <v>415</v>
      </c>
      <c r="C32" s="57" t="s">
        <v>416</v>
      </c>
      <c r="D32" s="57" t="s">
        <v>415</v>
      </c>
      <c r="E32" s="57" t="s">
        <v>415</v>
      </c>
      <c r="F32" s="57" t="s">
        <v>417</v>
      </c>
      <c r="G32" s="57" t="s">
        <v>195</v>
      </c>
      <c r="H32" s="57" t="s">
        <v>194</v>
      </c>
      <c r="I32" s="57" t="s">
        <v>418</v>
      </c>
      <c r="J32" s="57" t="s">
        <v>419</v>
      </c>
      <c r="K32" s="57" t="s">
        <v>420</v>
      </c>
      <c r="L32" s="57" t="s">
        <v>421</v>
      </c>
      <c r="M32" s="57" t="s">
        <v>194</v>
      </c>
    </row>
    <row r="33" spans="1:13" x14ac:dyDescent="0.75">
      <c r="A33" s="57" t="s">
        <v>414</v>
      </c>
      <c r="B33" s="57" t="s">
        <v>422</v>
      </c>
      <c r="C33" s="57" t="s">
        <v>423</v>
      </c>
      <c r="D33" s="57" t="s">
        <v>422</v>
      </c>
      <c r="E33" s="57" t="s">
        <v>422</v>
      </c>
      <c r="F33" s="57" t="s">
        <v>424</v>
      </c>
      <c r="G33" s="57" t="s">
        <v>195</v>
      </c>
      <c r="H33" s="57" t="s">
        <v>194</v>
      </c>
      <c r="I33" s="57" t="s">
        <v>425</v>
      </c>
      <c r="J33" s="57" t="s">
        <v>426</v>
      </c>
      <c r="K33" s="57" t="s">
        <v>427</v>
      </c>
      <c r="L33" s="57" t="s">
        <v>428</v>
      </c>
      <c r="M33" s="57" t="s">
        <v>194</v>
      </c>
    </row>
    <row r="34" spans="1:13" x14ac:dyDescent="0.75">
      <c r="A34" s="57" t="s">
        <v>414</v>
      </c>
      <c r="B34" s="57" t="s">
        <v>429</v>
      </c>
      <c r="C34" s="57" t="s">
        <v>430</v>
      </c>
      <c r="D34" s="57" t="s">
        <v>429</v>
      </c>
      <c r="E34" s="57" t="s">
        <v>429</v>
      </c>
      <c r="F34" s="57" t="s">
        <v>431</v>
      </c>
      <c r="G34" s="57" t="s">
        <v>195</v>
      </c>
      <c r="H34" s="57" t="s">
        <v>194</v>
      </c>
      <c r="I34" s="57" t="s">
        <v>432</v>
      </c>
      <c r="J34" s="57" t="s">
        <v>433</v>
      </c>
      <c r="K34" s="57" t="s">
        <v>434</v>
      </c>
      <c r="L34" s="57" t="s">
        <v>435</v>
      </c>
      <c r="M34" s="57" t="s">
        <v>194</v>
      </c>
    </row>
    <row r="35" spans="1:13" x14ac:dyDescent="0.75">
      <c r="A35" s="57" t="s">
        <v>414</v>
      </c>
      <c r="B35" s="57" t="s">
        <v>436</v>
      </c>
      <c r="C35" s="57" t="s">
        <v>437</v>
      </c>
      <c r="D35" s="57" t="s">
        <v>438</v>
      </c>
      <c r="E35" s="57" t="s">
        <v>439</v>
      </c>
      <c r="F35" s="57" t="s">
        <v>440</v>
      </c>
      <c r="G35" s="57" t="s">
        <v>195</v>
      </c>
      <c r="H35" s="57" t="s">
        <v>194</v>
      </c>
      <c r="I35" s="57" t="s">
        <v>211</v>
      </c>
      <c r="J35" s="57" t="s">
        <v>441</v>
      </c>
      <c r="K35" s="57" t="s">
        <v>442</v>
      </c>
      <c r="L35" s="57" t="s">
        <v>443</v>
      </c>
      <c r="M35" s="57" t="s">
        <v>194</v>
      </c>
    </row>
    <row r="36" spans="1:13" x14ac:dyDescent="0.75">
      <c r="A36" s="57" t="s">
        <v>414</v>
      </c>
      <c r="B36" s="57" t="s">
        <v>321</v>
      </c>
      <c r="C36" s="57" t="s">
        <v>444</v>
      </c>
      <c r="D36" s="57" t="s">
        <v>445</v>
      </c>
      <c r="E36" s="57" t="s">
        <v>446</v>
      </c>
      <c r="F36" s="57" t="s">
        <v>447</v>
      </c>
      <c r="G36" s="57" t="s">
        <v>195</v>
      </c>
      <c r="H36" s="57" t="s">
        <v>194</v>
      </c>
      <c r="I36" s="57" t="s">
        <v>448</v>
      </c>
      <c r="J36" s="57" t="s">
        <v>449</v>
      </c>
      <c r="K36" s="57" t="s">
        <v>449</v>
      </c>
      <c r="L36" s="57" t="s">
        <v>450</v>
      </c>
      <c r="M36" s="57" t="s">
        <v>194</v>
      </c>
    </row>
    <row r="37" spans="1:13" x14ac:dyDescent="0.75">
      <c r="A37" s="57" t="s">
        <v>451</v>
      </c>
      <c r="B37" s="57" t="s">
        <v>285</v>
      </c>
      <c r="C37" s="57" t="s">
        <v>452</v>
      </c>
      <c r="D37" s="57" t="s">
        <v>285</v>
      </c>
      <c r="E37" s="57" t="s">
        <v>453</v>
      </c>
      <c r="F37" s="57" t="s">
        <v>194</v>
      </c>
      <c r="G37" s="57" t="s">
        <v>195</v>
      </c>
      <c r="H37" s="57" t="s">
        <v>194</v>
      </c>
      <c r="I37" s="57" t="s">
        <v>211</v>
      </c>
      <c r="J37" s="57" t="s">
        <v>454</v>
      </c>
      <c r="K37" s="57" t="s">
        <v>455</v>
      </c>
      <c r="L37" s="57" t="s">
        <v>456</v>
      </c>
      <c r="M37" s="57" t="s">
        <v>194</v>
      </c>
    </row>
    <row r="38" spans="1:13" x14ac:dyDescent="0.75">
      <c r="A38" s="57" t="s">
        <v>451</v>
      </c>
      <c r="B38" s="57" t="s">
        <v>321</v>
      </c>
      <c r="C38" s="57" t="s">
        <v>457</v>
      </c>
      <c r="D38" s="57" t="s">
        <v>321</v>
      </c>
      <c r="E38" s="57" t="s">
        <v>458</v>
      </c>
      <c r="F38" s="57" t="s">
        <v>459</v>
      </c>
      <c r="G38" s="57" t="s">
        <v>195</v>
      </c>
      <c r="H38" s="57" t="s">
        <v>194</v>
      </c>
      <c r="I38" s="57" t="s">
        <v>287</v>
      </c>
      <c r="J38" s="57" t="s">
        <v>458</v>
      </c>
      <c r="K38" s="57" t="s">
        <v>460</v>
      </c>
      <c r="L38" s="57" t="s">
        <v>461</v>
      </c>
      <c r="M38" s="57" t="s">
        <v>194</v>
      </c>
    </row>
    <row r="39" spans="1:13" x14ac:dyDescent="0.75">
      <c r="A39" s="57" t="s">
        <v>451</v>
      </c>
      <c r="B39" s="57" t="s">
        <v>219</v>
      </c>
      <c r="C39" s="57" t="s">
        <v>462</v>
      </c>
      <c r="D39" s="57" t="s">
        <v>219</v>
      </c>
      <c r="E39" s="57" t="s">
        <v>463</v>
      </c>
      <c r="F39" s="57" t="s">
        <v>194</v>
      </c>
      <c r="G39" s="57" t="s">
        <v>219</v>
      </c>
      <c r="H39" s="57" t="s">
        <v>194</v>
      </c>
      <c r="I39" s="57" t="s">
        <v>287</v>
      </c>
      <c r="J39" s="57" t="s">
        <v>463</v>
      </c>
      <c r="K39" s="57" t="s">
        <v>464</v>
      </c>
      <c r="L39" s="57" t="s">
        <v>465</v>
      </c>
      <c r="M39" s="57" t="s">
        <v>194</v>
      </c>
    </row>
    <row r="40" spans="1:13" x14ac:dyDescent="0.75">
      <c r="A40" s="57" t="s">
        <v>466</v>
      </c>
      <c r="B40" s="57" t="s">
        <v>219</v>
      </c>
      <c r="C40" s="57" t="s">
        <v>467</v>
      </c>
      <c r="D40" s="57" t="s">
        <v>219</v>
      </c>
      <c r="E40" s="57" t="s">
        <v>468</v>
      </c>
      <c r="F40" s="57" t="s">
        <v>194</v>
      </c>
      <c r="G40" s="57" t="s">
        <v>219</v>
      </c>
      <c r="H40" s="57" t="s">
        <v>194</v>
      </c>
      <c r="I40" s="57" t="s">
        <v>287</v>
      </c>
      <c r="J40" s="57" t="s">
        <v>469</v>
      </c>
      <c r="K40" s="57" t="s">
        <v>470</v>
      </c>
      <c r="L40" s="57" t="s">
        <v>471</v>
      </c>
      <c r="M40" s="57" t="s">
        <v>194</v>
      </c>
    </row>
    <row r="41" spans="1:13" x14ac:dyDescent="0.75">
      <c r="A41" s="57" t="s">
        <v>466</v>
      </c>
      <c r="B41" s="57" t="s">
        <v>472</v>
      </c>
      <c r="C41" s="57" t="s">
        <v>473</v>
      </c>
      <c r="D41" s="57" t="s">
        <v>472</v>
      </c>
      <c r="E41" s="57" t="s">
        <v>474</v>
      </c>
      <c r="F41" s="57" t="s">
        <v>475</v>
      </c>
      <c r="G41" s="57" t="s">
        <v>195</v>
      </c>
      <c r="H41" s="57" t="s">
        <v>194</v>
      </c>
      <c r="I41" s="57" t="s">
        <v>287</v>
      </c>
      <c r="J41" s="57" t="s">
        <v>476</v>
      </c>
      <c r="K41" s="57" t="s">
        <v>477</v>
      </c>
      <c r="L41" s="57" t="s">
        <v>478</v>
      </c>
      <c r="M41" s="57" t="s">
        <v>194</v>
      </c>
    </row>
    <row r="42" spans="1:13" x14ac:dyDescent="0.75">
      <c r="A42" s="57" t="s">
        <v>479</v>
      </c>
      <c r="B42" s="57" t="s">
        <v>285</v>
      </c>
      <c r="C42" s="57" t="s">
        <v>480</v>
      </c>
      <c r="D42" s="57" t="s">
        <v>285</v>
      </c>
      <c r="E42" s="57" t="s">
        <v>481</v>
      </c>
      <c r="F42" s="57" t="s">
        <v>482</v>
      </c>
      <c r="G42" s="57" t="s">
        <v>195</v>
      </c>
      <c r="H42" s="57" t="s">
        <v>194</v>
      </c>
      <c r="I42" s="57" t="s">
        <v>287</v>
      </c>
      <c r="J42" s="57" t="s">
        <v>483</v>
      </c>
      <c r="K42" s="57" t="s">
        <v>484</v>
      </c>
      <c r="L42" s="57" t="s">
        <v>485</v>
      </c>
      <c r="M42" s="57" t="s">
        <v>194</v>
      </c>
    </row>
    <row r="43" spans="1:13" x14ac:dyDescent="0.75">
      <c r="A43" s="57" t="s">
        <v>479</v>
      </c>
      <c r="B43" s="57" t="s">
        <v>486</v>
      </c>
      <c r="C43" s="57" t="s">
        <v>487</v>
      </c>
      <c r="D43" s="57" t="s">
        <v>486</v>
      </c>
      <c r="E43" s="57" t="s">
        <v>488</v>
      </c>
      <c r="F43" s="57" t="s">
        <v>194</v>
      </c>
      <c r="G43" s="57" t="s">
        <v>195</v>
      </c>
      <c r="H43" s="57" t="s">
        <v>194</v>
      </c>
      <c r="I43" s="57" t="s">
        <v>287</v>
      </c>
      <c r="J43" s="57" t="s">
        <v>489</v>
      </c>
      <c r="K43" s="57" t="s">
        <v>490</v>
      </c>
      <c r="L43" s="57" t="s">
        <v>491</v>
      </c>
      <c r="M43" s="57" t="s">
        <v>194</v>
      </c>
    </row>
    <row r="44" spans="1:13" x14ac:dyDescent="0.75">
      <c r="A44" s="57" t="s">
        <v>479</v>
      </c>
      <c r="B44" s="57" t="s">
        <v>492</v>
      </c>
      <c r="C44" s="57" t="s">
        <v>493</v>
      </c>
      <c r="D44" s="57" t="s">
        <v>492</v>
      </c>
      <c r="E44" s="57" t="s">
        <v>494</v>
      </c>
      <c r="F44" s="57" t="s">
        <v>194</v>
      </c>
      <c r="G44" s="57" t="s">
        <v>195</v>
      </c>
      <c r="H44" s="57" t="s">
        <v>194</v>
      </c>
      <c r="I44" s="57" t="s">
        <v>211</v>
      </c>
      <c r="J44" s="57" t="s">
        <v>495</v>
      </c>
      <c r="K44" s="57" t="s">
        <v>496</v>
      </c>
      <c r="L44" s="57" t="s">
        <v>497</v>
      </c>
      <c r="M44" s="57" t="s">
        <v>194</v>
      </c>
    </row>
    <row r="45" spans="1:13" x14ac:dyDescent="0.75">
      <c r="A45" s="57" t="s">
        <v>498</v>
      </c>
      <c r="B45" s="57" t="s">
        <v>321</v>
      </c>
      <c r="C45" s="57" t="s">
        <v>499</v>
      </c>
      <c r="D45" s="57" t="s">
        <v>321</v>
      </c>
      <c r="E45" s="57" t="s">
        <v>500</v>
      </c>
      <c r="F45" s="57" t="s">
        <v>501</v>
      </c>
      <c r="G45" s="57" t="s">
        <v>195</v>
      </c>
      <c r="H45" s="57" t="s">
        <v>194</v>
      </c>
      <c r="I45" s="57" t="s">
        <v>287</v>
      </c>
      <c r="J45" s="57" t="s">
        <v>500</v>
      </c>
      <c r="K45" s="57" t="s">
        <v>502</v>
      </c>
      <c r="L45" s="57" t="s">
        <v>503</v>
      </c>
      <c r="M45" s="57" t="s">
        <v>194</v>
      </c>
    </row>
    <row r="46" spans="1:13" x14ac:dyDescent="0.75">
      <c r="A46" s="57" t="s">
        <v>498</v>
      </c>
      <c r="B46" s="57" t="s">
        <v>504</v>
      </c>
      <c r="C46" s="57" t="s">
        <v>505</v>
      </c>
      <c r="D46" s="57" t="s">
        <v>506</v>
      </c>
      <c r="E46" s="57" t="s">
        <v>507</v>
      </c>
      <c r="F46" s="57" t="s">
        <v>194</v>
      </c>
      <c r="G46" s="57" t="s">
        <v>195</v>
      </c>
      <c r="H46" s="57" t="s">
        <v>194</v>
      </c>
      <c r="I46" s="57" t="s">
        <v>211</v>
      </c>
      <c r="J46" s="57" t="s">
        <v>508</v>
      </c>
      <c r="K46" s="57" t="s">
        <v>509</v>
      </c>
      <c r="L46" s="57" t="s">
        <v>510</v>
      </c>
      <c r="M46" s="57" t="s">
        <v>194</v>
      </c>
    </row>
    <row r="47" spans="1:13" x14ac:dyDescent="0.75">
      <c r="A47" s="57" t="s">
        <v>498</v>
      </c>
      <c r="B47" s="57" t="s">
        <v>511</v>
      </c>
      <c r="C47" s="57" t="s">
        <v>512</v>
      </c>
      <c r="D47" s="57" t="s">
        <v>513</v>
      </c>
      <c r="E47" s="57" t="s">
        <v>514</v>
      </c>
      <c r="F47" s="57" t="s">
        <v>515</v>
      </c>
      <c r="G47" s="57" t="s">
        <v>195</v>
      </c>
      <c r="H47" s="57" t="s">
        <v>194</v>
      </c>
      <c r="I47" s="57" t="s">
        <v>211</v>
      </c>
      <c r="J47" s="57" t="s">
        <v>516</v>
      </c>
      <c r="K47" s="57" t="s">
        <v>517</v>
      </c>
      <c r="L47" s="57" t="s">
        <v>518</v>
      </c>
      <c r="M47" s="57" t="s">
        <v>194</v>
      </c>
    </row>
    <row r="48" spans="1:13" x14ac:dyDescent="0.75">
      <c r="A48" s="57" t="s">
        <v>498</v>
      </c>
      <c r="B48" s="57" t="s">
        <v>328</v>
      </c>
      <c r="C48" s="57" t="s">
        <v>519</v>
      </c>
      <c r="D48" s="57" t="s">
        <v>330</v>
      </c>
      <c r="E48" s="57" t="s">
        <v>520</v>
      </c>
      <c r="F48" s="57" t="s">
        <v>194</v>
      </c>
      <c r="G48" s="57" t="s">
        <v>219</v>
      </c>
      <c r="H48" s="57" t="s">
        <v>194</v>
      </c>
      <c r="I48" s="57" t="s">
        <v>287</v>
      </c>
      <c r="J48" s="57" t="s">
        <v>521</v>
      </c>
      <c r="K48" s="57" t="s">
        <v>522</v>
      </c>
      <c r="L48" s="57" t="s">
        <v>523</v>
      </c>
      <c r="M48" s="57" t="s">
        <v>194</v>
      </c>
    </row>
    <row r="49" spans="1:13" x14ac:dyDescent="0.75">
      <c r="A49" s="57" t="s">
        <v>498</v>
      </c>
      <c r="B49" s="57" t="s">
        <v>335</v>
      </c>
      <c r="C49" s="57" t="s">
        <v>524</v>
      </c>
      <c r="D49" s="57" t="s">
        <v>337</v>
      </c>
      <c r="E49" s="57" t="s">
        <v>301</v>
      </c>
      <c r="F49" s="57" t="s">
        <v>194</v>
      </c>
      <c r="G49" s="57" t="s">
        <v>219</v>
      </c>
      <c r="H49" s="57" t="s">
        <v>194</v>
      </c>
      <c r="I49" s="57" t="s">
        <v>287</v>
      </c>
      <c r="J49" s="57" t="s">
        <v>525</v>
      </c>
      <c r="K49" s="57" t="s">
        <v>526</v>
      </c>
      <c r="L49" s="57" t="s">
        <v>527</v>
      </c>
      <c r="M49" s="57" t="s">
        <v>194</v>
      </c>
    </row>
    <row r="50" spans="1:13" x14ac:dyDescent="0.75">
      <c r="A50" s="57" t="s">
        <v>498</v>
      </c>
      <c r="B50" s="57" t="s">
        <v>528</v>
      </c>
      <c r="C50" s="57" t="s">
        <v>529</v>
      </c>
      <c r="D50" s="57" t="s">
        <v>530</v>
      </c>
      <c r="E50" s="57" t="s">
        <v>531</v>
      </c>
      <c r="F50" s="57" t="s">
        <v>278</v>
      </c>
      <c r="G50" s="57" t="s">
        <v>195</v>
      </c>
      <c r="H50" s="57" t="s">
        <v>194</v>
      </c>
      <c r="I50" s="57" t="s">
        <v>211</v>
      </c>
      <c r="J50" s="57" t="s">
        <v>532</v>
      </c>
      <c r="K50" s="57" t="s">
        <v>533</v>
      </c>
      <c r="L50" s="57" t="s">
        <v>534</v>
      </c>
      <c r="M50" s="57" t="s">
        <v>194</v>
      </c>
    </row>
    <row r="51" spans="1:13" x14ac:dyDescent="0.75">
      <c r="A51" s="57" t="s">
        <v>498</v>
      </c>
      <c r="B51" s="57" t="s">
        <v>535</v>
      </c>
      <c r="C51" s="57" t="s">
        <v>536</v>
      </c>
      <c r="D51" s="57" t="s">
        <v>537</v>
      </c>
      <c r="E51" s="57" t="s">
        <v>538</v>
      </c>
      <c r="F51" s="57" t="s">
        <v>194</v>
      </c>
      <c r="G51" s="57" t="s">
        <v>195</v>
      </c>
      <c r="H51" s="57" t="s">
        <v>194</v>
      </c>
      <c r="I51" s="57" t="s">
        <v>539</v>
      </c>
      <c r="J51" s="57" t="s">
        <v>540</v>
      </c>
      <c r="K51" s="57" t="s">
        <v>541</v>
      </c>
      <c r="L51" s="57" t="s">
        <v>542</v>
      </c>
      <c r="M51" s="57" t="s">
        <v>194</v>
      </c>
    </row>
    <row r="52" spans="1:13" x14ac:dyDescent="0.75">
      <c r="A52" s="57" t="s">
        <v>498</v>
      </c>
      <c r="B52" s="57" t="s">
        <v>543</v>
      </c>
      <c r="C52" s="57" t="s">
        <v>544</v>
      </c>
      <c r="D52" s="57" t="s">
        <v>545</v>
      </c>
      <c r="E52" s="57" t="s">
        <v>546</v>
      </c>
      <c r="F52" s="57" t="s">
        <v>194</v>
      </c>
      <c r="G52" s="57" t="s">
        <v>195</v>
      </c>
      <c r="H52" s="57" t="s">
        <v>194</v>
      </c>
      <c r="I52" s="57" t="s">
        <v>539</v>
      </c>
      <c r="J52" s="57" t="s">
        <v>547</v>
      </c>
      <c r="K52" s="57" t="s">
        <v>548</v>
      </c>
      <c r="L52" s="57" t="s">
        <v>549</v>
      </c>
      <c r="M52" s="57" t="s">
        <v>194</v>
      </c>
    </row>
    <row r="53" spans="1:13" x14ac:dyDescent="0.75">
      <c r="A53" s="57" t="s">
        <v>498</v>
      </c>
      <c r="B53" s="57" t="s">
        <v>550</v>
      </c>
      <c r="C53" s="57" t="s">
        <v>551</v>
      </c>
      <c r="D53" s="57" t="s">
        <v>552</v>
      </c>
      <c r="E53" s="57" t="s">
        <v>553</v>
      </c>
      <c r="F53" s="57" t="s">
        <v>554</v>
      </c>
      <c r="G53" s="57" t="s">
        <v>195</v>
      </c>
      <c r="H53" s="57" t="s">
        <v>194</v>
      </c>
      <c r="I53" s="57" t="s">
        <v>211</v>
      </c>
      <c r="J53" s="57" t="s">
        <v>553</v>
      </c>
      <c r="K53" s="57" t="s">
        <v>555</v>
      </c>
      <c r="L53" s="57" t="s">
        <v>556</v>
      </c>
      <c r="M53" s="57" t="s">
        <v>194</v>
      </c>
    </row>
    <row r="54" spans="1:13" x14ac:dyDescent="0.75">
      <c r="A54" s="57" t="s">
        <v>498</v>
      </c>
      <c r="B54" s="57" t="s">
        <v>557</v>
      </c>
      <c r="C54" s="57" t="s">
        <v>558</v>
      </c>
      <c r="D54" s="57" t="s">
        <v>559</v>
      </c>
      <c r="E54" s="57" t="s">
        <v>560</v>
      </c>
      <c r="F54" s="57" t="s">
        <v>194</v>
      </c>
      <c r="G54" s="57" t="s">
        <v>195</v>
      </c>
      <c r="H54" s="57" t="s">
        <v>194</v>
      </c>
      <c r="I54" s="57" t="s">
        <v>211</v>
      </c>
      <c r="J54" s="57" t="s">
        <v>560</v>
      </c>
      <c r="K54" s="57" t="s">
        <v>561</v>
      </c>
      <c r="L54" s="57" t="s">
        <v>562</v>
      </c>
      <c r="M54" s="57" t="s">
        <v>194</v>
      </c>
    </row>
    <row r="55" spans="1:13" x14ac:dyDescent="0.75">
      <c r="A55" s="57" t="s">
        <v>563</v>
      </c>
      <c r="B55" s="57" t="s">
        <v>285</v>
      </c>
      <c r="C55" s="57" t="s">
        <v>564</v>
      </c>
      <c r="D55" s="57" t="s">
        <v>285</v>
      </c>
      <c r="E55" s="57" t="s">
        <v>565</v>
      </c>
      <c r="F55" s="57" t="s">
        <v>566</v>
      </c>
      <c r="G55" s="57" t="s">
        <v>195</v>
      </c>
      <c r="H55" s="57" t="s">
        <v>194</v>
      </c>
      <c r="I55" s="57" t="s">
        <v>287</v>
      </c>
      <c r="J55" s="57" t="s">
        <v>567</v>
      </c>
      <c r="K55" s="57" t="s">
        <v>568</v>
      </c>
      <c r="L55" s="57" t="s">
        <v>569</v>
      </c>
      <c r="M55" s="57" t="s">
        <v>194</v>
      </c>
    </row>
    <row r="56" spans="1:13" x14ac:dyDescent="0.75">
      <c r="A56" s="57" t="s">
        <v>563</v>
      </c>
      <c r="B56" s="57" t="s">
        <v>219</v>
      </c>
      <c r="C56" s="57" t="s">
        <v>570</v>
      </c>
      <c r="D56" s="57" t="s">
        <v>219</v>
      </c>
      <c r="E56" s="57" t="s">
        <v>571</v>
      </c>
      <c r="F56" s="57" t="s">
        <v>194</v>
      </c>
      <c r="G56" s="57" t="s">
        <v>219</v>
      </c>
      <c r="H56" s="57" t="s">
        <v>194</v>
      </c>
      <c r="I56" s="57" t="s">
        <v>287</v>
      </c>
      <c r="J56" s="57" t="s">
        <v>572</v>
      </c>
      <c r="K56" s="57" t="s">
        <v>573</v>
      </c>
      <c r="L56" s="57" t="s">
        <v>574</v>
      </c>
      <c r="M56" s="57" t="s">
        <v>194</v>
      </c>
    </row>
    <row r="57" spans="1:13" x14ac:dyDescent="0.75">
      <c r="A57" s="57" t="s">
        <v>563</v>
      </c>
      <c r="B57" s="57" t="s">
        <v>335</v>
      </c>
      <c r="C57" s="57" t="s">
        <v>575</v>
      </c>
      <c r="D57" s="57" t="s">
        <v>337</v>
      </c>
      <c r="E57" s="57" t="s">
        <v>301</v>
      </c>
      <c r="F57" s="57" t="s">
        <v>194</v>
      </c>
      <c r="G57" s="57" t="s">
        <v>219</v>
      </c>
      <c r="H57" s="57" t="s">
        <v>194</v>
      </c>
      <c r="I57" s="57" t="s">
        <v>211</v>
      </c>
      <c r="J57" s="57" t="s">
        <v>576</v>
      </c>
      <c r="K57" s="57" t="s">
        <v>577</v>
      </c>
      <c r="L57" s="57" t="s">
        <v>578</v>
      </c>
      <c r="M57" s="57" t="s">
        <v>194</v>
      </c>
    </row>
    <row r="58" spans="1:13" x14ac:dyDescent="0.75">
      <c r="A58" s="57" t="s">
        <v>563</v>
      </c>
      <c r="B58" s="57" t="s">
        <v>579</v>
      </c>
      <c r="C58" s="57" t="s">
        <v>580</v>
      </c>
      <c r="D58" s="57" t="s">
        <v>579</v>
      </c>
      <c r="E58" s="57" t="s">
        <v>579</v>
      </c>
      <c r="F58" s="57" t="s">
        <v>194</v>
      </c>
      <c r="G58" s="57" t="s">
        <v>195</v>
      </c>
      <c r="H58" s="57" t="s">
        <v>194</v>
      </c>
      <c r="I58" s="57" t="s">
        <v>287</v>
      </c>
      <c r="J58" s="57" t="s">
        <v>581</v>
      </c>
      <c r="K58" s="57" t="s">
        <v>582</v>
      </c>
      <c r="L58" s="57" t="s">
        <v>583</v>
      </c>
      <c r="M58" s="57" t="s">
        <v>194</v>
      </c>
    </row>
    <row r="59" spans="1:13" x14ac:dyDescent="0.75">
      <c r="A59" s="57" t="s">
        <v>584</v>
      </c>
      <c r="B59" s="57" t="s">
        <v>285</v>
      </c>
      <c r="C59" s="57" t="s">
        <v>585</v>
      </c>
      <c r="D59" s="57" t="s">
        <v>285</v>
      </c>
      <c r="E59" s="57" t="s">
        <v>586</v>
      </c>
      <c r="F59" s="57" t="s">
        <v>587</v>
      </c>
      <c r="G59" s="57" t="s">
        <v>195</v>
      </c>
      <c r="H59" s="57" t="s">
        <v>194</v>
      </c>
      <c r="I59" s="57" t="s">
        <v>287</v>
      </c>
      <c r="J59" s="57" t="s">
        <v>588</v>
      </c>
      <c r="K59" s="57" t="s">
        <v>589</v>
      </c>
      <c r="L59" s="57" t="s">
        <v>590</v>
      </c>
      <c r="M59" s="57" t="s">
        <v>194</v>
      </c>
    </row>
    <row r="60" spans="1:13" x14ac:dyDescent="0.75">
      <c r="A60" s="57" t="s">
        <v>584</v>
      </c>
      <c r="B60" s="57" t="s">
        <v>12</v>
      </c>
      <c r="C60" s="57" t="s">
        <v>591</v>
      </c>
      <c r="D60" s="57" t="s">
        <v>12</v>
      </c>
      <c r="E60" s="57" t="s">
        <v>592</v>
      </c>
      <c r="F60" s="57" t="s">
        <v>194</v>
      </c>
      <c r="G60" s="57" t="s">
        <v>195</v>
      </c>
      <c r="H60" s="57" t="s">
        <v>194</v>
      </c>
      <c r="I60" s="57" t="s">
        <v>287</v>
      </c>
      <c r="J60" s="57" t="s">
        <v>592</v>
      </c>
      <c r="K60" s="57" t="s">
        <v>593</v>
      </c>
      <c r="L60" s="57" t="s">
        <v>594</v>
      </c>
      <c r="M60" s="57" t="s">
        <v>194</v>
      </c>
    </row>
    <row r="61" spans="1:13" x14ac:dyDescent="0.75">
      <c r="A61" s="57" t="s">
        <v>595</v>
      </c>
      <c r="B61" s="57" t="s">
        <v>596</v>
      </c>
      <c r="C61" s="57" t="s">
        <v>597</v>
      </c>
      <c r="D61" s="57" t="s">
        <v>598</v>
      </c>
      <c r="E61" s="57" t="s">
        <v>599</v>
      </c>
      <c r="F61" s="57" t="s">
        <v>194</v>
      </c>
      <c r="G61" s="57" t="s">
        <v>195</v>
      </c>
      <c r="H61" s="57" t="s">
        <v>194</v>
      </c>
      <c r="I61" s="57" t="s">
        <v>287</v>
      </c>
      <c r="J61" s="57" t="s">
        <v>600</v>
      </c>
      <c r="K61" s="57" t="s">
        <v>601</v>
      </c>
      <c r="L61" s="57" t="s">
        <v>602</v>
      </c>
      <c r="M61" s="57" t="s">
        <v>194</v>
      </c>
    </row>
    <row r="62" spans="1:13" x14ac:dyDescent="0.75">
      <c r="A62" s="57" t="s">
        <v>595</v>
      </c>
      <c r="B62" s="57" t="s">
        <v>603</v>
      </c>
      <c r="C62" s="57" t="s">
        <v>604</v>
      </c>
      <c r="D62" s="57" t="s">
        <v>605</v>
      </c>
      <c r="E62" s="57" t="s">
        <v>606</v>
      </c>
      <c r="F62" s="57" t="s">
        <v>194</v>
      </c>
      <c r="G62" s="57" t="s">
        <v>195</v>
      </c>
      <c r="H62" s="57" t="s">
        <v>194</v>
      </c>
      <c r="I62" s="57" t="s">
        <v>211</v>
      </c>
      <c r="J62" s="57" t="s">
        <v>607</v>
      </c>
      <c r="K62" s="57" t="s">
        <v>608</v>
      </c>
      <c r="L62" s="57" t="s">
        <v>609</v>
      </c>
      <c r="M62" s="57" t="s">
        <v>194</v>
      </c>
    </row>
    <row r="63" spans="1:13" x14ac:dyDescent="0.75">
      <c r="A63" s="57" t="s">
        <v>595</v>
      </c>
      <c r="B63" s="57" t="s">
        <v>610</v>
      </c>
      <c r="C63" s="57" t="s">
        <v>611</v>
      </c>
      <c r="D63" s="57" t="s">
        <v>612</v>
      </c>
      <c r="E63" s="57" t="s">
        <v>613</v>
      </c>
      <c r="F63" s="57" t="s">
        <v>194</v>
      </c>
      <c r="G63" s="57" t="s">
        <v>219</v>
      </c>
      <c r="H63" s="57" t="s">
        <v>194</v>
      </c>
      <c r="I63" s="57" t="s">
        <v>287</v>
      </c>
      <c r="J63" s="57" t="s">
        <v>613</v>
      </c>
      <c r="K63" s="57" t="s">
        <v>614</v>
      </c>
      <c r="L63" s="57" t="s">
        <v>615</v>
      </c>
      <c r="M63" s="57" t="s">
        <v>194</v>
      </c>
    </row>
    <row r="64" spans="1:13" x14ac:dyDescent="0.75">
      <c r="A64" s="57" t="s">
        <v>595</v>
      </c>
      <c r="B64" s="57" t="s">
        <v>306</v>
      </c>
      <c r="C64" s="57" t="s">
        <v>616</v>
      </c>
      <c r="D64" s="57" t="s">
        <v>308</v>
      </c>
      <c r="E64" s="57" t="s">
        <v>309</v>
      </c>
      <c r="F64" s="57" t="s">
        <v>310</v>
      </c>
      <c r="G64" s="57" t="s">
        <v>195</v>
      </c>
      <c r="H64" s="57" t="s">
        <v>194</v>
      </c>
      <c r="I64" s="57" t="s">
        <v>287</v>
      </c>
      <c r="J64" s="57" t="s">
        <v>617</v>
      </c>
      <c r="K64" s="57" t="s">
        <v>618</v>
      </c>
      <c r="L64" s="57" t="s">
        <v>619</v>
      </c>
      <c r="M64" s="57" t="s">
        <v>194</v>
      </c>
    </row>
    <row r="65" spans="1:13" x14ac:dyDescent="0.75">
      <c r="A65" s="57" t="s">
        <v>595</v>
      </c>
      <c r="B65" s="57" t="s">
        <v>620</v>
      </c>
      <c r="C65" s="57" t="s">
        <v>621</v>
      </c>
      <c r="D65" s="57" t="s">
        <v>620</v>
      </c>
      <c r="E65" s="57" t="s">
        <v>622</v>
      </c>
      <c r="F65" s="57" t="s">
        <v>623</v>
      </c>
      <c r="G65" s="57" t="s">
        <v>195</v>
      </c>
      <c r="H65" s="57" t="s">
        <v>194</v>
      </c>
      <c r="I65" s="57" t="s">
        <v>287</v>
      </c>
      <c r="J65" s="57" t="s">
        <v>622</v>
      </c>
      <c r="K65" s="57" t="s">
        <v>624</v>
      </c>
      <c r="L65" s="57" t="s">
        <v>625</v>
      </c>
      <c r="M65" s="57" t="s">
        <v>194</v>
      </c>
    </row>
    <row r="66" spans="1:13" x14ac:dyDescent="0.75">
      <c r="A66" s="57" t="s">
        <v>595</v>
      </c>
      <c r="B66" s="57" t="s">
        <v>626</v>
      </c>
      <c r="C66" s="57" t="s">
        <v>627</v>
      </c>
      <c r="D66" s="57" t="s">
        <v>626</v>
      </c>
      <c r="E66" s="57" t="s">
        <v>628</v>
      </c>
      <c r="F66" s="57" t="s">
        <v>629</v>
      </c>
      <c r="G66" s="57" t="s">
        <v>195</v>
      </c>
      <c r="H66" s="57" t="s">
        <v>194</v>
      </c>
      <c r="I66" s="57" t="s">
        <v>287</v>
      </c>
      <c r="J66" s="57" t="s">
        <v>630</v>
      </c>
      <c r="K66" s="57" t="s">
        <v>631</v>
      </c>
      <c r="L66" s="57" t="s">
        <v>632</v>
      </c>
      <c r="M66" s="57" t="s">
        <v>194</v>
      </c>
    </row>
    <row r="67" spans="1:13" x14ac:dyDescent="0.75">
      <c r="A67" s="57" t="s">
        <v>595</v>
      </c>
      <c r="B67" s="57" t="s">
        <v>633</v>
      </c>
      <c r="C67" s="57" t="s">
        <v>634</v>
      </c>
      <c r="D67" s="57" t="s">
        <v>635</v>
      </c>
      <c r="E67" s="57" t="s">
        <v>636</v>
      </c>
      <c r="F67" s="57" t="s">
        <v>637</v>
      </c>
      <c r="G67" s="57" t="s">
        <v>195</v>
      </c>
      <c r="H67" s="57" t="s">
        <v>194</v>
      </c>
      <c r="I67" s="57" t="s">
        <v>211</v>
      </c>
      <c r="J67" s="57" t="s">
        <v>636</v>
      </c>
      <c r="K67" s="57" t="s">
        <v>638</v>
      </c>
      <c r="L67" s="57" t="s">
        <v>639</v>
      </c>
      <c r="M67" s="57" t="s">
        <v>194</v>
      </c>
    </row>
    <row r="68" spans="1:13" x14ac:dyDescent="0.75">
      <c r="A68" s="57" t="s">
        <v>595</v>
      </c>
      <c r="B68" s="57" t="s">
        <v>640</v>
      </c>
      <c r="C68" s="57" t="s">
        <v>641</v>
      </c>
      <c r="D68" s="57" t="s">
        <v>642</v>
      </c>
      <c r="E68" s="57" t="s">
        <v>643</v>
      </c>
      <c r="F68" s="57" t="s">
        <v>194</v>
      </c>
      <c r="G68" s="57" t="s">
        <v>354</v>
      </c>
      <c r="H68" s="57" t="s">
        <v>194</v>
      </c>
      <c r="I68" s="57" t="s">
        <v>211</v>
      </c>
      <c r="J68" s="57" t="s">
        <v>644</v>
      </c>
      <c r="K68" s="57" t="s">
        <v>645</v>
      </c>
      <c r="L68" s="57" t="s">
        <v>646</v>
      </c>
      <c r="M68" s="57" t="s">
        <v>194</v>
      </c>
    </row>
    <row r="69" spans="1:13" x14ac:dyDescent="0.75">
      <c r="A69" s="57" t="s">
        <v>647</v>
      </c>
      <c r="B69" s="57" t="s">
        <v>648</v>
      </c>
      <c r="C69" s="57" t="s">
        <v>649</v>
      </c>
      <c r="D69" s="57" t="s">
        <v>650</v>
      </c>
      <c r="E69" s="57" t="s">
        <v>650</v>
      </c>
      <c r="F69" s="57" t="s">
        <v>651</v>
      </c>
      <c r="G69" s="57" t="s">
        <v>195</v>
      </c>
      <c r="H69" s="57" t="s">
        <v>194</v>
      </c>
      <c r="I69" s="57" t="s">
        <v>196</v>
      </c>
      <c r="J69" s="57" t="s">
        <v>652</v>
      </c>
      <c r="K69" s="57" t="s">
        <v>653</v>
      </c>
      <c r="L69" s="57" t="s">
        <v>654</v>
      </c>
      <c r="M69" s="57" t="s">
        <v>194</v>
      </c>
    </row>
    <row r="70" spans="1:13" x14ac:dyDescent="0.75">
      <c r="A70" s="57" t="s">
        <v>647</v>
      </c>
      <c r="B70" s="57" t="s">
        <v>655</v>
      </c>
      <c r="C70" s="57" t="s">
        <v>656</v>
      </c>
      <c r="D70" s="57" t="s">
        <v>657</v>
      </c>
      <c r="E70" s="57" t="s">
        <v>657</v>
      </c>
      <c r="F70" s="57" t="s">
        <v>658</v>
      </c>
      <c r="G70" s="57" t="s">
        <v>195</v>
      </c>
      <c r="H70" s="57" t="s">
        <v>194</v>
      </c>
      <c r="I70" s="57" t="s">
        <v>196</v>
      </c>
      <c r="J70" s="57" t="s">
        <v>659</v>
      </c>
      <c r="K70" s="57" t="s">
        <v>660</v>
      </c>
      <c r="L70" s="57" t="s">
        <v>661</v>
      </c>
      <c r="M70" s="57" t="s">
        <v>662</v>
      </c>
    </row>
    <row r="71" spans="1:13" x14ac:dyDescent="0.75">
      <c r="A71" s="57" t="s">
        <v>647</v>
      </c>
      <c r="B71" s="57" t="s">
        <v>663</v>
      </c>
      <c r="C71" s="57" t="s">
        <v>664</v>
      </c>
      <c r="D71" s="57" t="s">
        <v>665</v>
      </c>
      <c r="E71" s="57" t="s">
        <v>665</v>
      </c>
      <c r="F71" s="57" t="s">
        <v>194</v>
      </c>
      <c r="G71" s="57" t="s">
        <v>195</v>
      </c>
      <c r="H71" s="57" t="s">
        <v>194</v>
      </c>
      <c r="I71" s="57" t="s">
        <v>211</v>
      </c>
      <c r="J71" s="57" t="s">
        <v>666</v>
      </c>
      <c r="K71" s="57" t="s">
        <v>667</v>
      </c>
      <c r="L71" s="57" t="s">
        <v>668</v>
      </c>
      <c r="M71" s="57" t="s">
        <v>669</v>
      </c>
    </row>
    <row r="72" spans="1:13" x14ac:dyDescent="0.75">
      <c r="A72" s="57" t="s">
        <v>647</v>
      </c>
      <c r="B72" s="57" t="s">
        <v>670</v>
      </c>
      <c r="C72" s="57" t="s">
        <v>671</v>
      </c>
      <c r="D72" s="57" t="s">
        <v>672</v>
      </c>
      <c r="E72" s="57" t="s">
        <v>672</v>
      </c>
      <c r="F72" s="57" t="s">
        <v>194</v>
      </c>
      <c r="G72" s="57" t="s">
        <v>219</v>
      </c>
      <c r="H72" s="57" t="s">
        <v>194</v>
      </c>
      <c r="I72" s="57" t="s">
        <v>211</v>
      </c>
      <c r="J72" s="57" t="s">
        <v>673</v>
      </c>
      <c r="K72" s="57" t="s">
        <v>674</v>
      </c>
      <c r="L72" s="57" t="s">
        <v>675</v>
      </c>
      <c r="M72" s="57" t="s">
        <v>676</v>
      </c>
    </row>
    <row r="73" spans="1:13" x14ac:dyDescent="0.75">
      <c r="A73" s="57" t="s">
        <v>677</v>
      </c>
      <c r="B73" s="57" t="s">
        <v>12</v>
      </c>
      <c r="C73" s="57" t="s">
        <v>678</v>
      </c>
      <c r="D73" s="57" t="s">
        <v>12</v>
      </c>
      <c r="E73" s="57" t="s">
        <v>12</v>
      </c>
      <c r="F73" s="57" t="s">
        <v>679</v>
      </c>
      <c r="G73" s="57" t="s">
        <v>195</v>
      </c>
      <c r="H73" s="57" t="s">
        <v>194</v>
      </c>
      <c r="I73" s="57" t="s">
        <v>211</v>
      </c>
      <c r="J73" s="57" t="s">
        <v>680</v>
      </c>
      <c r="K73" s="57" t="s">
        <v>681</v>
      </c>
      <c r="L73" s="57" t="s">
        <v>682</v>
      </c>
      <c r="M73" s="57" t="s">
        <v>683</v>
      </c>
    </row>
    <row r="74" spans="1:13" x14ac:dyDescent="0.75">
      <c r="A74" s="57" t="s">
        <v>684</v>
      </c>
      <c r="B74" s="57" t="s">
        <v>685</v>
      </c>
      <c r="C74" s="57" t="s">
        <v>686</v>
      </c>
      <c r="D74" s="57" t="s">
        <v>687</v>
      </c>
      <c r="E74" s="57" t="s">
        <v>687</v>
      </c>
      <c r="F74" s="57" t="s">
        <v>194</v>
      </c>
      <c r="G74" s="57" t="s">
        <v>195</v>
      </c>
      <c r="H74" s="57" t="s">
        <v>194</v>
      </c>
      <c r="I74" s="57" t="s">
        <v>196</v>
      </c>
      <c r="J74" s="57" t="s">
        <v>688</v>
      </c>
      <c r="K74" s="57" t="s">
        <v>689</v>
      </c>
      <c r="L74" s="57" t="s">
        <v>690</v>
      </c>
      <c r="M74" s="57" t="s">
        <v>691</v>
      </c>
    </row>
    <row r="75" spans="1:13" x14ac:dyDescent="0.75">
      <c r="A75" s="57" t="s">
        <v>692</v>
      </c>
      <c r="B75" s="57" t="s">
        <v>693</v>
      </c>
      <c r="C75" s="57" t="s">
        <v>694</v>
      </c>
      <c r="D75" s="57" t="s">
        <v>695</v>
      </c>
      <c r="E75" s="57" t="s">
        <v>695</v>
      </c>
      <c r="F75" s="57" t="s">
        <v>194</v>
      </c>
      <c r="G75" s="57" t="s">
        <v>354</v>
      </c>
      <c r="H75" s="57" t="s">
        <v>194</v>
      </c>
      <c r="I75" s="57" t="s">
        <v>211</v>
      </c>
      <c r="J75" s="57" t="s">
        <v>696</v>
      </c>
      <c r="K75" s="57" t="s">
        <v>697</v>
      </c>
      <c r="L75" s="57" t="s">
        <v>698</v>
      </c>
      <c r="M75" s="57" t="s">
        <v>699</v>
      </c>
    </row>
    <row r="76" spans="1:13" x14ac:dyDescent="0.75">
      <c r="A76" s="57" t="s">
        <v>692</v>
      </c>
      <c r="B76" s="57" t="s">
        <v>700</v>
      </c>
      <c r="C76" s="57" t="s">
        <v>701</v>
      </c>
      <c r="D76" s="57" t="s">
        <v>702</v>
      </c>
      <c r="E76" s="57" t="s">
        <v>702</v>
      </c>
      <c r="F76" s="57" t="s">
        <v>703</v>
      </c>
      <c r="G76" s="57" t="s">
        <v>195</v>
      </c>
      <c r="H76" s="57" t="s">
        <v>194</v>
      </c>
      <c r="I76" s="57" t="s">
        <v>211</v>
      </c>
      <c r="J76" s="57" t="s">
        <v>704</v>
      </c>
      <c r="K76" s="57" t="s">
        <v>705</v>
      </c>
      <c r="L76" s="57" t="s">
        <v>706</v>
      </c>
      <c r="M76" s="57" t="s">
        <v>707</v>
      </c>
    </row>
    <row r="77" spans="1:13" x14ac:dyDescent="0.75">
      <c r="A77" s="57" t="s">
        <v>692</v>
      </c>
      <c r="B77" s="57" t="s">
        <v>708</v>
      </c>
      <c r="C77" s="57" t="s">
        <v>709</v>
      </c>
      <c r="D77" s="57" t="s">
        <v>710</v>
      </c>
      <c r="E77" s="57" t="s">
        <v>710</v>
      </c>
      <c r="F77" s="57" t="s">
        <v>194</v>
      </c>
      <c r="G77" s="57" t="s">
        <v>354</v>
      </c>
      <c r="H77" s="57" t="s">
        <v>194</v>
      </c>
      <c r="I77" s="57" t="s">
        <v>211</v>
      </c>
      <c r="J77" s="57" t="s">
        <v>711</v>
      </c>
      <c r="K77" s="57" t="s">
        <v>712</v>
      </c>
      <c r="L77" s="57" t="s">
        <v>713</v>
      </c>
      <c r="M77" s="57" t="s">
        <v>714</v>
      </c>
    </row>
    <row r="78" spans="1:13" x14ac:dyDescent="0.75">
      <c r="A78" s="57" t="s">
        <v>715</v>
      </c>
      <c r="B78" s="57" t="s">
        <v>716</v>
      </c>
      <c r="C78" s="57" t="s">
        <v>717</v>
      </c>
      <c r="D78" s="57" t="s">
        <v>718</v>
      </c>
      <c r="E78" s="57" t="s">
        <v>718</v>
      </c>
      <c r="F78" s="57" t="s">
        <v>719</v>
      </c>
      <c r="G78" s="57" t="s">
        <v>195</v>
      </c>
      <c r="H78" s="57" t="s">
        <v>194</v>
      </c>
      <c r="I78" s="57" t="s">
        <v>196</v>
      </c>
      <c r="J78" s="57" t="s">
        <v>720</v>
      </c>
      <c r="K78" s="57" t="s">
        <v>721</v>
      </c>
      <c r="L78" s="57" t="s">
        <v>722</v>
      </c>
      <c r="M78" s="57" t="s">
        <v>723</v>
      </c>
    </row>
    <row r="79" spans="1:13" x14ac:dyDescent="0.75">
      <c r="A79" s="57" t="s">
        <v>715</v>
      </c>
      <c r="B79" s="57" t="s">
        <v>724</v>
      </c>
      <c r="C79" s="57" t="s">
        <v>725</v>
      </c>
      <c r="D79" s="57" t="s">
        <v>724</v>
      </c>
      <c r="E79" s="57" t="s">
        <v>724</v>
      </c>
      <c r="F79" s="57" t="s">
        <v>726</v>
      </c>
      <c r="G79" s="57" t="s">
        <v>195</v>
      </c>
      <c r="H79" s="57" t="s">
        <v>194</v>
      </c>
      <c r="I79" s="57" t="s">
        <v>211</v>
      </c>
      <c r="J79" s="57" t="s">
        <v>727</v>
      </c>
      <c r="K79" s="57" t="s">
        <v>728</v>
      </c>
      <c r="L79" s="57" t="s">
        <v>729</v>
      </c>
      <c r="M79" s="57" t="s">
        <v>194</v>
      </c>
    </row>
    <row r="80" spans="1:13" x14ac:dyDescent="0.75">
      <c r="A80" s="57" t="s">
        <v>715</v>
      </c>
      <c r="B80" s="57" t="s">
        <v>730</v>
      </c>
      <c r="C80" s="57" t="s">
        <v>731</v>
      </c>
      <c r="D80" s="57" t="s">
        <v>730</v>
      </c>
      <c r="E80" s="57" t="s">
        <v>730</v>
      </c>
      <c r="F80" s="57" t="s">
        <v>732</v>
      </c>
      <c r="G80" s="57" t="s">
        <v>195</v>
      </c>
      <c r="H80" s="57" t="s">
        <v>194</v>
      </c>
      <c r="I80" s="57" t="s">
        <v>211</v>
      </c>
      <c r="J80" s="57" t="s">
        <v>733</v>
      </c>
      <c r="K80" s="57" t="s">
        <v>734</v>
      </c>
      <c r="L80" s="57" t="s">
        <v>735</v>
      </c>
      <c r="M80" s="57" t="s">
        <v>194</v>
      </c>
    </row>
    <row r="81" spans="1:13" x14ac:dyDescent="0.75">
      <c r="A81" s="57" t="s">
        <v>715</v>
      </c>
      <c r="B81" s="57" t="s">
        <v>736</v>
      </c>
      <c r="C81" s="57" t="s">
        <v>737</v>
      </c>
      <c r="D81" s="57" t="s">
        <v>738</v>
      </c>
      <c r="E81" s="57" t="s">
        <v>738</v>
      </c>
      <c r="F81" s="57" t="s">
        <v>278</v>
      </c>
      <c r="G81" s="57" t="s">
        <v>195</v>
      </c>
      <c r="H81" s="57" t="s">
        <v>194</v>
      </c>
      <c r="I81" s="57" t="s">
        <v>211</v>
      </c>
      <c r="J81" s="57" t="s">
        <v>739</v>
      </c>
      <c r="K81" s="57" t="s">
        <v>740</v>
      </c>
      <c r="L81" s="57" t="s">
        <v>741</v>
      </c>
      <c r="M81" s="57" t="s">
        <v>194</v>
      </c>
    </row>
    <row r="82" spans="1:13" x14ac:dyDescent="0.75">
      <c r="A82" s="57" t="s">
        <v>742</v>
      </c>
      <c r="B82" s="57" t="s">
        <v>321</v>
      </c>
      <c r="C82" s="57" t="s">
        <v>743</v>
      </c>
      <c r="D82" s="57" t="s">
        <v>321</v>
      </c>
      <c r="E82" s="57" t="s">
        <v>321</v>
      </c>
      <c r="F82" s="57" t="s">
        <v>744</v>
      </c>
      <c r="G82" s="57" t="s">
        <v>195</v>
      </c>
      <c r="H82" s="57" t="s">
        <v>194</v>
      </c>
      <c r="I82" s="57" t="s">
        <v>287</v>
      </c>
      <c r="J82" s="57" t="s">
        <v>745</v>
      </c>
      <c r="K82" s="57" t="s">
        <v>746</v>
      </c>
      <c r="L82" s="57" t="s">
        <v>747</v>
      </c>
      <c r="M82" s="57" t="s">
        <v>748</v>
      </c>
    </row>
    <row r="83" spans="1:13" x14ac:dyDescent="0.75">
      <c r="A83" s="57" t="s">
        <v>742</v>
      </c>
      <c r="B83" s="57" t="s">
        <v>749</v>
      </c>
      <c r="C83" s="57" t="s">
        <v>750</v>
      </c>
      <c r="D83" s="57" t="s">
        <v>749</v>
      </c>
      <c r="E83" s="57" t="s">
        <v>749</v>
      </c>
      <c r="F83" s="57" t="s">
        <v>194</v>
      </c>
      <c r="G83" s="57" t="s">
        <v>195</v>
      </c>
      <c r="H83" s="57" t="s">
        <v>194</v>
      </c>
      <c r="I83" s="57" t="s">
        <v>287</v>
      </c>
      <c r="J83" s="57" t="s">
        <v>751</v>
      </c>
      <c r="K83" s="57" t="s">
        <v>752</v>
      </c>
      <c r="L83" s="57" t="s">
        <v>753</v>
      </c>
      <c r="M83" s="57" t="s">
        <v>194</v>
      </c>
    </row>
    <row r="84" spans="1:13" x14ac:dyDescent="0.75">
      <c r="A84" s="57" t="s">
        <v>742</v>
      </c>
      <c r="B84" s="57" t="s">
        <v>472</v>
      </c>
      <c r="C84" s="57" t="s">
        <v>754</v>
      </c>
      <c r="D84" s="57" t="s">
        <v>472</v>
      </c>
      <c r="E84" s="57" t="s">
        <v>472</v>
      </c>
      <c r="F84" s="57" t="s">
        <v>755</v>
      </c>
      <c r="G84" s="57" t="s">
        <v>195</v>
      </c>
      <c r="H84" s="57" t="s">
        <v>194</v>
      </c>
      <c r="I84" s="57" t="s">
        <v>287</v>
      </c>
      <c r="J84" s="57" t="s">
        <v>756</v>
      </c>
      <c r="K84" s="57" t="s">
        <v>757</v>
      </c>
      <c r="L84" s="57" t="s">
        <v>758</v>
      </c>
      <c r="M84" s="57" t="s">
        <v>759</v>
      </c>
    </row>
    <row r="85" spans="1:13" x14ac:dyDescent="0.75">
      <c r="A85" s="57" t="s">
        <v>760</v>
      </c>
      <c r="B85" s="57" t="s">
        <v>761</v>
      </c>
      <c r="C85" s="57" t="s">
        <v>762</v>
      </c>
      <c r="D85" s="57" t="s">
        <v>761</v>
      </c>
      <c r="E85" s="57" t="s">
        <v>761</v>
      </c>
      <c r="F85" s="57" t="s">
        <v>763</v>
      </c>
      <c r="G85" s="57" t="s">
        <v>195</v>
      </c>
      <c r="H85" s="57" t="s">
        <v>194</v>
      </c>
      <c r="I85" s="57" t="s">
        <v>196</v>
      </c>
      <c r="J85" s="57" t="s">
        <v>764</v>
      </c>
      <c r="K85" s="57" t="s">
        <v>765</v>
      </c>
      <c r="L85" s="57" t="s">
        <v>766</v>
      </c>
      <c r="M85" s="57" t="s">
        <v>194</v>
      </c>
    </row>
    <row r="86" spans="1:13" x14ac:dyDescent="0.75">
      <c r="A86" s="57" t="s">
        <v>760</v>
      </c>
      <c r="B86" s="57" t="s">
        <v>767</v>
      </c>
      <c r="C86" s="57" t="s">
        <v>768</v>
      </c>
      <c r="D86" s="57" t="s">
        <v>769</v>
      </c>
      <c r="E86" s="57" t="s">
        <v>769</v>
      </c>
      <c r="F86" s="57" t="s">
        <v>194</v>
      </c>
      <c r="G86" s="57" t="s">
        <v>354</v>
      </c>
      <c r="H86" s="57" t="s">
        <v>194</v>
      </c>
      <c r="I86" s="57" t="s">
        <v>196</v>
      </c>
      <c r="J86" s="57" t="s">
        <v>770</v>
      </c>
      <c r="K86" s="57" t="s">
        <v>771</v>
      </c>
      <c r="L86" s="57" t="s">
        <v>772</v>
      </c>
      <c r="M86" s="57" t="s">
        <v>194</v>
      </c>
    </row>
    <row r="87" spans="1:13" x14ac:dyDescent="0.75">
      <c r="A87" s="57" t="s">
        <v>760</v>
      </c>
      <c r="B87" s="57" t="s">
        <v>773</v>
      </c>
      <c r="C87" s="57" t="s">
        <v>774</v>
      </c>
      <c r="D87" s="57" t="s">
        <v>775</v>
      </c>
      <c r="E87" s="57" t="s">
        <v>775</v>
      </c>
      <c r="F87" s="57" t="s">
        <v>194</v>
      </c>
      <c r="G87" s="57" t="s">
        <v>354</v>
      </c>
      <c r="H87" s="57" t="s">
        <v>194</v>
      </c>
      <c r="I87" s="57" t="s">
        <v>196</v>
      </c>
      <c r="J87" s="57" t="s">
        <v>776</v>
      </c>
      <c r="K87" s="57" t="s">
        <v>777</v>
      </c>
      <c r="L87" s="57" t="s">
        <v>778</v>
      </c>
      <c r="M87" s="57" t="s">
        <v>194</v>
      </c>
    </row>
    <row r="88" spans="1:13" x14ac:dyDescent="0.75">
      <c r="A88" s="57" t="s">
        <v>760</v>
      </c>
      <c r="B88" s="57" t="s">
        <v>779</v>
      </c>
      <c r="C88" s="57" t="s">
        <v>780</v>
      </c>
      <c r="D88" s="57" t="s">
        <v>781</v>
      </c>
      <c r="E88" s="57" t="s">
        <v>781</v>
      </c>
      <c r="F88" s="57" t="s">
        <v>782</v>
      </c>
      <c r="G88" s="57" t="s">
        <v>195</v>
      </c>
      <c r="H88" s="57" t="s">
        <v>194</v>
      </c>
      <c r="I88" s="57" t="s">
        <v>196</v>
      </c>
      <c r="J88" s="57" t="s">
        <v>783</v>
      </c>
      <c r="K88" s="57" t="s">
        <v>784</v>
      </c>
      <c r="L88" s="57" t="s">
        <v>785</v>
      </c>
      <c r="M88" s="57" t="s">
        <v>194</v>
      </c>
    </row>
    <row r="89" spans="1:13" x14ac:dyDescent="0.75">
      <c r="A89" s="57" t="s">
        <v>760</v>
      </c>
      <c r="B89" s="57" t="s">
        <v>786</v>
      </c>
      <c r="C89" s="57" t="s">
        <v>787</v>
      </c>
      <c r="D89" s="57" t="s">
        <v>786</v>
      </c>
      <c r="E89" s="57" t="s">
        <v>786</v>
      </c>
      <c r="F89" s="57" t="s">
        <v>194</v>
      </c>
      <c r="G89" s="57" t="s">
        <v>195</v>
      </c>
      <c r="H89" s="57" t="s">
        <v>194</v>
      </c>
      <c r="I89" s="57" t="s">
        <v>211</v>
      </c>
      <c r="J89" s="57" t="s">
        <v>788</v>
      </c>
      <c r="K89" s="57" t="s">
        <v>789</v>
      </c>
      <c r="L89" s="57" t="s">
        <v>790</v>
      </c>
      <c r="M89" s="57" t="s">
        <v>194</v>
      </c>
    </row>
    <row r="90" spans="1:13" x14ac:dyDescent="0.75">
      <c r="A90" s="57" t="s">
        <v>791</v>
      </c>
      <c r="B90" s="57" t="s">
        <v>321</v>
      </c>
      <c r="C90" s="57" t="s">
        <v>792</v>
      </c>
      <c r="D90" s="57" t="s">
        <v>321</v>
      </c>
      <c r="E90" s="57" t="s">
        <v>321</v>
      </c>
      <c r="F90" s="57" t="s">
        <v>793</v>
      </c>
      <c r="G90" s="57" t="s">
        <v>195</v>
      </c>
      <c r="H90" s="57" t="s">
        <v>194</v>
      </c>
      <c r="I90" s="57" t="s">
        <v>196</v>
      </c>
      <c r="J90" s="57" t="s">
        <v>794</v>
      </c>
      <c r="K90" s="57" t="s">
        <v>795</v>
      </c>
      <c r="L90" s="57" t="s">
        <v>796</v>
      </c>
      <c r="M90" s="57" t="s">
        <v>194</v>
      </c>
    </row>
    <row r="91" spans="1:13" x14ac:dyDescent="0.75">
      <c r="A91" s="57" t="s">
        <v>791</v>
      </c>
      <c r="B91" s="57" t="s">
        <v>797</v>
      </c>
      <c r="C91" s="57" t="s">
        <v>798</v>
      </c>
      <c r="D91" s="57" t="s">
        <v>797</v>
      </c>
      <c r="E91" s="57" t="s">
        <v>797</v>
      </c>
      <c r="F91" s="57" t="s">
        <v>799</v>
      </c>
      <c r="G91" s="57" t="s">
        <v>195</v>
      </c>
      <c r="H91" s="57" t="s">
        <v>194</v>
      </c>
      <c r="I91" s="57" t="s">
        <v>196</v>
      </c>
      <c r="J91" s="57" t="s">
        <v>800</v>
      </c>
      <c r="K91" s="57" t="s">
        <v>801</v>
      </c>
      <c r="L91" s="57" t="s">
        <v>802</v>
      </c>
      <c r="M91" s="57" t="s">
        <v>194</v>
      </c>
    </row>
    <row r="92" spans="1:13" x14ac:dyDescent="0.75">
      <c r="A92" s="57" t="s">
        <v>791</v>
      </c>
      <c r="B92" s="57" t="s">
        <v>17</v>
      </c>
      <c r="C92" s="57" t="s">
        <v>803</v>
      </c>
      <c r="D92" s="57" t="s">
        <v>17</v>
      </c>
      <c r="E92" s="57" t="s">
        <v>17</v>
      </c>
      <c r="F92" s="57" t="s">
        <v>194</v>
      </c>
      <c r="G92" s="57" t="s">
        <v>195</v>
      </c>
      <c r="H92" s="57" t="s">
        <v>194</v>
      </c>
      <c r="I92" s="57" t="s">
        <v>196</v>
      </c>
      <c r="J92" s="57" t="s">
        <v>804</v>
      </c>
      <c r="K92" s="57" t="s">
        <v>805</v>
      </c>
      <c r="L92" s="57" t="s">
        <v>806</v>
      </c>
      <c r="M92" s="57" t="s">
        <v>194</v>
      </c>
    </row>
    <row r="93" spans="1:13" x14ac:dyDescent="0.75">
      <c r="A93" s="57" t="s">
        <v>791</v>
      </c>
      <c r="B93" s="57" t="s">
        <v>807</v>
      </c>
      <c r="C93" s="57" t="s">
        <v>808</v>
      </c>
      <c r="D93" s="57" t="s">
        <v>807</v>
      </c>
      <c r="E93" s="57" t="s">
        <v>807</v>
      </c>
      <c r="F93" s="57" t="s">
        <v>194</v>
      </c>
      <c r="G93" s="57" t="s">
        <v>195</v>
      </c>
      <c r="H93" s="57" t="s">
        <v>194</v>
      </c>
      <c r="I93" s="57" t="s">
        <v>809</v>
      </c>
      <c r="J93" s="57" t="s">
        <v>810</v>
      </c>
      <c r="K93" s="57" t="s">
        <v>811</v>
      </c>
      <c r="L93" s="57" t="s">
        <v>812</v>
      </c>
      <c r="M93" s="57" t="s">
        <v>194</v>
      </c>
    </row>
    <row r="94" spans="1:13" x14ac:dyDescent="0.75">
      <c r="A94" s="57" t="s">
        <v>813</v>
      </c>
      <c r="B94" s="57" t="s">
        <v>321</v>
      </c>
      <c r="C94" s="57" t="s">
        <v>814</v>
      </c>
      <c r="D94" s="57" t="s">
        <v>321</v>
      </c>
      <c r="E94" s="57" t="s">
        <v>321</v>
      </c>
      <c r="F94" s="57" t="s">
        <v>815</v>
      </c>
      <c r="G94" s="57" t="s">
        <v>195</v>
      </c>
      <c r="H94" s="57" t="s">
        <v>194</v>
      </c>
      <c r="I94" s="57" t="s">
        <v>211</v>
      </c>
      <c r="J94" s="57" t="s">
        <v>816</v>
      </c>
      <c r="K94" s="57" t="s">
        <v>817</v>
      </c>
      <c r="L94" s="57" t="s">
        <v>818</v>
      </c>
      <c r="M94" s="57" t="s">
        <v>194</v>
      </c>
    </row>
    <row r="95" spans="1:13" x14ac:dyDescent="0.75">
      <c r="A95" s="57" t="s">
        <v>813</v>
      </c>
      <c r="B95" s="57" t="s">
        <v>819</v>
      </c>
      <c r="C95" s="57" t="s">
        <v>820</v>
      </c>
      <c r="D95" s="57" t="s">
        <v>821</v>
      </c>
      <c r="E95" s="57" t="s">
        <v>821</v>
      </c>
      <c r="F95" s="57" t="s">
        <v>194</v>
      </c>
      <c r="G95" s="57" t="s">
        <v>354</v>
      </c>
      <c r="H95" s="57" t="s">
        <v>194</v>
      </c>
      <c r="I95" s="57" t="s">
        <v>196</v>
      </c>
      <c r="J95" s="57" t="s">
        <v>822</v>
      </c>
      <c r="K95" s="57" t="s">
        <v>823</v>
      </c>
      <c r="L95" s="57" t="s">
        <v>824</v>
      </c>
      <c r="M95" s="57" t="s">
        <v>194</v>
      </c>
    </row>
    <row r="96" spans="1:13" x14ac:dyDescent="0.75">
      <c r="A96" s="57" t="s">
        <v>813</v>
      </c>
      <c r="B96" s="57" t="s">
        <v>825</v>
      </c>
      <c r="C96" s="57" t="s">
        <v>826</v>
      </c>
      <c r="D96" s="57" t="s">
        <v>827</v>
      </c>
      <c r="E96" s="57" t="s">
        <v>827</v>
      </c>
      <c r="F96" s="57" t="s">
        <v>763</v>
      </c>
      <c r="G96" s="57" t="s">
        <v>195</v>
      </c>
      <c r="H96" s="57" t="s">
        <v>194</v>
      </c>
      <c r="I96" s="57" t="s">
        <v>196</v>
      </c>
      <c r="J96" s="57" t="s">
        <v>828</v>
      </c>
      <c r="K96" s="57" t="s">
        <v>194</v>
      </c>
      <c r="L96" s="57" t="s">
        <v>829</v>
      </c>
      <c r="M96" s="57" t="s">
        <v>194</v>
      </c>
    </row>
    <row r="97" spans="1:13" x14ac:dyDescent="0.75">
      <c r="A97" s="57" t="s">
        <v>813</v>
      </c>
      <c r="B97" s="57" t="s">
        <v>830</v>
      </c>
      <c r="C97" s="57" t="s">
        <v>831</v>
      </c>
      <c r="D97" s="57" t="s">
        <v>832</v>
      </c>
      <c r="E97" s="57" t="s">
        <v>832</v>
      </c>
      <c r="F97" s="57" t="s">
        <v>194</v>
      </c>
      <c r="G97" s="57" t="s">
        <v>354</v>
      </c>
      <c r="H97" s="57" t="s">
        <v>194</v>
      </c>
      <c r="I97" s="57" t="s">
        <v>196</v>
      </c>
      <c r="J97" s="57" t="s">
        <v>833</v>
      </c>
      <c r="K97" s="57" t="s">
        <v>834</v>
      </c>
      <c r="L97" s="57" t="s">
        <v>835</v>
      </c>
      <c r="M97" s="57" t="s">
        <v>194</v>
      </c>
    </row>
    <row r="98" spans="1:13" x14ac:dyDescent="0.75">
      <c r="A98" s="57" t="s">
        <v>813</v>
      </c>
      <c r="B98" s="57" t="s">
        <v>836</v>
      </c>
      <c r="C98" s="57" t="s">
        <v>837</v>
      </c>
      <c r="D98" s="57" t="s">
        <v>838</v>
      </c>
      <c r="E98" s="57" t="s">
        <v>838</v>
      </c>
      <c r="F98" s="57" t="s">
        <v>763</v>
      </c>
      <c r="G98" s="57" t="s">
        <v>195</v>
      </c>
      <c r="H98" s="57" t="s">
        <v>194</v>
      </c>
      <c r="I98" s="57" t="s">
        <v>196</v>
      </c>
      <c r="J98" s="57" t="s">
        <v>839</v>
      </c>
      <c r="K98" s="57" t="s">
        <v>194</v>
      </c>
      <c r="L98" s="57" t="s">
        <v>840</v>
      </c>
      <c r="M98" s="57" t="s">
        <v>194</v>
      </c>
    </row>
    <row r="99" spans="1:13" x14ac:dyDescent="0.75">
      <c r="A99" s="57" t="s">
        <v>813</v>
      </c>
      <c r="B99" s="57" t="s">
        <v>841</v>
      </c>
      <c r="C99" s="57" t="s">
        <v>842</v>
      </c>
      <c r="D99" s="57" t="s">
        <v>843</v>
      </c>
      <c r="E99" s="57" t="s">
        <v>843</v>
      </c>
      <c r="F99" s="57" t="s">
        <v>278</v>
      </c>
      <c r="G99" s="57" t="s">
        <v>195</v>
      </c>
      <c r="H99" s="57" t="s">
        <v>194</v>
      </c>
      <c r="I99" s="57" t="s">
        <v>211</v>
      </c>
      <c r="J99" s="57" t="s">
        <v>844</v>
      </c>
      <c r="K99" s="57" t="s">
        <v>845</v>
      </c>
      <c r="L99" s="57" t="s">
        <v>846</v>
      </c>
      <c r="M99" s="57" t="s">
        <v>194</v>
      </c>
    </row>
    <row r="100" spans="1:13" x14ac:dyDescent="0.75">
      <c r="A100" s="57" t="s">
        <v>813</v>
      </c>
      <c r="B100" s="57" t="s">
        <v>847</v>
      </c>
      <c r="C100" s="57" t="s">
        <v>848</v>
      </c>
      <c r="D100" s="57" t="s">
        <v>849</v>
      </c>
      <c r="E100" s="57" t="s">
        <v>849</v>
      </c>
      <c r="F100" s="57" t="s">
        <v>194</v>
      </c>
      <c r="G100" s="57" t="s">
        <v>354</v>
      </c>
      <c r="H100" s="57" t="s">
        <v>194</v>
      </c>
      <c r="I100" s="57" t="s">
        <v>196</v>
      </c>
      <c r="J100" s="57" t="s">
        <v>850</v>
      </c>
      <c r="K100" s="57" t="s">
        <v>851</v>
      </c>
      <c r="L100" s="57" t="s">
        <v>852</v>
      </c>
      <c r="M100" s="57" t="s">
        <v>194</v>
      </c>
    </row>
    <row r="101" spans="1:13" x14ac:dyDescent="0.75">
      <c r="A101" s="57" t="s">
        <v>813</v>
      </c>
      <c r="B101" s="57" t="s">
        <v>853</v>
      </c>
      <c r="C101" s="57" t="s">
        <v>854</v>
      </c>
      <c r="D101" s="57" t="s">
        <v>855</v>
      </c>
      <c r="E101" s="57" t="s">
        <v>855</v>
      </c>
      <c r="F101" s="57" t="s">
        <v>194</v>
      </c>
      <c r="G101" s="57" t="s">
        <v>354</v>
      </c>
      <c r="H101" s="57" t="s">
        <v>194</v>
      </c>
      <c r="I101" s="57" t="s">
        <v>211</v>
      </c>
      <c r="J101" s="57" t="s">
        <v>856</v>
      </c>
      <c r="K101" s="57" t="s">
        <v>857</v>
      </c>
      <c r="L101" s="57" t="s">
        <v>858</v>
      </c>
      <c r="M101" s="57" t="s">
        <v>194</v>
      </c>
    </row>
    <row r="102" spans="1:13" x14ac:dyDescent="0.75">
      <c r="A102" s="57" t="s">
        <v>859</v>
      </c>
      <c r="B102" s="57" t="s">
        <v>860</v>
      </c>
      <c r="C102" s="57" t="s">
        <v>861</v>
      </c>
      <c r="D102" s="57" t="s">
        <v>862</v>
      </c>
      <c r="E102" s="57" t="s">
        <v>862</v>
      </c>
      <c r="F102" s="57" t="s">
        <v>194</v>
      </c>
      <c r="G102" s="57" t="s">
        <v>863</v>
      </c>
      <c r="H102" s="57" t="s">
        <v>194</v>
      </c>
      <c r="I102" s="57" t="s">
        <v>196</v>
      </c>
      <c r="J102" s="57" t="s">
        <v>864</v>
      </c>
      <c r="K102" s="57" t="s">
        <v>865</v>
      </c>
      <c r="L102" s="57" t="s">
        <v>866</v>
      </c>
      <c r="M102" s="57" t="s">
        <v>194</v>
      </c>
    </row>
    <row r="103" spans="1:13" x14ac:dyDescent="0.75">
      <c r="A103" s="57" t="s">
        <v>859</v>
      </c>
      <c r="B103" s="57" t="s">
        <v>867</v>
      </c>
      <c r="C103" s="57" t="s">
        <v>868</v>
      </c>
      <c r="D103" s="57" t="s">
        <v>869</v>
      </c>
      <c r="E103" s="57" t="s">
        <v>869</v>
      </c>
      <c r="F103" s="57" t="s">
        <v>870</v>
      </c>
      <c r="G103" s="57" t="s">
        <v>195</v>
      </c>
      <c r="H103" s="57" t="s">
        <v>194</v>
      </c>
      <c r="I103" s="57" t="s">
        <v>196</v>
      </c>
      <c r="J103" s="57" t="s">
        <v>871</v>
      </c>
      <c r="K103" s="57" t="s">
        <v>872</v>
      </c>
      <c r="L103" s="57" t="s">
        <v>873</v>
      </c>
      <c r="M103" s="57" t="s">
        <v>194</v>
      </c>
    </row>
    <row r="104" spans="1:13" x14ac:dyDescent="0.75">
      <c r="A104" s="57" t="s">
        <v>859</v>
      </c>
      <c r="B104" s="57" t="s">
        <v>874</v>
      </c>
      <c r="C104" s="57" t="s">
        <v>875</v>
      </c>
      <c r="D104" s="57" t="s">
        <v>876</v>
      </c>
      <c r="E104" s="57" t="s">
        <v>876</v>
      </c>
      <c r="F104" s="57" t="s">
        <v>194</v>
      </c>
      <c r="G104" s="57" t="s">
        <v>354</v>
      </c>
      <c r="H104" s="57" t="s">
        <v>194</v>
      </c>
      <c r="I104" s="57" t="s">
        <v>211</v>
      </c>
      <c r="J104" s="57" t="s">
        <v>877</v>
      </c>
      <c r="K104" s="57" t="s">
        <v>878</v>
      </c>
      <c r="L104" s="57" t="s">
        <v>879</v>
      </c>
      <c r="M104" s="57" t="s">
        <v>194</v>
      </c>
    </row>
    <row r="105" spans="1:13" x14ac:dyDescent="0.75">
      <c r="A105" s="57" t="s">
        <v>859</v>
      </c>
      <c r="B105" s="57" t="s">
        <v>880</v>
      </c>
      <c r="C105" s="57" t="s">
        <v>881</v>
      </c>
      <c r="D105" s="57" t="s">
        <v>880</v>
      </c>
      <c r="E105" s="57" t="s">
        <v>880</v>
      </c>
      <c r="F105" s="57" t="s">
        <v>278</v>
      </c>
      <c r="G105" s="57" t="s">
        <v>195</v>
      </c>
      <c r="H105" s="57" t="s">
        <v>194</v>
      </c>
      <c r="I105" s="57" t="s">
        <v>211</v>
      </c>
      <c r="J105" s="57" t="s">
        <v>882</v>
      </c>
      <c r="K105" s="57" t="s">
        <v>883</v>
      </c>
      <c r="L105" s="57" t="s">
        <v>884</v>
      </c>
      <c r="M105" s="57" t="s">
        <v>194</v>
      </c>
    </row>
    <row r="106" spans="1:13" x14ac:dyDescent="0.75">
      <c r="A106" s="57" t="s">
        <v>859</v>
      </c>
      <c r="B106" s="57" t="s">
        <v>885</v>
      </c>
      <c r="C106" s="57" t="s">
        <v>886</v>
      </c>
      <c r="D106" s="57" t="s">
        <v>885</v>
      </c>
      <c r="E106" s="57" t="s">
        <v>887</v>
      </c>
      <c r="F106" s="57" t="s">
        <v>194</v>
      </c>
      <c r="G106" s="57" t="s">
        <v>354</v>
      </c>
      <c r="H106" s="57" t="s">
        <v>194</v>
      </c>
      <c r="I106" s="57" t="s">
        <v>211</v>
      </c>
      <c r="J106" s="57" t="s">
        <v>888</v>
      </c>
      <c r="K106" s="57" t="s">
        <v>194</v>
      </c>
      <c r="L106" s="57" t="s">
        <v>194</v>
      </c>
      <c r="M106" s="57" t="s">
        <v>194</v>
      </c>
    </row>
    <row r="107" spans="1:13" x14ac:dyDescent="0.75">
      <c r="A107" s="57" t="s">
        <v>889</v>
      </c>
      <c r="B107" s="57" t="s">
        <v>890</v>
      </c>
      <c r="C107" s="57" t="s">
        <v>891</v>
      </c>
      <c r="D107" s="57" t="s">
        <v>892</v>
      </c>
      <c r="E107" s="57" t="s">
        <v>892</v>
      </c>
      <c r="F107" s="57" t="s">
        <v>194</v>
      </c>
      <c r="G107" s="57" t="s">
        <v>195</v>
      </c>
      <c r="H107" s="57" t="s">
        <v>194</v>
      </c>
      <c r="I107" s="57" t="s">
        <v>196</v>
      </c>
      <c r="J107" s="57" t="s">
        <v>893</v>
      </c>
      <c r="K107" s="57" t="s">
        <v>894</v>
      </c>
      <c r="L107" s="57" t="s">
        <v>895</v>
      </c>
      <c r="M107" s="57" t="s">
        <v>194</v>
      </c>
    </row>
    <row r="108" spans="1:13" x14ac:dyDescent="0.75">
      <c r="A108" s="57" t="s">
        <v>889</v>
      </c>
      <c r="B108" s="57" t="s">
        <v>896</v>
      </c>
      <c r="C108" s="57" t="s">
        <v>897</v>
      </c>
      <c r="D108" s="57" t="s">
        <v>898</v>
      </c>
      <c r="E108" s="57" t="s">
        <v>898</v>
      </c>
      <c r="F108" s="57" t="s">
        <v>194</v>
      </c>
      <c r="G108" s="57" t="s">
        <v>195</v>
      </c>
      <c r="H108" s="57" t="s">
        <v>194</v>
      </c>
      <c r="I108" s="57" t="s">
        <v>196</v>
      </c>
      <c r="J108" s="57" t="s">
        <v>899</v>
      </c>
      <c r="K108" s="57" t="s">
        <v>900</v>
      </c>
      <c r="L108" s="57" t="s">
        <v>901</v>
      </c>
      <c r="M108" s="57" t="s">
        <v>194</v>
      </c>
    </row>
    <row r="109" spans="1:13" x14ac:dyDescent="0.75">
      <c r="A109" s="57" t="s">
        <v>889</v>
      </c>
      <c r="B109" s="57" t="s">
        <v>902</v>
      </c>
      <c r="C109" s="57" t="s">
        <v>903</v>
      </c>
      <c r="D109" s="57" t="s">
        <v>904</v>
      </c>
      <c r="E109" s="57" t="s">
        <v>904</v>
      </c>
      <c r="F109" s="57" t="s">
        <v>905</v>
      </c>
      <c r="G109" s="57" t="s">
        <v>195</v>
      </c>
      <c r="H109" s="57" t="s">
        <v>194</v>
      </c>
      <c r="I109" s="57" t="s">
        <v>196</v>
      </c>
      <c r="J109" s="57" t="s">
        <v>906</v>
      </c>
      <c r="K109" s="57" t="s">
        <v>907</v>
      </c>
      <c r="L109" s="57" t="s">
        <v>908</v>
      </c>
      <c r="M109" s="57" t="s">
        <v>194</v>
      </c>
    </row>
    <row r="110" spans="1:13" x14ac:dyDescent="0.75">
      <c r="A110" s="57" t="s">
        <v>909</v>
      </c>
      <c r="B110" s="57" t="s">
        <v>910</v>
      </c>
      <c r="C110" s="57" t="s">
        <v>911</v>
      </c>
      <c r="D110" s="57" t="s">
        <v>912</v>
      </c>
      <c r="E110" s="57" t="s">
        <v>912</v>
      </c>
      <c r="F110" s="57" t="s">
        <v>913</v>
      </c>
      <c r="G110" s="57" t="s">
        <v>195</v>
      </c>
      <c r="H110" s="57" t="s">
        <v>194</v>
      </c>
      <c r="I110" s="57" t="s">
        <v>914</v>
      </c>
      <c r="J110" s="57" t="s">
        <v>194</v>
      </c>
      <c r="K110" s="57" t="s">
        <v>194</v>
      </c>
      <c r="L110" s="57" t="s">
        <v>915</v>
      </c>
      <c r="M110" s="57" t="s">
        <v>194</v>
      </c>
    </row>
    <row r="111" spans="1:13" x14ac:dyDescent="0.75">
      <c r="A111" s="57" t="s">
        <v>909</v>
      </c>
      <c r="B111" s="57" t="s">
        <v>916</v>
      </c>
      <c r="C111" s="57" t="s">
        <v>917</v>
      </c>
      <c r="D111" s="57" t="s">
        <v>918</v>
      </c>
      <c r="E111" s="57" t="s">
        <v>918</v>
      </c>
      <c r="F111" s="57" t="s">
        <v>919</v>
      </c>
      <c r="G111" s="57" t="s">
        <v>195</v>
      </c>
      <c r="H111" s="57" t="s">
        <v>194</v>
      </c>
      <c r="I111" s="57" t="s">
        <v>914</v>
      </c>
      <c r="J111" s="57" t="s">
        <v>194</v>
      </c>
      <c r="K111" s="57" t="s">
        <v>194</v>
      </c>
      <c r="L111" s="57" t="s">
        <v>920</v>
      </c>
      <c r="M111" s="57" t="s">
        <v>194</v>
      </c>
    </row>
    <row r="112" spans="1:13" x14ac:dyDescent="0.75">
      <c r="A112" s="57" t="s">
        <v>909</v>
      </c>
      <c r="B112" s="57" t="s">
        <v>921</v>
      </c>
      <c r="C112" s="57" t="s">
        <v>922</v>
      </c>
      <c r="D112" s="57" t="s">
        <v>923</v>
      </c>
      <c r="E112" s="57" t="s">
        <v>923</v>
      </c>
      <c r="F112" s="57" t="s">
        <v>194</v>
      </c>
      <c r="G112" s="57" t="s">
        <v>195</v>
      </c>
      <c r="H112" s="57" t="s">
        <v>194</v>
      </c>
      <c r="I112" s="57" t="s">
        <v>211</v>
      </c>
      <c r="J112" s="57" t="s">
        <v>194</v>
      </c>
      <c r="K112" s="57" t="s">
        <v>194</v>
      </c>
      <c r="L112" s="57" t="s">
        <v>924</v>
      </c>
      <c r="M112" s="57" t="s">
        <v>194</v>
      </c>
    </row>
    <row r="113" spans="1:13" x14ac:dyDescent="0.75">
      <c r="A113" s="57" t="s">
        <v>909</v>
      </c>
      <c r="B113" s="57" t="s">
        <v>925</v>
      </c>
      <c r="C113" s="57" t="s">
        <v>926</v>
      </c>
      <c r="D113" s="57" t="s">
        <v>927</v>
      </c>
      <c r="E113" s="57" t="s">
        <v>927</v>
      </c>
      <c r="F113" s="57" t="s">
        <v>928</v>
      </c>
      <c r="G113" s="57" t="s">
        <v>195</v>
      </c>
      <c r="H113" s="57" t="s">
        <v>194</v>
      </c>
      <c r="I113" s="57" t="s">
        <v>211</v>
      </c>
      <c r="J113" s="57" t="s">
        <v>929</v>
      </c>
      <c r="K113" s="57" t="s">
        <v>930</v>
      </c>
      <c r="L113" s="57" t="s">
        <v>931</v>
      </c>
      <c r="M113" s="57" t="s">
        <v>194</v>
      </c>
    </row>
    <row r="114" spans="1:13" x14ac:dyDescent="0.75">
      <c r="A114" s="57" t="s">
        <v>909</v>
      </c>
      <c r="B114" s="57" t="s">
        <v>932</v>
      </c>
      <c r="C114" s="57" t="s">
        <v>933</v>
      </c>
      <c r="D114" s="57" t="s">
        <v>934</v>
      </c>
      <c r="E114" s="57" t="s">
        <v>934</v>
      </c>
      <c r="F114" s="57" t="s">
        <v>194</v>
      </c>
      <c r="G114" s="57" t="s">
        <v>195</v>
      </c>
      <c r="H114" s="57" t="s">
        <v>194</v>
      </c>
      <c r="I114" s="57" t="s">
        <v>211</v>
      </c>
      <c r="J114" s="57" t="s">
        <v>935</v>
      </c>
      <c r="K114" s="57" t="s">
        <v>936</v>
      </c>
      <c r="L114" s="57" t="s">
        <v>937</v>
      </c>
      <c r="M114" s="57" t="s">
        <v>194</v>
      </c>
    </row>
    <row r="115" spans="1:13" x14ac:dyDescent="0.75">
      <c r="A115" s="57" t="s">
        <v>909</v>
      </c>
      <c r="B115" s="57" t="s">
        <v>938</v>
      </c>
      <c r="C115" s="57" t="s">
        <v>939</v>
      </c>
      <c r="D115" s="57" t="s">
        <v>940</v>
      </c>
      <c r="E115" s="57" t="s">
        <v>940</v>
      </c>
      <c r="F115" s="57" t="s">
        <v>194</v>
      </c>
      <c r="G115" s="57" t="s">
        <v>863</v>
      </c>
      <c r="H115" s="57" t="s">
        <v>194</v>
      </c>
      <c r="I115" s="57" t="s">
        <v>211</v>
      </c>
      <c r="J115" s="57" t="s">
        <v>941</v>
      </c>
      <c r="K115" s="57" t="s">
        <v>942</v>
      </c>
      <c r="L115" s="57" t="s">
        <v>943</v>
      </c>
      <c r="M115" s="57" t="s">
        <v>194</v>
      </c>
    </row>
    <row r="116" spans="1:13" x14ac:dyDescent="0.75">
      <c r="A116" s="57" t="s">
        <v>909</v>
      </c>
      <c r="B116" s="57" t="s">
        <v>944</v>
      </c>
      <c r="C116" s="57" t="s">
        <v>945</v>
      </c>
      <c r="D116" s="57" t="s">
        <v>946</v>
      </c>
      <c r="E116" s="57" t="s">
        <v>946</v>
      </c>
      <c r="F116" s="57" t="s">
        <v>194</v>
      </c>
      <c r="G116" s="57" t="s">
        <v>195</v>
      </c>
      <c r="H116" s="57" t="s">
        <v>194</v>
      </c>
      <c r="I116" s="57" t="s">
        <v>211</v>
      </c>
      <c r="J116" s="57" t="s">
        <v>947</v>
      </c>
      <c r="K116" s="57" t="s">
        <v>948</v>
      </c>
      <c r="L116" s="57" t="s">
        <v>949</v>
      </c>
      <c r="M116" s="57" t="s">
        <v>194</v>
      </c>
    </row>
    <row r="117" spans="1:13" x14ac:dyDescent="0.75">
      <c r="A117" s="57" t="s">
        <v>909</v>
      </c>
      <c r="B117" s="57" t="s">
        <v>950</v>
      </c>
      <c r="C117" s="57" t="s">
        <v>951</v>
      </c>
      <c r="D117" s="57" t="s">
        <v>952</v>
      </c>
      <c r="E117" s="57" t="s">
        <v>952</v>
      </c>
      <c r="F117" s="57" t="s">
        <v>194</v>
      </c>
      <c r="G117" s="57" t="s">
        <v>195</v>
      </c>
      <c r="H117" s="57" t="s">
        <v>194</v>
      </c>
      <c r="I117" s="57" t="s">
        <v>211</v>
      </c>
      <c r="J117" s="57" t="s">
        <v>953</v>
      </c>
      <c r="K117" s="57" t="s">
        <v>954</v>
      </c>
      <c r="L117" s="57" t="s">
        <v>955</v>
      </c>
      <c r="M117" s="57" t="s">
        <v>194</v>
      </c>
    </row>
    <row r="118" spans="1:13" x14ac:dyDescent="0.75">
      <c r="A118" s="57" t="s">
        <v>909</v>
      </c>
      <c r="B118" s="57" t="s">
        <v>956</v>
      </c>
      <c r="C118" s="57" t="s">
        <v>957</v>
      </c>
      <c r="D118" s="57" t="s">
        <v>958</v>
      </c>
      <c r="E118" s="57" t="s">
        <v>958</v>
      </c>
      <c r="F118" s="57" t="s">
        <v>194</v>
      </c>
      <c r="G118" s="57" t="s">
        <v>195</v>
      </c>
      <c r="H118" s="57" t="s">
        <v>194</v>
      </c>
      <c r="I118" s="57" t="s">
        <v>211</v>
      </c>
      <c r="J118" s="57" t="s">
        <v>959</v>
      </c>
      <c r="K118" s="57" t="s">
        <v>960</v>
      </c>
      <c r="L118" s="57" t="s">
        <v>961</v>
      </c>
      <c r="M118" s="57" t="s">
        <v>194</v>
      </c>
    </row>
    <row r="119" spans="1:13" x14ac:dyDescent="0.75">
      <c r="A119" s="57" t="s">
        <v>909</v>
      </c>
      <c r="B119" s="57" t="s">
        <v>962</v>
      </c>
      <c r="C119" s="57" t="s">
        <v>963</v>
      </c>
      <c r="D119" s="57" t="s">
        <v>964</v>
      </c>
      <c r="E119" s="57" t="s">
        <v>964</v>
      </c>
      <c r="F119" s="57" t="s">
        <v>194</v>
      </c>
      <c r="G119" s="57" t="s">
        <v>195</v>
      </c>
      <c r="H119" s="57" t="s">
        <v>194</v>
      </c>
      <c r="I119" s="57" t="s">
        <v>196</v>
      </c>
      <c r="J119" s="57" t="s">
        <v>965</v>
      </c>
      <c r="K119" s="57" t="s">
        <v>966</v>
      </c>
      <c r="L119" s="57" t="s">
        <v>967</v>
      </c>
      <c r="M119" s="57" t="s">
        <v>968</v>
      </c>
    </row>
    <row r="120" spans="1:13" x14ac:dyDescent="0.75">
      <c r="A120" s="57" t="s">
        <v>909</v>
      </c>
      <c r="B120" s="57" t="s">
        <v>969</v>
      </c>
      <c r="C120" s="57" t="s">
        <v>970</v>
      </c>
      <c r="D120" s="57" t="s">
        <v>971</v>
      </c>
      <c r="E120" s="57" t="s">
        <v>971</v>
      </c>
      <c r="F120" s="57" t="s">
        <v>194</v>
      </c>
      <c r="G120" s="57" t="s">
        <v>195</v>
      </c>
      <c r="H120" s="57" t="s">
        <v>194</v>
      </c>
      <c r="I120" s="57" t="s">
        <v>211</v>
      </c>
      <c r="J120" s="57" t="s">
        <v>972</v>
      </c>
      <c r="K120" s="57" t="s">
        <v>973</v>
      </c>
      <c r="L120" s="57" t="s">
        <v>974</v>
      </c>
      <c r="M120" s="57" t="s">
        <v>975</v>
      </c>
    </row>
    <row r="121" spans="1:13" x14ac:dyDescent="0.75">
      <c r="A121" s="57" t="s">
        <v>909</v>
      </c>
      <c r="B121" s="57" t="s">
        <v>976</v>
      </c>
      <c r="C121" s="57" t="s">
        <v>977</v>
      </c>
      <c r="D121" s="57" t="s">
        <v>978</v>
      </c>
      <c r="E121" s="57" t="s">
        <v>978</v>
      </c>
      <c r="F121" s="57" t="s">
        <v>194</v>
      </c>
      <c r="G121" s="57" t="s">
        <v>195</v>
      </c>
      <c r="H121" s="57" t="s">
        <v>194</v>
      </c>
      <c r="I121" s="57" t="s">
        <v>211</v>
      </c>
      <c r="J121" s="57" t="s">
        <v>979</v>
      </c>
      <c r="K121" s="57" t="s">
        <v>980</v>
      </c>
      <c r="L121" s="57" t="s">
        <v>981</v>
      </c>
      <c r="M121" s="57" t="s">
        <v>982</v>
      </c>
    </row>
    <row r="122" spans="1:13" x14ac:dyDescent="0.75">
      <c r="A122" s="57" t="s">
        <v>909</v>
      </c>
      <c r="B122" s="57" t="s">
        <v>983</v>
      </c>
      <c r="C122" s="57" t="s">
        <v>984</v>
      </c>
      <c r="D122" s="57" t="s">
        <v>985</v>
      </c>
      <c r="E122" s="57" t="s">
        <v>985</v>
      </c>
      <c r="F122" s="57" t="s">
        <v>194</v>
      </c>
      <c r="G122" s="57" t="s">
        <v>195</v>
      </c>
      <c r="H122" s="57" t="s">
        <v>194</v>
      </c>
      <c r="I122" s="57" t="s">
        <v>211</v>
      </c>
      <c r="J122" s="57" t="s">
        <v>986</v>
      </c>
      <c r="K122" s="57" t="s">
        <v>987</v>
      </c>
      <c r="L122" s="57" t="s">
        <v>988</v>
      </c>
      <c r="M122" s="57" t="s">
        <v>989</v>
      </c>
    </row>
    <row r="123" spans="1:13" x14ac:dyDescent="0.75">
      <c r="A123" s="57" t="s">
        <v>909</v>
      </c>
      <c r="B123" s="57" t="s">
        <v>990</v>
      </c>
      <c r="C123" s="57" t="s">
        <v>991</v>
      </c>
      <c r="D123" s="57" t="s">
        <v>992</v>
      </c>
      <c r="E123" s="57" t="s">
        <v>992</v>
      </c>
      <c r="F123" s="57" t="s">
        <v>993</v>
      </c>
      <c r="G123" s="57" t="s">
        <v>195</v>
      </c>
      <c r="H123" s="57" t="s">
        <v>194</v>
      </c>
      <c r="I123" s="57" t="s">
        <v>211</v>
      </c>
      <c r="J123" s="57" t="s">
        <v>994</v>
      </c>
      <c r="K123" s="57" t="s">
        <v>995</v>
      </c>
      <c r="L123" s="57" t="s">
        <v>996</v>
      </c>
      <c r="M123" s="57" t="s">
        <v>194</v>
      </c>
    </row>
    <row r="124" spans="1:13" x14ac:dyDescent="0.75">
      <c r="A124" s="57" t="s">
        <v>909</v>
      </c>
      <c r="B124" s="57" t="s">
        <v>997</v>
      </c>
      <c r="C124" s="57" t="s">
        <v>998</v>
      </c>
      <c r="D124" s="57" t="s">
        <v>999</v>
      </c>
      <c r="E124" s="57" t="s">
        <v>999</v>
      </c>
      <c r="F124" s="57" t="s">
        <v>1000</v>
      </c>
      <c r="G124" s="57" t="s">
        <v>195</v>
      </c>
      <c r="H124" s="57" t="s">
        <v>194</v>
      </c>
      <c r="I124" s="57" t="s">
        <v>211</v>
      </c>
      <c r="J124" s="57" t="s">
        <v>1001</v>
      </c>
      <c r="K124" s="57" t="s">
        <v>1002</v>
      </c>
      <c r="L124" s="57" t="s">
        <v>1003</v>
      </c>
      <c r="M124" s="57" t="s">
        <v>1004</v>
      </c>
    </row>
    <row r="125" spans="1:13" x14ac:dyDescent="0.75">
      <c r="A125" s="57" t="s">
        <v>909</v>
      </c>
      <c r="B125" s="57" t="s">
        <v>1005</v>
      </c>
      <c r="C125" s="57" t="s">
        <v>1006</v>
      </c>
      <c r="D125" s="57" t="s">
        <v>1005</v>
      </c>
      <c r="E125" s="57" t="s">
        <v>1005</v>
      </c>
      <c r="F125" s="57" t="s">
        <v>1007</v>
      </c>
      <c r="G125" s="57" t="s">
        <v>195</v>
      </c>
      <c r="H125" s="57" t="s">
        <v>194</v>
      </c>
      <c r="I125" s="57" t="s">
        <v>211</v>
      </c>
      <c r="J125" s="57" t="s">
        <v>1008</v>
      </c>
      <c r="K125" s="57" t="s">
        <v>1005</v>
      </c>
      <c r="L125" s="57" t="s">
        <v>1009</v>
      </c>
      <c r="M125" s="57" t="s">
        <v>1010</v>
      </c>
    </row>
    <row r="126" spans="1:13" x14ac:dyDescent="0.75">
      <c r="A126" s="57" t="s">
        <v>909</v>
      </c>
      <c r="B126" s="57" t="s">
        <v>1011</v>
      </c>
      <c r="C126" s="57" t="s">
        <v>1012</v>
      </c>
      <c r="D126" s="57" t="s">
        <v>1011</v>
      </c>
      <c r="E126" s="57" t="s">
        <v>1013</v>
      </c>
      <c r="F126" s="57" t="s">
        <v>278</v>
      </c>
      <c r="G126" s="57" t="s">
        <v>195</v>
      </c>
      <c r="H126" s="57" t="s">
        <v>194</v>
      </c>
      <c r="I126" s="57" t="s">
        <v>211</v>
      </c>
      <c r="J126" s="57" t="s">
        <v>1014</v>
      </c>
      <c r="K126" s="57" t="s">
        <v>1015</v>
      </c>
      <c r="L126" s="57" t="s">
        <v>1016</v>
      </c>
      <c r="M126" s="57" t="s">
        <v>194</v>
      </c>
    </row>
    <row r="127" spans="1:13" x14ac:dyDescent="0.75">
      <c r="A127" s="57" t="s">
        <v>1017</v>
      </c>
      <c r="B127" s="57" t="s">
        <v>1018</v>
      </c>
      <c r="C127" s="57" t="s">
        <v>1019</v>
      </c>
      <c r="D127" s="57" t="s">
        <v>1020</v>
      </c>
      <c r="E127" s="57" t="s">
        <v>1020</v>
      </c>
      <c r="F127" s="57" t="s">
        <v>194</v>
      </c>
      <c r="G127" s="57" t="s">
        <v>354</v>
      </c>
      <c r="H127" s="57" t="s">
        <v>194</v>
      </c>
      <c r="I127" s="57" t="s">
        <v>196</v>
      </c>
      <c r="J127" s="57" t="s">
        <v>1021</v>
      </c>
      <c r="K127" s="57" t="s">
        <v>1022</v>
      </c>
      <c r="L127" s="57" t="s">
        <v>1023</v>
      </c>
      <c r="M127" s="57" t="s">
        <v>194</v>
      </c>
    </row>
    <row r="128" spans="1:13" x14ac:dyDescent="0.75">
      <c r="A128" s="57" t="s">
        <v>1017</v>
      </c>
      <c r="B128" s="57" t="s">
        <v>1024</v>
      </c>
      <c r="C128" s="57" t="s">
        <v>1025</v>
      </c>
      <c r="D128" s="57" t="s">
        <v>1026</v>
      </c>
      <c r="E128" s="57" t="s">
        <v>1026</v>
      </c>
      <c r="F128" s="57" t="s">
        <v>194</v>
      </c>
      <c r="G128" s="57" t="s">
        <v>354</v>
      </c>
      <c r="H128" s="57" t="s">
        <v>194</v>
      </c>
      <c r="I128" s="57" t="s">
        <v>196</v>
      </c>
      <c r="J128" s="57" t="s">
        <v>1027</v>
      </c>
      <c r="K128" s="57" t="s">
        <v>1028</v>
      </c>
      <c r="L128" s="57" t="s">
        <v>1029</v>
      </c>
      <c r="M128" s="57" t="s">
        <v>194</v>
      </c>
    </row>
    <row r="129" spans="1:13" x14ac:dyDescent="0.75">
      <c r="A129" s="57" t="s">
        <v>1017</v>
      </c>
      <c r="B129" s="57" t="s">
        <v>1030</v>
      </c>
      <c r="C129" s="57" t="s">
        <v>1031</v>
      </c>
      <c r="D129" s="57" t="s">
        <v>1032</v>
      </c>
      <c r="E129" s="57" t="s">
        <v>1032</v>
      </c>
      <c r="F129" s="57" t="s">
        <v>278</v>
      </c>
      <c r="G129" s="57" t="s">
        <v>195</v>
      </c>
      <c r="H129" s="57" t="s">
        <v>194</v>
      </c>
      <c r="I129" s="57" t="s">
        <v>211</v>
      </c>
      <c r="J129" s="57" t="s">
        <v>1033</v>
      </c>
      <c r="K129" s="57" t="s">
        <v>1034</v>
      </c>
      <c r="L129" s="57" t="s">
        <v>1035</v>
      </c>
      <c r="M129" s="57" t="s">
        <v>194</v>
      </c>
    </row>
    <row r="130" spans="1:13" x14ac:dyDescent="0.75">
      <c r="A130" s="57" t="s">
        <v>1017</v>
      </c>
      <c r="B130" s="57" t="s">
        <v>1036</v>
      </c>
      <c r="C130" s="57" t="s">
        <v>1037</v>
      </c>
      <c r="D130" s="57" t="s">
        <v>1038</v>
      </c>
      <c r="E130" s="57" t="s">
        <v>1038</v>
      </c>
      <c r="F130" s="57" t="s">
        <v>1039</v>
      </c>
      <c r="G130" s="57" t="s">
        <v>195</v>
      </c>
      <c r="H130" s="57" t="s">
        <v>194</v>
      </c>
      <c r="I130" s="57" t="s">
        <v>196</v>
      </c>
      <c r="J130" s="57" t="s">
        <v>1040</v>
      </c>
      <c r="K130" s="57" t="s">
        <v>1041</v>
      </c>
      <c r="L130" s="57" t="s">
        <v>1042</v>
      </c>
      <c r="M130" s="57" t="s">
        <v>1043</v>
      </c>
    </row>
    <row r="131" spans="1:13" x14ac:dyDescent="0.75">
      <c r="A131" s="57" t="s">
        <v>1017</v>
      </c>
      <c r="B131" s="57" t="s">
        <v>1044</v>
      </c>
      <c r="C131" s="57" t="s">
        <v>1045</v>
      </c>
      <c r="D131" s="57" t="s">
        <v>1046</v>
      </c>
      <c r="E131" s="57" t="s">
        <v>1046</v>
      </c>
      <c r="F131" s="57" t="s">
        <v>1047</v>
      </c>
      <c r="G131" s="57" t="s">
        <v>195</v>
      </c>
      <c r="H131" s="57" t="s">
        <v>194</v>
      </c>
      <c r="I131" s="57" t="s">
        <v>211</v>
      </c>
      <c r="J131" s="57" t="s">
        <v>1048</v>
      </c>
      <c r="K131" s="57" t="s">
        <v>1049</v>
      </c>
      <c r="L131" s="57" t="s">
        <v>1050</v>
      </c>
      <c r="M131" s="57" t="s">
        <v>194</v>
      </c>
    </row>
    <row r="132" spans="1:13" x14ac:dyDescent="0.75">
      <c r="A132" s="57" t="s">
        <v>1051</v>
      </c>
      <c r="B132" s="57" t="s">
        <v>1052</v>
      </c>
      <c r="C132" s="57" t="s">
        <v>1053</v>
      </c>
      <c r="D132" s="57" t="s">
        <v>1054</v>
      </c>
      <c r="E132" s="57" t="s">
        <v>1054</v>
      </c>
      <c r="F132" s="57" t="s">
        <v>1055</v>
      </c>
      <c r="G132" s="57" t="s">
        <v>195</v>
      </c>
      <c r="H132" s="57" t="s">
        <v>194</v>
      </c>
      <c r="I132" s="57" t="s">
        <v>196</v>
      </c>
      <c r="J132" s="57" t="s">
        <v>1056</v>
      </c>
      <c r="K132" s="57" t="s">
        <v>1057</v>
      </c>
      <c r="L132" s="57" t="s">
        <v>1058</v>
      </c>
      <c r="M132" s="57" t="s">
        <v>194</v>
      </c>
    </row>
    <row r="133" spans="1:13" x14ac:dyDescent="0.75">
      <c r="A133" s="57" t="s">
        <v>1051</v>
      </c>
      <c r="B133" s="57" t="s">
        <v>486</v>
      </c>
      <c r="C133" s="57" t="s">
        <v>1059</v>
      </c>
      <c r="D133" s="57" t="s">
        <v>486</v>
      </c>
      <c r="E133" s="57" t="s">
        <v>486</v>
      </c>
      <c r="F133" s="57" t="s">
        <v>194</v>
      </c>
      <c r="G133" s="57" t="s">
        <v>863</v>
      </c>
      <c r="H133" s="57" t="s">
        <v>194</v>
      </c>
      <c r="I133" s="57" t="s">
        <v>196</v>
      </c>
      <c r="J133" s="57" t="s">
        <v>1060</v>
      </c>
      <c r="K133" s="57" t="s">
        <v>1061</v>
      </c>
      <c r="L133" s="57" t="s">
        <v>1062</v>
      </c>
      <c r="M133" s="57" t="s">
        <v>194</v>
      </c>
    </row>
    <row r="134" spans="1:13" x14ac:dyDescent="0.75">
      <c r="A134" s="57" t="s">
        <v>1063</v>
      </c>
      <c r="B134" s="57" t="s">
        <v>1064</v>
      </c>
      <c r="C134" s="57" t="s">
        <v>1065</v>
      </c>
      <c r="D134" s="57" t="s">
        <v>1066</v>
      </c>
      <c r="E134" s="57" t="s">
        <v>194</v>
      </c>
      <c r="F134" s="57" t="s">
        <v>1067</v>
      </c>
      <c r="G134" s="57" t="s">
        <v>194</v>
      </c>
      <c r="H134" s="57" t="s">
        <v>1068</v>
      </c>
      <c r="I134" s="57" t="s">
        <v>194</v>
      </c>
      <c r="J134" s="57" t="s">
        <v>194</v>
      </c>
      <c r="K134" s="57" t="s">
        <v>194</v>
      </c>
      <c r="L134" s="57" t="s">
        <v>1069</v>
      </c>
      <c r="M134" s="57" t="s">
        <v>194</v>
      </c>
    </row>
    <row r="135" spans="1:13" x14ac:dyDescent="0.75">
      <c r="A135" s="57" t="s">
        <v>1063</v>
      </c>
      <c r="B135" s="57" t="s">
        <v>1070</v>
      </c>
      <c r="C135" s="57" t="s">
        <v>1071</v>
      </c>
      <c r="D135" s="57" t="s">
        <v>1072</v>
      </c>
      <c r="E135" s="57" t="s">
        <v>194</v>
      </c>
      <c r="F135" s="57" t="s">
        <v>1067</v>
      </c>
      <c r="G135" s="57" t="s">
        <v>194</v>
      </c>
      <c r="H135" s="57" t="s">
        <v>1073</v>
      </c>
      <c r="I135" s="57" t="s">
        <v>194</v>
      </c>
      <c r="J135" s="57" t="s">
        <v>194</v>
      </c>
      <c r="K135" s="57" t="s">
        <v>194</v>
      </c>
      <c r="L135" s="57" t="s">
        <v>1074</v>
      </c>
      <c r="M135" s="57" t="s">
        <v>194</v>
      </c>
    </row>
    <row r="136" spans="1:13" x14ac:dyDescent="0.75">
      <c r="A136" s="57" t="s">
        <v>1075</v>
      </c>
      <c r="B136" s="57" t="s">
        <v>1076</v>
      </c>
      <c r="C136" s="57" t="s">
        <v>1077</v>
      </c>
      <c r="D136" s="57" t="s">
        <v>1078</v>
      </c>
      <c r="E136" s="57" t="s">
        <v>194</v>
      </c>
      <c r="F136" s="57" t="s">
        <v>1067</v>
      </c>
      <c r="G136" s="57" t="s">
        <v>194</v>
      </c>
      <c r="H136" s="57" t="s">
        <v>1079</v>
      </c>
      <c r="I136" s="57" t="s">
        <v>194</v>
      </c>
      <c r="J136" s="57" t="s">
        <v>194</v>
      </c>
      <c r="K136" s="57" t="s">
        <v>194</v>
      </c>
      <c r="L136" s="57" t="s">
        <v>1080</v>
      </c>
      <c r="M136" s="57" t="s">
        <v>194</v>
      </c>
    </row>
    <row r="137" spans="1:13" x14ac:dyDescent="0.75">
      <c r="A137" s="57" t="s">
        <v>1075</v>
      </c>
      <c r="B137" s="57" t="s">
        <v>1081</v>
      </c>
      <c r="C137" s="57" t="s">
        <v>1082</v>
      </c>
      <c r="D137" s="57" t="s">
        <v>1083</v>
      </c>
      <c r="E137" s="57" t="s">
        <v>194</v>
      </c>
      <c r="F137" s="57" t="s">
        <v>1067</v>
      </c>
      <c r="G137" s="57" t="s">
        <v>194</v>
      </c>
      <c r="H137" s="57" t="s">
        <v>1084</v>
      </c>
      <c r="I137" s="57" t="s">
        <v>194</v>
      </c>
      <c r="J137" s="57" t="s">
        <v>194</v>
      </c>
      <c r="K137" s="57" t="s">
        <v>194</v>
      </c>
      <c r="L137" s="57" t="s">
        <v>1085</v>
      </c>
      <c r="M137" s="57" t="s">
        <v>194</v>
      </c>
    </row>
    <row r="138" spans="1:13" x14ac:dyDescent="0.75">
      <c r="A138" s="57" t="s">
        <v>1075</v>
      </c>
      <c r="B138" s="57" t="s">
        <v>1086</v>
      </c>
      <c r="C138" s="57" t="s">
        <v>1087</v>
      </c>
      <c r="D138" s="57" t="s">
        <v>1088</v>
      </c>
      <c r="E138" s="57" t="s">
        <v>194</v>
      </c>
      <c r="F138" s="57" t="s">
        <v>1067</v>
      </c>
      <c r="G138" s="57" t="s">
        <v>194</v>
      </c>
      <c r="H138" s="57" t="s">
        <v>1089</v>
      </c>
      <c r="I138" s="57" t="s">
        <v>194</v>
      </c>
      <c r="J138" s="57" t="s">
        <v>194</v>
      </c>
      <c r="K138" s="57" t="s">
        <v>194</v>
      </c>
      <c r="L138" s="57" t="s">
        <v>1090</v>
      </c>
      <c r="M138" s="57" t="s">
        <v>194</v>
      </c>
    </row>
    <row r="139" spans="1:13" x14ac:dyDescent="0.75">
      <c r="A139" s="57" t="s">
        <v>1075</v>
      </c>
      <c r="B139" s="57" t="s">
        <v>1091</v>
      </c>
      <c r="C139" s="57" t="s">
        <v>1092</v>
      </c>
      <c r="D139" s="57" t="s">
        <v>1091</v>
      </c>
      <c r="E139" s="57" t="s">
        <v>194</v>
      </c>
      <c r="F139" s="57" t="s">
        <v>194</v>
      </c>
      <c r="G139" s="57" t="s">
        <v>194</v>
      </c>
      <c r="H139" s="57" t="s">
        <v>1093</v>
      </c>
      <c r="I139" s="57" t="s">
        <v>194</v>
      </c>
      <c r="J139" s="57" t="s">
        <v>194</v>
      </c>
      <c r="K139" s="57" t="s">
        <v>194</v>
      </c>
      <c r="L139" s="57" t="s">
        <v>1094</v>
      </c>
      <c r="M139" s="57" t="s">
        <v>194</v>
      </c>
    </row>
    <row r="140" spans="1:13" x14ac:dyDescent="0.75">
      <c r="A140" s="57" t="s">
        <v>1075</v>
      </c>
      <c r="B140" s="57" t="s">
        <v>1095</v>
      </c>
      <c r="C140" s="57" t="s">
        <v>1096</v>
      </c>
      <c r="D140" s="57" t="s">
        <v>1097</v>
      </c>
      <c r="E140" s="57" t="s">
        <v>194</v>
      </c>
      <c r="F140" s="57" t="s">
        <v>1067</v>
      </c>
      <c r="G140" s="57" t="s">
        <v>194</v>
      </c>
      <c r="H140" s="57" t="s">
        <v>1098</v>
      </c>
      <c r="I140" s="57" t="s">
        <v>194</v>
      </c>
      <c r="J140" s="57" t="s">
        <v>194</v>
      </c>
      <c r="K140" s="57" t="s">
        <v>194</v>
      </c>
      <c r="L140" s="57" t="s">
        <v>1099</v>
      </c>
      <c r="M140" s="57" t="s">
        <v>194</v>
      </c>
    </row>
    <row r="141" spans="1:13" x14ac:dyDescent="0.75">
      <c r="A141" s="57" t="s">
        <v>1075</v>
      </c>
      <c r="B141" s="57" t="s">
        <v>1100</v>
      </c>
      <c r="C141" s="57" t="s">
        <v>1101</v>
      </c>
      <c r="D141" s="57" t="s">
        <v>1102</v>
      </c>
      <c r="E141" s="57" t="s">
        <v>194</v>
      </c>
      <c r="F141" s="57" t="s">
        <v>1067</v>
      </c>
      <c r="G141" s="57" t="s">
        <v>194</v>
      </c>
      <c r="H141" s="57" t="s">
        <v>1103</v>
      </c>
      <c r="I141" s="57" t="s">
        <v>194</v>
      </c>
      <c r="J141" s="57" t="s">
        <v>194</v>
      </c>
      <c r="K141" s="57" t="s">
        <v>194</v>
      </c>
      <c r="L141" s="57" t="s">
        <v>1104</v>
      </c>
      <c r="M141" s="57" t="s">
        <v>194</v>
      </c>
    </row>
    <row r="142" spans="1:13" x14ac:dyDescent="0.75">
      <c r="A142" s="57" t="s">
        <v>1075</v>
      </c>
      <c r="B142" s="57" t="s">
        <v>1105</v>
      </c>
      <c r="C142" s="57" t="s">
        <v>1106</v>
      </c>
      <c r="D142" s="57" t="s">
        <v>1107</v>
      </c>
      <c r="E142" s="57" t="s">
        <v>194</v>
      </c>
      <c r="F142" s="57" t="s">
        <v>1067</v>
      </c>
      <c r="G142" s="57" t="s">
        <v>194</v>
      </c>
      <c r="H142" s="57" t="s">
        <v>1108</v>
      </c>
      <c r="I142" s="57" t="s">
        <v>194</v>
      </c>
      <c r="J142" s="57" t="s">
        <v>194</v>
      </c>
      <c r="K142" s="57" t="s">
        <v>194</v>
      </c>
      <c r="L142" s="57" t="s">
        <v>1109</v>
      </c>
      <c r="M142" s="57" t="s">
        <v>194</v>
      </c>
    </row>
    <row r="143" spans="1:13" x14ac:dyDescent="0.75">
      <c r="A143" s="57" t="s">
        <v>1110</v>
      </c>
      <c r="B143" s="57" t="s">
        <v>1111</v>
      </c>
      <c r="C143" s="57" t="s">
        <v>1112</v>
      </c>
      <c r="D143" s="57" t="s">
        <v>1113</v>
      </c>
      <c r="E143" s="57" t="s">
        <v>194</v>
      </c>
      <c r="F143" s="57" t="s">
        <v>1067</v>
      </c>
      <c r="G143" s="57" t="s">
        <v>194</v>
      </c>
      <c r="H143" s="57" t="s">
        <v>1114</v>
      </c>
      <c r="I143" s="57" t="s">
        <v>194</v>
      </c>
      <c r="J143" s="57" t="s">
        <v>194</v>
      </c>
      <c r="K143" s="57" t="s">
        <v>194</v>
      </c>
      <c r="L143" s="57" t="s">
        <v>1115</v>
      </c>
      <c r="M143" s="57" t="s">
        <v>194</v>
      </c>
    </row>
    <row r="144" spans="1:13" x14ac:dyDescent="0.75">
      <c r="A144" s="57" t="s">
        <v>1110</v>
      </c>
      <c r="B144" s="57" t="s">
        <v>1116</v>
      </c>
      <c r="C144" s="57" t="s">
        <v>1117</v>
      </c>
      <c r="D144" s="57" t="s">
        <v>1118</v>
      </c>
      <c r="E144" s="57" t="s">
        <v>194</v>
      </c>
      <c r="F144" s="57" t="s">
        <v>1067</v>
      </c>
      <c r="G144" s="57" t="s">
        <v>194</v>
      </c>
      <c r="H144" s="57" t="s">
        <v>1119</v>
      </c>
      <c r="I144" s="57" t="s">
        <v>194</v>
      </c>
      <c r="J144" s="57" t="s">
        <v>194</v>
      </c>
      <c r="K144" s="57" t="s">
        <v>194</v>
      </c>
      <c r="L144" s="57" t="s">
        <v>1120</v>
      </c>
      <c r="M144" s="57" t="s">
        <v>194</v>
      </c>
    </row>
    <row r="145" spans="1:13" x14ac:dyDescent="0.75">
      <c r="A145" s="57" t="s">
        <v>1110</v>
      </c>
      <c r="B145" s="57" t="s">
        <v>1121</v>
      </c>
      <c r="C145" s="57" t="s">
        <v>1122</v>
      </c>
      <c r="D145" s="57" t="s">
        <v>1121</v>
      </c>
      <c r="E145" s="57" t="s">
        <v>194</v>
      </c>
      <c r="F145" s="57" t="s">
        <v>1067</v>
      </c>
      <c r="G145" s="57" t="s">
        <v>194</v>
      </c>
      <c r="H145" s="57" t="s">
        <v>1123</v>
      </c>
      <c r="I145" s="57" t="s">
        <v>194</v>
      </c>
      <c r="J145" s="57" t="s">
        <v>194</v>
      </c>
      <c r="K145" s="57" t="s">
        <v>194</v>
      </c>
      <c r="L145" s="57" t="s">
        <v>1124</v>
      </c>
      <c r="M145" s="57" t="s">
        <v>194</v>
      </c>
    </row>
    <row r="146" spans="1:13" x14ac:dyDescent="0.75">
      <c r="A146" s="57" t="s">
        <v>1110</v>
      </c>
      <c r="B146" s="57" t="s">
        <v>3</v>
      </c>
      <c r="C146" s="57" t="s">
        <v>1125</v>
      </c>
      <c r="D146" s="57" t="s">
        <v>3</v>
      </c>
      <c r="E146" s="57" t="s">
        <v>194</v>
      </c>
      <c r="F146" s="57" t="s">
        <v>1067</v>
      </c>
      <c r="G146" s="57" t="s">
        <v>194</v>
      </c>
      <c r="H146" s="57" t="s">
        <v>1126</v>
      </c>
      <c r="I146" s="57" t="s">
        <v>194</v>
      </c>
      <c r="J146" s="57" t="s">
        <v>194</v>
      </c>
      <c r="K146" s="57" t="s">
        <v>194</v>
      </c>
      <c r="L146" s="57" t="s">
        <v>1127</v>
      </c>
      <c r="M146" s="57" t="s">
        <v>194</v>
      </c>
    </row>
    <row r="147" spans="1:13" x14ac:dyDescent="0.75">
      <c r="A147" s="57" t="s">
        <v>1110</v>
      </c>
      <c r="B147" s="57" t="s">
        <v>1128</v>
      </c>
      <c r="C147" s="57" t="s">
        <v>1129</v>
      </c>
      <c r="D147" s="57" t="s">
        <v>1130</v>
      </c>
      <c r="E147" s="57" t="s">
        <v>194</v>
      </c>
      <c r="F147" s="57" t="s">
        <v>1067</v>
      </c>
      <c r="G147" s="57" t="s">
        <v>194</v>
      </c>
      <c r="H147" s="57" t="s">
        <v>1131</v>
      </c>
      <c r="I147" s="57" t="s">
        <v>194</v>
      </c>
      <c r="J147" s="57" t="s">
        <v>194</v>
      </c>
      <c r="K147" s="57" t="s">
        <v>194</v>
      </c>
      <c r="L147" s="57" t="s">
        <v>1132</v>
      </c>
      <c r="M147" s="57" t="s">
        <v>194</v>
      </c>
    </row>
    <row r="148" spans="1:13" x14ac:dyDescent="0.75">
      <c r="A148" s="57" t="s">
        <v>1110</v>
      </c>
      <c r="B148" s="57" t="s">
        <v>1133</v>
      </c>
      <c r="C148" s="57" t="s">
        <v>1134</v>
      </c>
      <c r="D148" s="57" t="s">
        <v>1135</v>
      </c>
      <c r="E148" s="57" t="s">
        <v>194</v>
      </c>
      <c r="F148" s="57" t="s">
        <v>1067</v>
      </c>
      <c r="G148" s="57" t="s">
        <v>194</v>
      </c>
      <c r="H148" s="57" t="s">
        <v>1136</v>
      </c>
      <c r="I148" s="57" t="s">
        <v>194</v>
      </c>
      <c r="J148" s="57" t="s">
        <v>194</v>
      </c>
      <c r="K148" s="57" t="s">
        <v>194</v>
      </c>
      <c r="L148" s="57" t="s">
        <v>1137</v>
      </c>
      <c r="M148" s="57" t="s">
        <v>194</v>
      </c>
    </row>
    <row r="149" spans="1:13" x14ac:dyDescent="0.75">
      <c r="A149" s="57" t="s">
        <v>1110</v>
      </c>
      <c r="B149" s="57" t="s">
        <v>1138</v>
      </c>
      <c r="C149" s="57" t="s">
        <v>1139</v>
      </c>
      <c r="D149" s="57" t="s">
        <v>1140</v>
      </c>
      <c r="E149" s="57" t="s">
        <v>194</v>
      </c>
      <c r="F149" s="57" t="s">
        <v>1067</v>
      </c>
      <c r="G149" s="57" t="s">
        <v>194</v>
      </c>
      <c r="H149" s="57" t="s">
        <v>1141</v>
      </c>
      <c r="I149" s="57" t="s">
        <v>194</v>
      </c>
      <c r="J149" s="57" t="s">
        <v>194</v>
      </c>
      <c r="K149" s="57" t="s">
        <v>194</v>
      </c>
      <c r="L149" s="57" t="s">
        <v>1142</v>
      </c>
      <c r="M149" s="57" t="s">
        <v>194</v>
      </c>
    </row>
    <row r="150" spans="1:13" x14ac:dyDescent="0.75">
      <c r="A150" s="57" t="s">
        <v>1143</v>
      </c>
      <c r="B150" s="57" t="s">
        <v>1144</v>
      </c>
      <c r="C150" s="57" t="s">
        <v>1145</v>
      </c>
      <c r="D150" s="57" t="s">
        <v>1144</v>
      </c>
      <c r="E150" s="57" t="s">
        <v>194</v>
      </c>
      <c r="F150" s="57" t="s">
        <v>1067</v>
      </c>
      <c r="G150" s="57" t="s">
        <v>194</v>
      </c>
      <c r="H150" s="57" t="s">
        <v>1146</v>
      </c>
      <c r="I150" s="57" t="s">
        <v>194</v>
      </c>
      <c r="J150" s="57" t="s">
        <v>194</v>
      </c>
      <c r="K150" s="57" t="s">
        <v>194</v>
      </c>
      <c r="L150" s="57" t="s">
        <v>1147</v>
      </c>
      <c r="M150" s="57" t="s">
        <v>194</v>
      </c>
    </row>
    <row r="151" spans="1:13" x14ac:dyDescent="0.75">
      <c r="A151" s="57" t="s">
        <v>1143</v>
      </c>
      <c r="B151" s="57" t="s">
        <v>1148</v>
      </c>
      <c r="C151" s="57" t="s">
        <v>1149</v>
      </c>
      <c r="D151" s="57" t="s">
        <v>1150</v>
      </c>
      <c r="E151" s="57" t="s">
        <v>194</v>
      </c>
      <c r="F151" s="57" t="s">
        <v>1067</v>
      </c>
      <c r="G151" s="57" t="s">
        <v>194</v>
      </c>
      <c r="H151" s="57" t="s">
        <v>1151</v>
      </c>
      <c r="I151" s="57" t="s">
        <v>194</v>
      </c>
      <c r="J151" s="57" t="s">
        <v>194</v>
      </c>
      <c r="K151" s="57" t="s">
        <v>194</v>
      </c>
      <c r="L151" s="57" t="s">
        <v>1152</v>
      </c>
      <c r="M151" s="57" t="s">
        <v>194</v>
      </c>
    </row>
    <row r="152" spans="1:13" x14ac:dyDescent="0.75">
      <c r="A152" s="57" t="s">
        <v>1143</v>
      </c>
      <c r="B152" s="57" t="s">
        <v>1153</v>
      </c>
      <c r="C152" s="57" t="s">
        <v>1154</v>
      </c>
      <c r="D152" s="57" t="s">
        <v>1155</v>
      </c>
      <c r="E152" s="57" t="s">
        <v>194</v>
      </c>
      <c r="F152" s="57" t="s">
        <v>1067</v>
      </c>
      <c r="G152" s="57" t="s">
        <v>194</v>
      </c>
      <c r="H152" s="57" t="s">
        <v>1156</v>
      </c>
      <c r="I152" s="57" t="s">
        <v>194</v>
      </c>
      <c r="J152" s="57" t="s">
        <v>194</v>
      </c>
      <c r="K152" s="57" t="s">
        <v>194</v>
      </c>
      <c r="L152" s="57" t="s">
        <v>1157</v>
      </c>
      <c r="M152" s="57" t="s">
        <v>194</v>
      </c>
    </row>
    <row r="153" spans="1:13" x14ac:dyDescent="0.75">
      <c r="A153" s="57" t="s">
        <v>1143</v>
      </c>
      <c r="B153" s="57" t="s">
        <v>1158</v>
      </c>
      <c r="C153" s="57" t="s">
        <v>1159</v>
      </c>
      <c r="D153" s="57" t="s">
        <v>1160</v>
      </c>
      <c r="E153" s="57" t="s">
        <v>194</v>
      </c>
      <c r="F153" s="57" t="s">
        <v>1067</v>
      </c>
      <c r="G153" s="57" t="s">
        <v>194</v>
      </c>
      <c r="H153" s="57" t="s">
        <v>1161</v>
      </c>
      <c r="I153" s="57" t="s">
        <v>194</v>
      </c>
      <c r="J153" s="57" t="s">
        <v>194</v>
      </c>
      <c r="K153" s="57" t="s">
        <v>194</v>
      </c>
      <c r="L153" s="57" t="s">
        <v>1162</v>
      </c>
      <c r="M153" s="57" t="s">
        <v>194</v>
      </c>
    </row>
    <row r="154" spans="1:13" x14ac:dyDescent="0.75">
      <c r="A154" s="57" t="s">
        <v>1143</v>
      </c>
      <c r="B154" s="57" t="s">
        <v>1163</v>
      </c>
      <c r="C154" s="57" t="s">
        <v>1164</v>
      </c>
      <c r="D154" s="57" t="s">
        <v>1165</v>
      </c>
      <c r="E154" s="57" t="s">
        <v>194</v>
      </c>
      <c r="F154" s="57" t="s">
        <v>1067</v>
      </c>
      <c r="G154" s="57" t="s">
        <v>194</v>
      </c>
      <c r="H154" s="57" t="s">
        <v>1166</v>
      </c>
      <c r="I154" s="57" t="s">
        <v>194</v>
      </c>
      <c r="J154" s="57" t="s">
        <v>194</v>
      </c>
      <c r="K154" s="57" t="s">
        <v>194</v>
      </c>
      <c r="L154" s="57" t="s">
        <v>1167</v>
      </c>
      <c r="M154" s="57" t="s">
        <v>194</v>
      </c>
    </row>
    <row r="155" spans="1:13" x14ac:dyDescent="0.75">
      <c r="A155" s="57" t="s">
        <v>1143</v>
      </c>
      <c r="B155" s="57" t="s">
        <v>1168</v>
      </c>
      <c r="C155" s="57" t="s">
        <v>1169</v>
      </c>
      <c r="D155" s="57" t="s">
        <v>1170</v>
      </c>
      <c r="E155" s="57" t="s">
        <v>194</v>
      </c>
      <c r="F155" s="57" t="s">
        <v>1067</v>
      </c>
      <c r="G155" s="57" t="s">
        <v>194</v>
      </c>
      <c r="H155" s="57" t="s">
        <v>1171</v>
      </c>
      <c r="I155" s="57" t="s">
        <v>194</v>
      </c>
      <c r="J155" s="57" t="s">
        <v>194</v>
      </c>
      <c r="K155" s="57" t="s">
        <v>194</v>
      </c>
      <c r="L155" s="57" t="s">
        <v>1172</v>
      </c>
      <c r="M155" s="57" t="s">
        <v>194</v>
      </c>
    </row>
    <row r="156" spans="1:13" x14ac:dyDescent="0.75">
      <c r="A156" s="57" t="s">
        <v>1173</v>
      </c>
      <c r="B156" s="57" t="s">
        <v>1174</v>
      </c>
      <c r="C156" s="57" t="s">
        <v>1175</v>
      </c>
      <c r="D156" s="57" t="s">
        <v>1176</v>
      </c>
      <c r="E156" s="57" t="s">
        <v>194</v>
      </c>
      <c r="F156" s="57" t="s">
        <v>1067</v>
      </c>
      <c r="G156" s="57" t="s">
        <v>194</v>
      </c>
      <c r="H156" s="57" t="s">
        <v>1177</v>
      </c>
      <c r="I156" s="57" t="s">
        <v>194</v>
      </c>
      <c r="J156" s="57" t="s">
        <v>194</v>
      </c>
      <c r="K156" s="57" t="s">
        <v>194</v>
      </c>
      <c r="L156" s="57" t="s">
        <v>1178</v>
      </c>
      <c r="M156" s="57" t="s">
        <v>194</v>
      </c>
    </row>
    <row r="157" spans="1:13" x14ac:dyDescent="0.75">
      <c r="A157" s="57" t="s">
        <v>1173</v>
      </c>
      <c r="B157" s="57" t="s">
        <v>1179</v>
      </c>
      <c r="C157" s="57" t="s">
        <v>1180</v>
      </c>
      <c r="D157" s="57" t="s">
        <v>1181</v>
      </c>
      <c r="E157" s="57" t="s">
        <v>194</v>
      </c>
      <c r="F157" s="57" t="s">
        <v>1067</v>
      </c>
      <c r="G157" s="57" t="s">
        <v>194</v>
      </c>
      <c r="H157" s="57" t="s">
        <v>1182</v>
      </c>
      <c r="I157" s="57" t="s">
        <v>194</v>
      </c>
      <c r="J157" s="57" t="s">
        <v>194</v>
      </c>
      <c r="K157" s="57" t="s">
        <v>194</v>
      </c>
      <c r="L157" s="57" t="s">
        <v>1183</v>
      </c>
      <c r="M157" s="57" t="s">
        <v>194</v>
      </c>
    </row>
    <row r="158" spans="1:13" x14ac:dyDescent="0.75">
      <c r="A158" s="57" t="s">
        <v>1173</v>
      </c>
      <c r="B158" s="57" t="s">
        <v>1184</v>
      </c>
      <c r="C158" s="57" t="s">
        <v>1185</v>
      </c>
      <c r="D158" s="57" t="s">
        <v>1186</v>
      </c>
      <c r="E158" s="57" t="s">
        <v>194</v>
      </c>
      <c r="F158" s="57" t="s">
        <v>1067</v>
      </c>
      <c r="G158" s="57" t="s">
        <v>194</v>
      </c>
      <c r="H158" s="57" t="s">
        <v>1187</v>
      </c>
      <c r="I158" s="57" t="s">
        <v>194</v>
      </c>
      <c r="J158" s="57" t="s">
        <v>194</v>
      </c>
      <c r="K158" s="57" t="s">
        <v>194</v>
      </c>
      <c r="L158" s="57" t="s">
        <v>1188</v>
      </c>
      <c r="M158" s="57" t="s">
        <v>194</v>
      </c>
    </row>
    <row r="159" spans="1:13" x14ac:dyDescent="0.75">
      <c r="A159" s="57" t="s">
        <v>1173</v>
      </c>
      <c r="B159" s="57" t="s">
        <v>1189</v>
      </c>
      <c r="C159" s="57" t="s">
        <v>1190</v>
      </c>
      <c r="D159" s="57" t="s">
        <v>1191</v>
      </c>
      <c r="E159" s="57" t="s">
        <v>194</v>
      </c>
      <c r="F159" s="57" t="s">
        <v>194</v>
      </c>
      <c r="G159" s="57" t="s">
        <v>194</v>
      </c>
      <c r="H159" s="57" t="s">
        <v>194</v>
      </c>
      <c r="I159" s="57" t="s">
        <v>194</v>
      </c>
      <c r="J159" s="57" t="s">
        <v>194</v>
      </c>
      <c r="K159" s="57" t="s">
        <v>194</v>
      </c>
      <c r="L159" s="57" t="s">
        <v>1192</v>
      </c>
      <c r="M159" s="57" t="s">
        <v>194</v>
      </c>
    </row>
    <row r="160" spans="1:13" x14ac:dyDescent="0.75">
      <c r="A160" s="57" t="s">
        <v>1173</v>
      </c>
      <c r="B160" s="57" t="s">
        <v>1193</v>
      </c>
      <c r="C160" s="57" t="s">
        <v>1194</v>
      </c>
      <c r="D160" s="57" t="s">
        <v>1195</v>
      </c>
      <c r="E160" s="57" t="s">
        <v>194</v>
      </c>
      <c r="F160" s="57" t="s">
        <v>1067</v>
      </c>
      <c r="G160" s="57" t="s">
        <v>194</v>
      </c>
      <c r="H160" s="57" t="s">
        <v>1196</v>
      </c>
      <c r="I160" s="57" t="s">
        <v>194</v>
      </c>
      <c r="J160" s="57" t="s">
        <v>194</v>
      </c>
      <c r="K160" s="57" t="s">
        <v>194</v>
      </c>
      <c r="L160" s="57" t="s">
        <v>1197</v>
      </c>
      <c r="M160" s="57" t="s">
        <v>194</v>
      </c>
    </row>
    <row r="161" spans="1:13" x14ac:dyDescent="0.75">
      <c r="A161" s="57" t="s">
        <v>1173</v>
      </c>
      <c r="B161" s="57" t="s">
        <v>1198</v>
      </c>
      <c r="C161" s="57" t="s">
        <v>1199</v>
      </c>
      <c r="D161" s="57" t="s">
        <v>1200</v>
      </c>
      <c r="E161" s="57" t="s">
        <v>194</v>
      </c>
      <c r="F161" s="57" t="s">
        <v>1067</v>
      </c>
      <c r="G161" s="57" t="s">
        <v>194</v>
      </c>
      <c r="H161" s="57" t="s">
        <v>1201</v>
      </c>
      <c r="I161" s="57" t="s">
        <v>194</v>
      </c>
      <c r="J161" s="57" t="s">
        <v>194</v>
      </c>
      <c r="K161" s="57" t="s">
        <v>194</v>
      </c>
      <c r="L161" s="57" t="s">
        <v>1202</v>
      </c>
      <c r="M161" s="57" t="s">
        <v>194</v>
      </c>
    </row>
    <row r="162" spans="1:13" x14ac:dyDescent="0.75">
      <c r="A162" s="57" t="s">
        <v>1203</v>
      </c>
      <c r="B162" s="57" t="s">
        <v>1204</v>
      </c>
      <c r="C162" s="57" t="s">
        <v>1205</v>
      </c>
      <c r="D162" s="57" t="s">
        <v>1206</v>
      </c>
      <c r="E162" s="57" t="s">
        <v>194</v>
      </c>
      <c r="F162" s="57" t="s">
        <v>1067</v>
      </c>
      <c r="G162" s="57" t="s">
        <v>194</v>
      </c>
      <c r="H162" s="57" t="s">
        <v>1207</v>
      </c>
      <c r="I162" s="57" t="s">
        <v>194</v>
      </c>
      <c r="J162" s="57" t="s">
        <v>194</v>
      </c>
      <c r="K162" s="57" t="s">
        <v>194</v>
      </c>
      <c r="L162" s="57" t="s">
        <v>1208</v>
      </c>
      <c r="M162" s="57" t="s">
        <v>194</v>
      </c>
    </row>
    <row r="163" spans="1:13" x14ac:dyDescent="0.75">
      <c r="A163" s="57" t="s">
        <v>1203</v>
      </c>
      <c r="B163" s="57" t="s">
        <v>1209</v>
      </c>
      <c r="C163" s="57" t="s">
        <v>1210</v>
      </c>
      <c r="D163" s="57" t="s">
        <v>1211</v>
      </c>
      <c r="E163" s="57" t="s">
        <v>194</v>
      </c>
      <c r="F163" s="57" t="s">
        <v>1067</v>
      </c>
      <c r="G163" s="57" t="s">
        <v>194</v>
      </c>
      <c r="H163" s="57" t="s">
        <v>1212</v>
      </c>
      <c r="I163" s="57" t="s">
        <v>194</v>
      </c>
      <c r="J163" s="57" t="s">
        <v>194</v>
      </c>
      <c r="K163" s="57" t="s">
        <v>194</v>
      </c>
      <c r="L163" s="57" t="s">
        <v>1213</v>
      </c>
      <c r="M163" s="57" t="s">
        <v>194</v>
      </c>
    </row>
    <row r="164" spans="1:13" x14ac:dyDescent="0.75">
      <c r="A164" s="57" t="s">
        <v>1203</v>
      </c>
      <c r="B164" s="57" t="s">
        <v>1214</v>
      </c>
      <c r="C164" s="57" t="s">
        <v>1215</v>
      </c>
      <c r="D164" s="57" t="s">
        <v>1216</v>
      </c>
      <c r="E164" s="57" t="s">
        <v>194</v>
      </c>
      <c r="F164" s="57" t="s">
        <v>1067</v>
      </c>
      <c r="G164" s="57" t="s">
        <v>194</v>
      </c>
      <c r="H164" s="57" t="s">
        <v>1217</v>
      </c>
      <c r="I164" s="57" t="s">
        <v>194</v>
      </c>
      <c r="J164" s="57" t="s">
        <v>194</v>
      </c>
      <c r="K164" s="57" t="s">
        <v>194</v>
      </c>
      <c r="L164" s="57" t="s">
        <v>1218</v>
      </c>
      <c r="M164" s="57" t="s">
        <v>194</v>
      </c>
    </row>
    <row r="165" spans="1:13" x14ac:dyDescent="0.75">
      <c r="A165" s="57" t="s">
        <v>1203</v>
      </c>
      <c r="B165" s="57" t="s">
        <v>1219</v>
      </c>
      <c r="C165" s="57" t="s">
        <v>1220</v>
      </c>
      <c r="D165" s="57" t="s">
        <v>1221</v>
      </c>
      <c r="E165" s="57" t="s">
        <v>194</v>
      </c>
      <c r="F165" s="57" t="s">
        <v>1067</v>
      </c>
      <c r="G165" s="57" t="s">
        <v>194</v>
      </c>
      <c r="H165" s="57" t="s">
        <v>1222</v>
      </c>
      <c r="I165" s="57" t="s">
        <v>194</v>
      </c>
      <c r="J165" s="57" t="s">
        <v>194</v>
      </c>
      <c r="K165" s="57" t="s">
        <v>194</v>
      </c>
      <c r="L165" s="57" t="s">
        <v>1223</v>
      </c>
      <c r="M165" s="57" t="s">
        <v>194</v>
      </c>
    </row>
    <row r="166" spans="1:13" x14ac:dyDescent="0.75">
      <c r="A166" s="57" t="s">
        <v>1203</v>
      </c>
      <c r="B166" s="57" t="s">
        <v>1224</v>
      </c>
      <c r="C166" s="57" t="s">
        <v>1225</v>
      </c>
      <c r="D166" s="57" t="s">
        <v>1224</v>
      </c>
      <c r="E166" s="57" t="s">
        <v>194</v>
      </c>
      <c r="F166" s="57" t="s">
        <v>1067</v>
      </c>
      <c r="G166" s="57" t="s">
        <v>194</v>
      </c>
      <c r="H166" s="57" t="s">
        <v>1226</v>
      </c>
      <c r="I166" s="57" t="s">
        <v>194</v>
      </c>
      <c r="J166" s="57" t="s">
        <v>194</v>
      </c>
      <c r="K166" s="57" t="s">
        <v>194</v>
      </c>
      <c r="L166" s="57" t="s">
        <v>1227</v>
      </c>
      <c r="M166" s="57" t="s">
        <v>194</v>
      </c>
    </row>
    <row r="167" spans="1:13" x14ac:dyDescent="0.75">
      <c r="A167" s="57" t="s">
        <v>1203</v>
      </c>
      <c r="B167" s="57" t="s">
        <v>1228</v>
      </c>
      <c r="C167" s="57" t="s">
        <v>1229</v>
      </c>
      <c r="D167" s="57" t="s">
        <v>1228</v>
      </c>
      <c r="E167" s="57" t="s">
        <v>194</v>
      </c>
      <c r="F167" s="57" t="s">
        <v>1067</v>
      </c>
      <c r="G167" s="57" t="s">
        <v>194</v>
      </c>
      <c r="H167" s="57" t="s">
        <v>1230</v>
      </c>
      <c r="I167" s="57" t="s">
        <v>194</v>
      </c>
      <c r="J167" s="57" t="s">
        <v>194</v>
      </c>
      <c r="K167" s="57" t="s">
        <v>194</v>
      </c>
      <c r="L167" s="57" t="s">
        <v>1231</v>
      </c>
      <c r="M167" s="57" t="s">
        <v>194</v>
      </c>
    </row>
    <row r="168" spans="1:13" x14ac:dyDescent="0.75">
      <c r="A168" s="57" t="s">
        <v>1203</v>
      </c>
      <c r="B168" s="57" t="s">
        <v>1232</v>
      </c>
      <c r="C168" s="57" t="s">
        <v>1233</v>
      </c>
      <c r="D168" s="57" t="s">
        <v>1232</v>
      </c>
      <c r="E168" s="57" t="s">
        <v>194</v>
      </c>
      <c r="F168" s="57" t="s">
        <v>1067</v>
      </c>
      <c r="G168" s="57" t="s">
        <v>194</v>
      </c>
      <c r="H168" s="57" t="s">
        <v>1207</v>
      </c>
      <c r="I168" s="57" t="s">
        <v>194</v>
      </c>
      <c r="J168" s="57" t="s">
        <v>194</v>
      </c>
      <c r="K168" s="57" t="s">
        <v>194</v>
      </c>
      <c r="L168" s="57" t="s">
        <v>1234</v>
      </c>
      <c r="M168" s="57" t="s">
        <v>194</v>
      </c>
    </row>
    <row r="169" spans="1:13" x14ac:dyDescent="0.75">
      <c r="A169" s="57" t="s">
        <v>1203</v>
      </c>
      <c r="B169" s="57" t="s">
        <v>1235</v>
      </c>
      <c r="C169" s="57" t="s">
        <v>1236</v>
      </c>
      <c r="D169" s="57" t="s">
        <v>1235</v>
      </c>
      <c r="E169" s="57" t="s">
        <v>194</v>
      </c>
      <c r="F169" s="57" t="s">
        <v>1067</v>
      </c>
      <c r="G169" s="57" t="s">
        <v>194</v>
      </c>
      <c r="H169" s="57" t="s">
        <v>1237</v>
      </c>
      <c r="I169" s="57" t="s">
        <v>194</v>
      </c>
      <c r="J169" s="57" t="s">
        <v>194</v>
      </c>
      <c r="K169" s="57" t="s">
        <v>194</v>
      </c>
      <c r="L169" s="57" t="s">
        <v>1238</v>
      </c>
      <c r="M169" s="57" t="s">
        <v>194</v>
      </c>
    </row>
    <row r="170" spans="1:13" x14ac:dyDescent="0.75">
      <c r="A170" s="57" t="s">
        <v>1203</v>
      </c>
      <c r="B170" s="57" t="s">
        <v>1239</v>
      </c>
      <c r="C170" s="57" t="s">
        <v>1240</v>
      </c>
      <c r="D170" s="57" t="s">
        <v>1239</v>
      </c>
      <c r="E170" s="57" t="s">
        <v>194</v>
      </c>
      <c r="F170" s="57" t="s">
        <v>1067</v>
      </c>
      <c r="G170" s="57" t="s">
        <v>194</v>
      </c>
      <c r="H170" s="57" t="s">
        <v>1241</v>
      </c>
      <c r="I170" s="57" t="s">
        <v>194</v>
      </c>
      <c r="J170" s="57" t="s">
        <v>194</v>
      </c>
      <c r="K170" s="57" t="s">
        <v>194</v>
      </c>
      <c r="L170" s="57" t="s">
        <v>1242</v>
      </c>
      <c r="M170" s="57" t="s">
        <v>194</v>
      </c>
    </row>
    <row r="171" spans="1:13" x14ac:dyDescent="0.75">
      <c r="A171" s="57" t="s">
        <v>1243</v>
      </c>
      <c r="B171" s="57" t="s">
        <v>1244</v>
      </c>
      <c r="C171" s="57" t="s">
        <v>1245</v>
      </c>
      <c r="D171" s="57" t="s">
        <v>1244</v>
      </c>
      <c r="E171" s="57" t="s">
        <v>194</v>
      </c>
      <c r="F171" s="57" t="s">
        <v>1067</v>
      </c>
      <c r="G171" s="57" t="s">
        <v>194</v>
      </c>
      <c r="H171" s="57" t="s">
        <v>1246</v>
      </c>
      <c r="I171" s="57" t="s">
        <v>194</v>
      </c>
      <c r="J171" s="57" t="s">
        <v>194</v>
      </c>
      <c r="K171" s="57" t="s">
        <v>194</v>
      </c>
      <c r="L171" s="57" t="s">
        <v>1247</v>
      </c>
      <c r="M171" s="57" t="s">
        <v>194</v>
      </c>
    </row>
    <row r="172" spans="1:13" x14ac:dyDescent="0.75">
      <c r="A172" s="57" t="s">
        <v>1243</v>
      </c>
      <c r="B172" s="57" t="s">
        <v>1248</v>
      </c>
      <c r="C172" s="57" t="s">
        <v>1249</v>
      </c>
      <c r="D172" s="57" t="s">
        <v>1248</v>
      </c>
      <c r="E172" s="57" t="s">
        <v>194</v>
      </c>
      <c r="F172" s="57" t="s">
        <v>1067</v>
      </c>
      <c r="G172" s="57" t="s">
        <v>194</v>
      </c>
      <c r="H172" s="57" t="s">
        <v>1250</v>
      </c>
      <c r="I172" s="57" t="s">
        <v>194</v>
      </c>
      <c r="J172" s="57" t="s">
        <v>194</v>
      </c>
      <c r="K172" s="57" t="s">
        <v>194</v>
      </c>
      <c r="L172" s="57" t="s">
        <v>1251</v>
      </c>
      <c r="M172" s="57" t="s">
        <v>194</v>
      </c>
    </row>
    <row r="173" spans="1:13" x14ac:dyDescent="0.75">
      <c r="A173" s="57" t="s">
        <v>1243</v>
      </c>
      <c r="B173" s="57" t="s">
        <v>1252</v>
      </c>
      <c r="C173" s="57" t="s">
        <v>1253</v>
      </c>
      <c r="D173" s="57" t="s">
        <v>1252</v>
      </c>
      <c r="E173" s="57" t="s">
        <v>194</v>
      </c>
      <c r="F173" s="57" t="s">
        <v>1067</v>
      </c>
      <c r="G173" s="57" t="s">
        <v>194</v>
      </c>
      <c r="H173" s="57" t="s">
        <v>1254</v>
      </c>
      <c r="I173" s="57" t="s">
        <v>194</v>
      </c>
      <c r="J173" s="57" t="s">
        <v>194</v>
      </c>
      <c r="K173" s="57" t="s">
        <v>194</v>
      </c>
      <c r="L173" s="57" t="s">
        <v>1255</v>
      </c>
      <c r="M173" s="57" t="s">
        <v>194</v>
      </c>
    </row>
    <row r="174" spans="1:13" x14ac:dyDescent="0.75">
      <c r="A174" s="57" t="s">
        <v>1243</v>
      </c>
      <c r="B174" s="57" t="s">
        <v>1256</v>
      </c>
      <c r="C174" s="57" t="s">
        <v>1257</v>
      </c>
      <c r="D174" s="57" t="s">
        <v>1256</v>
      </c>
      <c r="E174" s="57" t="s">
        <v>194</v>
      </c>
      <c r="F174" s="57" t="s">
        <v>1067</v>
      </c>
      <c r="G174" s="57" t="s">
        <v>194</v>
      </c>
      <c r="H174" s="57" t="s">
        <v>1258</v>
      </c>
      <c r="I174" s="57" t="s">
        <v>194</v>
      </c>
      <c r="J174" s="57" t="s">
        <v>194</v>
      </c>
      <c r="K174" s="57" t="s">
        <v>194</v>
      </c>
      <c r="L174" s="57" t="s">
        <v>1259</v>
      </c>
      <c r="M174" s="57" t="s">
        <v>194</v>
      </c>
    </row>
    <row r="175" spans="1:13" x14ac:dyDescent="0.75">
      <c r="A175" s="57" t="s">
        <v>1243</v>
      </c>
      <c r="B175" s="57" t="s">
        <v>1260</v>
      </c>
      <c r="C175" s="57" t="s">
        <v>1261</v>
      </c>
      <c r="D175" s="57" t="s">
        <v>1260</v>
      </c>
      <c r="E175" s="57" t="s">
        <v>194</v>
      </c>
      <c r="F175" s="57" t="s">
        <v>1067</v>
      </c>
      <c r="G175" s="57" t="s">
        <v>194</v>
      </c>
      <c r="H175" s="57" t="s">
        <v>1262</v>
      </c>
      <c r="I175" s="57" t="s">
        <v>194</v>
      </c>
      <c r="J175" s="57" t="s">
        <v>194</v>
      </c>
      <c r="K175" s="57" t="s">
        <v>194</v>
      </c>
      <c r="L175" s="57" t="s">
        <v>1263</v>
      </c>
      <c r="M175" s="57" t="s">
        <v>194</v>
      </c>
    </row>
    <row r="176" spans="1:13" x14ac:dyDescent="0.75">
      <c r="A176" s="57" t="s">
        <v>1243</v>
      </c>
      <c r="B176" s="57" t="s">
        <v>1264</v>
      </c>
      <c r="C176" s="57" t="s">
        <v>1265</v>
      </c>
      <c r="D176" s="57" t="s">
        <v>1264</v>
      </c>
      <c r="E176" s="57" t="s">
        <v>194</v>
      </c>
      <c r="F176" s="57" t="s">
        <v>1067</v>
      </c>
      <c r="G176" s="57" t="s">
        <v>194</v>
      </c>
      <c r="H176" s="57" t="s">
        <v>1266</v>
      </c>
      <c r="I176" s="57" t="s">
        <v>194</v>
      </c>
      <c r="J176" s="57" t="s">
        <v>194</v>
      </c>
      <c r="K176" s="57" t="s">
        <v>194</v>
      </c>
      <c r="L176" s="57" t="s">
        <v>1267</v>
      </c>
      <c r="M176" s="57" t="s">
        <v>194</v>
      </c>
    </row>
    <row r="177" spans="1:13" x14ac:dyDescent="0.75">
      <c r="A177" s="57" t="s">
        <v>1268</v>
      </c>
      <c r="B177" s="57" t="s">
        <v>1269</v>
      </c>
      <c r="C177" s="57" t="s">
        <v>1270</v>
      </c>
      <c r="D177" s="57" t="s">
        <v>1269</v>
      </c>
      <c r="E177" s="57" t="s">
        <v>194</v>
      </c>
      <c r="F177" s="57" t="s">
        <v>1067</v>
      </c>
      <c r="G177" s="57" t="s">
        <v>194</v>
      </c>
      <c r="H177" s="57" t="s">
        <v>1271</v>
      </c>
      <c r="I177" s="57" t="s">
        <v>194</v>
      </c>
      <c r="J177" s="57" t="s">
        <v>194</v>
      </c>
      <c r="K177" s="57" t="s">
        <v>194</v>
      </c>
      <c r="L177" s="57" t="s">
        <v>1272</v>
      </c>
      <c r="M177" s="57" t="s">
        <v>194</v>
      </c>
    </row>
    <row r="178" spans="1:13" x14ac:dyDescent="0.75">
      <c r="A178" s="57" t="s">
        <v>1268</v>
      </c>
      <c r="B178" s="57" t="s">
        <v>1273</v>
      </c>
      <c r="C178" s="57" t="s">
        <v>1274</v>
      </c>
      <c r="D178" s="57" t="s">
        <v>1273</v>
      </c>
      <c r="E178" s="57" t="s">
        <v>194</v>
      </c>
      <c r="F178" s="57" t="s">
        <v>1067</v>
      </c>
      <c r="G178" s="57" t="s">
        <v>194</v>
      </c>
      <c r="H178" s="57" t="s">
        <v>1275</v>
      </c>
      <c r="I178" s="57" t="s">
        <v>194</v>
      </c>
      <c r="J178" s="57" t="s">
        <v>194</v>
      </c>
      <c r="K178" s="57" t="s">
        <v>194</v>
      </c>
      <c r="L178" s="57" t="s">
        <v>1276</v>
      </c>
      <c r="M178" s="57" t="s">
        <v>194</v>
      </c>
    </row>
    <row r="179" spans="1:13" x14ac:dyDescent="0.75">
      <c r="A179" s="57" t="s">
        <v>1268</v>
      </c>
      <c r="B179" s="57" t="s">
        <v>1277</v>
      </c>
      <c r="C179" s="57" t="s">
        <v>1278</v>
      </c>
      <c r="D179" s="57" t="s">
        <v>1277</v>
      </c>
      <c r="E179" s="57" t="s">
        <v>194</v>
      </c>
      <c r="F179" s="57" t="s">
        <v>1067</v>
      </c>
      <c r="G179" s="57" t="s">
        <v>194</v>
      </c>
      <c r="H179" s="57" t="s">
        <v>1279</v>
      </c>
      <c r="I179" s="57" t="s">
        <v>194</v>
      </c>
      <c r="J179" s="57" t="s">
        <v>194</v>
      </c>
      <c r="K179" s="57" t="s">
        <v>194</v>
      </c>
      <c r="L179" s="57" t="s">
        <v>1280</v>
      </c>
      <c r="M179" s="57" t="s">
        <v>194</v>
      </c>
    </row>
    <row r="180" spans="1:13" x14ac:dyDescent="0.75">
      <c r="A180" s="57" t="s">
        <v>1281</v>
      </c>
      <c r="B180" s="57" t="s">
        <v>1269</v>
      </c>
      <c r="C180" s="57" t="s">
        <v>1282</v>
      </c>
      <c r="D180" s="57" t="s">
        <v>1269</v>
      </c>
      <c r="E180" s="57" t="s">
        <v>194</v>
      </c>
      <c r="F180" s="57" t="s">
        <v>1067</v>
      </c>
      <c r="G180" s="57" t="s">
        <v>194</v>
      </c>
      <c r="H180" s="57" t="s">
        <v>1271</v>
      </c>
      <c r="I180" s="57" t="s">
        <v>194</v>
      </c>
      <c r="J180" s="57" t="s">
        <v>194</v>
      </c>
      <c r="K180" s="57" t="s">
        <v>194</v>
      </c>
      <c r="L180" s="57" t="s">
        <v>1283</v>
      </c>
      <c r="M180" s="57" t="s">
        <v>194</v>
      </c>
    </row>
    <row r="181" spans="1:13" x14ac:dyDescent="0.75">
      <c r="A181" s="57" t="s">
        <v>1281</v>
      </c>
      <c r="B181" s="57" t="s">
        <v>1273</v>
      </c>
      <c r="C181" s="57" t="s">
        <v>1284</v>
      </c>
      <c r="D181" s="57" t="s">
        <v>1273</v>
      </c>
      <c r="E181" s="57" t="s">
        <v>194</v>
      </c>
      <c r="F181" s="57" t="s">
        <v>1067</v>
      </c>
      <c r="G181" s="57" t="s">
        <v>194</v>
      </c>
      <c r="H181" s="57" t="s">
        <v>1275</v>
      </c>
      <c r="I181" s="57" t="s">
        <v>194</v>
      </c>
      <c r="J181" s="57" t="s">
        <v>194</v>
      </c>
      <c r="K181" s="57" t="s">
        <v>194</v>
      </c>
      <c r="L181" s="57" t="s">
        <v>1285</v>
      </c>
      <c r="M181" s="57" t="s">
        <v>194</v>
      </c>
    </row>
    <row r="182" spans="1:13" x14ac:dyDescent="0.75">
      <c r="A182" s="57" t="s">
        <v>1281</v>
      </c>
      <c r="B182" s="57" t="s">
        <v>1277</v>
      </c>
      <c r="C182" s="57" t="s">
        <v>1286</v>
      </c>
      <c r="D182" s="57" t="s">
        <v>1277</v>
      </c>
      <c r="E182" s="57" t="s">
        <v>194</v>
      </c>
      <c r="F182" s="57" t="s">
        <v>1067</v>
      </c>
      <c r="G182" s="57" t="s">
        <v>194</v>
      </c>
      <c r="H182" s="57" t="s">
        <v>1279</v>
      </c>
      <c r="I182" s="57" t="s">
        <v>194</v>
      </c>
      <c r="J182" s="57" t="s">
        <v>194</v>
      </c>
      <c r="K182" s="57" t="s">
        <v>194</v>
      </c>
      <c r="L182" s="57" t="s">
        <v>1287</v>
      </c>
      <c r="M182" s="57" t="s">
        <v>194</v>
      </c>
    </row>
    <row r="183" spans="1:13" x14ac:dyDescent="0.75">
      <c r="A183" s="57" t="s">
        <v>1288</v>
      </c>
      <c r="B183" s="57" t="s">
        <v>1289</v>
      </c>
      <c r="C183" s="57" t="s">
        <v>1290</v>
      </c>
      <c r="D183" s="57" t="s">
        <v>1289</v>
      </c>
      <c r="E183" s="57" t="s">
        <v>194</v>
      </c>
      <c r="F183" s="57" t="s">
        <v>1067</v>
      </c>
      <c r="G183" s="57" t="s">
        <v>194</v>
      </c>
      <c r="H183" s="57" t="s">
        <v>1291</v>
      </c>
      <c r="I183" s="57" t="s">
        <v>194</v>
      </c>
      <c r="J183" s="57" t="s">
        <v>194</v>
      </c>
      <c r="K183" s="57" t="s">
        <v>194</v>
      </c>
      <c r="L183" s="57" t="s">
        <v>1292</v>
      </c>
      <c r="M183" s="57" t="s">
        <v>194</v>
      </c>
    </row>
    <row r="184" spans="1:13" x14ac:dyDescent="0.75">
      <c r="A184" s="57" t="s">
        <v>1288</v>
      </c>
      <c r="B184" s="57" t="s">
        <v>1293</v>
      </c>
      <c r="C184" s="57" t="s">
        <v>1294</v>
      </c>
      <c r="D184" s="57" t="s">
        <v>1293</v>
      </c>
      <c r="E184" s="57" t="s">
        <v>194</v>
      </c>
      <c r="F184" s="57" t="s">
        <v>1067</v>
      </c>
      <c r="G184" s="57" t="s">
        <v>194</v>
      </c>
      <c r="H184" s="57" t="s">
        <v>1295</v>
      </c>
      <c r="I184" s="57" t="s">
        <v>194</v>
      </c>
      <c r="J184" s="57" t="s">
        <v>194</v>
      </c>
      <c r="K184" s="57" t="s">
        <v>194</v>
      </c>
      <c r="L184" s="57" t="s">
        <v>1296</v>
      </c>
      <c r="M184" s="57" t="s">
        <v>194</v>
      </c>
    </row>
    <row r="185" spans="1:13" x14ac:dyDescent="0.75">
      <c r="A185" s="57" t="s">
        <v>1288</v>
      </c>
      <c r="B185" s="57" t="s">
        <v>1297</v>
      </c>
      <c r="C185" s="57" t="s">
        <v>1298</v>
      </c>
      <c r="D185" s="57" t="s">
        <v>1297</v>
      </c>
      <c r="E185" s="57" t="s">
        <v>194</v>
      </c>
      <c r="F185" s="57" t="s">
        <v>1067</v>
      </c>
      <c r="G185" s="57" t="s">
        <v>194</v>
      </c>
      <c r="H185" s="57" t="s">
        <v>1299</v>
      </c>
      <c r="I185" s="57" t="s">
        <v>194</v>
      </c>
      <c r="J185" s="57" t="s">
        <v>194</v>
      </c>
      <c r="K185" s="57" t="s">
        <v>194</v>
      </c>
      <c r="L185" s="57" t="s">
        <v>1300</v>
      </c>
      <c r="M185" s="57" t="s">
        <v>194</v>
      </c>
    </row>
    <row r="186" spans="1:13" x14ac:dyDescent="0.75">
      <c r="A186" s="57" t="s">
        <v>1288</v>
      </c>
      <c r="B186" s="57" t="s">
        <v>1301</v>
      </c>
      <c r="C186" s="86" t="s">
        <v>1471</v>
      </c>
      <c r="D186" s="57" t="s">
        <v>1301</v>
      </c>
      <c r="E186" s="57" t="s">
        <v>194</v>
      </c>
      <c r="F186" s="57" t="s">
        <v>1067</v>
      </c>
      <c r="G186" s="57" t="s">
        <v>194</v>
      </c>
      <c r="H186" s="57" t="s">
        <v>1302</v>
      </c>
      <c r="I186" s="57" t="s">
        <v>194</v>
      </c>
      <c r="J186" s="57" t="s">
        <v>194</v>
      </c>
      <c r="K186" s="57" t="s">
        <v>194</v>
      </c>
      <c r="L186" s="57" t="s">
        <v>1303</v>
      </c>
      <c r="M186" s="57" t="s">
        <v>194</v>
      </c>
    </row>
    <row r="187" spans="1:13" x14ac:dyDescent="0.75">
      <c r="A187" s="57" t="s">
        <v>1288</v>
      </c>
      <c r="B187" s="57" t="s">
        <v>1304</v>
      </c>
      <c r="C187" s="57" t="s">
        <v>1305</v>
      </c>
      <c r="D187" s="57" t="s">
        <v>1304</v>
      </c>
      <c r="E187" s="57" t="s">
        <v>194</v>
      </c>
      <c r="F187" s="57" t="s">
        <v>1067</v>
      </c>
      <c r="G187" s="57" t="s">
        <v>194</v>
      </c>
      <c r="H187" s="57" t="s">
        <v>1306</v>
      </c>
      <c r="I187" s="57" t="s">
        <v>194</v>
      </c>
      <c r="J187" s="57" t="s">
        <v>194</v>
      </c>
      <c r="K187" s="57" t="s">
        <v>194</v>
      </c>
      <c r="L187" s="57" t="s">
        <v>1307</v>
      </c>
      <c r="M187" s="57" t="s">
        <v>194</v>
      </c>
    </row>
    <row r="188" spans="1:13" x14ac:dyDescent="0.75">
      <c r="A188" s="57" t="s">
        <v>1288</v>
      </c>
      <c r="B188" s="57" t="s">
        <v>1308</v>
      </c>
      <c r="C188" s="57" t="s">
        <v>1309</v>
      </c>
      <c r="D188" s="57" t="s">
        <v>1308</v>
      </c>
      <c r="E188" s="57" t="s">
        <v>194</v>
      </c>
      <c r="F188" s="57" t="s">
        <v>1067</v>
      </c>
      <c r="G188" s="57" t="s">
        <v>194</v>
      </c>
      <c r="H188" s="57" t="s">
        <v>1310</v>
      </c>
      <c r="I188" s="57" t="s">
        <v>194</v>
      </c>
      <c r="J188" s="57" t="s">
        <v>194</v>
      </c>
      <c r="K188" s="57" t="s">
        <v>194</v>
      </c>
      <c r="L188" s="57" t="s">
        <v>1311</v>
      </c>
      <c r="M188" s="57" t="s">
        <v>194</v>
      </c>
    </row>
    <row r="189" spans="1:13" x14ac:dyDescent="0.75">
      <c r="A189" s="57" t="s">
        <v>1288</v>
      </c>
      <c r="B189" s="57" t="s">
        <v>1252</v>
      </c>
      <c r="C189" s="57" t="s">
        <v>1312</v>
      </c>
      <c r="D189" s="57" t="s">
        <v>1252</v>
      </c>
      <c r="E189" s="57" t="s">
        <v>194</v>
      </c>
      <c r="F189" s="57" t="s">
        <v>1067</v>
      </c>
      <c r="G189" s="57" t="s">
        <v>194</v>
      </c>
      <c r="H189" s="57" t="s">
        <v>1254</v>
      </c>
      <c r="I189" s="57" t="s">
        <v>194</v>
      </c>
      <c r="J189" s="57" t="s">
        <v>194</v>
      </c>
      <c r="K189" s="57" t="s">
        <v>194</v>
      </c>
      <c r="L189" s="57" t="s">
        <v>1313</v>
      </c>
      <c r="M189" s="57" t="s">
        <v>194</v>
      </c>
    </row>
    <row r="190" spans="1:13" x14ac:dyDescent="0.75">
      <c r="A190" s="57" t="s">
        <v>1288</v>
      </c>
      <c r="B190" s="57" t="s">
        <v>1148</v>
      </c>
      <c r="C190" s="57" t="s">
        <v>1314</v>
      </c>
      <c r="D190" s="57" t="s">
        <v>1148</v>
      </c>
      <c r="E190" s="57" t="s">
        <v>194</v>
      </c>
      <c r="F190" s="57" t="s">
        <v>1067</v>
      </c>
      <c r="G190" s="57" t="s">
        <v>194</v>
      </c>
      <c r="H190" s="57" t="s">
        <v>1315</v>
      </c>
      <c r="I190" s="57" t="s">
        <v>194</v>
      </c>
      <c r="J190" s="57" t="s">
        <v>194</v>
      </c>
      <c r="K190" s="57" t="s">
        <v>194</v>
      </c>
      <c r="L190" s="57" t="s">
        <v>1316</v>
      </c>
      <c r="M190" s="57" t="s">
        <v>194</v>
      </c>
    </row>
    <row r="191" spans="1:13" x14ac:dyDescent="0.75">
      <c r="A191" s="57" t="s">
        <v>1317</v>
      </c>
      <c r="B191" s="57" t="s">
        <v>1318</v>
      </c>
      <c r="C191" s="57" t="s">
        <v>1319</v>
      </c>
      <c r="D191" s="57" t="s">
        <v>1318</v>
      </c>
      <c r="E191" s="57" t="s">
        <v>194</v>
      </c>
      <c r="F191" s="57" t="s">
        <v>1067</v>
      </c>
      <c r="G191" s="57" t="s">
        <v>194</v>
      </c>
      <c r="H191" s="57" t="s">
        <v>1320</v>
      </c>
      <c r="I191" s="57" t="s">
        <v>194</v>
      </c>
      <c r="J191" s="57" t="s">
        <v>194</v>
      </c>
      <c r="K191" s="57" t="s">
        <v>194</v>
      </c>
      <c r="L191" s="57" t="s">
        <v>1321</v>
      </c>
      <c r="M191" s="57" t="s">
        <v>194</v>
      </c>
    </row>
    <row r="192" spans="1:13" x14ac:dyDescent="0.75">
      <c r="A192" s="57" t="s">
        <v>1317</v>
      </c>
      <c r="B192" s="57" t="s">
        <v>1322</v>
      </c>
      <c r="C192" s="57" t="s">
        <v>1323</v>
      </c>
      <c r="D192" s="57" t="s">
        <v>1322</v>
      </c>
      <c r="E192" s="57" t="s">
        <v>194</v>
      </c>
      <c r="F192" s="57" t="s">
        <v>1067</v>
      </c>
      <c r="G192" s="57" t="s">
        <v>194</v>
      </c>
      <c r="H192" s="57" t="s">
        <v>1324</v>
      </c>
      <c r="I192" s="57" t="s">
        <v>194</v>
      </c>
      <c r="J192" s="57" t="s">
        <v>194</v>
      </c>
      <c r="K192" s="57" t="s">
        <v>194</v>
      </c>
      <c r="L192" s="57" t="s">
        <v>1325</v>
      </c>
      <c r="M192" s="57" t="s">
        <v>194</v>
      </c>
    </row>
    <row r="193" spans="1:13" x14ac:dyDescent="0.75">
      <c r="A193" s="57" t="s">
        <v>1317</v>
      </c>
      <c r="B193" s="57" t="s">
        <v>1326</v>
      </c>
      <c r="C193" s="57" t="s">
        <v>1327</v>
      </c>
      <c r="D193" s="57" t="s">
        <v>1326</v>
      </c>
      <c r="E193" s="57" t="s">
        <v>194</v>
      </c>
      <c r="F193" s="57" t="s">
        <v>1067</v>
      </c>
      <c r="G193" s="57" t="s">
        <v>194</v>
      </c>
      <c r="H193" s="57" t="s">
        <v>1328</v>
      </c>
      <c r="I193" s="57" t="s">
        <v>194</v>
      </c>
      <c r="J193" s="57" t="s">
        <v>194</v>
      </c>
      <c r="K193" s="57" t="s">
        <v>194</v>
      </c>
      <c r="L193" s="57" t="s">
        <v>1329</v>
      </c>
      <c r="M193" s="57" t="s">
        <v>194</v>
      </c>
    </row>
    <row r="194" spans="1:13" x14ac:dyDescent="0.75">
      <c r="A194" s="57" t="s">
        <v>1317</v>
      </c>
      <c r="B194" s="57" t="s">
        <v>1330</v>
      </c>
      <c r="C194" s="57" t="s">
        <v>1331</v>
      </c>
      <c r="D194" s="57" t="s">
        <v>1330</v>
      </c>
      <c r="E194" s="57" t="s">
        <v>194</v>
      </c>
      <c r="F194" s="57" t="s">
        <v>1067</v>
      </c>
      <c r="G194" s="57" t="s">
        <v>194</v>
      </c>
      <c r="H194" s="57" t="s">
        <v>1332</v>
      </c>
      <c r="I194" s="57" t="s">
        <v>194</v>
      </c>
      <c r="J194" s="57" t="s">
        <v>194</v>
      </c>
      <c r="K194" s="57" t="s">
        <v>194</v>
      </c>
      <c r="L194" s="57" t="s">
        <v>1333</v>
      </c>
      <c r="M194" s="57" t="s">
        <v>194</v>
      </c>
    </row>
    <row r="195" spans="1:13" x14ac:dyDescent="0.75">
      <c r="A195" s="57" t="s">
        <v>1317</v>
      </c>
      <c r="B195" s="57" t="s">
        <v>1334</v>
      </c>
      <c r="C195" s="57" t="s">
        <v>1335</v>
      </c>
      <c r="D195" s="57" t="s">
        <v>1334</v>
      </c>
      <c r="E195" s="57" t="s">
        <v>194</v>
      </c>
      <c r="F195" s="57" t="s">
        <v>194</v>
      </c>
      <c r="G195" s="57" t="s">
        <v>194</v>
      </c>
      <c r="H195" s="57" t="s">
        <v>194</v>
      </c>
      <c r="I195" s="57" t="s">
        <v>194</v>
      </c>
      <c r="J195" s="57" t="s">
        <v>194</v>
      </c>
      <c r="K195" s="57" t="s">
        <v>194</v>
      </c>
      <c r="L195" s="57" t="s">
        <v>1336</v>
      </c>
      <c r="M195" s="57" t="s">
        <v>194</v>
      </c>
    </row>
    <row r="196" spans="1:13" x14ac:dyDescent="0.75">
      <c r="A196" s="57" t="s">
        <v>1317</v>
      </c>
      <c r="B196" s="57" t="s">
        <v>1337</v>
      </c>
      <c r="C196" s="57" t="s">
        <v>1338</v>
      </c>
      <c r="D196" s="57" t="s">
        <v>1337</v>
      </c>
      <c r="E196" s="57" t="s">
        <v>194</v>
      </c>
      <c r="F196" s="57" t="s">
        <v>194</v>
      </c>
      <c r="G196" s="57" t="s">
        <v>194</v>
      </c>
      <c r="H196" s="57" t="s">
        <v>194</v>
      </c>
      <c r="I196" s="57" t="s">
        <v>194</v>
      </c>
      <c r="J196" s="57" t="s">
        <v>194</v>
      </c>
      <c r="K196" s="57" t="s">
        <v>194</v>
      </c>
      <c r="L196" s="57" t="s">
        <v>1339</v>
      </c>
      <c r="M196" s="57" t="s">
        <v>194</v>
      </c>
    </row>
    <row r="197" spans="1:13" x14ac:dyDescent="0.75">
      <c r="A197" s="57" t="s">
        <v>1340</v>
      </c>
      <c r="B197" s="57" t="s">
        <v>1341</v>
      </c>
      <c r="C197" s="57" t="s">
        <v>1342</v>
      </c>
      <c r="D197" s="57" t="s">
        <v>1341</v>
      </c>
      <c r="E197" s="57" t="s">
        <v>194</v>
      </c>
      <c r="F197" s="57" t="s">
        <v>1343</v>
      </c>
      <c r="G197" s="57" t="s">
        <v>194</v>
      </c>
      <c r="H197" s="57" t="s">
        <v>194</v>
      </c>
      <c r="I197" s="57" t="s">
        <v>194</v>
      </c>
      <c r="J197" s="57" t="s">
        <v>194</v>
      </c>
      <c r="K197" s="57" t="s">
        <v>194</v>
      </c>
      <c r="L197" s="57" t="s">
        <v>1344</v>
      </c>
      <c r="M197" s="57" t="s">
        <v>194</v>
      </c>
    </row>
    <row r="198" spans="1:13" x14ac:dyDescent="0.75">
      <c r="A198" s="57" t="s">
        <v>1340</v>
      </c>
      <c r="B198" s="57" t="s">
        <v>1138</v>
      </c>
      <c r="C198" s="57" t="s">
        <v>1345</v>
      </c>
      <c r="D198" s="57" t="s">
        <v>1138</v>
      </c>
      <c r="E198" s="57" t="s">
        <v>194</v>
      </c>
      <c r="F198" s="57" t="s">
        <v>1343</v>
      </c>
      <c r="G198" s="57" t="s">
        <v>194</v>
      </c>
      <c r="H198" s="57" t="s">
        <v>194</v>
      </c>
      <c r="I198" s="57" t="s">
        <v>194</v>
      </c>
      <c r="J198" s="57" t="s">
        <v>194</v>
      </c>
      <c r="K198" s="57" t="s">
        <v>194</v>
      </c>
      <c r="L198" s="57" t="s">
        <v>1346</v>
      </c>
      <c r="M198" s="57" t="s">
        <v>194</v>
      </c>
    </row>
    <row r="199" spans="1:13" x14ac:dyDescent="0.75">
      <c r="A199" s="57" t="s">
        <v>1340</v>
      </c>
      <c r="B199" s="57" t="s">
        <v>749</v>
      </c>
      <c r="C199" s="57" t="s">
        <v>1347</v>
      </c>
      <c r="D199" s="57" t="s">
        <v>749</v>
      </c>
      <c r="E199" s="57" t="s">
        <v>194</v>
      </c>
      <c r="F199" s="57" t="s">
        <v>1343</v>
      </c>
      <c r="G199" s="57" t="s">
        <v>194</v>
      </c>
      <c r="H199" s="57" t="s">
        <v>194</v>
      </c>
      <c r="I199" s="57" t="s">
        <v>194</v>
      </c>
      <c r="J199" s="57" t="s">
        <v>194</v>
      </c>
      <c r="K199" s="57" t="s">
        <v>194</v>
      </c>
      <c r="L199" s="57" t="s">
        <v>1348</v>
      </c>
      <c r="M199" s="57" t="s">
        <v>194</v>
      </c>
    </row>
    <row r="200" spans="1:13" x14ac:dyDescent="0.75">
      <c r="A200" s="57" t="s">
        <v>1340</v>
      </c>
      <c r="B200" s="57" t="s">
        <v>1349</v>
      </c>
      <c r="C200" s="57" t="s">
        <v>1350</v>
      </c>
      <c r="D200" s="57" t="s">
        <v>1349</v>
      </c>
      <c r="E200" s="57" t="s">
        <v>194</v>
      </c>
      <c r="F200" s="57" t="s">
        <v>1343</v>
      </c>
      <c r="G200" s="57" t="s">
        <v>194</v>
      </c>
      <c r="H200" s="57" t="s">
        <v>194</v>
      </c>
      <c r="I200" s="57" t="s">
        <v>194</v>
      </c>
      <c r="J200" s="57" t="s">
        <v>194</v>
      </c>
      <c r="K200" s="57" t="s">
        <v>194</v>
      </c>
      <c r="L200" s="57" t="s">
        <v>1351</v>
      </c>
      <c r="M200" s="57" t="s">
        <v>194</v>
      </c>
    </row>
    <row r="201" spans="1:13" x14ac:dyDescent="0.75">
      <c r="A201" s="57" t="s">
        <v>1340</v>
      </c>
      <c r="B201" s="57" t="s">
        <v>1352</v>
      </c>
      <c r="C201" s="57" t="s">
        <v>1353</v>
      </c>
      <c r="D201" s="57" t="s">
        <v>1352</v>
      </c>
      <c r="E201" s="57" t="s">
        <v>194</v>
      </c>
      <c r="F201" s="57" t="s">
        <v>1343</v>
      </c>
      <c r="G201" s="57" t="s">
        <v>194</v>
      </c>
      <c r="H201" s="57" t="s">
        <v>194</v>
      </c>
      <c r="I201" s="57" t="s">
        <v>194</v>
      </c>
      <c r="J201" s="57" t="s">
        <v>194</v>
      </c>
      <c r="K201" s="57" t="s">
        <v>194</v>
      </c>
      <c r="L201" s="57" t="s">
        <v>1354</v>
      </c>
      <c r="M201" s="57" t="s">
        <v>194</v>
      </c>
    </row>
    <row r="202" spans="1:13" x14ac:dyDescent="0.75">
      <c r="A202" s="57" t="s">
        <v>1340</v>
      </c>
      <c r="B202" s="57" t="s">
        <v>1355</v>
      </c>
      <c r="C202" s="57" t="s">
        <v>1356</v>
      </c>
      <c r="D202" s="57" t="s">
        <v>1355</v>
      </c>
      <c r="E202" s="57" t="s">
        <v>194</v>
      </c>
      <c r="F202" s="57" t="s">
        <v>1343</v>
      </c>
      <c r="G202" s="57" t="s">
        <v>194</v>
      </c>
      <c r="H202" s="57" t="s">
        <v>194</v>
      </c>
      <c r="I202" s="57" t="s">
        <v>194</v>
      </c>
      <c r="J202" s="57" t="s">
        <v>194</v>
      </c>
      <c r="K202" s="57" t="s">
        <v>194</v>
      </c>
      <c r="L202" s="57" t="s">
        <v>1357</v>
      </c>
      <c r="M202" s="57" t="s">
        <v>194</v>
      </c>
    </row>
    <row r="203" spans="1:13" x14ac:dyDescent="0.75">
      <c r="A203" s="57" t="s">
        <v>1340</v>
      </c>
      <c r="B203" s="57" t="s">
        <v>1358</v>
      </c>
      <c r="C203" s="57" t="s">
        <v>1359</v>
      </c>
      <c r="D203" s="57" t="s">
        <v>1358</v>
      </c>
      <c r="E203" s="57" t="s">
        <v>194</v>
      </c>
      <c r="F203" s="57" t="s">
        <v>1343</v>
      </c>
      <c r="G203" s="57" t="s">
        <v>194</v>
      </c>
      <c r="H203" s="57" t="s">
        <v>194</v>
      </c>
      <c r="I203" s="57" t="s">
        <v>194</v>
      </c>
      <c r="J203" s="57" t="s">
        <v>194</v>
      </c>
      <c r="K203" s="57" t="s">
        <v>194</v>
      </c>
      <c r="L203" s="57" t="s">
        <v>1360</v>
      </c>
      <c r="M203" s="57" t="s">
        <v>194</v>
      </c>
    </row>
    <row r="204" spans="1:13" x14ac:dyDescent="0.75">
      <c r="A204" s="57" t="s">
        <v>1340</v>
      </c>
      <c r="B204" s="57" t="s">
        <v>1361</v>
      </c>
      <c r="C204" s="57" t="s">
        <v>1362</v>
      </c>
      <c r="D204" s="57" t="s">
        <v>1361</v>
      </c>
      <c r="E204" s="57" t="s">
        <v>194</v>
      </c>
      <c r="F204" s="57" t="s">
        <v>1343</v>
      </c>
      <c r="G204" s="57" t="s">
        <v>194</v>
      </c>
      <c r="H204" s="57" t="s">
        <v>194</v>
      </c>
      <c r="I204" s="57" t="s">
        <v>194</v>
      </c>
      <c r="J204" s="57" t="s">
        <v>194</v>
      </c>
      <c r="K204" s="57" t="s">
        <v>194</v>
      </c>
      <c r="L204" s="57" t="s">
        <v>1363</v>
      </c>
      <c r="M204" s="57" t="s">
        <v>194</v>
      </c>
    </row>
    <row r="205" spans="1:13" x14ac:dyDescent="0.75">
      <c r="A205" s="57" t="s">
        <v>1340</v>
      </c>
      <c r="B205" s="57" t="s">
        <v>1364</v>
      </c>
      <c r="C205" s="57" t="s">
        <v>1365</v>
      </c>
      <c r="D205" s="57" t="s">
        <v>1364</v>
      </c>
      <c r="E205" s="57" t="s">
        <v>194</v>
      </c>
      <c r="F205" s="57" t="s">
        <v>1343</v>
      </c>
      <c r="G205" s="57" t="s">
        <v>194</v>
      </c>
      <c r="H205" s="57" t="s">
        <v>194</v>
      </c>
      <c r="I205" s="57" t="s">
        <v>194</v>
      </c>
      <c r="J205" s="57" t="s">
        <v>194</v>
      </c>
      <c r="K205" s="57" t="s">
        <v>194</v>
      </c>
      <c r="L205" s="57" t="s">
        <v>1366</v>
      </c>
      <c r="M205" s="57" t="s">
        <v>194</v>
      </c>
    </row>
    <row r="206" spans="1:13" x14ac:dyDescent="0.75">
      <c r="A206" s="57" t="s">
        <v>1340</v>
      </c>
      <c r="B206" s="57" t="s">
        <v>1367</v>
      </c>
      <c r="C206" s="57" t="s">
        <v>1368</v>
      </c>
      <c r="D206" s="57" t="s">
        <v>1367</v>
      </c>
      <c r="E206" s="57" t="s">
        <v>194</v>
      </c>
      <c r="F206" s="57" t="s">
        <v>1343</v>
      </c>
      <c r="G206" s="57" t="s">
        <v>194</v>
      </c>
      <c r="H206" s="57" t="s">
        <v>194</v>
      </c>
      <c r="I206" s="57" t="s">
        <v>194</v>
      </c>
      <c r="J206" s="57" t="s">
        <v>194</v>
      </c>
      <c r="K206" s="57" t="s">
        <v>194</v>
      </c>
      <c r="L206" s="57" t="s">
        <v>1369</v>
      </c>
      <c r="M206" s="57" t="s">
        <v>1370</v>
      </c>
    </row>
    <row r="207" spans="1:13" x14ac:dyDescent="0.75">
      <c r="A207" s="57" t="s">
        <v>1340</v>
      </c>
      <c r="B207" s="57" t="s">
        <v>1371</v>
      </c>
      <c r="C207" s="57" t="s">
        <v>1372</v>
      </c>
      <c r="D207" s="57" t="s">
        <v>1371</v>
      </c>
      <c r="E207" s="57" t="s">
        <v>194</v>
      </c>
      <c r="F207" s="57" t="s">
        <v>1343</v>
      </c>
      <c r="G207" s="57" t="s">
        <v>194</v>
      </c>
      <c r="H207" s="57" t="s">
        <v>194</v>
      </c>
      <c r="I207" s="57" t="s">
        <v>194</v>
      </c>
      <c r="J207" s="57" t="s">
        <v>194</v>
      </c>
      <c r="K207" s="57" t="s">
        <v>194</v>
      </c>
      <c r="L207" s="57" t="s">
        <v>1373</v>
      </c>
      <c r="M207" s="57" t="s">
        <v>194</v>
      </c>
    </row>
    <row r="208" spans="1:13" x14ac:dyDescent="0.75">
      <c r="A208" s="57" t="s">
        <v>1340</v>
      </c>
      <c r="B208" s="57" t="s">
        <v>1374</v>
      </c>
      <c r="C208" s="57" t="s">
        <v>1375</v>
      </c>
      <c r="D208" s="57" t="s">
        <v>1374</v>
      </c>
      <c r="E208" s="57" t="s">
        <v>194</v>
      </c>
      <c r="F208" s="57" t="s">
        <v>1343</v>
      </c>
      <c r="G208" s="57" t="s">
        <v>194</v>
      </c>
      <c r="H208" s="57" t="s">
        <v>194</v>
      </c>
      <c r="I208" s="57" t="s">
        <v>194</v>
      </c>
      <c r="J208" s="57" t="s">
        <v>194</v>
      </c>
      <c r="K208" s="57" t="s">
        <v>194</v>
      </c>
      <c r="L208" s="57" t="s">
        <v>1376</v>
      </c>
      <c r="M208" s="57" t="s">
        <v>194</v>
      </c>
    </row>
    <row r="209" spans="1:13" x14ac:dyDescent="0.75">
      <c r="A209" s="57" t="s">
        <v>1340</v>
      </c>
      <c r="B209" s="57" t="s">
        <v>1377</v>
      </c>
      <c r="C209" s="57" t="s">
        <v>1378</v>
      </c>
      <c r="D209" s="57" t="s">
        <v>1377</v>
      </c>
      <c r="E209" s="57" t="s">
        <v>194</v>
      </c>
      <c r="F209" s="57" t="s">
        <v>1343</v>
      </c>
      <c r="G209" s="57" t="s">
        <v>194</v>
      </c>
      <c r="H209" s="57" t="s">
        <v>194</v>
      </c>
      <c r="I209" s="57" t="s">
        <v>194</v>
      </c>
      <c r="J209" s="57" t="s">
        <v>194</v>
      </c>
      <c r="K209" s="57" t="s">
        <v>194</v>
      </c>
      <c r="L209" s="57" t="s">
        <v>1379</v>
      </c>
      <c r="M209" s="57" t="s">
        <v>194</v>
      </c>
    </row>
    <row r="210" spans="1:13" x14ac:dyDescent="0.75">
      <c r="A210" s="57" t="s">
        <v>1380</v>
      </c>
      <c r="B210" s="57" t="s">
        <v>1341</v>
      </c>
      <c r="C210" s="57" t="s">
        <v>1381</v>
      </c>
      <c r="D210" s="57" t="s">
        <v>1341</v>
      </c>
      <c r="E210" s="57" t="s">
        <v>194</v>
      </c>
      <c r="F210" s="57" t="s">
        <v>1343</v>
      </c>
      <c r="G210" s="57" t="s">
        <v>194</v>
      </c>
      <c r="H210" s="57" t="s">
        <v>194</v>
      </c>
      <c r="I210" s="57" t="s">
        <v>194</v>
      </c>
      <c r="J210" s="57" t="s">
        <v>194</v>
      </c>
      <c r="K210" s="57" t="s">
        <v>194</v>
      </c>
      <c r="L210" s="57" t="s">
        <v>1382</v>
      </c>
      <c r="M210" s="57" t="s">
        <v>194</v>
      </c>
    </row>
    <row r="211" spans="1:13" x14ac:dyDescent="0.75">
      <c r="A211" s="57" t="s">
        <v>1380</v>
      </c>
      <c r="B211" s="57" t="s">
        <v>1138</v>
      </c>
      <c r="C211" s="57" t="s">
        <v>1383</v>
      </c>
      <c r="D211" s="57" t="s">
        <v>1138</v>
      </c>
      <c r="E211" s="57" t="s">
        <v>194</v>
      </c>
      <c r="F211" s="57" t="s">
        <v>1343</v>
      </c>
      <c r="G211" s="57" t="s">
        <v>194</v>
      </c>
      <c r="H211" s="57" t="s">
        <v>194</v>
      </c>
      <c r="I211" s="57" t="s">
        <v>194</v>
      </c>
      <c r="J211" s="57" t="s">
        <v>194</v>
      </c>
      <c r="K211" s="57" t="s">
        <v>194</v>
      </c>
      <c r="L211" s="57" t="s">
        <v>1384</v>
      </c>
      <c r="M211" s="57" t="s">
        <v>194</v>
      </c>
    </row>
    <row r="212" spans="1:13" x14ac:dyDescent="0.75">
      <c r="A212" s="57" t="s">
        <v>1380</v>
      </c>
      <c r="B212" s="57" t="s">
        <v>1385</v>
      </c>
      <c r="C212" s="57" t="s">
        <v>1386</v>
      </c>
      <c r="D212" s="57" t="s">
        <v>1385</v>
      </c>
      <c r="E212" s="57" t="s">
        <v>194</v>
      </c>
      <c r="F212" s="57" t="s">
        <v>1343</v>
      </c>
      <c r="G212" s="57" t="s">
        <v>194</v>
      </c>
      <c r="H212" s="57" t="s">
        <v>194</v>
      </c>
      <c r="I212" s="57" t="s">
        <v>194</v>
      </c>
      <c r="J212" s="57" t="s">
        <v>194</v>
      </c>
      <c r="K212" s="57" t="s">
        <v>194</v>
      </c>
      <c r="L212" s="57" t="s">
        <v>1387</v>
      </c>
      <c r="M212" s="57" t="s">
        <v>194</v>
      </c>
    </row>
    <row r="213" spans="1:13" x14ac:dyDescent="0.75">
      <c r="A213" s="57" t="s">
        <v>1380</v>
      </c>
      <c r="B213" s="57" t="s">
        <v>1260</v>
      </c>
      <c r="C213" s="57" t="s">
        <v>1388</v>
      </c>
      <c r="D213" s="57" t="s">
        <v>1260</v>
      </c>
      <c r="E213" s="57" t="s">
        <v>194</v>
      </c>
      <c r="F213" s="57" t="s">
        <v>1343</v>
      </c>
      <c r="G213" s="57" t="s">
        <v>194</v>
      </c>
      <c r="H213" s="57" t="s">
        <v>194</v>
      </c>
      <c r="I213" s="57" t="s">
        <v>194</v>
      </c>
      <c r="J213" s="57" t="s">
        <v>194</v>
      </c>
      <c r="K213" s="57" t="s">
        <v>194</v>
      </c>
      <c r="L213" s="57" t="s">
        <v>1389</v>
      </c>
      <c r="M213" s="57" t="s">
        <v>194</v>
      </c>
    </row>
    <row r="214" spans="1:13" x14ac:dyDescent="0.75">
      <c r="A214" s="57" t="s">
        <v>1380</v>
      </c>
      <c r="B214" s="57" t="s">
        <v>1390</v>
      </c>
      <c r="C214" s="57" t="s">
        <v>1391</v>
      </c>
      <c r="D214" s="57" t="s">
        <v>1390</v>
      </c>
      <c r="E214" s="57" t="s">
        <v>194</v>
      </c>
      <c r="F214" s="57" t="s">
        <v>1343</v>
      </c>
      <c r="G214" s="57" t="s">
        <v>194</v>
      </c>
      <c r="H214" s="57" t="s">
        <v>194</v>
      </c>
      <c r="I214" s="57" t="s">
        <v>194</v>
      </c>
      <c r="J214" s="57" t="s">
        <v>194</v>
      </c>
      <c r="K214" s="57" t="s">
        <v>194</v>
      </c>
      <c r="L214" s="57" t="s">
        <v>1392</v>
      </c>
      <c r="M214" s="57" t="s">
        <v>194</v>
      </c>
    </row>
    <row r="215" spans="1:13" x14ac:dyDescent="0.75">
      <c r="A215" s="57" t="s">
        <v>1380</v>
      </c>
      <c r="B215" s="57" t="s">
        <v>1393</v>
      </c>
      <c r="C215" s="57" t="s">
        <v>1394</v>
      </c>
      <c r="D215" s="57" t="s">
        <v>1393</v>
      </c>
      <c r="E215" s="57" t="s">
        <v>194</v>
      </c>
      <c r="F215" s="57" t="s">
        <v>1343</v>
      </c>
      <c r="G215" s="57" t="s">
        <v>194</v>
      </c>
      <c r="H215" s="57" t="s">
        <v>194</v>
      </c>
      <c r="I215" s="57" t="s">
        <v>194</v>
      </c>
      <c r="J215" s="57" t="s">
        <v>194</v>
      </c>
      <c r="K215" s="57" t="s">
        <v>194</v>
      </c>
      <c r="L215" s="57" t="s">
        <v>1395</v>
      </c>
      <c r="M215" s="57" t="s">
        <v>194</v>
      </c>
    </row>
    <row r="216" spans="1:13" x14ac:dyDescent="0.75">
      <c r="A216" s="57" t="s">
        <v>1380</v>
      </c>
      <c r="B216" s="57" t="s">
        <v>1396</v>
      </c>
      <c r="C216" s="57" t="s">
        <v>1397</v>
      </c>
      <c r="D216" s="57" t="s">
        <v>1396</v>
      </c>
      <c r="E216" s="57" t="s">
        <v>194</v>
      </c>
      <c r="F216" s="57" t="s">
        <v>1343</v>
      </c>
      <c r="G216" s="57" t="s">
        <v>194</v>
      </c>
      <c r="H216" s="57" t="s">
        <v>194</v>
      </c>
      <c r="I216" s="57" t="s">
        <v>194</v>
      </c>
      <c r="J216" s="57" t="s">
        <v>194</v>
      </c>
      <c r="K216" s="57" t="s">
        <v>194</v>
      </c>
      <c r="L216" s="57" t="s">
        <v>1398</v>
      </c>
      <c r="M216" s="57" t="s">
        <v>194</v>
      </c>
    </row>
    <row r="217" spans="1:13" x14ac:dyDescent="0.75">
      <c r="A217" s="57" t="s">
        <v>1399</v>
      </c>
      <c r="B217" s="57" t="s">
        <v>17</v>
      </c>
      <c r="C217" s="57" t="s">
        <v>1400</v>
      </c>
      <c r="D217" s="57" t="s">
        <v>17</v>
      </c>
      <c r="E217" s="57" t="s">
        <v>194</v>
      </c>
      <c r="F217" s="57" t="s">
        <v>1343</v>
      </c>
      <c r="G217" s="57" t="s">
        <v>194</v>
      </c>
      <c r="H217" s="57" t="s">
        <v>194</v>
      </c>
      <c r="I217" s="57" t="s">
        <v>194</v>
      </c>
      <c r="J217" s="57" t="s">
        <v>194</v>
      </c>
      <c r="K217" s="57" t="s">
        <v>194</v>
      </c>
      <c r="L217" s="57" t="s">
        <v>1401</v>
      </c>
      <c r="M217" s="57" t="s">
        <v>194</v>
      </c>
    </row>
    <row r="218" spans="1:13" x14ac:dyDescent="0.75">
      <c r="A218" s="57" t="s">
        <v>1399</v>
      </c>
      <c r="B218" s="57" t="s">
        <v>12</v>
      </c>
      <c r="C218" s="57" t="s">
        <v>1402</v>
      </c>
      <c r="D218" s="57" t="s">
        <v>12</v>
      </c>
      <c r="E218" s="57" t="s">
        <v>194</v>
      </c>
      <c r="F218" s="57" t="s">
        <v>1343</v>
      </c>
      <c r="G218" s="57" t="s">
        <v>194</v>
      </c>
      <c r="H218" s="57" t="s">
        <v>194</v>
      </c>
      <c r="I218" s="57" t="s">
        <v>194</v>
      </c>
      <c r="J218" s="57" t="s">
        <v>194</v>
      </c>
      <c r="K218" s="57" t="s">
        <v>194</v>
      </c>
      <c r="L218" s="57" t="s">
        <v>1403</v>
      </c>
      <c r="M218" s="57" t="s">
        <v>194</v>
      </c>
    </row>
    <row r="219" spans="1:13" x14ac:dyDescent="0.75">
      <c r="A219" s="57" t="s">
        <v>1399</v>
      </c>
      <c r="B219" s="57" t="s">
        <v>486</v>
      </c>
      <c r="C219" s="57" t="s">
        <v>1404</v>
      </c>
      <c r="D219" s="57" t="s">
        <v>486</v>
      </c>
      <c r="E219" s="57" t="s">
        <v>194</v>
      </c>
      <c r="F219" s="57" t="s">
        <v>1343</v>
      </c>
      <c r="G219" s="57" t="s">
        <v>194</v>
      </c>
      <c r="H219" s="57" t="s">
        <v>194</v>
      </c>
      <c r="I219" s="57" t="s">
        <v>194</v>
      </c>
      <c r="J219" s="57" t="s">
        <v>194</v>
      </c>
      <c r="K219" s="57" t="s">
        <v>194</v>
      </c>
      <c r="L219" s="57" t="s">
        <v>1405</v>
      </c>
      <c r="M219" s="57" t="s">
        <v>194</v>
      </c>
    </row>
    <row r="220" spans="1:13" x14ac:dyDescent="0.75">
      <c r="A220" s="57" t="s">
        <v>194</v>
      </c>
      <c r="B220" s="57" t="s">
        <v>194</v>
      </c>
      <c r="C220" s="57" t="s">
        <v>194</v>
      </c>
      <c r="D220" s="57" t="s">
        <v>194</v>
      </c>
      <c r="E220" s="57" t="s">
        <v>194</v>
      </c>
      <c r="F220" s="57" t="s">
        <v>194</v>
      </c>
      <c r="G220" s="57" t="s">
        <v>194</v>
      </c>
      <c r="H220" s="57" t="s">
        <v>194</v>
      </c>
      <c r="I220" s="57" t="s">
        <v>194</v>
      </c>
      <c r="J220" s="57" t="s">
        <v>194</v>
      </c>
      <c r="K220" s="57" t="s">
        <v>194</v>
      </c>
      <c r="L220" s="57" t="s">
        <v>194</v>
      </c>
      <c r="M220" s="57" t="s">
        <v>194</v>
      </c>
    </row>
    <row r="221" spans="1:13" x14ac:dyDescent="0.75">
      <c r="A221" s="57" t="s">
        <v>194</v>
      </c>
      <c r="B221" s="57" t="s">
        <v>194</v>
      </c>
      <c r="C221" s="57" t="s">
        <v>194</v>
      </c>
      <c r="D221" s="57" t="s">
        <v>194</v>
      </c>
      <c r="E221" s="57" t="s">
        <v>194</v>
      </c>
      <c r="F221" s="57" t="s">
        <v>194</v>
      </c>
      <c r="G221" s="57" t="s">
        <v>194</v>
      </c>
      <c r="H221" s="57" t="s">
        <v>194</v>
      </c>
      <c r="I221" s="57" t="s">
        <v>194</v>
      </c>
      <c r="J221" s="57" t="s">
        <v>194</v>
      </c>
      <c r="K221" s="57" t="s">
        <v>194</v>
      </c>
      <c r="L221" s="57" t="s">
        <v>194</v>
      </c>
      <c r="M221" s="57" t="s">
        <v>194</v>
      </c>
    </row>
    <row r="222" spans="1:13" x14ac:dyDescent="0.75">
      <c r="A222" s="57" t="s">
        <v>194</v>
      </c>
      <c r="B222" s="57" t="s">
        <v>194</v>
      </c>
      <c r="C222" s="57" t="s">
        <v>194</v>
      </c>
      <c r="D222" s="57" t="s">
        <v>194</v>
      </c>
      <c r="E222" s="57" t="s">
        <v>194</v>
      </c>
      <c r="F222" s="57" t="s">
        <v>194</v>
      </c>
      <c r="G222" s="57" t="s">
        <v>194</v>
      </c>
      <c r="H222" s="57" t="s">
        <v>194</v>
      </c>
      <c r="I222" s="57" t="s">
        <v>194</v>
      </c>
      <c r="J222" s="57" t="s">
        <v>194</v>
      </c>
      <c r="K222" s="57" t="s">
        <v>194</v>
      </c>
      <c r="L222" s="57" t="s">
        <v>194</v>
      </c>
      <c r="M222" s="57" t="s">
        <v>194</v>
      </c>
    </row>
    <row r="223" spans="1:13" x14ac:dyDescent="0.75">
      <c r="A223" s="57" t="s">
        <v>194</v>
      </c>
      <c r="B223" s="57" t="s">
        <v>194</v>
      </c>
      <c r="C223" s="57" t="s">
        <v>194</v>
      </c>
      <c r="D223" s="57" t="s">
        <v>194</v>
      </c>
      <c r="E223" s="57" t="s">
        <v>194</v>
      </c>
      <c r="F223" s="57" t="s">
        <v>194</v>
      </c>
      <c r="G223" s="57" t="s">
        <v>194</v>
      </c>
      <c r="H223" s="57" t="s">
        <v>194</v>
      </c>
      <c r="I223" s="57" t="s">
        <v>194</v>
      </c>
      <c r="J223" s="57" t="s">
        <v>194</v>
      </c>
      <c r="K223" s="57" t="s">
        <v>194</v>
      </c>
      <c r="L223" s="57" t="s">
        <v>194</v>
      </c>
      <c r="M223" s="57" t="s">
        <v>194</v>
      </c>
    </row>
    <row r="224" spans="1:13" x14ac:dyDescent="0.75">
      <c r="A224" s="57" t="s">
        <v>194</v>
      </c>
      <c r="B224" s="57" t="s">
        <v>194</v>
      </c>
      <c r="C224" s="57" t="s">
        <v>194</v>
      </c>
      <c r="D224" s="57" t="s">
        <v>194</v>
      </c>
      <c r="E224" s="57" t="s">
        <v>194</v>
      </c>
      <c r="F224" s="57" t="s">
        <v>194</v>
      </c>
      <c r="G224" s="57" t="s">
        <v>194</v>
      </c>
      <c r="H224" s="57" t="s">
        <v>194</v>
      </c>
      <c r="I224" s="57" t="s">
        <v>194</v>
      </c>
      <c r="J224" s="57" t="s">
        <v>194</v>
      </c>
      <c r="K224" s="57" t="s">
        <v>194</v>
      </c>
      <c r="L224" s="57" t="s">
        <v>194</v>
      </c>
      <c r="M224" s="57" t="s">
        <v>194</v>
      </c>
    </row>
    <row r="225" spans="1:13" x14ac:dyDescent="0.75">
      <c r="A225" s="57" t="s">
        <v>194</v>
      </c>
      <c r="B225" s="57" t="s">
        <v>194</v>
      </c>
      <c r="C225" s="57" t="s">
        <v>194</v>
      </c>
      <c r="D225" s="57" t="s">
        <v>194</v>
      </c>
      <c r="E225" s="57" t="s">
        <v>194</v>
      </c>
      <c r="F225" s="57" t="s">
        <v>194</v>
      </c>
      <c r="G225" s="57" t="s">
        <v>194</v>
      </c>
      <c r="H225" s="57" t="s">
        <v>194</v>
      </c>
      <c r="I225" s="57" t="s">
        <v>194</v>
      </c>
      <c r="J225" s="57" t="s">
        <v>194</v>
      </c>
      <c r="K225" s="57" t="s">
        <v>194</v>
      </c>
      <c r="L225" s="57" t="s">
        <v>194</v>
      </c>
      <c r="M225" s="57" t="s">
        <v>194</v>
      </c>
    </row>
    <row r="226" spans="1:13" x14ac:dyDescent="0.75">
      <c r="A226" s="57" t="s">
        <v>194</v>
      </c>
      <c r="B226" s="57" t="s">
        <v>194</v>
      </c>
      <c r="C226" s="57" t="s">
        <v>194</v>
      </c>
      <c r="D226" s="57" t="s">
        <v>194</v>
      </c>
      <c r="E226" s="57" t="s">
        <v>194</v>
      </c>
      <c r="F226" s="57" t="s">
        <v>194</v>
      </c>
      <c r="G226" s="57" t="s">
        <v>194</v>
      </c>
      <c r="H226" s="57" t="s">
        <v>194</v>
      </c>
      <c r="I226" s="57" t="s">
        <v>194</v>
      </c>
      <c r="J226" s="57" t="s">
        <v>194</v>
      </c>
      <c r="K226" s="57" t="s">
        <v>194</v>
      </c>
      <c r="L226" s="57" t="s">
        <v>194</v>
      </c>
      <c r="M226" s="57" t="s">
        <v>194</v>
      </c>
    </row>
    <row r="227" spans="1:13" x14ac:dyDescent="0.75">
      <c r="A227" s="57" t="s">
        <v>194</v>
      </c>
      <c r="B227" s="57" t="s">
        <v>194</v>
      </c>
      <c r="C227" s="57" t="s">
        <v>194</v>
      </c>
      <c r="D227" s="57" t="s">
        <v>194</v>
      </c>
      <c r="E227" s="57" t="s">
        <v>194</v>
      </c>
      <c r="F227" s="57" t="s">
        <v>194</v>
      </c>
      <c r="G227" s="57" t="s">
        <v>194</v>
      </c>
      <c r="H227" s="57" t="s">
        <v>194</v>
      </c>
      <c r="I227" s="57" t="s">
        <v>194</v>
      </c>
      <c r="J227" s="57" t="s">
        <v>194</v>
      </c>
      <c r="K227" s="57" t="s">
        <v>194</v>
      </c>
      <c r="L227" s="57" t="s">
        <v>194</v>
      </c>
      <c r="M227" s="57" t="s">
        <v>194</v>
      </c>
    </row>
    <row r="228" spans="1:13" x14ac:dyDescent="0.75">
      <c r="A228" s="57" t="s">
        <v>194</v>
      </c>
      <c r="B228" s="57" t="s">
        <v>194</v>
      </c>
      <c r="C228" s="57" t="s">
        <v>194</v>
      </c>
      <c r="D228" s="57" t="s">
        <v>194</v>
      </c>
      <c r="E228" s="57" t="s">
        <v>194</v>
      </c>
      <c r="F228" s="57" t="s">
        <v>194</v>
      </c>
      <c r="G228" s="57" t="s">
        <v>194</v>
      </c>
      <c r="H228" s="57" t="s">
        <v>194</v>
      </c>
      <c r="I228" s="57" t="s">
        <v>194</v>
      </c>
      <c r="J228" s="57" t="s">
        <v>194</v>
      </c>
      <c r="K228" s="57" t="s">
        <v>194</v>
      </c>
      <c r="L228" s="57" t="s">
        <v>194</v>
      </c>
      <c r="M228" s="57" t="s">
        <v>194</v>
      </c>
    </row>
    <row r="229" spans="1:13" x14ac:dyDescent="0.75">
      <c r="A229" s="57" t="s">
        <v>194</v>
      </c>
      <c r="B229" s="57" t="s">
        <v>194</v>
      </c>
      <c r="C229" s="57" t="s">
        <v>194</v>
      </c>
      <c r="D229" s="57" t="s">
        <v>194</v>
      </c>
      <c r="E229" s="57" t="s">
        <v>194</v>
      </c>
      <c r="F229" s="57" t="s">
        <v>194</v>
      </c>
      <c r="G229" s="57" t="s">
        <v>194</v>
      </c>
      <c r="H229" s="57" t="s">
        <v>194</v>
      </c>
      <c r="I229" s="57" t="s">
        <v>194</v>
      </c>
      <c r="J229" s="57" t="s">
        <v>194</v>
      </c>
      <c r="K229" s="57" t="s">
        <v>194</v>
      </c>
      <c r="L229" s="57" t="s">
        <v>194</v>
      </c>
      <c r="M229" s="57" t="s">
        <v>194</v>
      </c>
    </row>
    <row r="230" spans="1:13" x14ac:dyDescent="0.75">
      <c r="A230" s="57" t="s">
        <v>194</v>
      </c>
      <c r="B230" s="57" t="s">
        <v>194</v>
      </c>
      <c r="C230" s="57" t="s">
        <v>194</v>
      </c>
      <c r="D230" s="57" t="s">
        <v>194</v>
      </c>
      <c r="E230" s="57" t="s">
        <v>194</v>
      </c>
      <c r="F230" s="57" t="s">
        <v>194</v>
      </c>
      <c r="G230" s="57" t="s">
        <v>194</v>
      </c>
      <c r="H230" s="57" t="s">
        <v>194</v>
      </c>
      <c r="I230" s="57" t="s">
        <v>194</v>
      </c>
      <c r="J230" s="57" t="s">
        <v>194</v>
      </c>
      <c r="K230" s="57" t="s">
        <v>194</v>
      </c>
      <c r="L230" s="57" t="s">
        <v>194</v>
      </c>
      <c r="M230" s="57" t="s">
        <v>194</v>
      </c>
    </row>
    <row r="231" spans="1:13" x14ac:dyDescent="0.75">
      <c r="A231" s="57" t="s">
        <v>194</v>
      </c>
      <c r="B231" s="57" t="s">
        <v>194</v>
      </c>
      <c r="C231" s="57" t="s">
        <v>194</v>
      </c>
      <c r="D231" s="57" t="s">
        <v>194</v>
      </c>
      <c r="E231" s="57" t="s">
        <v>194</v>
      </c>
      <c r="F231" s="57" t="s">
        <v>194</v>
      </c>
      <c r="G231" s="57" t="s">
        <v>194</v>
      </c>
      <c r="H231" s="57" t="s">
        <v>194</v>
      </c>
      <c r="I231" s="57" t="s">
        <v>194</v>
      </c>
      <c r="J231" s="57" t="s">
        <v>194</v>
      </c>
      <c r="K231" s="57" t="s">
        <v>194</v>
      </c>
      <c r="L231" s="57" t="s">
        <v>194</v>
      </c>
      <c r="M231" s="57" t="s">
        <v>194</v>
      </c>
    </row>
    <row r="232" spans="1:13" x14ac:dyDescent="0.75">
      <c r="A232" s="57" t="s">
        <v>194</v>
      </c>
      <c r="B232" s="57" t="s">
        <v>194</v>
      </c>
      <c r="C232" s="57" t="s">
        <v>194</v>
      </c>
      <c r="D232" s="57" t="s">
        <v>194</v>
      </c>
      <c r="E232" s="57" t="s">
        <v>194</v>
      </c>
      <c r="F232" s="57" t="s">
        <v>194</v>
      </c>
      <c r="G232" s="57" t="s">
        <v>194</v>
      </c>
      <c r="H232" s="57" t="s">
        <v>194</v>
      </c>
      <c r="I232" s="57" t="s">
        <v>194</v>
      </c>
      <c r="J232" s="57" t="s">
        <v>194</v>
      </c>
      <c r="K232" s="57" t="s">
        <v>194</v>
      </c>
      <c r="L232" s="57" t="s">
        <v>194</v>
      </c>
      <c r="M232" s="57" t="s">
        <v>194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0"/>
  <sheetViews>
    <sheetView workbookViewId="0">
      <selection activeCell="G8" sqref="G8"/>
    </sheetView>
  </sheetViews>
  <sheetFormatPr defaultRowHeight="14.75" x14ac:dyDescent="0.75"/>
  <cols>
    <col min="1" max="1" width="16.54296875" style="11" customWidth="1"/>
    <col min="2" max="2" width="59.5" style="11" customWidth="1"/>
    <col min="3" max="3" width="44.6328125" style="11" customWidth="1"/>
    <col min="4" max="4" width="71.58984375" style="11" bestFit="1" customWidth="1"/>
    <col min="5" max="5" width="10.81640625" style="11" customWidth="1"/>
    <col min="6" max="6" width="9" style="11" customWidth="1"/>
    <col min="7" max="7" width="56.58984375" style="11" customWidth="1"/>
    <col min="8" max="8" width="21.76953125" style="11" customWidth="1"/>
    <col min="9" max="9" width="67.1796875" style="12" customWidth="1"/>
    <col min="10" max="10" width="19.31640625" style="11" customWidth="1"/>
    <col min="11" max="11" width="8.7265625" style="11"/>
    <col min="12" max="12" width="45.81640625" style="12" customWidth="1"/>
    <col min="13" max="13" width="8.7265625" style="11" customWidth="1"/>
    <col min="14" max="16384" width="8.7265625" style="11"/>
  </cols>
  <sheetData>
    <row r="1" spans="1:9" x14ac:dyDescent="0.75">
      <c r="B1" s="15"/>
      <c r="C1" s="15"/>
      <c r="D1" s="15"/>
      <c r="I1" s="28" t="s">
        <v>21</v>
      </c>
    </row>
    <row r="2" spans="1:9" x14ac:dyDescent="0.75">
      <c r="B2" s="15"/>
      <c r="C2" s="15"/>
      <c r="D2" s="15"/>
      <c r="I2" s="29" t="s">
        <v>20</v>
      </c>
    </row>
    <row r="3" spans="1:9" ht="15.5" thickBot="1" x14ac:dyDescent="0.9">
      <c r="B3" s="15"/>
      <c r="C3" s="15"/>
      <c r="D3" s="15"/>
      <c r="I3" s="29" t="str">
        <f>I1</f>
        <v>// -------------------------------------------------------------------------------</v>
      </c>
    </row>
    <row r="4" spans="1:9" x14ac:dyDescent="0.75">
      <c r="A4" s="5" t="s">
        <v>12</v>
      </c>
      <c r="B4" s="51" t="s">
        <v>154</v>
      </c>
      <c r="C4" s="15"/>
      <c r="D4" s="15"/>
      <c r="I4" s="21" t="str">
        <f>CONCATENATE("Logical: ",B4)</f>
        <v>Logical: SubjectI4rc</v>
      </c>
    </row>
    <row r="5" spans="1:9" x14ac:dyDescent="0.75">
      <c r="A5" s="18" t="s">
        <v>17</v>
      </c>
      <c r="B5" s="52" t="s">
        <v>10</v>
      </c>
      <c r="C5" s="15"/>
      <c r="D5" s="15"/>
      <c r="I5" s="21" t="str">
        <f>CONCATENATE("Id: ",B5)</f>
        <v>Id: Subject</v>
      </c>
    </row>
    <row r="6" spans="1:9" x14ac:dyDescent="0.75">
      <c r="A6" s="19" t="s">
        <v>11</v>
      </c>
      <c r="B6" s="53" t="s">
        <v>155</v>
      </c>
      <c r="C6" s="15"/>
      <c r="D6" s="15"/>
      <c r="I6" s="22" t="str">
        <f>CONCATENATE("Title: ##34#",B6,"##34#")</f>
        <v>Title: ##34#Subject of care##34#</v>
      </c>
    </row>
    <row r="7" spans="1:9" ht="30.25" thickBot="1" x14ac:dyDescent="0.9">
      <c r="A7" s="32" t="s">
        <v>3</v>
      </c>
      <c r="B7" s="54" t="s">
        <v>156</v>
      </c>
      <c r="C7" s="9" t="s">
        <v>4</v>
      </c>
      <c r="D7" s="1" t="s">
        <v>5</v>
      </c>
      <c r="E7" s="3" t="s">
        <v>6</v>
      </c>
      <c r="F7" s="3" t="s">
        <v>7</v>
      </c>
      <c r="G7" s="3" t="s">
        <v>8</v>
      </c>
      <c r="I7" s="22" t="str">
        <f>CONCATENATE("Description: "," ##334#",B7,"##334#",)</f>
        <v>Description:  ##334#Subject of care 
Maturity Level: 0 Draft##334#</v>
      </c>
    </row>
    <row r="8" spans="1:9" ht="59" x14ac:dyDescent="0.75">
      <c r="A8" s="13">
        <v>1</v>
      </c>
      <c r="B8" s="13" t="s">
        <v>157</v>
      </c>
      <c r="C8" s="17" t="s">
        <v>33</v>
      </c>
      <c r="D8" s="14" t="s">
        <v>35</v>
      </c>
      <c r="E8" s="13">
        <v>1</v>
      </c>
      <c r="F8" s="13">
        <v>1</v>
      </c>
      <c r="G8" s="13" t="s">
        <v>2</v>
      </c>
      <c r="H8" s="31"/>
      <c r="I8" s="30" t="str">
        <f t="shared" ref="I8:I20" si="0">CONCATENATE("* ",B8, " ",E8,"..",F8," ",G8," ##34#",C8,"##34# ##334#",D8,"##334#")</f>
        <v>* dateOfBirth 1..1 BackboneElement ##34#Date of birth##34# ##334#Date of birth as recorded in the patient's identity document or in the hospital record. In the absence of documentation, the one declared by the patient will be recorded##334#</v>
      </c>
    </row>
    <row r="9" spans="1:9" ht="59" x14ac:dyDescent="0.75">
      <c r="A9" s="13">
        <v>2</v>
      </c>
      <c r="B9" s="13" t="s">
        <v>158</v>
      </c>
      <c r="C9" s="17" t="s">
        <v>33</v>
      </c>
      <c r="D9" s="14" t="s">
        <v>35</v>
      </c>
      <c r="E9" s="13">
        <v>0</v>
      </c>
      <c r="F9" s="13">
        <v>1</v>
      </c>
      <c r="G9" s="13" t="s">
        <v>164</v>
      </c>
      <c r="H9" s="31"/>
      <c r="I9" s="30" t="str">
        <f t="shared" si="0"/>
        <v>* dateOfBirth.date 0..1 date ##34#Date of birth##34# ##334#Date of birth as recorded in the patient's identity document or in the hospital record. In the absence of documentation, the one declared by the patient will be recorded##334#</v>
      </c>
    </row>
    <row r="10" spans="1:9" ht="29.5" x14ac:dyDescent="0.75">
      <c r="A10" s="13">
        <v>3</v>
      </c>
      <c r="B10" s="13" t="s">
        <v>159</v>
      </c>
      <c r="C10" s="17" t="s">
        <v>39</v>
      </c>
      <c r="D10" s="14" t="s">
        <v>41</v>
      </c>
      <c r="E10" s="13">
        <v>0</v>
      </c>
      <c r="F10" s="13">
        <v>1</v>
      </c>
      <c r="G10" s="13" t="s">
        <v>165</v>
      </c>
      <c r="H10" s="31"/>
      <c r="I10" s="30" t="str">
        <f t="shared" si="0"/>
        <v>* dateOfBirth.unknown 0..1 boolean ##34#Date of birth day unknown##34# ##334#Describes if day of date of birthday is unknown##334#</v>
      </c>
    </row>
    <row r="11" spans="1:9" ht="44.25" x14ac:dyDescent="0.75">
      <c r="A11" s="13">
        <v>4</v>
      </c>
      <c r="B11" s="13" t="s">
        <v>160</v>
      </c>
      <c r="C11" s="17" t="s">
        <v>50</v>
      </c>
      <c r="D11" s="14" t="s">
        <v>52</v>
      </c>
      <c r="E11" s="13">
        <v>0</v>
      </c>
      <c r="F11" s="13">
        <v>1</v>
      </c>
      <c r="G11" s="13" t="s">
        <v>0</v>
      </c>
      <c r="H11" s="31"/>
      <c r="I11" s="30" t="str">
        <f t="shared" si="0"/>
        <v>* maritalStatus 0..1 CodeableConcept ##34#Marital status##34# ##334#Describes the marital status declared by the patient, at the time of diagnosis (section 4, Primary Cancer)##334#</v>
      </c>
    </row>
    <row r="12" spans="1:9" ht="59" x14ac:dyDescent="0.75">
      <c r="A12" s="13">
        <v>5</v>
      </c>
      <c r="B12" s="13" t="s">
        <v>161</v>
      </c>
      <c r="C12" s="55" t="s">
        <v>166</v>
      </c>
      <c r="D12" s="56" t="s">
        <v>167</v>
      </c>
      <c r="E12" s="13">
        <v>1</v>
      </c>
      <c r="F12" s="13">
        <v>1</v>
      </c>
      <c r="G12" s="13" t="s">
        <v>0</v>
      </c>
      <c r="H12" s="31"/>
      <c r="I12" s="30" t="str">
        <f t="shared" si="0"/>
        <v>* sexOrGender 1..1 CodeableConcept ##34#Gender/Sex##34# ##334#Describes biological sex as recorded in the patient's identity document or in the hospital record. In the absence of documentation, the one declared by the patient will be recorded##334#</v>
      </c>
    </row>
    <row r="13" spans="1:9" ht="44.25" x14ac:dyDescent="0.75">
      <c r="A13" s="13">
        <v>6</v>
      </c>
      <c r="B13" s="13" t="s">
        <v>162</v>
      </c>
      <c r="C13" s="17" t="s">
        <v>59</v>
      </c>
      <c r="D13" s="14" t="s">
        <v>61</v>
      </c>
      <c r="E13" s="13">
        <v>0</v>
      </c>
      <c r="F13" s="13" t="s">
        <v>9</v>
      </c>
      <c r="G13" s="13" t="s">
        <v>0</v>
      </c>
      <c r="H13" s="31"/>
      <c r="I13" s="30" t="str">
        <f t="shared" si="0"/>
        <v>* race 0..* CodeableConcept ##34#Race##34# ##334#Describes race as recorded in  the hospital record, the one declared by the patient,, otherwise, the onerecognized by the observer##334#</v>
      </c>
    </row>
    <row r="14" spans="1:9" ht="29.5" x14ac:dyDescent="0.75">
      <c r="A14" s="13">
        <v>7</v>
      </c>
      <c r="B14" s="13" t="s">
        <v>163</v>
      </c>
      <c r="C14" s="17" t="s">
        <v>65</v>
      </c>
      <c r="D14" s="14" t="s">
        <v>67</v>
      </c>
      <c r="E14" s="13">
        <v>0</v>
      </c>
      <c r="F14" s="13" t="s">
        <v>9</v>
      </c>
      <c r="G14" s="13" t="s">
        <v>0</v>
      </c>
      <c r="H14" s="31"/>
      <c r="I14" s="30" t="str">
        <f t="shared" si="0"/>
        <v>* countryOfResidence 0..* CodeableConcept ##34#Country of Residence ##34# ##334#Country of residence at the time of diagnosis##334#</v>
      </c>
    </row>
    <row r="15" spans="1:9" x14ac:dyDescent="0.75">
      <c r="A15" s="13"/>
      <c r="B15" s="13"/>
      <c r="C15" s="13"/>
      <c r="D15" s="13"/>
      <c r="E15" s="13"/>
      <c r="F15" s="13"/>
      <c r="G15" s="13"/>
      <c r="H15" s="31"/>
      <c r="I15" s="30" t="str">
        <f t="shared" si="0"/>
        <v>*  ..  ##34###34# ##334###334#</v>
      </c>
    </row>
    <row r="16" spans="1:9" x14ac:dyDescent="0.75">
      <c r="A16" s="13"/>
      <c r="B16" s="13"/>
      <c r="C16" s="13"/>
      <c r="D16" s="14"/>
      <c r="E16" s="13"/>
      <c r="F16" s="13"/>
      <c r="G16" s="13"/>
      <c r="H16" s="31"/>
      <c r="I16" s="30" t="str">
        <f t="shared" si="0"/>
        <v>*  ..  ##34###34# ##334###334#</v>
      </c>
    </row>
    <row r="17" spans="9:9" x14ac:dyDescent="0.75">
      <c r="I17" s="30" t="str">
        <f t="shared" si="0"/>
        <v>*  ..  ##34###34# ##334###334#</v>
      </c>
    </row>
    <row r="18" spans="9:9" x14ac:dyDescent="0.75">
      <c r="I18" s="30" t="str">
        <f t="shared" si="0"/>
        <v>*  ..  ##34###34# ##334###334#</v>
      </c>
    </row>
    <row r="19" spans="9:9" x14ac:dyDescent="0.75">
      <c r="I19" s="30" t="str">
        <f t="shared" si="0"/>
        <v>*  ..  ##34###34# ##334###334#</v>
      </c>
    </row>
    <row r="20" spans="9:9" x14ac:dyDescent="0.75">
      <c r="I20" s="30" t="str">
        <f t="shared" si="0"/>
        <v>*  ..  ##34###34# ##334###334#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I16" sqref="D16:I36"/>
    </sheetView>
  </sheetViews>
  <sheetFormatPr defaultRowHeight="14.75" x14ac:dyDescent="0.75"/>
  <cols>
    <col min="1" max="1" width="8.7265625" style="11"/>
    <col min="2" max="2" width="31.6796875" style="11" bestFit="1" customWidth="1"/>
    <col min="3" max="3" width="76.40625" style="12" customWidth="1"/>
    <col min="4" max="4" width="8.04296875" style="11" customWidth="1"/>
    <col min="5" max="5" width="101.2265625" style="12" customWidth="1"/>
    <col min="6" max="6" width="10.76953125" style="11" customWidth="1"/>
    <col min="7" max="7" width="45.26953125" style="11" customWidth="1"/>
    <col min="8" max="16384" width="8.7265625" style="11"/>
  </cols>
  <sheetData>
    <row r="1" spans="1:15" x14ac:dyDescent="0.75">
      <c r="B1" s="15"/>
      <c r="C1" s="2"/>
      <c r="E1" s="20" t="s">
        <v>21</v>
      </c>
      <c r="H1" s="7"/>
      <c r="I1" s="7"/>
      <c r="J1" s="7"/>
      <c r="K1" s="7"/>
      <c r="L1" s="7"/>
      <c r="M1" s="7"/>
      <c r="N1" s="7"/>
      <c r="O1" s="7"/>
    </row>
    <row r="2" spans="1:15" x14ac:dyDescent="0.75">
      <c r="B2" s="15"/>
      <c r="C2" s="2"/>
      <c r="E2" s="27" t="s">
        <v>22</v>
      </c>
      <c r="H2" s="7"/>
      <c r="I2" s="7"/>
      <c r="J2" s="7"/>
      <c r="K2" s="7"/>
      <c r="L2" s="7"/>
      <c r="M2" s="7"/>
      <c r="N2" s="7"/>
      <c r="O2" s="7"/>
    </row>
    <row r="3" spans="1:15" ht="15.5" thickBot="1" x14ac:dyDescent="0.9">
      <c r="B3" s="15"/>
      <c r="C3" s="2"/>
      <c r="E3" s="27" t="str">
        <f>E1</f>
        <v>// -------------------------------------------------------------------------------</v>
      </c>
      <c r="H3" s="7"/>
      <c r="I3" s="7"/>
      <c r="J3" s="7"/>
      <c r="K3" s="7"/>
      <c r="L3" s="7"/>
      <c r="M3" s="7"/>
      <c r="N3" s="7"/>
      <c r="O3" s="7"/>
    </row>
    <row r="4" spans="1:15" ht="15.5" thickBot="1" x14ac:dyDescent="0.9">
      <c r="B4" s="10" t="s">
        <v>18</v>
      </c>
      <c r="C4" s="34" t="s">
        <v>176</v>
      </c>
      <c r="E4" s="24" t="str">
        <f>CONCATENATE("Mapping: ",C4)</f>
        <v>Mapping: I4RCSubject2Fhir</v>
      </c>
      <c r="H4" s="7"/>
      <c r="I4" s="7"/>
      <c r="J4" s="7"/>
      <c r="K4" s="7"/>
      <c r="L4" s="7"/>
      <c r="M4" s="7"/>
      <c r="N4" s="7"/>
      <c r="O4" s="7"/>
    </row>
    <row r="5" spans="1:15" ht="15.5" thickBot="1" x14ac:dyDescent="0.9">
      <c r="B5" s="10" t="s">
        <v>17</v>
      </c>
      <c r="C5" s="16" t="s">
        <v>14</v>
      </c>
      <c r="E5" s="25" t="str">
        <f>CONCATENATE("Id: ",C5)</f>
        <v>Id: fhir</v>
      </c>
      <c r="H5" s="7"/>
      <c r="I5" s="7"/>
      <c r="J5" s="7"/>
      <c r="K5" s="7"/>
      <c r="L5" s="7"/>
      <c r="M5" s="7"/>
      <c r="N5" s="7"/>
      <c r="O5" s="7"/>
    </row>
    <row r="6" spans="1:15" ht="15.5" thickBot="1" x14ac:dyDescent="0.9">
      <c r="B6" s="10" t="s">
        <v>11</v>
      </c>
      <c r="C6" s="7" t="s">
        <v>168</v>
      </c>
      <c r="E6" s="25" t="str">
        <f>CONCATENATE("Title: ##34#",C6,"##34#")</f>
        <v>Title: ##34#Idea4RC Subject model to FHIR R4 Map##34#</v>
      </c>
      <c r="H6" s="7"/>
      <c r="I6" s="7"/>
      <c r="J6" s="7"/>
      <c r="K6" s="7"/>
      <c r="L6" s="7"/>
      <c r="M6" s="7"/>
      <c r="N6" s="7"/>
      <c r="O6" s="7"/>
    </row>
    <row r="7" spans="1:15" ht="15.5" thickBot="1" x14ac:dyDescent="0.9">
      <c r="B7" s="10" t="s">
        <v>19</v>
      </c>
      <c r="C7" s="8" t="str">
        <f>B9</f>
        <v>Subject</v>
      </c>
      <c r="E7" s="25" t="str">
        <f>CONCATENATE("Source: ",C7)</f>
        <v>Source: Subject</v>
      </c>
      <c r="H7" s="7"/>
      <c r="I7" s="7"/>
      <c r="J7" s="7"/>
      <c r="K7" s="7"/>
      <c r="L7" s="7"/>
      <c r="M7" s="7"/>
      <c r="N7" s="7"/>
      <c r="O7" s="7"/>
    </row>
    <row r="8" spans="1:15" ht="15.5" thickBot="1" x14ac:dyDescent="0.9">
      <c r="B8" s="23" t="s">
        <v>16</v>
      </c>
      <c r="C8" s="11" t="s">
        <v>13</v>
      </c>
      <c r="E8" s="26" t="str">
        <f>CONCATENATE("Target: ##34#",C8,"##34#")</f>
        <v>Target: ##34#hl7.org/fhir/r4##34#</v>
      </c>
      <c r="H8" s="7"/>
      <c r="I8" s="7"/>
      <c r="J8" s="7"/>
      <c r="K8" s="7"/>
      <c r="L8" s="7"/>
      <c r="M8" s="7"/>
      <c r="N8" s="7"/>
      <c r="O8" s="7"/>
    </row>
    <row r="9" spans="1:15" x14ac:dyDescent="0.75">
      <c r="A9" s="13"/>
      <c r="B9" s="6" t="str">
        <f>Subject!B5</f>
        <v>Subject</v>
      </c>
      <c r="C9" s="6" t="s">
        <v>15</v>
      </c>
      <c r="E9" s="33" t="str">
        <f>CONCATENATE("* -&gt; ##34#",C9,"##34#")</f>
        <v>* -&gt; ##34#Patient##34#</v>
      </c>
      <c r="H9" s="7"/>
      <c r="I9" s="7"/>
      <c r="J9" s="7"/>
      <c r="K9" s="7"/>
      <c r="L9" s="7"/>
      <c r="M9" s="7"/>
      <c r="N9" s="7"/>
      <c r="O9" s="7"/>
    </row>
    <row r="10" spans="1:15" x14ac:dyDescent="0.75">
      <c r="A10" s="13"/>
      <c r="B10" s="13" t="str">
        <f>Subject!B8</f>
        <v>dateOfBirth</v>
      </c>
      <c r="C10" s="13" t="s">
        <v>169</v>
      </c>
      <c r="E10" s="14" t="str">
        <f t="shared" ref="E10:E25" si="0">IF(B10=0,"*  -&gt; ##34###34#",CONCATENATE("* ",B10," -&gt; ##34#",C10,"##34#"))</f>
        <v>* dateOfBirth -&gt; ##34#.birthDate##34#</v>
      </c>
      <c r="H10" s="7"/>
      <c r="I10" s="7"/>
      <c r="J10" s="7"/>
      <c r="K10" s="7"/>
      <c r="L10" s="7"/>
      <c r="M10" s="7"/>
      <c r="N10" s="7"/>
      <c r="O10" s="7"/>
    </row>
    <row r="11" spans="1:15" x14ac:dyDescent="0.75">
      <c r="A11" s="13"/>
      <c r="B11" s="13" t="str">
        <f>Subject!B9</f>
        <v>dateOfBirth.date</v>
      </c>
      <c r="C11" s="13" t="s">
        <v>169</v>
      </c>
      <c r="E11" s="14" t="str">
        <f t="shared" si="0"/>
        <v>* dateOfBirth.date -&gt; ##34#.birthDate##34#</v>
      </c>
      <c r="H11" s="7"/>
      <c r="I11" s="7"/>
      <c r="J11" s="7"/>
      <c r="K11" s="7"/>
      <c r="L11" s="7"/>
      <c r="M11" s="7"/>
      <c r="N11" s="7"/>
      <c r="O11" s="7"/>
    </row>
    <row r="12" spans="1:15" x14ac:dyDescent="0.75">
      <c r="A12" s="13"/>
      <c r="B12" s="13" t="str">
        <f>Subject!B10</f>
        <v>dateOfBirth.unknown</v>
      </c>
      <c r="C12" s="13" t="s">
        <v>170</v>
      </c>
      <c r="E12" s="14" t="str">
        <f t="shared" si="0"/>
        <v>* dateOfBirth.unknown -&gt; ##34#.birthDate.extension('data-absent-reason').where(valueCode = 'unknown')##34#</v>
      </c>
      <c r="H12" s="7"/>
      <c r="I12" s="7"/>
      <c r="J12" s="7"/>
      <c r="K12" s="7"/>
      <c r="L12" s="7"/>
      <c r="M12" s="7"/>
      <c r="N12" s="7"/>
      <c r="O12" s="7"/>
    </row>
    <row r="13" spans="1:15" x14ac:dyDescent="0.75">
      <c r="A13" s="13"/>
      <c r="B13" s="13" t="str">
        <f>Subject!B11</f>
        <v>maritalStatus</v>
      </c>
      <c r="C13" s="13" t="s">
        <v>171</v>
      </c>
      <c r="E13" s="14" t="str">
        <f t="shared" si="0"/>
        <v>* maritalStatus -&gt; ##34#.maritalStatus##34#</v>
      </c>
      <c r="H13" s="7"/>
      <c r="I13" s="7"/>
      <c r="J13" s="7"/>
      <c r="K13" s="7"/>
      <c r="L13" s="7"/>
      <c r="M13" s="7"/>
      <c r="N13" s="7"/>
      <c r="O13" s="7"/>
    </row>
    <row r="14" spans="1:15" x14ac:dyDescent="0.75">
      <c r="A14" s="13"/>
      <c r="B14" s="13" t="str">
        <f>Subject!$B$12</f>
        <v>sexOrGender</v>
      </c>
      <c r="C14" s="13" t="s">
        <v>172</v>
      </c>
      <c r="E14" s="14" t="str">
        <f t="shared" si="0"/>
        <v>* sexOrGender -&gt; ##34#.gender##34#</v>
      </c>
      <c r="H14" s="7"/>
      <c r="I14" s="7"/>
      <c r="J14" s="7"/>
      <c r="K14" s="7"/>
      <c r="L14" s="7"/>
      <c r="M14" s="7"/>
      <c r="N14" s="7"/>
      <c r="O14" s="7"/>
    </row>
    <row r="15" spans="1:15" x14ac:dyDescent="0.75">
      <c r="A15" s="13"/>
      <c r="B15" s="13" t="str">
        <f>Subject!$B$12</f>
        <v>sexOrGender</v>
      </c>
      <c r="C15" s="13" t="s">
        <v>173</v>
      </c>
      <c r="E15" s="14" t="str">
        <f t="shared" si="0"/>
        <v>* sexOrGender -&gt; ##34#.extension('individual-recordedSexOrGender').value##34#</v>
      </c>
      <c r="H15" s="7"/>
      <c r="I15" s="7"/>
      <c r="J15" s="7"/>
      <c r="K15" s="7"/>
      <c r="L15" s="7"/>
      <c r="M15" s="7"/>
      <c r="N15" s="7"/>
      <c r="O15" s="7"/>
    </row>
    <row r="16" spans="1:15" x14ac:dyDescent="0.75">
      <c r="A16" s="13"/>
      <c r="B16" s="13" t="str">
        <f>Subject!$B$12</f>
        <v>sexOrGender</v>
      </c>
      <c r="C16" s="13" t="s">
        <v>174</v>
      </c>
      <c r="E16" s="14" t="str">
        <f t="shared" si="0"/>
        <v>* sexOrGender -&gt; ##34#.extension('patient-sexForClinicalUse').value##34#</v>
      </c>
      <c r="H16" s="7"/>
      <c r="I16" s="7"/>
      <c r="J16" s="7"/>
      <c r="K16" s="7"/>
      <c r="L16" s="7"/>
      <c r="M16" s="7"/>
      <c r="N16" s="7"/>
      <c r="O16" s="7"/>
    </row>
    <row r="17" spans="1:5" x14ac:dyDescent="0.75">
      <c r="A17" s="13"/>
      <c r="B17" s="13" t="str">
        <f>Subject!B13</f>
        <v>race</v>
      </c>
      <c r="C17" s="13" t="s">
        <v>23</v>
      </c>
      <c r="E17" s="14" t="str">
        <f t="shared" si="0"/>
        <v>* race -&gt; ##34#to be mapped##34#</v>
      </c>
    </row>
    <row r="18" spans="1:5" x14ac:dyDescent="0.75">
      <c r="A18" s="13"/>
      <c r="B18" s="13" t="str">
        <f>Subject!B14</f>
        <v>countryOfResidence</v>
      </c>
      <c r="C18" s="13" t="s">
        <v>175</v>
      </c>
      <c r="E18" s="14" t="str">
        <f t="shared" si="0"/>
        <v>* countryOfResidence -&gt; ##34#.address.country##34#</v>
      </c>
    </row>
    <row r="19" spans="1:5" x14ac:dyDescent="0.75">
      <c r="A19" s="13"/>
      <c r="B19" s="13">
        <f>Subject!B15</f>
        <v>0</v>
      </c>
      <c r="C19" s="14"/>
      <c r="E19" s="14" t="str">
        <f t="shared" si="0"/>
        <v>*  -&gt; ##34###34#</v>
      </c>
    </row>
    <row r="20" spans="1:5" x14ac:dyDescent="0.75">
      <c r="A20" s="13"/>
      <c r="B20" s="13">
        <f>Subject!B16</f>
        <v>0</v>
      </c>
      <c r="C20" s="14"/>
      <c r="E20" s="14" t="str">
        <f t="shared" si="0"/>
        <v>*  -&gt; ##34###34#</v>
      </c>
    </row>
    <row r="21" spans="1:5" x14ac:dyDescent="0.75">
      <c r="B21" s="13">
        <f>Subject!B17</f>
        <v>0</v>
      </c>
      <c r="C21" s="14"/>
      <c r="E21" s="14" t="str">
        <f t="shared" si="0"/>
        <v>*  -&gt; ##34###34#</v>
      </c>
    </row>
    <row r="22" spans="1:5" x14ac:dyDescent="0.75">
      <c r="B22" s="13">
        <f>Subject!B18</f>
        <v>0</v>
      </c>
      <c r="C22" s="14"/>
      <c r="E22" s="14" t="str">
        <f t="shared" si="0"/>
        <v>*  -&gt; ##34###34#</v>
      </c>
    </row>
    <row r="23" spans="1:5" x14ac:dyDescent="0.75">
      <c r="B23" s="13">
        <f>Subject!B19</f>
        <v>0</v>
      </c>
      <c r="C23" s="14"/>
      <c r="E23" s="14" t="str">
        <f t="shared" si="0"/>
        <v>*  -&gt; ##34###34#</v>
      </c>
    </row>
    <row r="24" spans="1:5" x14ac:dyDescent="0.75">
      <c r="B24" s="13">
        <f>Subject!B20</f>
        <v>0</v>
      </c>
      <c r="C24" s="14"/>
      <c r="E24" s="14" t="str">
        <f t="shared" si="0"/>
        <v>*  -&gt; ##34###34#</v>
      </c>
    </row>
    <row r="25" spans="1:5" x14ac:dyDescent="0.75">
      <c r="B25" s="13">
        <f>Subject!B21</f>
        <v>0</v>
      </c>
      <c r="C25" s="14"/>
      <c r="E25" s="14" t="str">
        <f t="shared" si="0"/>
        <v>*  -&gt; ##34###34#</v>
      </c>
    </row>
    <row r="26" spans="1:5" x14ac:dyDescent="0.75">
      <c r="B26" s="13">
        <f>Subject!B22</f>
        <v>0</v>
      </c>
      <c r="C26" s="14"/>
      <c r="E26" s="14"/>
    </row>
    <row r="27" spans="1:5" x14ac:dyDescent="0.75">
      <c r="B27" s="13">
        <f>Subject!B23</f>
        <v>0</v>
      </c>
      <c r="C27" s="14"/>
      <c r="E27" s="14"/>
    </row>
    <row r="28" spans="1:5" x14ac:dyDescent="0.75">
      <c r="B28" s="13">
        <f>Subject!B24</f>
        <v>0</v>
      </c>
      <c r="E28" s="14"/>
    </row>
    <row r="29" spans="1:5" x14ac:dyDescent="0.75">
      <c r="B29" s="13">
        <f>Subject!B25</f>
        <v>0</v>
      </c>
      <c r="C29" s="14"/>
      <c r="E29" s="14"/>
    </row>
    <row r="30" spans="1:5" x14ac:dyDescent="0.75">
      <c r="B30" s="13">
        <f>Subject!B26</f>
        <v>0</v>
      </c>
      <c r="E30" s="14"/>
    </row>
    <row r="31" spans="1:5" x14ac:dyDescent="0.75">
      <c r="B31" s="13">
        <f>Subject!B27</f>
        <v>0</v>
      </c>
      <c r="E31" s="14"/>
    </row>
    <row r="32" spans="1:5" x14ac:dyDescent="0.75">
      <c r="B32" s="13">
        <f>Subject!B28</f>
        <v>0</v>
      </c>
      <c r="E32" s="14"/>
    </row>
    <row r="33" spans="2:2" x14ac:dyDescent="0.75">
      <c r="B33" s="13">
        <f>Subject!B29</f>
        <v>0</v>
      </c>
    </row>
    <row r="34" spans="2:2" x14ac:dyDescent="0.75">
      <c r="B34" s="13"/>
    </row>
    <row r="35" spans="2:2" x14ac:dyDescent="0.75">
      <c r="B35" s="13"/>
    </row>
    <row r="36" spans="2:2" x14ac:dyDescent="0.75">
      <c r="B36" s="13"/>
    </row>
    <row r="37" spans="2:2" x14ac:dyDescent="0.75">
      <c r="B37" s="13"/>
    </row>
    <row r="38" spans="2:2" x14ac:dyDescent="0.75">
      <c r="B38" s="13"/>
    </row>
    <row r="39" spans="2:2" x14ac:dyDescent="0.75">
      <c r="B39" s="13"/>
    </row>
    <row r="40" spans="2:2" x14ac:dyDescent="0.75">
      <c r="B40" s="13"/>
    </row>
    <row r="41" spans="2:2" x14ac:dyDescent="0.75">
      <c r="B41" s="13"/>
    </row>
    <row r="42" spans="2:2" x14ac:dyDescent="0.75">
      <c r="B42" s="13"/>
    </row>
    <row r="43" spans="2:2" x14ac:dyDescent="0.75">
      <c r="B43" s="13"/>
    </row>
    <row r="44" spans="2:2" x14ac:dyDescent="0.75">
      <c r="B44" s="1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1"/>
  <sheetViews>
    <sheetView workbookViewId="0">
      <selection activeCell="I16" sqref="D16:I36"/>
    </sheetView>
  </sheetViews>
  <sheetFormatPr defaultRowHeight="14.75" x14ac:dyDescent="0.75"/>
  <cols>
    <col min="1" max="2" width="8.7265625" style="11"/>
    <col min="3" max="3" width="108.2265625" style="14" customWidth="1"/>
    <col min="4" max="6" width="8.7265625" style="11"/>
    <col min="7" max="7" width="29.54296875" style="11" customWidth="1"/>
    <col min="8" max="8" width="54.90625" style="11" customWidth="1"/>
    <col min="9" max="16384" width="8.7265625" style="11"/>
  </cols>
  <sheetData>
    <row r="1" spans="3:7" ht="15.5" thickBot="1" x14ac:dyDescent="0.9">
      <c r="C1" s="28" t="str">
        <f>Subject!I1</f>
        <v>// -------------------------------------------------------------------------------</v>
      </c>
    </row>
    <row r="2" spans="3:7" ht="16.75" thickBot="1" x14ac:dyDescent="0.9">
      <c r="C2" s="29" t="str">
        <f>Subject!I2</f>
        <v>//  Logical Model</v>
      </c>
      <c r="G2" s="35" t="s">
        <v>177</v>
      </c>
    </row>
    <row r="3" spans="3:7" x14ac:dyDescent="0.75">
      <c r="C3" s="29" t="str">
        <f>Subject!I3</f>
        <v>// -------------------------------------------------------------------------------</v>
      </c>
    </row>
    <row r="4" spans="3:7" x14ac:dyDescent="0.75">
      <c r="C4" s="21" t="str">
        <f>Subject!I4</f>
        <v>Logical: SubjectI4rc</v>
      </c>
    </row>
    <row r="5" spans="3:7" x14ac:dyDescent="0.75">
      <c r="C5" s="21" t="str">
        <f>Subject!I5</f>
        <v>Id: Subject</v>
      </c>
    </row>
    <row r="6" spans="3:7" x14ac:dyDescent="0.75">
      <c r="C6" s="21" t="str">
        <f>Subject!I6</f>
        <v>Title: ##34#Subject of care##34#</v>
      </c>
    </row>
    <row r="7" spans="3:7" ht="29.5" x14ac:dyDescent="0.75">
      <c r="C7" s="21" t="str">
        <f>Subject!I7</f>
        <v>Description:  ##334#Subject of care 
Maturity Level: 0 Draft##334#</v>
      </c>
    </row>
    <row r="8" spans="3:7" ht="29.5" x14ac:dyDescent="0.75">
      <c r="C8" s="14" t="str">
        <f>IF(Subject!I8="*  ..  ##34###34# ##334###334#","//--- END",Subject!I8)</f>
        <v>* dateOfBirth 1..1 BackboneElement ##34#Date of birth##34# ##334#Date of birth as recorded in the patient's identity document or in the hospital record. In the absence of documentation, the one declared by the patient will be recorded##334#</v>
      </c>
    </row>
    <row r="9" spans="3:7" ht="29.5" x14ac:dyDescent="0.75">
      <c r="C9" s="14" t="str">
        <f>IF(Subject!I9="*  ..  ##34###34# ##334###334#","//--- END",Subject!I9)</f>
        <v>* dateOfBirth.date 0..1 date ##34#Date of birth##34# ##334#Date of birth as recorded in the patient's identity document or in the hospital record. In the absence of documentation, the one declared by the patient will be recorded##334#</v>
      </c>
    </row>
    <row r="10" spans="3:7" ht="29.5" x14ac:dyDescent="0.75">
      <c r="C10" s="14" t="str">
        <f>IF(Subject!I10="*  ..  ##34###34# ##334###334#","//--- END",Subject!I10)</f>
        <v>* dateOfBirth.unknown 0..1 boolean ##34#Date of birth day unknown##34# ##334#Describes if day of date of birthday is unknown##334#</v>
      </c>
    </row>
    <row r="11" spans="3:7" ht="29.5" x14ac:dyDescent="0.75">
      <c r="C11" s="14" t="str">
        <f>IF(Subject!I11="*  ..  ##34###34# ##334###334#","//--- END",Subject!I11)</f>
        <v>* maritalStatus 0..1 CodeableConcept ##34#Marital status##34# ##334#Describes the marital status declared by the patient, at the time of diagnosis (section 4, Primary Cancer)##334#</v>
      </c>
    </row>
    <row r="12" spans="3:7" ht="44.25" x14ac:dyDescent="0.75">
      <c r="C12" s="14" t="str">
        <f>IF(Subject!I12="*  ..  ##34###34# ##334###334#","//--- END",Subject!I12)</f>
        <v>* sexOrGender 1..1 CodeableConcept ##34#Gender/Sex##34# ##334#Describes biological sex as recorded in the patient's identity document or in the hospital record. In the absence of documentation, the one declared by the patient will be recorded##334#</v>
      </c>
    </row>
    <row r="13" spans="3:7" ht="29.5" x14ac:dyDescent="0.75">
      <c r="C13" s="14" t="str">
        <f>IF(Subject!I13="*  ..  ##34###34# ##334###334#","//--- END",Subject!I13)</f>
        <v>* race 0..* CodeableConcept ##34#Race##34# ##334#Describes race as recorded in  the hospital record, the one declared by the patient,, otherwise, the onerecognized by the observer##334#</v>
      </c>
    </row>
    <row r="14" spans="3:7" ht="29.5" x14ac:dyDescent="0.75">
      <c r="C14" s="14" t="str">
        <f>IF(Subject!I14="*  ..  ##34###34# ##334###334#","//--- END",Subject!I14)</f>
        <v>* countryOfResidence 0..* CodeableConcept ##34#Country of Residence ##34# ##334#Country of residence at the time of diagnosis##334#</v>
      </c>
    </row>
    <row r="15" spans="3:7" x14ac:dyDescent="0.75">
      <c r="C15" s="14" t="str">
        <f>IF(Subject!I15="*  ..  ##34###34# ##334###334#","//--- END",Subject!I15)</f>
        <v>//--- END</v>
      </c>
    </row>
    <row r="16" spans="3:7" x14ac:dyDescent="0.75">
      <c r="C16" s="14" t="str">
        <f>IF(Subject!I16="*  ..  ##34###34# ##334###334#","//--- END",Subject!I16)</f>
        <v>//--- END</v>
      </c>
    </row>
    <row r="17" spans="3:3" x14ac:dyDescent="0.75">
      <c r="C17" s="14" t="str">
        <f>IF(Subject!I17="*  ..  ##34###34# ##334###334#","//--- END",Subject!I17)</f>
        <v>//--- END</v>
      </c>
    </row>
    <row r="30" spans="3:3" x14ac:dyDescent="0.75">
      <c r="C30" s="28" t="str">
        <f>'Subject-Map-1'!E1</f>
        <v>// -------------------------------------------------------------------------------</v>
      </c>
    </row>
    <row r="31" spans="3:3" x14ac:dyDescent="0.75">
      <c r="C31" s="29" t="str">
        <f>'Subject-Map-1'!E2</f>
        <v>//  Map to FHIR R4</v>
      </c>
    </row>
    <row r="32" spans="3:3" x14ac:dyDescent="0.75">
      <c r="C32" s="29" t="str">
        <f>'Subject-Map-1'!E3</f>
        <v>// -------------------------------------------------------------------------------</v>
      </c>
    </row>
    <row r="33" spans="3:3" x14ac:dyDescent="0.75">
      <c r="C33" s="14" t="str">
        <f>'Subject-Map-1'!E4</f>
        <v>Mapping: I4RCSubject2Fhir</v>
      </c>
    </row>
    <row r="34" spans="3:3" x14ac:dyDescent="0.75">
      <c r="C34" s="14" t="str">
        <f>'Subject-Map-1'!E5</f>
        <v>Id: fhir</v>
      </c>
    </row>
    <row r="35" spans="3:3" x14ac:dyDescent="0.75">
      <c r="C35" s="14" t="str">
        <f>'Subject-Map-1'!E6</f>
        <v>Title: ##34#Idea4RC Subject model to FHIR R4 Map##34#</v>
      </c>
    </row>
    <row r="36" spans="3:3" x14ac:dyDescent="0.75">
      <c r="C36" s="14" t="str">
        <f>'Subject-Map-1'!E7</f>
        <v>Source: Subject</v>
      </c>
    </row>
    <row r="37" spans="3:3" x14ac:dyDescent="0.75">
      <c r="C37" s="14" t="str">
        <f>'Subject-Map-1'!E8</f>
        <v>Target: ##34#hl7.org/fhir/r4##34#</v>
      </c>
    </row>
    <row r="39" spans="3:3" x14ac:dyDescent="0.75">
      <c r="C39" s="4" t="str">
        <f>'Subject-Map-1'!E9</f>
        <v>* -&gt; ##34#Patient##34#</v>
      </c>
    </row>
    <row r="40" spans="3:3" x14ac:dyDescent="0.75">
      <c r="C40" s="14" t="str">
        <f>IF('Subject-Map-1'!E10="*  -&gt; ##34###34#","// --END",'Subject-Map-1'!E10)</f>
        <v>* dateOfBirth -&gt; ##34#.birthDate##34#</v>
      </c>
    </row>
    <row r="41" spans="3:3" x14ac:dyDescent="0.75">
      <c r="C41" s="14" t="str">
        <f>IF('Subject-Map-1'!E11="*  -&gt; ##34###34#","// --END",'Subject-Map-1'!E11)</f>
        <v>* dateOfBirth.date -&gt; ##34#.birthDate##34#</v>
      </c>
    </row>
    <row r="42" spans="3:3" x14ac:dyDescent="0.75">
      <c r="C42" s="14" t="str">
        <f>IF('Subject-Map-1'!E12="*  -&gt; ##34###34#","// --END",'Subject-Map-1'!E12)</f>
        <v>* dateOfBirth.unknown -&gt; ##34#.birthDate.extension('data-absent-reason').where(valueCode = 'unknown')##34#</v>
      </c>
    </row>
    <row r="43" spans="3:3" x14ac:dyDescent="0.75">
      <c r="C43" s="14" t="str">
        <f>IF('Subject-Map-1'!E13="*  -&gt; ##34###34#","// --END",'Subject-Map-1'!E13)</f>
        <v>* maritalStatus -&gt; ##34#.maritalStatus##34#</v>
      </c>
    </row>
    <row r="44" spans="3:3" x14ac:dyDescent="0.75">
      <c r="C44" s="14" t="str">
        <f>IF('Subject-Map-1'!E14="*  -&gt; ##34###34#","// --END",'Subject-Map-1'!E14)</f>
        <v>* sexOrGender -&gt; ##34#.gender##34#</v>
      </c>
    </row>
    <row r="45" spans="3:3" x14ac:dyDescent="0.75">
      <c r="C45" s="14" t="str">
        <f>IF('Subject-Map-1'!E15="*  -&gt; ##34###34#","// --END",'Subject-Map-1'!E15)</f>
        <v>* sexOrGender -&gt; ##34#.extension('individual-recordedSexOrGender').value##34#</v>
      </c>
    </row>
    <row r="46" spans="3:3" x14ac:dyDescent="0.75">
      <c r="C46" s="14" t="str">
        <f>IF('Subject-Map-1'!E16="*  -&gt; ##34###34#","// --END",'Subject-Map-1'!E16)</f>
        <v>* sexOrGender -&gt; ##34#.extension('patient-sexForClinicalUse').value##34#</v>
      </c>
    </row>
    <row r="47" spans="3:3" x14ac:dyDescent="0.75">
      <c r="C47" s="14" t="str">
        <f>IF('Subject-Map-1'!E17="*  -&gt; ##34###34#","// --END",'Subject-Map-1'!E17)</f>
        <v>* race -&gt; ##34#to be mapped##34#</v>
      </c>
    </row>
    <row r="48" spans="3:3" x14ac:dyDescent="0.75">
      <c r="C48" s="14" t="str">
        <f>IF('Subject-Map-1'!E18="*  -&gt; ##34###34#","// --END",'Subject-Map-1'!E18)</f>
        <v>* countryOfResidence -&gt; ##34#.address.country##34#</v>
      </c>
    </row>
    <row r="49" spans="3:3" x14ac:dyDescent="0.75">
      <c r="C49" s="14" t="str">
        <f>IF('Subject-Map-1'!E19="*  -&gt; ##34###34#","// --END",'Subject-Map-1'!E19)</f>
        <v>// --END</v>
      </c>
    </row>
    <row r="50" spans="3:3" x14ac:dyDescent="0.75">
      <c r="C50" s="14" t="str">
        <f>IF('Subject-Map-1'!E20="*  -&gt; ##34###34#","// --END",'Subject-Map-1'!E20)</f>
        <v>// --END</v>
      </c>
    </row>
    <row r="51" spans="3:3" x14ac:dyDescent="0.75">
      <c r="C51" s="14" t="str">
        <f>IF('Subject-Map-1'!E21="*  -&gt; ##34###34#","// --END",'Subject-Map-1'!E21)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D6AE-01FF-44D5-9E6F-2CF1DEF6AF68}">
  <sheetPr codeName="Foglio43">
    <tabColor theme="9" tint="0.39997558519241921"/>
  </sheetPr>
  <dimension ref="A1:Q184"/>
  <sheetViews>
    <sheetView workbookViewId="0">
      <selection activeCell="J10" sqref="J10:J17"/>
    </sheetView>
  </sheetViews>
  <sheetFormatPr defaultRowHeight="14.75" x14ac:dyDescent="0.75"/>
  <cols>
    <col min="1" max="1" width="8.7265625" style="11"/>
    <col min="2" max="2" width="31.6796875" style="11" bestFit="1" customWidth="1"/>
    <col min="3" max="3" width="31.6796875" style="11" customWidth="1"/>
    <col min="4" max="4" width="41.6796875" style="12" customWidth="1"/>
    <col min="5" max="5" width="23.2265625" style="12" customWidth="1"/>
    <col min="6" max="6" width="29.1328125" style="11" customWidth="1"/>
    <col min="7" max="7" width="13.2265625" style="11" customWidth="1"/>
    <col min="8" max="8" width="46.76953125" style="12" bestFit="1" customWidth="1"/>
    <col min="9" max="9" width="44.953125" style="11" customWidth="1"/>
    <col min="10" max="12" width="29.1328125" style="11" customWidth="1"/>
    <col min="13" max="13" width="33.6796875" style="12" customWidth="1"/>
    <col min="14" max="16" width="28.90625" style="11" customWidth="1"/>
    <col min="17" max="17" width="72.81640625" style="11" customWidth="1"/>
    <col min="18" max="22" width="28.90625" style="11" customWidth="1"/>
    <col min="23" max="16384" width="8.7265625" style="11"/>
  </cols>
  <sheetData>
    <row r="1" spans="1:17" x14ac:dyDescent="0.75">
      <c r="B1" s="15"/>
      <c r="C1" s="15"/>
      <c r="D1" s="2"/>
      <c r="E1" s="2"/>
    </row>
    <row r="2" spans="1:17" x14ac:dyDescent="0.75">
      <c r="B2" s="15"/>
      <c r="C2" s="15"/>
      <c r="D2" s="2"/>
      <c r="E2" s="2"/>
    </row>
    <row r="3" spans="1:17" ht="45" thickBot="1" x14ac:dyDescent="0.9">
      <c r="B3" s="15"/>
      <c r="C3" s="15"/>
      <c r="D3" s="2"/>
      <c r="E3" s="2"/>
      <c r="H3" s="78" t="s">
        <v>1412</v>
      </c>
      <c r="I3" s="78" t="s">
        <v>1413</v>
      </c>
      <c r="J3" s="78" t="s">
        <v>1414</v>
      </c>
      <c r="K3" s="78" t="s">
        <v>1415</v>
      </c>
      <c r="L3" s="13" t="s">
        <v>1416</v>
      </c>
      <c r="N3" s="59" t="s">
        <v>1451</v>
      </c>
      <c r="O3" s="59">
        <v>5</v>
      </c>
    </row>
    <row r="4" spans="1:17" ht="15.5" thickBot="1" x14ac:dyDescent="0.9">
      <c r="B4" s="10" t="s">
        <v>18</v>
      </c>
      <c r="C4" s="34"/>
      <c r="E4" s="64"/>
      <c r="H4" s="14"/>
      <c r="I4" s="13"/>
      <c r="J4" s="13"/>
      <c r="K4" s="13"/>
      <c r="L4" s="13"/>
    </row>
    <row r="5" spans="1:17" ht="15.5" thickBot="1" x14ac:dyDescent="0.9">
      <c r="B5" s="10" t="s">
        <v>17</v>
      </c>
      <c r="C5" s="16"/>
      <c r="E5" s="65"/>
      <c r="H5" s="14"/>
      <c r="I5" s="13"/>
      <c r="J5" s="13"/>
      <c r="K5" s="13"/>
      <c r="L5" s="13"/>
    </row>
    <row r="6" spans="1:17" ht="15.5" thickBot="1" x14ac:dyDescent="0.9">
      <c r="B6" s="10" t="s">
        <v>11</v>
      </c>
      <c r="C6" s="7"/>
      <c r="E6" s="7"/>
      <c r="H6" s="21" t="s">
        <v>1454</v>
      </c>
      <c r="I6" s="79" t="s">
        <v>1455</v>
      </c>
      <c r="J6" s="21" t="s">
        <v>1452</v>
      </c>
      <c r="K6" s="79" t="s">
        <v>1453</v>
      </c>
      <c r="L6" s="73" t="s">
        <v>1447</v>
      </c>
    </row>
    <row r="7" spans="1:17" x14ac:dyDescent="0.75">
      <c r="B7" s="70" t="s">
        <v>19</v>
      </c>
      <c r="C7" s="66"/>
      <c r="E7" s="66"/>
      <c r="H7" s="14"/>
      <c r="I7" s="13"/>
      <c r="J7" s="13"/>
      <c r="K7" s="13"/>
      <c r="L7" s="13"/>
    </row>
    <row r="8" spans="1:17" x14ac:dyDescent="0.75">
      <c r="B8" s="72" t="s">
        <v>16</v>
      </c>
      <c r="C8" s="13"/>
      <c r="D8" s="14"/>
      <c r="E8" s="13"/>
      <c r="F8" s="73" t="s">
        <v>1447</v>
      </c>
      <c r="G8" s="76"/>
      <c r="H8" s="14"/>
      <c r="I8" s="13"/>
      <c r="J8" s="73"/>
      <c r="K8" s="73"/>
      <c r="L8" s="73"/>
    </row>
    <row r="9" spans="1:17" x14ac:dyDescent="0.75">
      <c r="A9" s="69"/>
      <c r="B9" s="6"/>
      <c r="C9" s="13"/>
      <c r="D9" s="6" t="s">
        <v>1406</v>
      </c>
      <c r="E9" s="6"/>
      <c r="F9" s="13"/>
      <c r="G9" s="15"/>
      <c r="H9" s="14"/>
      <c r="I9" s="13"/>
      <c r="J9" s="13"/>
      <c r="K9" s="13"/>
      <c r="L9" s="73"/>
    </row>
    <row r="10" spans="1:17" ht="44.25" x14ac:dyDescent="0.75">
      <c r="A10" s="69"/>
      <c r="B10" s="6" t="str">
        <f>Subject!B5</f>
        <v>Subject</v>
      </c>
      <c r="C10" s="6" t="str">
        <f>Subject!B6</f>
        <v>Subject of care</v>
      </c>
      <c r="D10" s="67" t="str">
        <f>ConvertOsiris!I2</f>
        <v>Patient</v>
      </c>
      <c r="E10" s="67" t="str">
        <f>ConvertOsiris!J2</f>
        <v>Patient</v>
      </c>
      <c r="F10" s="74" t="s">
        <v>1439</v>
      </c>
      <c r="G10" s="77"/>
      <c r="H10" s="14" t="str">
        <f>"* group[=].element[+].code = #"&amp;B10</f>
        <v>* group[=].element[+].code = #Subject</v>
      </c>
      <c r="I10" s="14" t="str">
        <f>"* group[=].element[=].display = ##34#"&amp;C10&amp;"##34#"</f>
        <v>* group[=].element[=].display = ##34#Subject of care##34#</v>
      </c>
      <c r="J10" s="14" t="str">
        <f>IF(F10="unmatched","//-- unmatched","* group[=].element[=].target.code = #"&amp;$D$9&amp;"."&amp;D10)</f>
        <v>* group[=].element[=].target.code = #Osiris.Patient</v>
      </c>
      <c r="K10" s="14" t="str">
        <f>IF(F10="unmatched","//-- unmatched","* group[=].element[=].target.display = ##34#"&amp;E10&amp;"##34#")</f>
        <v>* group[=].element[=].target.display = ##34#Patient##34#</v>
      </c>
      <c r="L10" s="14" t="str">
        <f>"* group[=].element[=].target.equivalence = #"&amp;F10</f>
        <v>* group[=].element[=].target.equivalence = #equivalent</v>
      </c>
      <c r="N10" s="13">
        <v>1</v>
      </c>
      <c r="O10" s="13">
        <f>IF(MOD(N10,$O$3)=0,N10/$O$3-1,INT(N10/$O$3))</f>
        <v>0</v>
      </c>
      <c r="P10" s="13">
        <f>IF(MOD(N10,$O$3)=0,$O$3,MOD(N10,$O$3))</f>
        <v>1</v>
      </c>
      <c r="Q10" s="14" t="str" cm="1">
        <f t="array" ref="Q10">INDEX('Subject-ConceptMap'!$H$10:$L$264,O10+1,P10)</f>
        <v>* group[=].element[+].code = #Subject</v>
      </c>
    </row>
    <row r="11" spans="1:17" ht="44.25" x14ac:dyDescent="0.75">
      <c r="A11" s="69"/>
      <c r="B11" s="13" t="str">
        <f>$B$10&amp;"."&amp;Subject!B8</f>
        <v>Subject.dateOfBirth</v>
      </c>
      <c r="C11" s="13" t="str">
        <f>Subject!C8</f>
        <v>Date of birth</v>
      </c>
      <c r="D11" s="13" t="str">
        <f>ConvertOsiris!I6</f>
        <v>Patient.BirthDate</v>
      </c>
      <c r="E11" s="13" t="str">
        <f>ConvertOsiris!J6</f>
        <v>Birth Date [C4]</v>
      </c>
      <c r="F11" s="74" t="s">
        <v>1417</v>
      </c>
      <c r="G11" s="77"/>
      <c r="H11" s="14" t="str">
        <f t="shared" ref="H11:H20" si="0">"* group[=].element[+].code = #"&amp;B11</f>
        <v>* group[=].element[+].code = #Subject.dateOfBirth</v>
      </c>
      <c r="I11" s="14" t="str">
        <f t="shared" ref="I11:I20" si="1">"* group[=].element[=].display = ##34#"&amp;C11&amp;"##34#"</f>
        <v>* group[=].element[=].display = ##34#Date of birth##34#</v>
      </c>
      <c r="J11" s="14" t="str">
        <f t="shared" ref="J11:J17" si="2">IF(F11="unmatched","//-- unmatched","* group[=].element[=].target.code = #"&amp;$D$9&amp;"."&amp;D11)</f>
        <v>* group[=].element[=].target.code = #Osiris.Patient.BirthDate</v>
      </c>
      <c r="K11" s="14" t="str">
        <f t="shared" ref="K11:K20" si="3">IF(F11="unmatched","//-- unmatched","* group[=].element[=].target.display = ##34#"&amp;E11&amp;"##34#")</f>
        <v>* group[=].element[=].target.display = ##34#Birth Date [C4]##34#</v>
      </c>
      <c r="L11" s="14" t="str">
        <f t="shared" ref="L11:L20" si="4">"* group[=].element[=].target.equivalence = #"&amp;F11</f>
        <v>* group[=].element[=].target.equivalence = #relatedto</v>
      </c>
      <c r="N11" s="13">
        <v>2</v>
      </c>
      <c r="O11" s="13">
        <f t="shared" ref="O11:O74" si="5">IF(MOD(N11,$O$3)=0,N11/$O$3-1,INT(N11/$O$3))</f>
        <v>0</v>
      </c>
      <c r="P11" s="13">
        <f t="shared" ref="P11:P74" si="6">IF(MOD(N11,$O$3)=0,$O$3,MOD(N11,$O$3))</f>
        <v>2</v>
      </c>
      <c r="Q11" s="14" t="str" cm="1">
        <f t="array" ref="Q11">INDEX('Subject-ConceptMap'!$H$10:$L$264,O11+1,P11)</f>
        <v>* group[=].element[=].display = ##34#Subject of care##34#</v>
      </c>
    </row>
    <row r="12" spans="1:17" ht="44.25" x14ac:dyDescent="0.75">
      <c r="A12" s="69"/>
      <c r="B12" s="13" t="str">
        <f>$B$10&amp;"."&amp;Subject!B9</f>
        <v>Subject.dateOfBirth.date</v>
      </c>
      <c r="C12" s="13" t="str">
        <f>Subject!C9</f>
        <v>Date of birth</v>
      </c>
      <c r="D12" s="13" t="str">
        <f>ConvertOsiris!I6</f>
        <v>Patient.BirthDate</v>
      </c>
      <c r="E12" s="13" t="str">
        <f>ConvertOsiris!J6</f>
        <v>Birth Date [C4]</v>
      </c>
      <c r="F12" s="74" t="s">
        <v>1439</v>
      </c>
      <c r="G12" s="77"/>
      <c r="H12" s="14" t="str">
        <f t="shared" si="0"/>
        <v>* group[=].element[+].code = #Subject.dateOfBirth.date</v>
      </c>
      <c r="I12" s="14" t="str">
        <f t="shared" si="1"/>
        <v>* group[=].element[=].display = ##34#Date of birth##34#</v>
      </c>
      <c r="J12" s="14" t="str">
        <f t="shared" si="2"/>
        <v>* group[=].element[=].target.code = #Osiris.Patient.BirthDate</v>
      </c>
      <c r="K12" s="14" t="str">
        <f t="shared" si="3"/>
        <v>* group[=].element[=].target.display = ##34#Birth Date [C4]##34#</v>
      </c>
      <c r="L12" s="14" t="str">
        <f t="shared" si="4"/>
        <v>* group[=].element[=].target.equivalence = #equivalent</v>
      </c>
      <c r="N12" s="13">
        <v>3</v>
      </c>
      <c r="O12" s="13">
        <f t="shared" si="5"/>
        <v>0</v>
      </c>
      <c r="P12" s="13">
        <f t="shared" si="6"/>
        <v>3</v>
      </c>
      <c r="Q12" s="14" t="str" cm="1">
        <f t="array" ref="Q12">INDEX('Subject-ConceptMap'!$H$10:$L$264,O12+1,P12)</f>
        <v>* group[=].element[=].target.code = #Osiris.Patient</v>
      </c>
    </row>
    <row r="13" spans="1:17" ht="44.25" x14ac:dyDescent="0.75">
      <c r="A13" s="69"/>
      <c r="B13" s="13" t="str">
        <f>$B$10&amp;"."&amp;Subject!B10</f>
        <v>Subject.dateOfBirth.unknown</v>
      </c>
      <c r="C13" s="13" t="str">
        <f>Subject!C10</f>
        <v>Date of birth day unknown</v>
      </c>
      <c r="D13" s="13"/>
      <c r="E13" s="13"/>
      <c r="F13" s="74" t="s">
        <v>1434</v>
      </c>
      <c r="G13" s="77"/>
      <c r="H13" s="14" t="str">
        <f t="shared" si="0"/>
        <v>* group[=].element[+].code = #Subject.dateOfBirth.unknown</v>
      </c>
      <c r="I13" s="14" t="str">
        <f t="shared" si="1"/>
        <v>* group[=].element[=].display = ##34#Date of birth day unknown##34#</v>
      </c>
      <c r="J13" s="14" t="str">
        <f t="shared" si="2"/>
        <v>//-- unmatched</v>
      </c>
      <c r="K13" s="14" t="str">
        <f t="shared" si="3"/>
        <v>//-- unmatched</v>
      </c>
      <c r="L13" s="14" t="str">
        <f t="shared" si="4"/>
        <v>* group[=].element[=].target.equivalence = #unmatched</v>
      </c>
      <c r="N13" s="13">
        <v>4</v>
      </c>
      <c r="O13" s="13">
        <f t="shared" si="5"/>
        <v>0</v>
      </c>
      <c r="P13" s="13">
        <f t="shared" si="6"/>
        <v>4</v>
      </c>
      <c r="Q13" s="14" t="str" cm="1">
        <f t="array" ref="Q13">INDEX('Subject-ConceptMap'!$H$10:$L$264,O13+1,P13)</f>
        <v>* group[=].element[=].target.display = ##34#Patient##34#</v>
      </c>
    </row>
    <row r="14" spans="1:17" ht="44.25" x14ac:dyDescent="0.75">
      <c r="A14" s="69"/>
      <c r="B14" s="13" t="str">
        <f>$B$10&amp;"."&amp;Subject!B11</f>
        <v>Subject.maritalStatus</v>
      </c>
      <c r="C14" s="13" t="str">
        <f>Subject!C11</f>
        <v>Marital status</v>
      </c>
      <c r="D14" s="13"/>
      <c r="E14" s="13"/>
      <c r="F14" s="74" t="s">
        <v>1434</v>
      </c>
      <c r="G14" s="77"/>
      <c r="H14" s="14" t="str">
        <f t="shared" si="0"/>
        <v>* group[=].element[+].code = #Subject.maritalStatus</v>
      </c>
      <c r="I14" s="14" t="str">
        <f t="shared" si="1"/>
        <v>* group[=].element[=].display = ##34#Marital status##34#</v>
      </c>
      <c r="J14" s="14" t="str">
        <f t="shared" si="2"/>
        <v>//-- unmatched</v>
      </c>
      <c r="K14" s="14" t="str">
        <f t="shared" si="3"/>
        <v>//-- unmatched</v>
      </c>
      <c r="L14" s="14" t="str">
        <f t="shared" si="4"/>
        <v>* group[=].element[=].target.equivalence = #unmatched</v>
      </c>
      <c r="N14" s="13">
        <v>5</v>
      </c>
      <c r="O14" s="13">
        <f t="shared" si="5"/>
        <v>0</v>
      </c>
      <c r="P14" s="13">
        <f t="shared" si="6"/>
        <v>5</v>
      </c>
      <c r="Q14" s="14" t="str" cm="1">
        <f t="array" ref="Q14">INDEX('Subject-ConceptMap'!$H$10:$L$264,O14+1,P14)</f>
        <v>* group[=].element[=].target.equivalence = #equivalent</v>
      </c>
    </row>
    <row r="15" spans="1:17" ht="44.25" x14ac:dyDescent="0.75">
      <c r="A15" s="69"/>
      <c r="B15" s="13" t="str">
        <f>$B$10&amp;"."&amp;Subject!B12</f>
        <v>Subject.sexOrGender</v>
      </c>
      <c r="C15" s="13" t="str">
        <f>Subject!C12</f>
        <v>Gender/Sex</v>
      </c>
      <c r="D15" s="13" t="str">
        <f>ConvertOsiris!I4</f>
        <v>Patient.Gender</v>
      </c>
      <c r="E15" s="13" t="str">
        <f>ConvertOsiris!J4</f>
        <v>Gender [C2]</v>
      </c>
      <c r="F15" s="74" t="s">
        <v>1443</v>
      </c>
      <c r="G15" s="77"/>
      <c r="H15" s="14" t="str">
        <f t="shared" si="0"/>
        <v>* group[=].element[+].code = #Subject.sexOrGender</v>
      </c>
      <c r="I15" s="14" t="str">
        <f t="shared" si="1"/>
        <v>* group[=].element[=].display = ##34#Gender/Sex##34#</v>
      </c>
      <c r="J15" s="14" t="str">
        <f t="shared" si="2"/>
        <v>* group[=].element[=].target.code = #Osiris.Patient.Gender</v>
      </c>
      <c r="K15" s="14" t="str">
        <f t="shared" si="3"/>
        <v>* group[=].element[=].target.display = ##34#Gender [C2]##34#</v>
      </c>
      <c r="L15" s="14" t="str">
        <f t="shared" si="4"/>
        <v>* group[=].element[=].target.equivalence = #narrower</v>
      </c>
      <c r="N15" s="13">
        <v>6</v>
      </c>
      <c r="O15" s="13">
        <f t="shared" si="5"/>
        <v>1</v>
      </c>
      <c r="P15" s="13">
        <f t="shared" si="6"/>
        <v>1</v>
      </c>
      <c r="Q15" s="14" t="str" cm="1">
        <f t="array" ref="Q15">INDEX('Subject-ConceptMap'!$H$10:$L$264,O15+1,P15)</f>
        <v>* group[=].element[+].code = #Subject.dateOfBirth</v>
      </c>
    </row>
    <row r="16" spans="1:17" ht="44.25" x14ac:dyDescent="0.75">
      <c r="A16" s="69"/>
      <c r="B16" s="13" t="str">
        <f>$B$10&amp;"."&amp;Subject!B13</f>
        <v>Subject.race</v>
      </c>
      <c r="C16" s="13" t="str">
        <f>Subject!C13</f>
        <v>Race</v>
      </c>
      <c r="D16" s="13" t="str">
        <f>ConvertOsiris!I5</f>
        <v>Patient.Ethnicity</v>
      </c>
      <c r="E16" s="13" t="str">
        <f>ConvertOsiris!J5</f>
        <v>Ethnicity [C3]</v>
      </c>
      <c r="F16" s="74" t="s">
        <v>1441</v>
      </c>
      <c r="G16" s="77"/>
      <c r="H16" s="14" t="str">
        <f t="shared" si="0"/>
        <v>* group[=].element[+].code = #Subject.race</v>
      </c>
      <c r="I16" s="14" t="str">
        <f t="shared" si="1"/>
        <v>* group[=].element[=].display = ##34#Race##34#</v>
      </c>
      <c r="J16" s="14" t="str">
        <f t="shared" si="2"/>
        <v>* group[=].element[=].target.code = #Osiris.Patient.Ethnicity</v>
      </c>
      <c r="K16" s="14" t="str">
        <f t="shared" si="3"/>
        <v>* group[=].element[=].target.display = ##34#Ethnicity [C3]##34#</v>
      </c>
      <c r="L16" s="14" t="str">
        <f t="shared" si="4"/>
        <v>* group[=].element[=].target.equivalence = #wider</v>
      </c>
      <c r="N16" s="13">
        <v>7</v>
      </c>
      <c r="O16" s="13">
        <f t="shared" si="5"/>
        <v>1</v>
      </c>
      <c r="P16" s="13">
        <f t="shared" si="6"/>
        <v>2</v>
      </c>
      <c r="Q16" s="14" t="str" cm="1">
        <f t="array" ref="Q16">INDEX('Subject-ConceptMap'!$H$10:$L$264,O16+1,P16)</f>
        <v>* group[=].element[=].display = ##34#Date of birth##34#</v>
      </c>
    </row>
    <row r="17" spans="1:17" ht="44.25" x14ac:dyDescent="0.75">
      <c r="A17" s="69"/>
      <c r="B17" s="13" t="str">
        <f>$B$10&amp;"."&amp;Subject!B14</f>
        <v>Subject.countryOfResidence</v>
      </c>
      <c r="C17" s="13" t="str">
        <f>Subject!C14</f>
        <v xml:space="preserve">Country of Residence </v>
      </c>
      <c r="D17" s="13"/>
      <c r="E17" s="14"/>
      <c r="F17" s="74" t="s">
        <v>1434</v>
      </c>
      <c r="G17" s="77"/>
      <c r="H17" s="14" t="str">
        <f t="shared" si="0"/>
        <v>* group[=].element[+].code = #Subject.countryOfResidence</v>
      </c>
      <c r="I17" s="14" t="str">
        <f t="shared" si="1"/>
        <v>* group[=].element[=].display = ##34#Country of Residence ##34#</v>
      </c>
      <c r="J17" s="14" t="str">
        <f t="shared" si="2"/>
        <v>//-- unmatched</v>
      </c>
      <c r="K17" s="14" t="str">
        <f t="shared" si="3"/>
        <v>//-- unmatched</v>
      </c>
      <c r="L17" s="14" t="str">
        <f t="shared" si="4"/>
        <v>* group[=].element[=].target.equivalence = #unmatched</v>
      </c>
      <c r="N17" s="13">
        <v>8</v>
      </c>
      <c r="O17" s="13">
        <f t="shared" si="5"/>
        <v>1</v>
      </c>
      <c r="P17" s="13">
        <f t="shared" si="6"/>
        <v>3</v>
      </c>
      <c r="Q17" s="14" t="str" cm="1">
        <f t="array" ref="Q17">INDEX('Subject-ConceptMap'!$H$10:$L$264,O17+1,P17)</f>
        <v>* group[=].element[=].target.code = #Osiris.Patient.BirthDate</v>
      </c>
    </row>
    <row r="18" spans="1:17" x14ac:dyDescent="0.75">
      <c r="A18" s="69"/>
      <c r="B18" s="13"/>
      <c r="C18" s="13"/>
      <c r="D18" s="13"/>
      <c r="E18" s="14"/>
      <c r="F18" s="74"/>
      <c r="G18" s="77"/>
      <c r="H18" s="14"/>
      <c r="I18" s="14"/>
      <c r="J18" s="14"/>
      <c r="K18" s="14"/>
      <c r="L18" s="14"/>
      <c r="N18" s="13">
        <v>9</v>
      </c>
      <c r="O18" s="13">
        <f t="shared" si="5"/>
        <v>1</v>
      </c>
      <c r="P18" s="13">
        <f t="shared" si="6"/>
        <v>4</v>
      </c>
      <c r="Q18" s="14" t="str" cm="1">
        <f t="array" ref="Q18">INDEX('Subject-ConceptMap'!$H$10:$L$264,O18+1,P18)</f>
        <v>* group[=].element[=].target.display = ##34#Birth Date [C4]##34#</v>
      </c>
    </row>
    <row r="19" spans="1:17" x14ac:dyDescent="0.75">
      <c r="B19" s="13"/>
      <c r="C19" s="13"/>
      <c r="D19" s="13"/>
      <c r="E19" s="14"/>
      <c r="F19" s="74"/>
      <c r="G19" s="77"/>
      <c r="H19" s="14"/>
      <c r="I19" s="14"/>
      <c r="J19" s="14"/>
      <c r="K19" s="14"/>
      <c r="L19" s="14"/>
      <c r="N19" s="13">
        <v>10</v>
      </c>
      <c r="O19" s="13">
        <f t="shared" si="5"/>
        <v>1</v>
      </c>
      <c r="P19" s="13">
        <f t="shared" si="6"/>
        <v>5</v>
      </c>
      <c r="Q19" s="14" t="str" cm="1">
        <f t="array" ref="Q19">INDEX('Subject-ConceptMap'!$H$10:$L$264,O19+1,P19)</f>
        <v>* group[=].element[=].target.equivalence = #relatedto</v>
      </c>
    </row>
    <row r="20" spans="1:17" x14ac:dyDescent="0.75">
      <c r="B20" s="13"/>
      <c r="C20" s="13"/>
      <c r="D20" s="13"/>
      <c r="E20" s="14"/>
      <c r="F20" s="74"/>
      <c r="G20" s="77"/>
      <c r="H20" s="14"/>
      <c r="I20" s="14"/>
      <c r="J20" s="14"/>
      <c r="K20" s="14"/>
      <c r="L20" s="14"/>
      <c r="N20" s="13">
        <v>11</v>
      </c>
      <c r="O20" s="13">
        <f t="shared" si="5"/>
        <v>2</v>
      </c>
      <c r="P20" s="13">
        <f t="shared" si="6"/>
        <v>1</v>
      </c>
      <c r="Q20" s="14" t="str" cm="1">
        <f t="array" ref="Q20">INDEX('Subject-ConceptMap'!$H$10:$L$264,O20+1,P20)</f>
        <v>* group[=].element[+].code = #Subject.dateOfBirth.date</v>
      </c>
    </row>
    <row r="21" spans="1:17" x14ac:dyDescent="0.75">
      <c r="B21" s="13"/>
      <c r="C21" s="13"/>
      <c r="D21" s="13"/>
      <c r="E21" s="14"/>
      <c r="F21" s="74"/>
      <c r="G21" s="77"/>
      <c r="J21" s="77"/>
      <c r="K21" s="77"/>
      <c r="L21" s="76"/>
      <c r="N21" s="13">
        <v>12</v>
      </c>
      <c r="O21" s="13">
        <f t="shared" si="5"/>
        <v>2</v>
      </c>
      <c r="P21" s="13">
        <f t="shared" si="6"/>
        <v>2</v>
      </c>
      <c r="Q21" s="14" t="str" cm="1">
        <f t="array" ref="Q21">INDEX('Subject-ConceptMap'!$H$10:$L$264,O21+1,P21)</f>
        <v>* group[=].element[=].display = ##34#Date of birth##34#</v>
      </c>
    </row>
    <row r="22" spans="1:17" x14ac:dyDescent="0.75">
      <c r="B22" s="13"/>
      <c r="C22" s="13"/>
      <c r="D22" s="13"/>
      <c r="E22" s="14"/>
      <c r="F22" s="74"/>
      <c r="G22" s="77"/>
      <c r="J22" s="77"/>
      <c r="K22" s="77"/>
      <c r="L22" s="76"/>
      <c r="N22" s="13">
        <v>13</v>
      </c>
      <c r="O22" s="13">
        <f t="shared" si="5"/>
        <v>2</v>
      </c>
      <c r="P22" s="13">
        <f t="shared" si="6"/>
        <v>3</v>
      </c>
      <c r="Q22" s="14" t="str" cm="1">
        <f t="array" ref="Q22">INDEX('Subject-ConceptMap'!$H$10:$L$264,O22+1,P22)</f>
        <v>* group[=].element[=].target.code = #Osiris.Patient.BirthDate</v>
      </c>
    </row>
    <row r="23" spans="1:17" x14ac:dyDescent="0.75">
      <c r="B23" s="13"/>
      <c r="C23" s="13"/>
      <c r="D23" s="13"/>
      <c r="E23" s="14"/>
      <c r="F23" s="74"/>
      <c r="G23" s="77"/>
      <c r="J23" s="77"/>
      <c r="K23" s="77"/>
      <c r="L23" s="76"/>
      <c r="N23" s="13">
        <v>14</v>
      </c>
      <c r="O23" s="13">
        <f t="shared" si="5"/>
        <v>2</v>
      </c>
      <c r="P23" s="13">
        <f t="shared" si="6"/>
        <v>4</v>
      </c>
      <c r="Q23" s="14" t="str" cm="1">
        <f t="array" ref="Q23">INDEX('Subject-ConceptMap'!$H$10:$L$264,O23+1,P23)</f>
        <v>* group[=].element[=].target.display = ##34#Birth Date [C4]##34#</v>
      </c>
    </row>
    <row r="24" spans="1:17" x14ac:dyDescent="0.75">
      <c r="B24" s="13"/>
      <c r="C24" s="13"/>
      <c r="D24" s="13"/>
      <c r="E24" s="14"/>
      <c r="F24" s="74"/>
      <c r="G24" s="77"/>
      <c r="J24" s="77"/>
      <c r="K24" s="77"/>
      <c r="L24" s="76"/>
      <c r="N24" s="13">
        <v>15</v>
      </c>
      <c r="O24" s="13">
        <f t="shared" si="5"/>
        <v>2</v>
      </c>
      <c r="P24" s="13">
        <f t="shared" si="6"/>
        <v>5</v>
      </c>
      <c r="Q24" s="14" t="str" cm="1">
        <f t="array" ref="Q24">INDEX('Subject-ConceptMap'!$H$10:$L$264,O24+1,P24)</f>
        <v>* group[=].element[=].target.equivalence = #equivalent</v>
      </c>
    </row>
    <row r="25" spans="1:17" x14ac:dyDescent="0.75">
      <c r="B25" s="13"/>
      <c r="C25" s="13"/>
      <c r="D25" s="13"/>
      <c r="E25" s="14"/>
      <c r="F25" s="74"/>
      <c r="G25" s="77"/>
      <c r="J25" s="77"/>
      <c r="K25" s="77"/>
      <c r="L25" s="76"/>
      <c r="N25" s="13">
        <v>16</v>
      </c>
      <c r="O25" s="13">
        <f t="shared" si="5"/>
        <v>3</v>
      </c>
      <c r="P25" s="13">
        <f t="shared" si="6"/>
        <v>1</v>
      </c>
      <c r="Q25" s="14" t="str" cm="1">
        <f t="array" ref="Q25">INDEX('Subject-ConceptMap'!$H$10:$L$264,O25+1,P25)</f>
        <v>* group[=].element[+].code = #Subject.dateOfBirth.unknown</v>
      </c>
    </row>
    <row r="26" spans="1:17" x14ac:dyDescent="0.75">
      <c r="B26" s="13"/>
      <c r="C26" s="13"/>
      <c r="D26" s="13"/>
      <c r="E26" s="14"/>
      <c r="F26" s="74"/>
      <c r="G26" s="77"/>
      <c r="J26" s="77"/>
      <c r="K26" s="77"/>
      <c r="L26" s="76"/>
      <c r="N26" s="13">
        <v>17</v>
      </c>
      <c r="O26" s="13">
        <f t="shared" si="5"/>
        <v>3</v>
      </c>
      <c r="P26" s="13">
        <f t="shared" si="6"/>
        <v>2</v>
      </c>
      <c r="Q26" s="14" t="str" cm="1">
        <f t="array" ref="Q26">INDEX('Subject-ConceptMap'!$H$10:$L$264,O26+1,P26)</f>
        <v>* group[=].element[=].display = ##34#Date of birth day unknown##34#</v>
      </c>
    </row>
    <row r="27" spans="1:17" x14ac:dyDescent="0.75">
      <c r="B27" s="13"/>
      <c r="C27" s="13"/>
      <c r="D27" s="13"/>
      <c r="E27" s="14"/>
      <c r="F27" s="74"/>
      <c r="G27" s="77"/>
      <c r="J27" s="77"/>
      <c r="K27" s="77"/>
      <c r="L27" s="76"/>
      <c r="N27" s="13">
        <v>18</v>
      </c>
      <c r="O27" s="13">
        <f t="shared" si="5"/>
        <v>3</v>
      </c>
      <c r="P27" s="13">
        <f t="shared" si="6"/>
        <v>3</v>
      </c>
      <c r="Q27" s="14" t="str" cm="1">
        <f t="array" ref="Q27">INDEX('Subject-ConceptMap'!$H$10:$L$264,O27+1,P27)</f>
        <v>//-- unmatched</v>
      </c>
    </row>
    <row r="28" spans="1:17" x14ac:dyDescent="0.75">
      <c r="B28" s="13"/>
      <c r="C28" s="13"/>
      <c r="D28" s="13"/>
      <c r="E28" s="14"/>
      <c r="F28" s="74"/>
      <c r="G28" s="77"/>
      <c r="J28" s="77"/>
      <c r="K28" s="77"/>
      <c r="L28" s="76"/>
      <c r="N28" s="13">
        <v>19</v>
      </c>
      <c r="O28" s="13">
        <f t="shared" si="5"/>
        <v>3</v>
      </c>
      <c r="P28" s="13">
        <f t="shared" si="6"/>
        <v>4</v>
      </c>
      <c r="Q28" s="14" t="str" cm="1">
        <f t="array" ref="Q28">INDEX('Subject-ConceptMap'!$H$10:$L$264,O28+1,P28)</f>
        <v>//-- unmatched</v>
      </c>
    </row>
    <row r="29" spans="1:17" x14ac:dyDescent="0.75">
      <c r="B29" s="13"/>
      <c r="C29" s="13"/>
      <c r="D29" s="13"/>
      <c r="E29" s="14"/>
      <c r="F29" s="74"/>
      <c r="G29" s="77"/>
      <c r="J29" s="77"/>
      <c r="K29" s="77"/>
      <c r="L29" s="76"/>
      <c r="N29" s="13">
        <v>20</v>
      </c>
      <c r="O29" s="13">
        <f t="shared" si="5"/>
        <v>3</v>
      </c>
      <c r="P29" s="13">
        <f t="shared" si="6"/>
        <v>5</v>
      </c>
      <c r="Q29" s="14" t="str" cm="1">
        <f t="array" ref="Q29">INDEX('Subject-ConceptMap'!$H$10:$L$264,O29+1,P29)</f>
        <v>* group[=].element[=].target.equivalence = #unmatched</v>
      </c>
    </row>
    <row r="30" spans="1:17" x14ac:dyDescent="0.75">
      <c r="B30" s="13"/>
      <c r="C30" s="13"/>
      <c r="D30" s="13"/>
      <c r="E30" s="14"/>
      <c r="F30" s="74"/>
      <c r="G30" s="77"/>
      <c r="J30" s="77"/>
      <c r="K30" s="77"/>
      <c r="L30" s="76"/>
      <c r="N30" s="13">
        <v>21</v>
      </c>
      <c r="O30" s="13">
        <f t="shared" si="5"/>
        <v>4</v>
      </c>
      <c r="P30" s="13">
        <f t="shared" si="6"/>
        <v>1</v>
      </c>
      <c r="Q30" s="14" t="str" cm="1">
        <f t="array" ref="Q30">INDEX('Subject-ConceptMap'!$H$10:$L$264,O30+1,P30)</f>
        <v>* group[=].element[+].code = #Subject.maritalStatus</v>
      </c>
    </row>
    <row r="31" spans="1:17" s="12" customFormat="1" x14ac:dyDescent="0.75">
      <c r="A31" s="11"/>
      <c r="B31" s="13"/>
      <c r="C31" s="13"/>
      <c r="D31" s="13"/>
      <c r="E31" s="14"/>
      <c r="F31" s="74"/>
      <c r="G31" s="77"/>
      <c r="I31" s="11"/>
      <c r="J31" s="77"/>
      <c r="K31" s="77"/>
      <c r="L31" s="76"/>
      <c r="N31" s="13">
        <v>22</v>
      </c>
      <c r="O31" s="13">
        <f t="shared" si="5"/>
        <v>4</v>
      </c>
      <c r="P31" s="13">
        <f t="shared" si="6"/>
        <v>2</v>
      </c>
      <c r="Q31" s="14" t="str" cm="1">
        <f t="array" ref="Q31">INDEX('Subject-ConceptMap'!$H$10:$L$264,O31+1,P31)</f>
        <v>* group[=].element[=].display = ##34#Marital status##34#</v>
      </c>
    </row>
    <row r="32" spans="1:17" s="12" customFormat="1" x14ac:dyDescent="0.75">
      <c r="A32" s="11"/>
      <c r="B32" s="71"/>
      <c r="C32" s="71"/>
      <c r="D32" s="71"/>
      <c r="F32" s="68"/>
      <c r="G32" s="68"/>
      <c r="I32" s="11"/>
      <c r="J32" s="68"/>
      <c r="K32" s="68"/>
      <c r="L32" s="76"/>
      <c r="N32" s="13">
        <v>23</v>
      </c>
      <c r="O32" s="13">
        <f t="shared" si="5"/>
        <v>4</v>
      </c>
      <c r="P32" s="13">
        <f t="shared" si="6"/>
        <v>3</v>
      </c>
      <c r="Q32" s="14" t="str" cm="1">
        <f t="array" ref="Q32">INDEX('Subject-ConceptMap'!$H$10:$L$264,O32+1,P32)</f>
        <v>//-- unmatched</v>
      </c>
    </row>
    <row r="33" spans="1:17" s="12" customFormat="1" x14ac:dyDescent="0.75">
      <c r="A33" s="11"/>
      <c r="B33" s="13"/>
      <c r="C33" s="13"/>
      <c r="F33" s="68"/>
      <c r="G33" s="68"/>
      <c r="I33" s="11"/>
      <c r="J33" s="68"/>
      <c r="K33" s="68"/>
      <c r="L33" s="76"/>
      <c r="N33" s="13">
        <v>24</v>
      </c>
      <c r="O33" s="13">
        <f t="shared" si="5"/>
        <v>4</v>
      </c>
      <c r="P33" s="13">
        <f t="shared" si="6"/>
        <v>4</v>
      </c>
      <c r="Q33" s="14" t="str" cm="1">
        <f t="array" ref="Q33">INDEX('Subject-ConceptMap'!$H$10:$L$264,O33+1,P33)</f>
        <v>//-- unmatched</v>
      </c>
    </row>
    <row r="34" spans="1:17" s="12" customFormat="1" x14ac:dyDescent="0.75">
      <c r="A34" s="11"/>
      <c r="B34" s="13"/>
      <c r="C34" s="15"/>
      <c r="F34" s="68"/>
      <c r="G34" s="68"/>
      <c r="I34" s="68"/>
      <c r="J34" s="68"/>
      <c r="K34" s="68"/>
      <c r="L34" s="76"/>
      <c r="N34" s="13">
        <v>25</v>
      </c>
      <c r="O34" s="13">
        <f t="shared" si="5"/>
        <v>4</v>
      </c>
      <c r="P34" s="13">
        <f t="shared" si="6"/>
        <v>5</v>
      </c>
      <c r="Q34" s="14" t="str" cm="1">
        <f t="array" ref="Q34">INDEX('Subject-ConceptMap'!$H$10:$L$264,O34+1,P34)</f>
        <v>* group[=].element[=].target.equivalence = #unmatched</v>
      </c>
    </row>
    <row r="35" spans="1:17" s="12" customFormat="1" x14ac:dyDescent="0.75">
      <c r="A35" s="11"/>
      <c r="B35" s="13"/>
      <c r="C35" s="15"/>
      <c r="F35" s="68"/>
      <c r="G35" s="68"/>
      <c r="I35" s="68"/>
      <c r="J35" s="68"/>
      <c r="K35" s="68"/>
      <c r="L35" s="76"/>
      <c r="N35" s="13">
        <v>26</v>
      </c>
      <c r="O35" s="13">
        <f t="shared" si="5"/>
        <v>5</v>
      </c>
      <c r="P35" s="13">
        <f t="shared" si="6"/>
        <v>1</v>
      </c>
      <c r="Q35" s="14" t="str" cm="1">
        <f t="array" ref="Q35">INDEX('Subject-ConceptMap'!$H$10:$L$264,O35+1,P35)</f>
        <v>* group[=].element[+].code = #Subject.sexOrGender</v>
      </c>
    </row>
    <row r="36" spans="1:17" s="12" customFormat="1" x14ac:dyDescent="0.75">
      <c r="A36" s="11"/>
      <c r="B36" s="13"/>
      <c r="C36" s="15"/>
      <c r="F36" s="68"/>
      <c r="G36" s="68"/>
      <c r="I36" s="68"/>
      <c r="J36" s="68"/>
      <c r="K36" s="68"/>
      <c r="L36" s="76"/>
      <c r="N36" s="13">
        <v>27</v>
      </c>
      <c r="O36" s="13">
        <f t="shared" si="5"/>
        <v>5</v>
      </c>
      <c r="P36" s="13">
        <f t="shared" si="6"/>
        <v>2</v>
      </c>
      <c r="Q36" s="14" t="str" cm="1">
        <f t="array" ref="Q36">INDEX('Subject-ConceptMap'!$H$10:$L$264,O36+1,P36)</f>
        <v>* group[=].element[=].display = ##34#Gender/Sex##34#</v>
      </c>
    </row>
    <row r="37" spans="1:17" s="12" customFormat="1" x14ac:dyDescent="0.75">
      <c r="A37" s="11"/>
      <c r="B37" s="13"/>
      <c r="C37" s="15"/>
      <c r="F37" s="68"/>
      <c r="G37" s="68"/>
      <c r="I37" s="68"/>
      <c r="J37" s="68"/>
      <c r="K37" s="68"/>
      <c r="L37" s="68"/>
      <c r="N37" s="13">
        <v>28</v>
      </c>
      <c r="O37" s="13">
        <f t="shared" si="5"/>
        <v>5</v>
      </c>
      <c r="P37" s="13">
        <f t="shared" si="6"/>
        <v>3</v>
      </c>
      <c r="Q37" s="14" t="str" cm="1">
        <f t="array" ref="Q37">INDEX('Subject-ConceptMap'!$H$10:$L$264,O37+1,P37)</f>
        <v>* group[=].element[=].target.code = #Osiris.Patient.Gender</v>
      </c>
    </row>
    <row r="38" spans="1:17" s="12" customFormat="1" x14ac:dyDescent="0.75">
      <c r="A38" s="11"/>
      <c r="B38" s="13"/>
      <c r="C38" s="15"/>
      <c r="F38" s="68"/>
      <c r="G38" s="68"/>
      <c r="I38" s="68"/>
      <c r="J38" s="68"/>
      <c r="K38" s="68"/>
      <c r="L38" s="68"/>
      <c r="N38" s="13">
        <v>29</v>
      </c>
      <c r="O38" s="13">
        <f t="shared" si="5"/>
        <v>5</v>
      </c>
      <c r="P38" s="13">
        <f t="shared" si="6"/>
        <v>4</v>
      </c>
      <c r="Q38" s="14" t="str" cm="1">
        <f t="array" ref="Q38">INDEX('Subject-ConceptMap'!$H$10:$L$264,O38+1,P38)</f>
        <v>* group[=].element[=].target.display = ##34#Gender [C2]##34#</v>
      </c>
    </row>
    <row r="39" spans="1:17" s="12" customFormat="1" x14ac:dyDescent="0.75">
      <c r="A39" s="11"/>
      <c r="B39" s="13"/>
      <c r="C39" s="15"/>
      <c r="F39" s="68"/>
      <c r="G39" s="68"/>
      <c r="I39" s="68"/>
      <c r="J39" s="68"/>
      <c r="K39" s="68"/>
      <c r="L39" s="68"/>
      <c r="N39" s="13">
        <v>30</v>
      </c>
      <c r="O39" s="13">
        <f t="shared" si="5"/>
        <v>5</v>
      </c>
      <c r="P39" s="13">
        <f t="shared" si="6"/>
        <v>5</v>
      </c>
      <c r="Q39" s="14" t="str" cm="1">
        <f t="array" ref="Q39">INDEX('Subject-ConceptMap'!$H$10:$L$264,O39+1,P39)</f>
        <v>* group[=].element[=].target.equivalence = #narrower</v>
      </c>
    </row>
    <row r="40" spans="1:17" s="12" customFormat="1" x14ac:dyDescent="0.75">
      <c r="A40" s="11"/>
      <c r="B40" s="13"/>
      <c r="C40" s="15"/>
      <c r="F40" s="68"/>
      <c r="G40" s="68"/>
      <c r="I40" s="68"/>
      <c r="J40" s="68"/>
      <c r="K40" s="68"/>
      <c r="L40" s="68"/>
      <c r="N40" s="13">
        <v>31</v>
      </c>
      <c r="O40" s="13">
        <f t="shared" si="5"/>
        <v>6</v>
      </c>
      <c r="P40" s="13">
        <f t="shared" si="6"/>
        <v>1</v>
      </c>
      <c r="Q40" s="14" t="str" cm="1">
        <f t="array" ref="Q40">INDEX('Subject-ConceptMap'!$H$10:$L$264,O40+1,P40)</f>
        <v>* group[=].element[+].code = #Subject.race</v>
      </c>
    </row>
    <row r="41" spans="1:17" s="12" customFormat="1" x14ac:dyDescent="0.75">
      <c r="A41" s="11"/>
      <c r="B41" s="13"/>
      <c r="C41" s="15"/>
      <c r="F41" s="68"/>
      <c r="G41" s="68"/>
      <c r="I41" s="68"/>
      <c r="J41" s="68"/>
      <c r="K41" s="68"/>
      <c r="L41" s="68"/>
      <c r="N41" s="13">
        <v>32</v>
      </c>
      <c r="O41" s="13">
        <f t="shared" si="5"/>
        <v>6</v>
      </c>
      <c r="P41" s="13">
        <f t="shared" si="6"/>
        <v>2</v>
      </c>
      <c r="Q41" s="14" t="str" cm="1">
        <f t="array" ref="Q41">INDEX('Subject-ConceptMap'!$H$10:$L$264,O41+1,P41)</f>
        <v>* group[=].element[=].display = ##34#Race##34#</v>
      </c>
    </row>
    <row r="42" spans="1:17" s="12" customFormat="1" x14ac:dyDescent="0.75">
      <c r="A42" s="11"/>
      <c r="B42" s="13"/>
      <c r="C42" s="15"/>
      <c r="F42" s="68"/>
      <c r="G42" s="68"/>
      <c r="I42" s="68"/>
      <c r="J42" s="68"/>
      <c r="K42" s="68"/>
      <c r="L42" s="68"/>
      <c r="N42" s="13">
        <v>33</v>
      </c>
      <c r="O42" s="13">
        <f t="shared" si="5"/>
        <v>6</v>
      </c>
      <c r="P42" s="13">
        <f t="shared" si="6"/>
        <v>3</v>
      </c>
      <c r="Q42" s="14" t="str" cm="1">
        <f t="array" ref="Q42">INDEX('Subject-ConceptMap'!$H$10:$L$264,O42+1,P42)</f>
        <v>* group[=].element[=].target.code = #Osiris.Patient.Ethnicity</v>
      </c>
    </row>
    <row r="43" spans="1:17" x14ac:dyDescent="0.75">
      <c r="F43" s="68"/>
      <c r="G43" s="68"/>
      <c r="I43" s="68"/>
      <c r="J43" s="68"/>
      <c r="K43" s="68"/>
      <c r="L43" s="68"/>
      <c r="N43" s="13">
        <v>34</v>
      </c>
      <c r="O43" s="13">
        <f t="shared" si="5"/>
        <v>6</v>
      </c>
      <c r="P43" s="13">
        <f t="shared" si="6"/>
        <v>4</v>
      </c>
      <c r="Q43" s="14" t="str" cm="1">
        <f t="array" ref="Q43">INDEX('Subject-ConceptMap'!$H$10:$L$264,O43+1,P43)</f>
        <v>* group[=].element[=].target.display = ##34#Ethnicity [C3]##34#</v>
      </c>
    </row>
    <row r="44" spans="1:17" x14ac:dyDescent="0.75">
      <c r="F44" s="68"/>
      <c r="G44" s="68"/>
      <c r="I44" s="68"/>
      <c r="J44" s="68"/>
      <c r="K44" s="68"/>
      <c r="L44" s="68"/>
      <c r="N44" s="13">
        <v>35</v>
      </c>
      <c r="O44" s="13">
        <f t="shared" si="5"/>
        <v>6</v>
      </c>
      <c r="P44" s="13">
        <f t="shared" si="6"/>
        <v>5</v>
      </c>
      <c r="Q44" s="14" t="str" cm="1">
        <f t="array" ref="Q44">INDEX('Subject-ConceptMap'!$H$10:$L$264,O44+1,P44)</f>
        <v>* group[=].element[=].target.equivalence = #wider</v>
      </c>
    </row>
    <row r="45" spans="1:17" x14ac:dyDescent="0.75">
      <c r="F45" s="68"/>
      <c r="G45" s="68"/>
      <c r="I45" s="68"/>
      <c r="J45" s="68"/>
      <c r="K45" s="68"/>
      <c r="L45" s="68"/>
      <c r="N45" s="13">
        <v>36</v>
      </c>
      <c r="O45" s="13">
        <f t="shared" si="5"/>
        <v>7</v>
      </c>
      <c r="P45" s="13">
        <f t="shared" si="6"/>
        <v>1</v>
      </c>
      <c r="Q45" s="14" t="str" cm="1">
        <f t="array" ref="Q45">INDEX('Subject-ConceptMap'!$H$10:$L$264,O45+1,P45)</f>
        <v>* group[=].element[+].code = #Subject.countryOfResidence</v>
      </c>
    </row>
    <row r="46" spans="1:17" x14ac:dyDescent="0.75">
      <c r="F46" s="68"/>
      <c r="G46" s="68"/>
      <c r="I46" s="68"/>
      <c r="J46" s="68"/>
      <c r="K46" s="68"/>
      <c r="L46" s="68"/>
      <c r="N46" s="13">
        <v>37</v>
      </c>
      <c r="O46" s="13">
        <f t="shared" si="5"/>
        <v>7</v>
      </c>
      <c r="P46" s="13">
        <f t="shared" si="6"/>
        <v>2</v>
      </c>
      <c r="Q46" s="14" t="str" cm="1">
        <f t="array" ref="Q46">INDEX('Subject-ConceptMap'!$H$10:$L$264,O46+1,P46)</f>
        <v>* group[=].element[=].display = ##34#Country of Residence ##34#</v>
      </c>
    </row>
    <row r="47" spans="1:17" x14ac:dyDescent="0.75">
      <c r="B47" s="57" t="s">
        <v>1412</v>
      </c>
      <c r="C47" s="57" t="s">
        <v>1413</v>
      </c>
      <c r="D47" s="57" t="s">
        <v>1414</v>
      </c>
      <c r="E47" s="57" t="s">
        <v>1415</v>
      </c>
      <c r="N47" s="13">
        <v>38</v>
      </c>
      <c r="O47" s="13">
        <f t="shared" si="5"/>
        <v>7</v>
      </c>
      <c r="P47" s="13">
        <f t="shared" si="6"/>
        <v>3</v>
      </c>
      <c r="Q47" s="14" t="str" cm="1">
        <f t="array" ref="Q47">INDEX('Subject-ConceptMap'!$H$10:$L$264,O47+1,P47)</f>
        <v>//-- unmatched</v>
      </c>
    </row>
    <row r="48" spans="1:17" x14ac:dyDescent="0.75">
      <c r="N48" s="13">
        <v>39</v>
      </c>
      <c r="O48" s="13">
        <f t="shared" si="5"/>
        <v>7</v>
      </c>
      <c r="P48" s="13">
        <f t="shared" si="6"/>
        <v>4</v>
      </c>
      <c r="Q48" s="14" t="str" cm="1">
        <f t="array" ref="Q48">INDEX('Subject-ConceptMap'!$H$10:$L$264,O48+1,P48)</f>
        <v>//-- unmatched</v>
      </c>
    </row>
    <row r="49" spans="14:17" x14ac:dyDescent="0.75">
      <c r="N49" s="13">
        <v>40</v>
      </c>
      <c r="O49" s="13">
        <f t="shared" si="5"/>
        <v>7</v>
      </c>
      <c r="P49" s="13">
        <f t="shared" si="6"/>
        <v>5</v>
      </c>
      <c r="Q49" s="14" t="str" cm="1">
        <f t="array" ref="Q49">INDEX('Subject-ConceptMap'!$H$10:$L$264,O49+1,P49)</f>
        <v>* group[=].element[=].target.equivalence = #unmatched</v>
      </c>
    </row>
    <row r="50" spans="14:17" x14ac:dyDescent="0.75">
      <c r="N50" s="13">
        <v>41</v>
      </c>
      <c r="O50" s="13">
        <f t="shared" si="5"/>
        <v>8</v>
      </c>
      <c r="P50" s="13">
        <f t="shared" si="6"/>
        <v>1</v>
      </c>
      <c r="Q50" s="14" cm="1">
        <f t="array" ref="Q50">INDEX('Subject-ConceptMap'!$H$10:$L$264,O50+1,P50)</f>
        <v>0</v>
      </c>
    </row>
    <row r="51" spans="14:17" x14ac:dyDescent="0.75">
      <c r="N51" s="13">
        <v>42</v>
      </c>
      <c r="O51" s="13">
        <f t="shared" si="5"/>
        <v>8</v>
      </c>
      <c r="P51" s="13">
        <f t="shared" si="6"/>
        <v>2</v>
      </c>
      <c r="Q51" s="14" cm="1">
        <f t="array" ref="Q51">INDEX('Subject-ConceptMap'!$H$10:$L$264,O51+1,P51)</f>
        <v>0</v>
      </c>
    </row>
    <row r="52" spans="14:17" x14ac:dyDescent="0.75">
      <c r="N52" s="13">
        <v>43</v>
      </c>
      <c r="O52" s="13">
        <f t="shared" si="5"/>
        <v>8</v>
      </c>
      <c r="P52" s="13">
        <f t="shared" si="6"/>
        <v>3</v>
      </c>
      <c r="Q52" s="14" cm="1">
        <f t="array" ref="Q52">INDEX('Subject-ConceptMap'!$H$10:$L$264,O52+1,P52)</f>
        <v>0</v>
      </c>
    </row>
    <row r="53" spans="14:17" x14ac:dyDescent="0.75">
      <c r="N53" s="13">
        <v>44</v>
      </c>
      <c r="O53" s="13">
        <f t="shared" si="5"/>
        <v>8</v>
      </c>
      <c r="P53" s="13">
        <f t="shared" si="6"/>
        <v>4</v>
      </c>
      <c r="Q53" s="14" cm="1">
        <f t="array" ref="Q53">INDEX('Subject-ConceptMap'!$H$10:$L$264,O53+1,P53)</f>
        <v>0</v>
      </c>
    </row>
    <row r="54" spans="14:17" x14ac:dyDescent="0.75">
      <c r="N54" s="13">
        <v>45</v>
      </c>
      <c r="O54" s="13">
        <f t="shared" si="5"/>
        <v>8</v>
      </c>
      <c r="P54" s="13">
        <f t="shared" si="6"/>
        <v>5</v>
      </c>
      <c r="Q54" s="14" cm="1">
        <f t="array" ref="Q54">INDEX('Subject-ConceptMap'!$H$10:$L$264,O54+1,P54)</f>
        <v>0</v>
      </c>
    </row>
    <row r="55" spans="14:17" x14ac:dyDescent="0.75">
      <c r="N55" s="13">
        <v>46</v>
      </c>
      <c r="O55" s="13">
        <f t="shared" si="5"/>
        <v>9</v>
      </c>
      <c r="P55" s="13">
        <f t="shared" si="6"/>
        <v>1</v>
      </c>
      <c r="Q55" s="14" cm="1">
        <f t="array" ref="Q55">INDEX('Subject-ConceptMap'!$H$10:$L$264,O55+1,P55)</f>
        <v>0</v>
      </c>
    </row>
    <row r="56" spans="14:17" x14ac:dyDescent="0.75">
      <c r="N56" s="13">
        <v>47</v>
      </c>
      <c r="O56" s="13">
        <f t="shared" si="5"/>
        <v>9</v>
      </c>
      <c r="P56" s="13">
        <f t="shared" si="6"/>
        <v>2</v>
      </c>
      <c r="Q56" s="14" cm="1">
        <f t="array" ref="Q56">INDEX('Subject-ConceptMap'!$H$10:$L$264,O56+1,P56)</f>
        <v>0</v>
      </c>
    </row>
    <row r="57" spans="14:17" x14ac:dyDescent="0.75">
      <c r="N57" s="13">
        <v>48</v>
      </c>
      <c r="O57" s="13">
        <f t="shared" si="5"/>
        <v>9</v>
      </c>
      <c r="P57" s="13">
        <f t="shared" si="6"/>
        <v>3</v>
      </c>
      <c r="Q57" s="14" cm="1">
        <f t="array" ref="Q57">INDEX('Subject-ConceptMap'!$H$10:$L$264,O57+1,P57)</f>
        <v>0</v>
      </c>
    </row>
    <row r="58" spans="14:17" x14ac:dyDescent="0.75">
      <c r="N58" s="13">
        <v>49</v>
      </c>
      <c r="O58" s="13">
        <f t="shared" si="5"/>
        <v>9</v>
      </c>
      <c r="P58" s="13">
        <f t="shared" si="6"/>
        <v>4</v>
      </c>
      <c r="Q58" s="14" cm="1">
        <f t="array" ref="Q58">INDEX('Subject-ConceptMap'!$H$10:$L$264,O58+1,P58)</f>
        <v>0</v>
      </c>
    </row>
    <row r="59" spans="14:17" x14ac:dyDescent="0.75">
      <c r="N59" s="13">
        <v>50</v>
      </c>
      <c r="O59" s="13">
        <f t="shared" si="5"/>
        <v>9</v>
      </c>
      <c r="P59" s="13">
        <f t="shared" si="6"/>
        <v>5</v>
      </c>
      <c r="Q59" s="14" cm="1">
        <f t="array" ref="Q59">INDEX('Subject-ConceptMap'!$H$10:$L$264,O59+1,P59)</f>
        <v>0</v>
      </c>
    </row>
    <row r="60" spans="14:17" x14ac:dyDescent="0.75">
      <c r="N60" s="13">
        <v>51</v>
      </c>
      <c r="O60" s="13">
        <f t="shared" si="5"/>
        <v>10</v>
      </c>
      <c r="P60" s="13">
        <f t="shared" si="6"/>
        <v>1</v>
      </c>
      <c r="Q60" s="14" cm="1">
        <f t="array" ref="Q60">INDEX('Subject-ConceptMap'!$H$10:$L$264,O60+1,P60)</f>
        <v>0</v>
      </c>
    </row>
    <row r="61" spans="14:17" x14ac:dyDescent="0.75">
      <c r="N61" s="13">
        <v>52</v>
      </c>
      <c r="O61" s="13">
        <f t="shared" si="5"/>
        <v>10</v>
      </c>
      <c r="P61" s="13">
        <f t="shared" si="6"/>
        <v>2</v>
      </c>
      <c r="Q61" s="14" cm="1">
        <f t="array" ref="Q61">INDEX('Subject-ConceptMap'!$H$10:$L$264,O61+1,P61)</f>
        <v>0</v>
      </c>
    </row>
    <row r="62" spans="14:17" x14ac:dyDescent="0.75">
      <c r="N62" s="13">
        <v>53</v>
      </c>
      <c r="O62" s="13">
        <f t="shared" si="5"/>
        <v>10</v>
      </c>
      <c r="P62" s="13">
        <f t="shared" si="6"/>
        <v>3</v>
      </c>
      <c r="Q62" s="14" cm="1">
        <f t="array" ref="Q62">INDEX('Subject-ConceptMap'!$H$10:$L$264,O62+1,P62)</f>
        <v>0</v>
      </c>
    </row>
    <row r="63" spans="14:17" x14ac:dyDescent="0.75">
      <c r="N63" s="13">
        <v>54</v>
      </c>
      <c r="O63" s="13">
        <f t="shared" si="5"/>
        <v>10</v>
      </c>
      <c r="P63" s="13">
        <f t="shared" si="6"/>
        <v>4</v>
      </c>
      <c r="Q63" s="14" cm="1">
        <f t="array" ref="Q63">INDEX('Subject-ConceptMap'!$H$10:$L$264,O63+1,P63)</f>
        <v>0</v>
      </c>
    </row>
    <row r="64" spans="14:17" x14ac:dyDescent="0.75">
      <c r="N64" s="13">
        <v>55</v>
      </c>
      <c r="O64" s="13">
        <f t="shared" si="5"/>
        <v>10</v>
      </c>
      <c r="P64" s="13">
        <f t="shared" si="6"/>
        <v>5</v>
      </c>
      <c r="Q64" s="14" cm="1">
        <f t="array" ref="Q64">INDEX('Subject-ConceptMap'!$H$10:$L$264,O64+1,P64)</f>
        <v>0</v>
      </c>
    </row>
    <row r="65" spans="14:17" x14ac:dyDescent="0.75">
      <c r="N65" s="13">
        <v>56</v>
      </c>
      <c r="O65" s="13">
        <f t="shared" si="5"/>
        <v>11</v>
      </c>
      <c r="P65" s="13">
        <f t="shared" si="6"/>
        <v>1</v>
      </c>
      <c r="Q65" s="14" cm="1">
        <f t="array" ref="Q65">INDEX('Subject-ConceptMap'!$H$10:$L$264,O65+1,P65)</f>
        <v>0</v>
      </c>
    </row>
    <row r="66" spans="14:17" x14ac:dyDescent="0.75">
      <c r="N66" s="13">
        <v>57</v>
      </c>
      <c r="O66" s="13">
        <f t="shared" si="5"/>
        <v>11</v>
      </c>
      <c r="P66" s="13">
        <f t="shared" si="6"/>
        <v>2</v>
      </c>
      <c r="Q66" s="14" cm="1">
        <f t="array" ref="Q66">INDEX('Subject-ConceptMap'!$H$10:$L$264,O66+1,P66)</f>
        <v>0</v>
      </c>
    </row>
    <row r="67" spans="14:17" x14ac:dyDescent="0.75">
      <c r="N67" s="13">
        <v>58</v>
      </c>
      <c r="O67" s="13">
        <f t="shared" si="5"/>
        <v>11</v>
      </c>
      <c r="P67" s="13">
        <f t="shared" si="6"/>
        <v>3</v>
      </c>
      <c r="Q67" s="14" cm="1">
        <f t="array" ref="Q67">INDEX('Subject-ConceptMap'!$H$10:$L$264,O67+1,P67)</f>
        <v>0</v>
      </c>
    </row>
    <row r="68" spans="14:17" x14ac:dyDescent="0.75">
      <c r="N68" s="13">
        <v>59</v>
      </c>
      <c r="O68" s="13">
        <f t="shared" si="5"/>
        <v>11</v>
      </c>
      <c r="P68" s="13">
        <f t="shared" si="6"/>
        <v>4</v>
      </c>
      <c r="Q68" s="14" cm="1">
        <f t="array" ref="Q68">INDEX('Subject-ConceptMap'!$H$10:$L$264,O68+1,P68)</f>
        <v>0</v>
      </c>
    </row>
    <row r="69" spans="14:17" x14ac:dyDescent="0.75">
      <c r="N69" s="13">
        <v>60</v>
      </c>
      <c r="O69" s="13">
        <f t="shared" si="5"/>
        <v>11</v>
      </c>
      <c r="P69" s="13">
        <f t="shared" si="6"/>
        <v>5</v>
      </c>
      <c r="Q69" s="14" cm="1">
        <f t="array" ref="Q69">INDEX('Subject-ConceptMap'!$H$10:$L$264,O69+1,P69)</f>
        <v>0</v>
      </c>
    </row>
    <row r="70" spans="14:17" x14ac:dyDescent="0.75">
      <c r="N70" s="13">
        <v>61</v>
      </c>
      <c r="O70" s="13">
        <f t="shared" si="5"/>
        <v>12</v>
      </c>
      <c r="P70" s="13">
        <f t="shared" si="6"/>
        <v>1</v>
      </c>
      <c r="Q70" s="14" cm="1">
        <f t="array" ref="Q70">INDEX('Subject-ConceptMap'!$H$10:$L$264,O70+1,P70)</f>
        <v>0</v>
      </c>
    </row>
    <row r="71" spans="14:17" x14ac:dyDescent="0.75">
      <c r="N71" s="13">
        <v>62</v>
      </c>
      <c r="O71" s="13">
        <f t="shared" si="5"/>
        <v>12</v>
      </c>
      <c r="P71" s="13">
        <f t="shared" si="6"/>
        <v>2</v>
      </c>
      <c r="Q71" s="14" cm="1">
        <f t="array" ref="Q71">INDEX('Subject-ConceptMap'!$H$10:$L$264,O71+1,P71)</f>
        <v>0</v>
      </c>
    </row>
    <row r="72" spans="14:17" x14ac:dyDescent="0.75">
      <c r="N72" s="13">
        <v>63</v>
      </c>
      <c r="O72" s="13">
        <f t="shared" si="5"/>
        <v>12</v>
      </c>
      <c r="P72" s="13">
        <f t="shared" si="6"/>
        <v>3</v>
      </c>
      <c r="Q72" s="14" cm="1">
        <f t="array" ref="Q72">INDEX('Subject-ConceptMap'!$H$10:$L$264,O72+1,P72)</f>
        <v>0</v>
      </c>
    </row>
    <row r="73" spans="14:17" x14ac:dyDescent="0.75">
      <c r="N73" s="13">
        <v>64</v>
      </c>
      <c r="O73" s="13">
        <f t="shared" si="5"/>
        <v>12</v>
      </c>
      <c r="P73" s="13">
        <f t="shared" si="6"/>
        <v>4</v>
      </c>
      <c r="Q73" s="14" cm="1">
        <f t="array" ref="Q73">INDEX('Subject-ConceptMap'!$H$10:$L$264,O73+1,P73)</f>
        <v>0</v>
      </c>
    </row>
    <row r="74" spans="14:17" x14ac:dyDescent="0.75">
      <c r="N74" s="13">
        <v>65</v>
      </c>
      <c r="O74" s="13">
        <f t="shared" si="5"/>
        <v>12</v>
      </c>
      <c r="P74" s="13">
        <f t="shared" si="6"/>
        <v>5</v>
      </c>
      <c r="Q74" s="14" cm="1">
        <f t="array" ref="Q74">INDEX('Subject-ConceptMap'!$H$10:$L$264,O74+1,P74)</f>
        <v>0</v>
      </c>
    </row>
    <row r="75" spans="14:17" x14ac:dyDescent="0.75">
      <c r="N75" s="13">
        <v>66</v>
      </c>
      <c r="O75" s="13">
        <f t="shared" ref="O75:O138" si="7">IF(MOD(N75,$O$3)=0,N75/$O$3-1,INT(N75/$O$3))</f>
        <v>13</v>
      </c>
      <c r="P75" s="13">
        <f t="shared" ref="P75:P138" si="8">IF(MOD(N75,$O$3)=0,$O$3,MOD(N75,$O$3))</f>
        <v>1</v>
      </c>
      <c r="Q75" s="14" cm="1">
        <f t="array" ref="Q75">INDEX('Subject-ConceptMap'!$H$10:$L$264,O75+1,P75)</f>
        <v>0</v>
      </c>
    </row>
    <row r="76" spans="14:17" x14ac:dyDescent="0.75">
      <c r="N76" s="13">
        <v>67</v>
      </c>
      <c r="O76" s="13">
        <f t="shared" si="7"/>
        <v>13</v>
      </c>
      <c r="P76" s="13">
        <f t="shared" si="8"/>
        <v>2</v>
      </c>
      <c r="Q76" s="14" cm="1">
        <f t="array" ref="Q76">INDEX('Subject-ConceptMap'!$H$10:$L$264,O76+1,P76)</f>
        <v>0</v>
      </c>
    </row>
    <row r="77" spans="14:17" x14ac:dyDescent="0.75">
      <c r="N77" s="13">
        <v>68</v>
      </c>
      <c r="O77" s="13">
        <f t="shared" si="7"/>
        <v>13</v>
      </c>
      <c r="P77" s="13">
        <f t="shared" si="8"/>
        <v>3</v>
      </c>
      <c r="Q77" s="14" cm="1">
        <f t="array" ref="Q77">INDEX('Subject-ConceptMap'!$H$10:$L$264,O77+1,P77)</f>
        <v>0</v>
      </c>
    </row>
    <row r="78" spans="14:17" x14ac:dyDescent="0.75">
      <c r="N78" s="13">
        <v>69</v>
      </c>
      <c r="O78" s="13">
        <f t="shared" si="7"/>
        <v>13</v>
      </c>
      <c r="P78" s="13">
        <f t="shared" si="8"/>
        <v>4</v>
      </c>
      <c r="Q78" s="14" cm="1">
        <f t="array" ref="Q78">INDEX('Subject-ConceptMap'!$H$10:$L$264,O78+1,P78)</f>
        <v>0</v>
      </c>
    </row>
    <row r="79" spans="14:17" x14ac:dyDescent="0.75">
      <c r="N79" s="13">
        <v>70</v>
      </c>
      <c r="O79" s="13">
        <f t="shared" si="7"/>
        <v>13</v>
      </c>
      <c r="P79" s="13">
        <f t="shared" si="8"/>
        <v>5</v>
      </c>
      <c r="Q79" s="14" cm="1">
        <f t="array" ref="Q79">INDEX('Subject-ConceptMap'!$H$10:$L$264,O79+1,P79)</f>
        <v>0</v>
      </c>
    </row>
    <row r="80" spans="14:17" x14ac:dyDescent="0.75">
      <c r="N80" s="13">
        <v>71</v>
      </c>
      <c r="O80" s="13">
        <f t="shared" si="7"/>
        <v>14</v>
      </c>
      <c r="P80" s="13">
        <f t="shared" si="8"/>
        <v>1</v>
      </c>
      <c r="Q80" s="14" cm="1">
        <f t="array" ref="Q80">INDEX('Subject-ConceptMap'!$H$10:$L$264,O80+1,P80)</f>
        <v>0</v>
      </c>
    </row>
    <row r="81" spans="14:17" x14ac:dyDescent="0.75">
      <c r="N81" s="13">
        <v>72</v>
      </c>
      <c r="O81" s="13">
        <f t="shared" si="7"/>
        <v>14</v>
      </c>
      <c r="P81" s="13">
        <f t="shared" si="8"/>
        <v>2</v>
      </c>
      <c r="Q81" s="14" cm="1">
        <f t="array" ref="Q81">INDEX('Subject-ConceptMap'!$H$10:$L$264,O81+1,P81)</f>
        <v>0</v>
      </c>
    </row>
    <row r="82" spans="14:17" x14ac:dyDescent="0.75">
      <c r="N82" s="13">
        <v>73</v>
      </c>
      <c r="O82" s="13">
        <f t="shared" si="7"/>
        <v>14</v>
      </c>
      <c r="P82" s="13">
        <f t="shared" si="8"/>
        <v>3</v>
      </c>
      <c r="Q82" s="14" cm="1">
        <f t="array" ref="Q82">INDEX('Subject-ConceptMap'!$H$10:$L$264,O82+1,P82)</f>
        <v>0</v>
      </c>
    </row>
    <row r="83" spans="14:17" x14ac:dyDescent="0.75">
      <c r="N83" s="13">
        <v>74</v>
      </c>
      <c r="O83" s="13">
        <f t="shared" si="7"/>
        <v>14</v>
      </c>
      <c r="P83" s="13">
        <f t="shared" si="8"/>
        <v>4</v>
      </c>
      <c r="Q83" s="14" cm="1">
        <f t="array" ref="Q83">INDEX('Subject-ConceptMap'!$H$10:$L$264,O83+1,P83)</f>
        <v>0</v>
      </c>
    </row>
    <row r="84" spans="14:17" x14ac:dyDescent="0.75">
      <c r="N84" s="13">
        <v>75</v>
      </c>
      <c r="O84" s="13">
        <f t="shared" si="7"/>
        <v>14</v>
      </c>
      <c r="P84" s="13">
        <f t="shared" si="8"/>
        <v>5</v>
      </c>
      <c r="Q84" s="14" cm="1">
        <f t="array" ref="Q84">INDEX('Subject-ConceptMap'!$H$10:$L$264,O84+1,P84)</f>
        <v>0</v>
      </c>
    </row>
    <row r="85" spans="14:17" x14ac:dyDescent="0.75">
      <c r="N85" s="13">
        <v>76</v>
      </c>
      <c r="O85" s="13">
        <f t="shared" si="7"/>
        <v>15</v>
      </c>
      <c r="P85" s="13">
        <f t="shared" si="8"/>
        <v>1</v>
      </c>
      <c r="Q85" s="14" cm="1">
        <f t="array" ref="Q85">INDEX('Subject-ConceptMap'!$H$10:$L$264,O85+1,P85)</f>
        <v>0</v>
      </c>
    </row>
    <row r="86" spans="14:17" x14ac:dyDescent="0.75">
      <c r="N86" s="13">
        <v>77</v>
      </c>
      <c r="O86" s="13">
        <f t="shared" si="7"/>
        <v>15</v>
      </c>
      <c r="P86" s="13">
        <f t="shared" si="8"/>
        <v>2</v>
      </c>
      <c r="Q86" s="14" cm="1">
        <f t="array" ref="Q86">INDEX('Subject-ConceptMap'!$H$10:$L$264,O86+1,P86)</f>
        <v>0</v>
      </c>
    </row>
    <row r="87" spans="14:17" x14ac:dyDescent="0.75">
      <c r="N87" s="13">
        <v>78</v>
      </c>
      <c r="O87" s="13">
        <f t="shared" si="7"/>
        <v>15</v>
      </c>
      <c r="P87" s="13">
        <f t="shared" si="8"/>
        <v>3</v>
      </c>
      <c r="Q87" s="14" cm="1">
        <f t="array" ref="Q87">INDEX('Subject-ConceptMap'!$H$10:$L$264,O87+1,P87)</f>
        <v>0</v>
      </c>
    </row>
    <row r="88" spans="14:17" x14ac:dyDescent="0.75">
      <c r="N88" s="13">
        <v>79</v>
      </c>
      <c r="O88" s="13">
        <f t="shared" si="7"/>
        <v>15</v>
      </c>
      <c r="P88" s="13">
        <f t="shared" si="8"/>
        <v>4</v>
      </c>
      <c r="Q88" s="14" cm="1">
        <f t="array" ref="Q88">INDEX('Subject-ConceptMap'!$H$10:$L$264,O88+1,P88)</f>
        <v>0</v>
      </c>
    </row>
    <row r="89" spans="14:17" x14ac:dyDescent="0.75">
      <c r="N89" s="13">
        <v>80</v>
      </c>
      <c r="O89" s="13">
        <f t="shared" si="7"/>
        <v>15</v>
      </c>
      <c r="P89" s="13">
        <f t="shared" si="8"/>
        <v>5</v>
      </c>
      <c r="Q89" s="14" cm="1">
        <f t="array" ref="Q89">INDEX('Subject-ConceptMap'!$H$10:$L$264,O89+1,P89)</f>
        <v>0</v>
      </c>
    </row>
    <row r="90" spans="14:17" x14ac:dyDescent="0.75">
      <c r="N90" s="13">
        <v>81</v>
      </c>
      <c r="O90" s="13">
        <f t="shared" si="7"/>
        <v>16</v>
      </c>
      <c r="P90" s="13">
        <f t="shared" si="8"/>
        <v>1</v>
      </c>
      <c r="Q90" s="14" cm="1">
        <f t="array" ref="Q90">INDEX('Subject-ConceptMap'!$H$10:$L$264,O90+1,P90)</f>
        <v>0</v>
      </c>
    </row>
    <row r="91" spans="14:17" x14ac:dyDescent="0.75">
      <c r="N91" s="13">
        <v>82</v>
      </c>
      <c r="O91" s="13">
        <f t="shared" si="7"/>
        <v>16</v>
      </c>
      <c r="P91" s="13">
        <f t="shared" si="8"/>
        <v>2</v>
      </c>
      <c r="Q91" s="14" cm="1">
        <f t="array" ref="Q91">INDEX('Subject-ConceptMap'!$H$10:$L$264,O91+1,P91)</f>
        <v>0</v>
      </c>
    </row>
    <row r="92" spans="14:17" x14ac:dyDescent="0.75">
      <c r="N92" s="13">
        <v>83</v>
      </c>
      <c r="O92" s="13">
        <f t="shared" si="7"/>
        <v>16</v>
      </c>
      <c r="P92" s="13">
        <f t="shared" si="8"/>
        <v>3</v>
      </c>
      <c r="Q92" s="14" cm="1">
        <f t="array" ref="Q92">INDEX('Subject-ConceptMap'!$H$10:$L$264,O92+1,P92)</f>
        <v>0</v>
      </c>
    </row>
    <row r="93" spans="14:17" x14ac:dyDescent="0.75">
      <c r="N93" s="13">
        <v>84</v>
      </c>
      <c r="O93" s="13">
        <f t="shared" si="7"/>
        <v>16</v>
      </c>
      <c r="P93" s="13">
        <f t="shared" si="8"/>
        <v>4</v>
      </c>
      <c r="Q93" s="14" cm="1">
        <f t="array" ref="Q93">INDEX('Subject-ConceptMap'!$H$10:$L$264,O93+1,P93)</f>
        <v>0</v>
      </c>
    </row>
    <row r="94" spans="14:17" x14ac:dyDescent="0.75">
      <c r="N94" s="13">
        <v>85</v>
      </c>
      <c r="O94" s="13">
        <f t="shared" si="7"/>
        <v>16</v>
      </c>
      <c r="P94" s="13">
        <f t="shared" si="8"/>
        <v>5</v>
      </c>
      <c r="Q94" s="14" cm="1">
        <f t="array" ref="Q94">INDEX('Subject-ConceptMap'!$H$10:$L$264,O94+1,P94)</f>
        <v>0</v>
      </c>
    </row>
    <row r="95" spans="14:17" x14ac:dyDescent="0.75">
      <c r="N95" s="13">
        <v>86</v>
      </c>
      <c r="O95" s="13">
        <f t="shared" si="7"/>
        <v>17</v>
      </c>
      <c r="P95" s="13">
        <f t="shared" si="8"/>
        <v>1</v>
      </c>
      <c r="Q95" s="14" cm="1">
        <f t="array" ref="Q95">INDEX('Subject-ConceptMap'!$H$10:$L$264,O95+1,P95)</f>
        <v>0</v>
      </c>
    </row>
    <row r="96" spans="14:17" x14ac:dyDescent="0.75">
      <c r="N96" s="13">
        <v>87</v>
      </c>
      <c r="O96" s="13">
        <f t="shared" si="7"/>
        <v>17</v>
      </c>
      <c r="P96" s="13">
        <f t="shared" si="8"/>
        <v>2</v>
      </c>
      <c r="Q96" s="14" cm="1">
        <f t="array" ref="Q96">INDEX('Subject-ConceptMap'!$H$10:$L$264,O96+1,P96)</f>
        <v>0</v>
      </c>
    </row>
    <row r="97" spans="14:17" x14ac:dyDescent="0.75">
      <c r="N97" s="13">
        <v>88</v>
      </c>
      <c r="O97" s="13">
        <f t="shared" si="7"/>
        <v>17</v>
      </c>
      <c r="P97" s="13">
        <f t="shared" si="8"/>
        <v>3</v>
      </c>
      <c r="Q97" s="14" cm="1">
        <f t="array" ref="Q97">INDEX('Subject-ConceptMap'!$H$10:$L$264,O97+1,P97)</f>
        <v>0</v>
      </c>
    </row>
    <row r="98" spans="14:17" x14ac:dyDescent="0.75">
      <c r="N98" s="13">
        <v>89</v>
      </c>
      <c r="O98" s="13">
        <f t="shared" si="7"/>
        <v>17</v>
      </c>
      <c r="P98" s="13">
        <f t="shared" si="8"/>
        <v>4</v>
      </c>
      <c r="Q98" s="14" cm="1">
        <f t="array" ref="Q98">INDEX('Subject-ConceptMap'!$H$10:$L$264,O98+1,P98)</f>
        <v>0</v>
      </c>
    </row>
    <row r="99" spans="14:17" x14ac:dyDescent="0.75">
      <c r="N99" s="13">
        <v>90</v>
      </c>
      <c r="O99" s="13">
        <f t="shared" si="7"/>
        <v>17</v>
      </c>
      <c r="P99" s="13">
        <f t="shared" si="8"/>
        <v>5</v>
      </c>
      <c r="Q99" s="14" cm="1">
        <f t="array" ref="Q99">INDEX('Subject-ConceptMap'!$H$10:$L$264,O99+1,P99)</f>
        <v>0</v>
      </c>
    </row>
    <row r="100" spans="14:17" x14ac:dyDescent="0.75">
      <c r="N100" s="13">
        <v>91</v>
      </c>
      <c r="O100" s="13">
        <f t="shared" si="7"/>
        <v>18</v>
      </c>
      <c r="P100" s="13">
        <f t="shared" si="8"/>
        <v>1</v>
      </c>
      <c r="Q100" s="14" cm="1">
        <f t="array" ref="Q100">INDEX('Subject-ConceptMap'!$H$10:$L$264,O100+1,P100)</f>
        <v>0</v>
      </c>
    </row>
    <row r="101" spans="14:17" x14ac:dyDescent="0.75">
      <c r="N101" s="13">
        <v>92</v>
      </c>
      <c r="O101" s="13">
        <f t="shared" si="7"/>
        <v>18</v>
      </c>
      <c r="P101" s="13">
        <f t="shared" si="8"/>
        <v>2</v>
      </c>
      <c r="Q101" s="14" cm="1">
        <f t="array" ref="Q101">INDEX('Subject-ConceptMap'!U85:Y339,1+O101,P101)</f>
        <v>0</v>
      </c>
    </row>
    <row r="102" spans="14:17" x14ac:dyDescent="0.75">
      <c r="N102" s="13">
        <v>93</v>
      </c>
      <c r="O102" s="13">
        <f t="shared" si="7"/>
        <v>18</v>
      </c>
      <c r="P102" s="13">
        <f t="shared" si="8"/>
        <v>3</v>
      </c>
      <c r="Q102" s="14" cm="1">
        <f t="array" ref="Q102">INDEX('Subject-ConceptMap'!U86:Y340,1+O102,P102)</f>
        <v>0</v>
      </c>
    </row>
    <row r="103" spans="14:17" x14ac:dyDescent="0.75">
      <c r="N103" s="13">
        <v>94</v>
      </c>
      <c r="O103" s="13">
        <f t="shared" si="7"/>
        <v>18</v>
      </c>
      <c r="P103" s="13">
        <f t="shared" si="8"/>
        <v>4</v>
      </c>
      <c r="Q103" s="14" cm="1">
        <f t="array" ref="Q103">INDEX('Subject-ConceptMap'!U87:Y341,1+O103,P103)</f>
        <v>0</v>
      </c>
    </row>
    <row r="104" spans="14:17" x14ac:dyDescent="0.75">
      <c r="N104" s="13">
        <v>95</v>
      </c>
      <c r="O104" s="13">
        <f t="shared" si="7"/>
        <v>18</v>
      </c>
      <c r="P104" s="13">
        <f t="shared" si="8"/>
        <v>5</v>
      </c>
      <c r="Q104" s="14" cm="1">
        <f t="array" ref="Q104">INDEX('Subject-ConceptMap'!U88:Y342,1+O104,P104)</f>
        <v>0</v>
      </c>
    </row>
    <row r="105" spans="14:17" x14ac:dyDescent="0.75">
      <c r="N105" s="13">
        <v>96</v>
      </c>
      <c r="O105" s="13">
        <f t="shared" si="7"/>
        <v>19</v>
      </c>
      <c r="P105" s="13">
        <f t="shared" si="8"/>
        <v>1</v>
      </c>
      <c r="Q105" s="14" cm="1">
        <f t="array" ref="Q105">INDEX('Subject-ConceptMap'!U89:Y343,1+O105,P105)</f>
        <v>0</v>
      </c>
    </row>
    <row r="106" spans="14:17" x14ac:dyDescent="0.75">
      <c r="N106" s="13">
        <v>97</v>
      </c>
      <c r="O106" s="13">
        <f t="shared" si="7"/>
        <v>19</v>
      </c>
      <c r="P106" s="13">
        <f t="shared" si="8"/>
        <v>2</v>
      </c>
      <c r="Q106" s="14" cm="1">
        <f t="array" ref="Q106">INDEX('Subject-ConceptMap'!U90:Y344,1+O106,P106)</f>
        <v>0</v>
      </c>
    </row>
    <row r="107" spans="14:17" x14ac:dyDescent="0.75">
      <c r="N107" s="13">
        <v>98</v>
      </c>
      <c r="O107" s="13">
        <f t="shared" si="7"/>
        <v>19</v>
      </c>
      <c r="P107" s="13">
        <f t="shared" si="8"/>
        <v>3</v>
      </c>
      <c r="Q107" s="14" cm="1">
        <f t="array" ref="Q107">INDEX('Subject-ConceptMap'!U91:Y345,1+O107,P107)</f>
        <v>0</v>
      </c>
    </row>
    <row r="108" spans="14:17" x14ac:dyDescent="0.75">
      <c r="N108" s="13">
        <v>99</v>
      </c>
      <c r="O108" s="13">
        <f t="shared" si="7"/>
        <v>19</v>
      </c>
      <c r="P108" s="13">
        <f t="shared" si="8"/>
        <v>4</v>
      </c>
      <c r="Q108" s="14" cm="1">
        <f t="array" ref="Q108">INDEX('Subject-ConceptMap'!U92:Y346,1+O108,P108)</f>
        <v>0</v>
      </c>
    </row>
    <row r="109" spans="14:17" x14ac:dyDescent="0.75">
      <c r="N109" s="13">
        <v>100</v>
      </c>
      <c r="O109" s="13">
        <f t="shared" si="7"/>
        <v>19</v>
      </c>
      <c r="P109" s="13">
        <f t="shared" si="8"/>
        <v>5</v>
      </c>
      <c r="Q109" s="14" cm="1">
        <f t="array" ref="Q109">INDEX('Subject-ConceptMap'!U93:Y347,1+O109,P109)</f>
        <v>0</v>
      </c>
    </row>
    <row r="110" spans="14:17" x14ac:dyDescent="0.75">
      <c r="N110" s="13">
        <v>101</v>
      </c>
      <c r="O110" s="13">
        <f t="shared" si="7"/>
        <v>20</v>
      </c>
      <c r="P110" s="13">
        <f t="shared" si="8"/>
        <v>1</v>
      </c>
      <c r="Q110" s="14" cm="1">
        <f t="array" ref="Q110">INDEX('Subject-ConceptMap'!U94:Y348,1+O110,P110)</f>
        <v>0</v>
      </c>
    </row>
    <row r="111" spans="14:17" x14ac:dyDescent="0.75">
      <c r="N111" s="13">
        <v>102</v>
      </c>
      <c r="O111" s="13">
        <f t="shared" si="7"/>
        <v>20</v>
      </c>
      <c r="P111" s="13">
        <f t="shared" si="8"/>
        <v>2</v>
      </c>
      <c r="Q111" s="14" cm="1">
        <f t="array" ref="Q111">INDEX('Subject-ConceptMap'!U95:Y349,1+O111,P111)</f>
        <v>0</v>
      </c>
    </row>
    <row r="112" spans="14:17" x14ac:dyDescent="0.75">
      <c r="N112" s="13">
        <v>103</v>
      </c>
      <c r="O112" s="13">
        <f t="shared" si="7"/>
        <v>20</v>
      </c>
      <c r="P112" s="13">
        <f t="shared" si="8"/>
        <v>3</v>
      </c>
      <c r="Q112" s="14" cm="1">
        <f t="array" ref="Q112">INDEX('Subject-ConceptMap'!U96:Y350,1+O112,P112)</f>
        <v>0</v>
      </c>
    </row>
    <row r="113" spans="14:17" x14ac:dyDescent="0.75">
      <c r="N113" s="13">
        <v>104</v>
      </c>
      <c r="O113" s="13">
        <f t="shared" si="7"/>
        <v>20</v>
      </c>
      <c r="P113" s="13">
        <f t="shared" si="8"/>
        <v>4</v>
      </c>
      <c r="Q113" s="14" cm="1">
        <f t="array" ref="Q113">INDEX('Subject-ConceptMap'!U97:Y351,1+O113,P113)</f>
        <v>0</v>
      </c>
    </row>
    <row r="114" spans="14:17" x14ac:dyDescent="0.75">
      <c r="N114" s="13">
        <v>105</v>
      </c>
      <c r="O114" s="13">
        <f t="shared" si="7"/>
        <v>20</v>
      </c>
      <c r="P114" s="13">
        <f t="shared" si="8"/>
        <v>5</v>
      </c>
      <c r="Q114" s="14" cm="1">
        <f t="array" ref="Q114">INDEX('Subject-ConceptMap'!U98:Y352,1+O114,P114)</f>
        <v>0</v>
      </c>
    </row>
    <row r="115" spans="14:17" x14ac:dyDescent="0.75">
      <c r="N115" s="13">
        <v>106</v>
      </c>
      <c r="O115" s="13">
        <f t="shared" si="7"/>
        <v>21</v>
      </c>
      <c r="P115" s="13">
        <f t="shared" si="8"/>
        <v>1</v>
      </c>
      <c r="Q115" s="14" cm="1">
        <f t="array" ref="Q115">INDEX('Subject-ConceptMap'!U99:Y353,1+O115,P115)</f>
        <v>0</v>
      </c>
    </row>
    <row r="116" spans="14:17" x14ac:dyDescent="0.75">
      <c r="N116" s="13">
        <v>107</v>
      </c>
      <c r="O116" s="13">
        <f t="shared" si="7"/>
        <v>21</v>
      </c>
      <c r="P116" s="13">
        <f t="shared" si="8"/>
        <v>2</v>
      </c>
      <c r="Q116" s="14" cm="1">
        <f t="array" ref="Q116">INDEX('Subject-ConceptMap'!U100:Y354,1+O116,P116)</f>
        <v>0</v>
      </c>
    </row>
    <row r="117" spans="14:17" x14ac:dyDescent="0.75">
      <c r="N117" s="13">
        <v>108</v>
      </c>
      <c r="O117" s="13">
        <f t="shared" si="7"/>
        <v>21</v>
      </c>
      <c r="P117" s="13">
        <f t="shared" si="8"/>
        <v>3</v>
      </c>
      <c r="Q117" s="14" cm="1">
        <f t="array" ref="Q117">INDEX('Subject-ConceptMap'!U101:Y355,1+O117,P117)</f>
        <v>0</v>
      </c>
    </row>
    <row r="118" spans="14:17" x14ac:dyDescent="0.75">
      <c r="N118" s="13">
        <v>109</v>
      </c>
      <c r="O118" s="13">
        <f t="shared" si="7"/>
        <v>21</v>
      </c>
      <c r="P118" s="13">
        <f t="shared" si="8"/>
        <v>4</v>
      </c>
      <c r="Q118" s="14" cm="1">
        <f t="array" ref="Q118">INDEX('Subject-ConceptMap'!U102:Y356,1+O118,P118)</f>
        <v>0</v>
      </c>
    </row>
    <row r="119" spans="14:17" x14ac:dyDescent="0.75">
      <c r="N119" s="13">
        <v>110</v>
      </c>
      <c r="O119" s="13">
        <f t="shared" si="7"/>
        <v>21</v>
      </c>
      <c r="P119" s="13">
        <f t="shared" si="8"/>
        <v>5</v>
      </c>
      <c r="Q119" s="14" cm="1">
        <f t="array" ref="Q119">INDEX('Subject-ConceptMap'!U103:Y357,1+O119,P119)</f>
        <v>0</v>
      </c>
    </row>
    <row r="120" spans="14:17" x14ac:dyDescent="0.75">
      <c r="N120" s="13">
        <v>111</v>
      </c>
      <c r="O120" s="13">
        <f t="shared" si="7"/>
        <v>22</v>
      </c>
      <c r="P120" s="13">
        <f t="shared" si="8"/>
        <v>1</v>
      </c>
      <c r="Q120" s="14" cm="1">
        <f t="array" ref="Q120">INDEX('Subject-ConceptMap'!U104:Y358,1+O120,P120)</f>
        <v>0</v>
      </c>
    </row>
    <row r="121" spans="14:17" x14ac:dyDescent="0.75">
      <c r="N121" s="13">
        <v>112</v>
      </c>
      <c r="O121" s="13">
        <f t="shared" si="7"/>
        <v>22</v>
      </c>
      <c r="P121" s="13">
        <f t="shared" si="8"/>
        <v>2</v>
      </c>
      <c r="Q121" s="14" cm="1">
        <f t="array" ref="Q121">INDEX('Subject-ConceptMap'!U105:Y359,1+O121,P121)</f>
        <v>0</v>
      </c>
    </row>
    <row r="122" spans="14:17" x14ac:dyDescent="0.75">
      <c r="N122" s="13">
        <v>113</v>
      </c>
      <c r="O122" s="13">
        <f t="shared" si="7"/>
        <v>22</v>
      </c>
      <c r="P122" s="13">
        <f t="shared" si="8"/>
        <v>3</v>
      </c>
      <c r="Q122" s="14" cm="1">
        <f t="array" ref="Q122">INDEX('Subject-ConceptMap'!U106:Y360,1+O122,P122)</f>
        <v>0</v>
      </c>
    </row>
    <row r="123" spans="14:17" x14ac:dyDescent="0.75">
      <c r="N123" s="13">
        <v>114</v>
      </c>
      <c r="O123" s="13">
        <f t="shared" si="7"/>
        <v>22</v>
      </c>
      <c r="P123" s="13">
        <f t="shared" si="8"/>
        <v>4</v>
      </c>
      <c r="Q123" s="14" cm="1">
        <f t="array" ref="Q123">INDEX('Subject-ConceptMap'!U107:Y361,1+O123,P123)</f>
        <v>0</v>
      </c>
    </row>
    <row r="124" spans="14:17" x14ac:dyDescent="0.75">
      <c r="N124" s="13">
        <v>115</v>
      </c>
      <c r="O124" s="13">
        <f t="shared" si="7"/>
        <v>22</v>
      </c>
      <c r="P124" s="13">
        <f t="shared" si="8"/>
        <v>5</v>
      </c>
      <c r="Q124" s="14" cm="1">
        <f t="array" ref="Q124">INDEX('Subject-ConceptMap'!U108:Y362,1+O124,P124)</f>
        <v>0</v>
      </c>
    </row>
    <row r="125" spans="14:17" x14ac:dyDescent="0.75">
      <c r="N125" s="13">
        <v>116</v>
      </c>
      <c r="O125" s="13">
        <f t="shared" si="7"/>
        <v>23</v>
      </c>
      <c r="P125" s="13">
        <f t="shared" si="8"/>
        <v>1</v>
      </c>
      <c r="Q125" s="14" cm="1">
        <f t="array" ref="Q125">INDEX('Subject-ConceptMap'!U109:Y363,1+O125,P125)</f>
        <v>0</v>
      </c>
    </row>
    <row r="126" spans="14:17" x14ac:dyDescent="0.75">
      <c r="N126" s="13">
        <v>117</v>
      </c>
      <c r="O126" s="13">
        <f t="shared" si="7"/>
        <v>23</v>
      </c>
      <c r="P126" s="13">
        <f t="shared" si="8"/>
        <v>2</v>
      </c>
      <c r="Q126" s="14" cm="1">
        <f t="array" ref="Q126">INDEX('Subject-ConceptMap'!U110:Y364,1+O126,P126)</f>
        <v>0</v>
      </c>
    </row>
    <row r="127" spans="14:17" x14ac:dyDescent="0.75">
      <c r="N127" s="13">
        <v>118</v>
      </c>
      <c r="O127" s="13">
        <f t="shared" si="7"/>
        <v>23</v>
      </c>
      <c r="P127" s="13">
        <f t="shared" si="8"/>
        <v>3</v>
      </c>
      <c r="Q127" s="14" cm="1">
        <f t="array" ref="Q127">INDEX('Subject-ConceptMap'!U111:Y365,1+O127,P127)</f>
        <v>0</v>
      </c>
    </row>
    <row r="128" spans="14:17" x14ac:dyDescent="0.75">
      <c r="N128" s="13">
        <v>119</v>
      </c>
      <c r="O128" s="13">
        <f t="shared" si="7"/>
        <v>23</v>
      </c>
      <c r="P128" s="13">
        <f t="shared" si="8"/>
        <v>4</v>
      </c>
      <c r="Q128" s="14" cm="1">
        <f t="array" ref="Q128">INDEX('Subject-ConceptMap'!U112:Y366,1+O128,P128)</f>
        <v>0</v>
      </c>
    </row>
    <row r="129" spans="14:17" x14ac:dyDescent="0.75">
      <c r="N129" s="13">
        <v>120</v>
      </c>
      <c r="O129" s="13">
        <f t="shared" si="7"/>
        <v>23</v>
      </c>
      <c r="P129" s="13">
        <f t="shared" si="8"/>
        <v>5</v>
      </c>
      <c r="Q129" s="14" cm="1">
        <f t="array" ref="Q129">INDEX('Subject-ConceptMap'!U113:Y367,1+O129,P129)</f>
        <v>0</v>
      </c>
    </row>
    <row r="130" spans="14:17" x14ac:dyDescent="0.75">
      <c r="N130" s="13">
        <v>121</v>
      </c>
      <c r="O130" s="13">
        <f t="shared" si="7"/>
        <v>24</v>
      </c>
      <c r="P130" s="13">
        <f t="shared" si="8"/>
        <v>1</v>
      </c>
      <c r="Q130" s="14" cm="1">
        <f t="array" ref="Q130">INDEX('Subject-ConceptMap'!U114:Y368,1+O130,P130)</f>
        <v>0</v>
      </c>
    </row>
    <row r="131" spans="14:17" x14ac:dyDescent="0.75">
      <c r="N131" s="13">
        <v>122</v>
      </c>
      <c r="O131" s="13">
        <f t="shared" si="7"/>
        <v>24</v>
      </c>
      <c r="P131" s="13">
        <f t="shared" si="8"/>
        <v>2</v>
      </c>
      <c r="Q131" s="14" cm="1">
        <f t="array" ref="Q131">INDEX('Subject-ConceptMap'!U115:Y369,1+O131,P131)</f>
        <v>0</v>
      </c>
    </row>
    <row r="132" spans="14:17" x14ac:dyDescent="0.75">
      <c r="N132" s="13">
        <v>123</v>
      </c>
      <c r="O132" s="13">
        <f t="shared" si="7"/>
        <v>24</v>
      </c>
      <c r="P132" s="13">
        <f t="shared" si="8"/>
        <v>3</v>
      </c>
      <c r="Q132" s="14" cm="1">
        <f t="array" ref="Q132">INDEX('Subject-ConceptMap'!U116:Y370,1+O132,P132)</f>
        <v>0</v>
      </c>
    </row>
    <row r="133" spans="14:17" x14ac:dyDescent="0.75">
      <c r="N133" s="13">
        <v>124</v>
      </c>
      <c r="O133" s="13">
        <f t="shared" si="7"/>
        <v>24</v>
      </c>
      <c r="P133" s="13">
        <f t="shared" si="8"/>
        <v>4</v>
      </c>
      <c r="Q133" s="14" cm="1">
        <f t="array" ref="Q133">INDEX('Subject-ConceptMap'!U117:Y371,1+O133,P133)</f>
        <v>0</v>
      </c>
    </row>
    <row r="134" spans="14:17" x14ac:dyDescent="0.75">
      <c r="N134" s="13">
        <v>125</v>
      </c>
      <c r="O134" s="13">
        <f t="shared" si="7"/>
        <v>24</v>
      </c>
      <c r="P134" s="13">
        <f t="shared" si="8"/>
        <v>5</v>
      </c>
      <c r="Q134" s="14" cm="1">
        <f t="array" ref="Q134">INDEX('Subject-ConceptMap'!U118:Y372,1+O134,P134)</f>
        <v>0</v>
      </c>
    </row>
    <row r="135" spans="14:17" x14ac:dyDescent="0.75">
      <c r="N135" s="13">
        <v>126</v>
      </c>
      <c r="O135" s="13">
        <f t="shared" si="7"/>
        <v>25</v>
      </c>
      <c r="P135" s="13">
        <f t="shared" si="8"/>
        <v>1</v>
      </c>
      <c r="Q135" s="14" cm="1">
        <f t="array" ref="Q135">INDEX('Subject-ConceptMap'!U119:Y373,1+O135,P135)</f>
        <v>0</v>
      </c>
    </row>
    <row r="136" spans="14:17" x14ac:dyDescent="0.75">
      <c r="N136" s="13">
        <v>127</v>
      </c>
      <c r="O136" s="13">
        <f t="shared" si="7"/>
        <v>25</v>
      </c>
      <c r="P136" s="13">
        <f t="shared" si="8"/>
        <v>2</v>
      </c>
      <c r="Q136" s="14" cm="1">
        <f t="array" ref="Q136">INDEX('Subject-ConceptMap'!U120:Y374,1+O136,P136)</f>
        <v>0</v>
      </c>
    </row>
    <row r="137" spans="14:17" x14ac:dyDescent="0.75">
      <c r="N137" s="13">
        <v>128</v>
      </c>
      <c r="O137" s="13">
        <f t="shared" si="7"/>
        <v>25</v>
      </c>
      <c r="P137" s="13">
        <f t="shared" si="8"/>
        <v>3</v>
      </c>
      <c r="Q137" s="14" cm="1">
        <f t="array" ref="Q137">INDEX('Subject-ConceptMap'!U121:Y375,1+O137,P137)</f>
        <v>0</v>
      </c>
    </row>
    <row r="138" spans="14:17" x14ac:dyDescent="0.75">
      <c r="N138" s="13">
        <v>129</v>
      </c>
      <c r="O138" s="13">
        <f t="shared" si="7"/>
        <v>25</v>
      </c>
      <c r="P138" s="13">
        <f t="shared" si="8"/>
        <v>4</v>
      </c>
      <c r="Q138" s="14" cm="1">
        <f t="array" ref="Q138">INDEX('Subject-ConceptMap'!U122:Y376,1+O138,P138)</f>
        <v>0</v>
      </c>
    </row>
    <row r="139" spans="14:17" x14ac:dyDescent="0.75">
      <c r="N139" s="13">
        <v>130</v>
      </c>
      <c r="O139" s="13">
        <f t="shared" ref="O139:O184" si="9">IF(MOD(N139,$O$3)=0,N139/$O$3-1,INT(N139/$O$3))</f>
        <v>25</v>
      </c>
      <c r="P139" s="13">
        <f t="shared" ref="P139:P184" si="10">IF(MOD(N139,$O$3)=0,$O$3,MOD(N139,$O$3))</f>
        <v>5</v>
      </c>
      <c r="Q139" s="14" cm="1">
        <f t="array" ref="Q139">INDEX('Subject-ConceptMap'!U123:Y377,1+O139,P139)</f>
        <v>0</v>
      </c>
    </row>
    <row r="140" spans="14:17" x14ac:dyDescent="0.75">
      <c r="N140" s="13">
        <v>131</v>
      </c>
      <c r="O140" s="13">
        <f t="shared" si="9"/>
        <v>26</v>
      </c>
      <c r="P140" s="13">
        <f t="shared" si="10"/>
        <v>1</v>
      </c>
      <c r="Q140" s="14" cm="1">
        <f t="array" ref="Q140">INDEX('Subject-ConceptMap'!U124:Y378,1+O140,P140)</f>
        <v>0</v>
      </c>
    </row>
    <row r="141" spans="14:17" x14ac:dyDescent="0.75">
      <c r="N141" s="13">
        <v>132</v>
      </c>
      <c r="O141" s="13">
        <f t="shared" si="9"/>
        <v>26</v>
      </c>
      <c r="P141" s="13">
        <f t="shared" si="10"/>
        <v>2</v>
      </c>
      <c r="Q141" s="14" cm="1">
        <f t="array" ref="Q141">INDEX('Subject-ConceptMap'!U125:Y379,1+O141,P141)</f>
        <v>0</v>
      </c>
    </row>
    <row r="142" spans="14:17" x14ac:dyDescent="0.75">
      <c r="N142" s="13">
        <v>133</v>
      </c>
      <c r="O142" s="13">
        <f t="shared" si="9"/>
        <v>26</v>
      </c>
      <c r="P142" s="13">
        <f t="shared" si="10"/>
        <v>3</v>
      </c>
      <c r="Q142" s="14" cm="1">
        <f t="array" ref="Q142">INDEX('Subject-ConceptMap'!U126:Y380,1+O142,P142)</f>
        <v>0</v>
      </c>
    </row>
    <row r="143" spans="14:17" x14ac:dyDescent="0.75">
      <c r="N143" s="13">
        <v>134</v>
      </c>
      <c r="O143" s="13">
        <f t="shared" si="9"/>
        <v>26</v>
      </c>
      <c r="P143" s="13">
        <f t="shared" si="10"/>
        <v>4</v>
      </c>
      <c r="Q143" s="14" cm="1">
        <f t="array" ref="Q143">INDEX('Subject-ConceptMap'!U127:Y381,1+O143,P143)</f>
        <v>0</v>
      </c>
    </row>
    <row r="144" spans="14:17" x14ac:dyDescent="0.75">
      <c r="N144" s="13">
        <v>135</v>
      </c>
      <c r="O144" s="13">
        <f t="shared" si="9"/>
        <v>26</v>
      </c>
      <c r="P144" s="13">
        <f t="shared" si="10"/>
        <v>5</v>
      </c>
      <c r="Q144" s="14" cm="1">
        <f t="array" ref="Q144">INDEX('Subject-ConceptMap'!U128:Y382,1+O144,P144)</f>
        <v>0</v>
      </c>
    </row>
    <row r="145" spans="14:17" x14ac:dyDescent="0.75">
      <c r="N145" s="13">
        <v>136</v>
      </c>
      <c r="O145" s="13">
        <f t="shared" si="9"/>
        <v>27</v>
      </c>
      <c r="P145" s="13">
        <f t="shared" si="10"/>
        <v>1</v>
      </c>
      <c r="Q145" s="14" cm="1">
        <f t="array" ref="Q145">INDEX('Subject-ConceptMap'!U129:Y383,1+O145,P145)</f>
        <v>0</v>
      </c>
    </row>
    <row r="146" spans="14:17" x14ac:dyDescent="0.75">
      <c r="N146" s="13">
        <v>137</v>
      </c>
      <c r="O146" s="13">
        <f t="shared" si="9"/>
        <v>27</v>
      </c>
      <c r="P146" s="13">
        <f t="shared" si="10"/>
        <v>2</v>
      </c>
      <c r="Q146" s="14" cm="1">
        <f t="array" ref="Q146">INDEX('Subject-ConceptMap'!U130:Y384,1+O146,P146)</f>
        <v>0</v>
      </c>
    </row>
    <row r="147" spans="14:17" x14ac:dyDescent="0.75">
      <c r="N147" s="13">
        <v>138</v>
      </c>
      <c r="O147" s="13">
        <f t="shared" si="9"/>
        <v>27</v>
      </c>
      <c r="P147" s="13">
        <f t="shared" si="10"/>
        <v>3</v>
      </c>
      <c r="Q147" s="14" cm="1">
        <f t="array" ref="Q147">INDEX('Subject-ConceptMap'!U131:Y385,1+O147,P147)</f>
        <v>0</v>
      </c>
    </row>
    <row r="148" spans="14:17" x14ac:dyDescent="0.75">
      <c r="N148" s="13">
        <v>139</v>
      </c>
      <c r="O148" s="13">
        <f t="shared" si="9"/>
        <v>27</v>
      </c>
      <c r="P148" s="13">
        <f t="shared" si="10"/>
        <v>4</v>
      </c>
      <c r="Q148" s="14" cm="1">
        <f t="array" ref="Q148">INDEX('Subject-ConceptMap'!U132:Y386,1+O148,P148)</f>
        <v>0</v>
      </c>
    </row>
    <row r="149" spans="14:17" x14ac:dyDescent="0.75">
      <c r="N149" s="13">
        <v>140</v>
      </c>
      <c r="O149" s="13">
        <f t="shared" si="9"/>
        <v>27</v>
      </c>
      <c r="P149" s="13">
        <f t="shared" si="10"/>
        <v>5</v>
      </c>
      <c r="Q149" s="14" cm="1">
        <f t="array" ref="Q149">INDEX('Subject-ConceptMap'!U133:Y387,1+O149,P149)</f>
        <v>0</v>
      </c>
    </row>
    <row r="150" spans="14:17" x14ac:dyDescent="0.75">
      <c r="N150" s="13">
        <v>141</v>
      </c>
      <c r="O150" s="13">
        <f t="shared" si="9"/>
        <v>28</v>
      </c>
      <c r="P150" s="13">
        <f t="shared" si="10"/>
        <v>1</v>
      </c>
      <c r="Q150" s="14" cm="1">
        <f t="array" ref="Q150">INDEX('Subject-ConceptMap'!U134:Y388,1+O150,P150)</f>
        <v>0</v>
      </c>
    </row>
    <row r="151" spans="14:17" x14ac:dyDescent="0.75">
      <c r="N151" s="13">
        <v>142</v>
      </c>
      <c r="O151" s="13">
        <f t="shared" si="9"/>
        <v>28</v>
      </c>
      <c r="P151" s="13">
        <f t="shared" si="10"/>
        <v>2</v>
      </c>
      <c r="Q151" s="14" cm="1">
        <f t="array" ref="Q151">INDEX('Subject-ConceptMap'!U135:Y389,1+O151,P151)</f>
        <v>0</v>
      </c>
    </row>
    <row r="152" spans="14:17" x14ac:dyDescent="0.75">
      <c r="N152" s="13">
        <v>143</v>
      </c>
      <c r="O152" s="13">
        <f t="shared" si="9"/>
        <v>28</v>
      </c>
      <c r="P152" s="13">
        <f t="shared" si="10"/>
        <v>3</v>
      </c>
      <c r="Q152" s="14" cm="1">
        <f t="array" ref="Q152">INDEX('Subject-ConceptMap'!U136:Y390,1+O152,P152)</f>
        <v>0</v>
      </c>
    </row>
    <row r="153" spans="14:17" x14ac:dyDescent="0.75">
      <c r="N153" s="13">
        <v>144</v>
      </c>
      <c r="O153" s="13">
        <f t="shared" si="9"/>
        <v>28</v>
      </c>
      <c r="P153" s="13">
        <f t="shared" si="10"/>
        <v>4</v>
      </c>
      <c r="Q153" s="14" cm="1">
        <f t="array" ref="Q153">INDEX('Subject-ConceptMap'!U137:Y391,1+O153,P153)</f>
        <v>0</v>
      </c>
    </row>
    <row r="154" spans="14:17" x14ac:dyDescent="0.75">
      <c r="N154" s="13">
        <v>145</v>
      </c>
      <c r="O154" s="13">
        <f t="shared" si="9"/>
        <v>28</v>
      </c>
      <c r="P154" s="13">
        <f t="shared" si="10"/>
        <v>5</v>
      </c>
      <c r="Q154" s="14" cm="1">
        <f t="array" ref="Q154">INDEX('Subject-ConceptMap'!U138:Y392,1+O154,P154)</f>
        <v>0</v>
      </c>
    </row>
    <row r="155" spans="14:17" x14ac:dyDescent="0.75">
      <c r="N155" s="13">
        <v>146</v>
      </c>
      <c r="O155" s="13">
        <f t="shared" si="9"/>
        <v>29</v>
      </c>
      <c r="P155" s="13">
        <f t="shared" si="10"/>
        <v>1</v>
      </c>
      <c r="Q155" s="14" cm="1">
        <f t="array" ref="Q155">INDEX('Subject-ConceptMap'!U139:Y393,1+O155,P155)</f>
        <v>0</v>
      </c>
    </row>
    <row r="156" spans="14:17" x14ac:dyDescent="0.75">
      <c r="N156" s="13">
        <v>147</v>
      </c>
      <c r="O156" s="13">
        <f t="shared" si="9"/>
        <v>29</v>
      </c>
      <c r="P156" s="13">
        <f t="shared" si="10"/>
        <v>2</v>
      </c>
      <c r="Q156" s="14" cm="1">
        <f t="array" ref="Q156">INDEX('Subject-ConceptMap'!U140:Y394,1+O156,P156)</f>
        <v>0</v>
      </c>
    </row>
    <row r="157" spans="14:17" x14ac:dyDescent="0.75">
      <c r="N157" s="13">
        <v>148</v>
      </c>
      <c r="O157" s="13">
        <f t="shared" si="9"/>
        <v>29</v>
      </c>
      <c r="P157" s="13">
        <f t="shared" si="10"/>
        <v>3</v>
      </c>
      <c r="Q157" s="14" cm="1">
        <f t="array" ref="Q157">INDEX('Subject-ConceptMap'!U141:Y395,1+O157,P157)</f>
        <v>0</v>
      </c>
    </row>
    <row r="158" spans="14:17" x14ac:dyDescent="0.75">
      <c r="N158" s="13">
        <v>149</v>
      </c>
      <c r="O158" s="13">
        <f t="shared" si="9"/>
        <v>29</v>
      </c>
      <c r="P158" s="13">
        <f t="shared" si="10"/>
        <v>4</v>
      </c>
      <c r="Q158" s="14" cm="1">
        <f t="array" ref="Q158">INDEX('Subject-ConceptMap'!U142:Y396,1+O158,P158)</f>
        <v>0</v>
      </c>
    </row>
    <row r="159" spans="14:17" x14ac:dyDescent="0.75">
      <c r="N159" s="13">
        <v>150</v>
      </c>
      <c r="O159" s="13">
        <f t="shared" si="9"/>
        <v>29</v>
      </c>
      <c r="P159" s="13">
        <f t="shared" si="10"/>
        <v>5</v>
      </c>
      <c r="Q159" s="14" cm="1">
        <f t="array" ref="Q159">INDEX('Subject-ConceptMap'!U143:Y397,1+O159,P159)</f>
        <v>0</v>
      </c>
    </row>
    <row r="160" spans="14:17" x14ac:dyDescent="0.75">
      <c r="N160" s="13">
        <v>151</v>
      </c>
      <c r="O160" s="13">
        <f t="shared" si="9"/>
        <v>30</v>
      </c>
      <c r="P160" s="13">
        <f t="shared" si="10"/>
        <v>1</v>
      </c>
      <c r="Q160" s="14" cm="1">
        <f t="array" ref="Q160">INDEX('Subject-ConceptMap'!U144:Y398,1+O160,P160)</f>
        <v>0</v>
      </c>
    </row>
    <row r="161" spans="14:17" x14ac:dyDescent="0.75">
      <c r="N161" s="13">
        <v>152</v>
      </c>
      <c r="O161" s="13">
        <f t="shared" si="9"/>
        <v>30</v>
      </c>
      <c r="P161" s="13">
        <f t="shared" si="10"/>
        <v>2</v>
      </c>
      <c r="Q161" s="14" cm="1">
        <f t="array" ref="Q161">INDEX('Subject-ConceptMap'!U145:Y399,1+O161,P161)</f>
        <v>0</v>
      </c>
    </row>
    <row r="162" spans="14:17" x14ac:dyDescent="0.75">
      <c r="N162" s="13">
        <v>153</v>
      </c>
      <c r="O162" s="13">
        <f t="shared" si="9"/>
        <v>30</v>
      </c>
      <c r="P162" s="13">
        <f t="shared" si="10"/>
        <v>3</v>
      </c>
      <c r="Q162" s="14" cm="1">
        <f t="array" ref="Q162">INDEX('Subject-ConceptMap'!U146:Y400,1+O162,P162)</f>
        <v>0</v>
      </c>
    </row>
    <row r="163" spans="14:17" x14ac:dyDescent="0.75">
      <c r="N163" s="13">
        <v>154</v>
      </c>
      <c r="O163" s="13">
        <f t="shared" si="9"/>
        <v>30</v>
      </c>
      <c r="P163" s="13">
        <f t="shared" si="10"/>
        <v>4</v>
      </c>
      <c r="Q163" s="14" cm="1">
        <f t="array" ref="Q163">INDEX('Subject-ConceptMap'!U147:Y401,1+O163,P163)</f>
        <v>0</v>
      </c>
    </row>
    <row r="164" spans="14:17" x14ac:dyDescent="0.75">
      <c r="N164" s="13">
        <v>155</v>
      </c>
      <c r="O164" s="13">
        <f t="shared" si="9"/>
        <v>30</v>
      </c>
      <c r="P164" s="13">
        <f t="shared" si="10"/>
        <v>5</v>
      </c>
      <c r="Q164" s="14" cm="1">
        <f t="array" ref="Q164">INDEX('Subject-ConceptMap'!U148:Y402,1+O164,P164)</f>
        <v>0</v>
      </c>
    </row>
    <row r="165" spans="14:17" x14ac:dyDescent="0.75">
      <c r="N165" s="13">
        <v>156</v>
      </c>
      <c r="O165" s="13">
        <f t="shared" si="9"/>
        <v>31</v>
      </c>
      <c r="P165" s="13">
        <f t="shared" si="10"/>
        <v>1</v>
      </c>
      <c r="Q165" s="14" cm="1">
        <f t="array" ref="Q165">INDEX('Subject-ConceptMap'!U149:Y403,1+O165,P165)</f>
        <v>0</v>
      </c>
    </row>
    <row r="166" spans="14:17" x14ac:dyDescent="0.75">
      <c r="N166" s="13">
        <v>157</v>
      </c>
      <c r="O166" s="13">
        <f t="shared" si="9"/>
        <v>31</v>
      </c>
      <c r="P166" s="13">
        <f t="shared" si="10"/>
        <v>2</v>
      </c>
      <c r="Q166" s="14" cm="1">
        <f t="array" ref="Q166">INDEX('Subject-ConceptMap'!U150:Y404,1+O166,P166)</f>
        <v>0</v>
      </c>
    </row>
    <row r="167" spans="14:17" x14ac:dyDescent="0.75">
      <c r="N167" s="13">
        <v>158</v>
      </c>
      <c r="O167" s="13">
        <f t="shared" si="9"/>
        <v>31</v>
      </c>
      <c r="P167" s="13">
        <f t="shared" si="10"/>
        <v>3</v>
      </c>
      <c r="Q167" s="14" cm="1">
        <f t="array" ref="Q167">INDEX('Subject-ConceptMap'!U151:Y405,1+O167,P167)</f>
        <v>0</v>
      </c>
    </row>
    <row r="168" spans="14:17" x14ac:dyDescent="0.75">
      <c r="N168" s="13">
        <v>159</v>
      </c>
      <c r="O168" s="13">
        <f t="shared" si="9"/>
        <v>31</v>
      </c>
      <c r="P168" s="13">
        <f t="shared" si="10"/>
        <v>4</v>
      </c>
      <c r="Q168" s="14" cm="1">
        <f t="array" ref="Q168">INDEX('Subject-ConceptMap'!U152:Y406,1+O168,P168)</f>
        <v>0</v>
      </c>
    </row>
    <row r="169" spans="14:17" x14ac:dyDescent="0.75">
      <c r="N169" s="13">
        <v>160</v>
      </c>
      <c r="O169" s="13">
        <f t="shared" si="9"/>
        <v>31</v>
      </c>
      <c r="P169" s="13">
        <f t="shared" si="10"/>
        <v>5</v>
      </c>
      <c r="Q169" s="14" cm="1">
        <f t="array" ref="Q169">INDEX('Subject-ConceptMap'!U153:Y407,1+O169,P169)</f>
        <v>0</v>
      </c>
    </row>
    <row r="170" spans="14:17" x14ac:dyDescent="0.75">
      <c r="N170" s="13">
        <v>161</v>
      </c>
      <c r="O170" s="13">
        <f t="shared" si="9"/>
        <v>32</v>
      </c>
      <c r="P170" s="13">
        <f t="shared" si="10"/>
        <v>1</v>
      </c>
      <c r="Q170" s="14" cm="1">
        <f t="array" ref="Q170">INDEX('Subject-ConceptMap'!U154:Y408,1+O170,P170)</f>
        <v>0</v>
      </c>
    </row>
    <row r="171" spans="14:17" x14ac:dyDescent="0.75">
      <c r="N171" s="13">
        <v>162</v>
      </c>
      <c r="O171" s="13">
        <f t="shared" si="9"/>
        <v>32</v>
      </c>
      <c r="P171" s="13">
        <f t="shared" si="10"/>
        <v>2</v>
      </c>
      <c r="Q171" s="14" cm="1">
        <f t="array" ref="Q171">INDEX('Subject-ConceptMap'!U155:Y409,1+O171,P171)</f>
        <v>0</v>
      </c>
    </row>
    <row r="172" spans="14:17" x14ac:dyDescent="0.75">
      <c r="N172" s="13">
        <v>163</v>
      </c>
      <c r="O172" s="13">
        <f t="shared" si="9"/>
        <v>32</v>
      </c>
      <c r="P172" s="13">
        <f t="shared" si="10"/>
        <v>3</v>
      </c>
      <c r="Q172" s="14" cm="1">
        <f t="array" ref="Q172">INDEX('Subject-ConceptMap'!U156:Y410,1+O172,P172)</f>
        <v>0</v>
      </c>
    </row>
    <row r="173" spans="14:17" x14ac:dyDescent="0.75">
      <c r="N173" s="13">
        <v>164</v>
      </c>
      <c r="O173" s="13">
        <f t="shared" si="9"/>
        <v>32</v>
      </c>
      <c r="P173" s="13">
        <f t="shared" si="10"/>
        <v>4</v>
      </c>
      <c r="Q173" s="14" cm="1">
        <f t="array" ref="Q173">INDEX('Subject-ConceptMap'!U157:Y411,1+O173,P173)</f>
        <v>0</v>
      </c>
    </row>
    <row r="174" spans="14:17" x14ac:dyDescent="0.75">
      <c r="N174" s="13">
        <v>165</v>
      </c>
      <c r="O174" s="13">
        <f t="shared" si="9"/>
        <v>32</v>
      </c>
      <c r="P174" s="13">
        <f t="shared" si="10"/>
        <v>5</v>
      </c>
      <c r="Q174" s="14" cm="1">
        <f t="array" ref="Q174">INDEX('Subject-ConceptMap'!U158:Y412,1+O174,P174)</f>
        <v>0</v>
      </c>
    </row>
    <row r="175" spans="14:17" x14ac:dyDescent="0.75">
      <c r="N175" s="13">
        <v>166</v>
      </c>
      <c r="O175" s="13">
        <f t="shared" si="9"/>
        <v>33</v>
      </c>
      <c r="P175" s="13">
        <f t="shared" si="10"/>
        <v>1</v>
      </c>
      <c r="Q175" s="14" cm="1">
        <f t="array" ref="Q175">INDEX('Subject-ConceptMap'!U159:Y413,1+O175,P175)</f>
        <v>0</v>
      </c>
    </row>
    <row r="176" spans="14:17" x14ac:dyDescent="0.75">
      <c r="N176" s="13">
        <v>167</v>
      </c>
      <c r="O176" s="13">
        <f t="shared" si="9"/>
        <v>33</v>
      </c>
      <c r="P176" s="13">
        <f t="shared" si="10"/>
        <v>2</v>
      </c>
      <c r="Q176" s="14" cm="1">
        <f t="array" ref="Q176">INDEX('Subject-ConceptMap'!U160:Y414,1+O176,P176)</f>
        <v>0</v>
      </c>
    </row>
    <row r="177" spans="14:17" x14ac:dyDescent="0.75">
      <c r="N177" s="13">
        <v>168</v>
      </c>
      <c r="O177" s="13">
        <f t="shared" si="9"/>
        <v>33</v>
      </c>
      <c r="P177" s="13">
        <f t="shared" si="10"/>
        <v>3</v>
      </c>
      <c r="Q177" s="14" cm="1">
        <f t="array" ref="Q177">INDEX('Subject-ConceptMap'!U161:Y415,1+O177,P177)</f>
        <v>0</v>
      </c>
    </row>
    <row r="178" spans="14:17" x14ac:dyDescent="0.75">
      <c r="N178" s="13">
        <v>169</v>
      </c>
      <c r="O178" s="13">
        <f t="shared" si="9"/>
        <v>33</v>
      </c>
      <c r="P178" s="13">
        <f t="shared" si="10"/>
        <v>4</v>
      </c>
      <c r="Q178" s="14" cm="1">
        <f t="array" ref="Q178">INDEX('Subject-ConceptMap'!U162:Y416,1+O178,P178)</f>
        <v>0</v>
      </c>
    </row>
    <row r="179" spans="14:17" x14ac:dyDescent="0.75">
      <c r="N179" s="13">
        <v>170</v>
      </c>
      <c r="O179" s="13">
        <f t="shared" si="9"/>
        <v>33</v>
      </c>
      <c r="P179" s="13">
        <f t="shared" si="10"/>
        <v>5</v>
      </c>
      <c r="Q179" s="14" cm="1">
        <f t="array" ref="Q179">INDEX('Subject-ConceptMap'!U163:Y417,1+O179,P179)</f>
        <v>0</v>
      </c>
    </row>
    <row r="180" spans="14:17" x14ac:dyDescent="0.75">
      <c r="N180" s="13">
        <v>171</v>
      </c>
      <c r="O180" s="13">
        <f t="shared" si="9"/>
        <v>34</v>
      </c>
      <c r="P180" s="13">
        <f t="shared" si="10"/>
        <v>1</v>
      </c>
      <c r="Q180" s="14" cm="1">
        <f t="array" ref="Q180">INDEX('Subject-ConceptMap'!U164:Y418,1+O180,P180)</f>
        <v>0</v>
      </c>
    </row>
    <row r="181" spans="14:17" x14ac:dyDescent="0.75">
      <c r="N181" s="13">
        <v>172</v>
      </c>
      <c r="O181" s="13">
        <f t="shared" si="9"/>
        <v>34</v>
      </c>
      <c r="P181" s="13">
        <f t="shared" si="10"/>
        <v>2</v>
      </c>
      <c r="Q181" s="14" cm="1">
        <f t="array" ref="Q181">INDEX('Subject-ConceptMap'!U165:Y419,1+O181,P181)</f>
        <v>0</v>
      </c>
    </row>
    <row r="182" spans="14:17" x14ac:dyDescent="0.75">
      <c r="N182" s="13">
        <v>173</v>
      </c>
      <c r="O182" s="13">
        <f t="shared" si="9"/>
        <v>34</v>
      </c>
      <c r="P182" s="13">
        <f t="shared" si="10"/>
        <v>3</v>
      </c>
      <c r="Q182" s="14" cm="1">
        <f t="array" ref="Q182">INDEX('Subject-ConceptMap'!U166:Y420,1+O182,P182)</f>
        <v>0</v>
      </c>
    </row>
    <row r="183" spans="14:17" x14ac:dyDescent="0.75">
      <c r="N183" s="13">
        <v>174</v>
      </c>
      <c r="O183" s="13">
        <f t="shared" si="9"/>
        <v>34</v>
      </c>
      <c r="P183" s="13">
        <f t="shared" si="10"/>
        <v>4</v>
      </c>
      <c r="Q183" s="14" cm="1">
        <f t="array" ref="Q183">INDEX('Subject-ConceptMap'!U167:Y421,1+O183,P183)</f>
        <v>0</v>
      </c>
    </row>
    <row r="184" spans="14:17" x14ac:dyDescent="0.75">
      <c r="N184" s="13">
        <v>175</v>
      </c>
      <c r="O184" s="13">
        <f t="shared" si="9"/>
        <v>34</v>
      </c>
      <c r="P184" s="13">
        <f t="shared" si="10"/>
        <v>5</v>
      </c>
      <c r="Q184" s="14" cm="1">
        <f t="array" ref="Q184">INDEX('Subject-ConceptMap'!U168:Y422,1+O184,P184)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D5EF33B-3919-4BE4-A8D6-CE0404C75504}">
          <x14:formula1>
            <xm:f>Foglio2!$D$6:$D$15</xm:f>
          </x14:formula1>
          <xm:sqref>L37:L46 I34:I46 J21:K46 F10:G46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27781-A722-49BA-8657-D6A93BE71BAA}">
  <sheetPr codeName="Foglio12">
    <tabColor rgb="FFFF0000"/>
  </sheetPr>
  <dimension ref="B1:G77"/>
  <sheetViews>
    <sheetView tabSelected="1" workbookViewId="0">
      <selection activeCell="B77" sqref="B63:B77"/>
    </sheetView>
  </sheetViews>
  <sheetFormatPr defaultRowHeight="14.75" x14ac:dyDescent="0.75"/>
  <cols>
    <col min="1" max="1" width="8.7265625" style="11"/>
    <col min="2" max="2" width="130.81640625" style="11" customWidth="1"/>
    <col min="3" max="3" width="8.76953125" style="11" customWidth="1"/>
    <col min="4" max="4" width="5.81640625" style="11" customWidth="1"/>
    <col min="5" max="5" width="3" style="11" customWidth="1"/>
    <col min="6" max="6" width="8.7265625" style="11"/>
    <col min="7" max="7" width="46.6328125" style="11" customWidth="1"/>
    <col min="8" max="16384" width="8.7265625" style="11"/>
  </cols>
  <sheetData>
    <row r="1" spans="2:7" ht="15.5" thickBot="1" x14ac:dyDescent="0.9">
      <c r="B1" s="28" t="s">
        <v>21</v>
      </c>
    </row>
    <row r="2" spans="2:7" ht="16.75" thickBot="1" x14ac:dyDescent="0.9">
      <c r="B2" s="29" t="s">
        <v>1459</v>
      </c>
      <c r="G2" s="35" t="s">
        <v>1476</v>
      </c>
    </row>
    <row r="3" spans="2:7" x14ac:dyDescent="0.75">
      <c r="B3" s="29" t="s">
        <v>21</v>
      </c>
    </row>
    <row r="4" spans="2:7" x14ac:dyDescent="0.75">
      <c r="B4" s="75" t="s">
        <v>1477</v>
      </c>
    </row>
    <row r="5" spans="2:7" x14ac:dyDescent="0.75">
      <c r="B5" s="75" t="s">
        <v>1457</v>
      </c>
    </row>
    <row r="6" spans="2:7" x14ac:dyDescent="0.75">
      <c r="B6" s="75" t="s">
        <v>1448</v>
      </c>
    </row>
    <row r="7" spans="2:7" x14ac:dyDescent="0.75">
      <c r="B7" s="75" t="s">
        <v>1478</v>
      </c>
    </row>
    <row r="8" spans="2:7" x14ac:dyDescent="0.75">
      <c r="B8" s="75" t="s">
        <v>1479</v>
      </c>
    </row>
    <row r="9" spans="2:7" x14ac:dyDescent="0.75">
      <c r="B9" s="75" t="s">
        <v>1480</v>
      </c>
    </row>
    <row r="10" spans="2:7" x14ac:dyDescent="0.75">
      <c r="B10" s="75" t="s">
        <v>1449</v>
      </c>
    </row>
    <row r="11" spans="2:7" x14ac:dyDescent="0.75">
      <c r="B11" s="75" t="s">
        <v>1450</v>
      </c>
    </row>
    <row r="12" spans="2:7" x14ac:dyDescent="0.75">
      <c r="B12" s="75" t="s">
        <v>1481</v>
      </c>
    </row>
    <row r="13" spans="2:7" x14ac:dyDescent="0.75">
      <c r="B13" s="75" t="s">
        <v>1482</v>
      </c>
    </row>
    <row r="14" spans="2:7" x14ac:dyDescent="0.75">
      <c r="B14" s="81" t="s">
        <v>1472</v>
      </c>
    </row>
    <row r="15" spans="2:7" x14ac:dyDescent="0.75">
      <c r="B15" s="81" t="s">
        <v>1473</v>
      </c>
    </row>
    <row r="16" spans="2:7" x14ac:dyDescent="0.75">
      <c r="B16" s="75"/>
    </row>
    <row r="17" spans="2:7" x14ac:dyDescent="0.75">
      <c r="B17" s="80" t="s">
        <v>1474</v>
      </c>
    </row>
    <row r="18" spans="2:7" x14ac:dyDescent="0.75">
      <c r="B18" s="80" t="s">
        <v>1475</v>
      </c>
    </row>
    <row r="19" spans="2:7" x14ac:dyDescent="0.75">
      <c r="B19" s="82"/>
    </row>
    <row r="20" spans="2:7" x14ac:dyDescent="0.75">
      <c r="B20" s="14" t="str">
        <f>IF('Subject-ConceptMap'!Q10=0,"//---END",'Subject-ConceptMap'!Q10)</f>
        <v>* group[=].element[+].code = #Subject</v>
      </c>
    </row>
    <row r="21" spans="2:7" x14ac:dyDescent="0.75">
      <c r="B21" s="14" t="str">
        <f>IF('Subject-ConceptMap'!Q11=0,"//---END",'Subject-ConceptMap'!Q11)</f>
        <v>* group[=].element[=].display = ##34#Subject of care##34#</v>
      </c>
    </row>
    <row r="22" spans="2:7" x14ac:dyDescent="0.75">
      <c r="B22" s="14" t="str">
        <f>IF('Subject-ConceptMap'!Q12=0,"//---END",'Subject-ConceptMap'!Q12)</f>
        <v>* group[=].element[=].target.code = #Osiris.Patient</v>
      </c>
    </row>
    <row r="23" spans="2:7" x14ac:dyDescent="0.75">
      <c r="B23" s="14" t="str">
        <f>IF('Subject-ConceptMap'!Q13=0,"//---END",'Subject-ConceptMap'!Q13)</f>
        <v>* group[=].element[=].target.display = ##34#Patient##34#</v>
      </c>
    </row>
    <row r="24" spans="2:7" x14ac:dyDescent="0.75">
      <c r="B24" s="14" t="str">
        <f>IF('Subject-ConceptMap'!Q14=0,"//---END",'Subject-ConceptMap'!Q14)</f>
        <v>* group[=].element[=].target.equivalence = #equivalent</v>
      </c>
    </row>
    <row r="25" spans="2:7" x14ac:dyDescent="0.75">
      <c r="B25" s="14" t="str">
        <f>IF('Subject-ConceptMap'!Q15=0,"//---END",'Subject-ConceptMap'!Q15)</f>
        <v>* group[=].element[+].code = #Subject.dateOfBirth</v>
      </c>
      <c r="G25" s="7"/>
    </row>
    <row r="26" spans="2:7" x14ac:dyDescent="0.75">
      <c r="B26" s="14" t="str">
        <f>IF('Subject-ConceptMap'!Q16=0,"//---END",'Subject-ConceptMap'!Q16)</f>
        <v>* group[=].element[=].display = ##34#Date of birth##34#</v>
      </c>
    </row>
    <row r="27" spans="2:7" x14ac:dyDescent="0.75">
      <c r="B27" s="14" t="str">
        <f>IF('Subject-ConceptMap'!Q17=0,"//---END",'Subject-ConceptMap'!Q17)</f>
        <v>* group[=].element[=].target.code = #Osiris.Patient.BirthDate</v>
      </c>
    </row>
    <row r="28" spans="2:7" x14ac:dyDescent="0.75">
      <c r="B28" s="14" t="str">
        <f>IF('Subject-ConceptMap'!Q18=0,"//---END",'Subject-ConceptMap'!Q18)</f>
        <v>* group[=].element[=].target.display = ##34#Birth Date [C4]##34#</v>
      </c>
    </row>
    <row r="29" spans="2:7" x14ac:dyDescent="0.75">
      <c r="B29" s="14" t="str">
        <f>IF('Subject-ConceptMap'!Q19=0,"//---END",'Subject-ConceptMap'!Q19)</f>
        <v>* group[=].element[=].target.equivalence = #relatedto</v>
      </c>
    </row>
    <row r="30" spans="2:7" x14ac:dyDescent="0.75">
      <c r="B30" s="14" t="str">
        <f>IF('Subject-ConceptMap'!Q20=0,"//---END",'Subject-ConceptMap'!Q20)</f>
        <v>* group[=].element[+].code = #Subject.dateOfBirth.date</v>
      </c>
    </row>
    <row r="31" spans="2:7" x14ac:dyDescent="0.75">
      <c r="B31" s="14" t="str">
        <f>IF('Subject-ConceptMap'!Q21=0,"//---END",'Subject-ConceptMap'!Q21)</f>
        <v>* group[=].element[=].display = ##34#Date of birth##34#</v>
      </c>
    </row>
    <row r="32" spans="2:7" x14ac:dyDescent="0.75">
      <c r="B32" s="14" t="str">
        <f>IF('Subject-ConceptMap'!Q22=0,"//---END",'Subject-ConceptMap'!Q22)</f>
        <v>* group[=].element[=].target.code = #Osiris.Patient.BirthDate</v>
      </c>
    </row>
    <row r="33" spans="2:2" x14ac:dyDescent="0.75">
      <c r="B33" s="14" t="str">
        <f>IF('Subject-ConceptMap'!Q23=0,"//---END",'Subject-ConceptMap'!Q23)</f>
        <v>* group[=].element[=].target.display = ##34#Birth Date [C4]##34#</v>
      </c>
    </row>
    <row r="34" spans="2:2" x14ac:dyDescent="0.75">
      <c r="B34" s="14" t="str">
        <f>IF('Subject-ConceptMap'!Q24=0,"//---END",'Subject-ConceptMap'!Q24)</f>
        <v>* group[=].element[=].target.equivalence = #equivalent</v>
      </c>
    </row>
    <row r="35" spans="2:2" x14ac:dyDescent="0.75">
      <c r="B35" s="14" t="str">
        <f>IF('Subject-ConceptMap'!Q25=0,"//---END",'Subject-ConceptMap'!Q25)</f>
        <v>* group[=].element[+].code = #Subject.dateOfBirth.unknown</v>
      </c>
    </row>
    <row r="36" spans="2:2" x14ac:dyDescent="0.75">
      <c r="B36" s="14" t="str">
        <f>IF('Subject-ConceptMap'!Q26=0,"//---END",'Subject-ConceptMap'!Q26)</f>
        <v>* group[=].element[=].display = ##34#Date of birth day unknown##34#</v>
      </c>
    </row>
    <row r="37" spans="2:2" x14ac:dyDescent="0.75">
      <c r="B37" s="14" t="str">
        <f>IF('Subject-ConceptMap'!Q27=0,"//---END",'Subject-ConceptMap'!Q27)</f>
        <v>//-- unmatched</v>
      </c>
    </row>
    <row r="38" spans="2:2" x14ac:dyDescent="0.75">
      <c r="B38" s="14" t="str">
        <f>IF('Subject-ConceptMap'!Q28=0,"//---END",'Subject-ConceptMap'!Q28)</f>
        <v>//-- unmatched</v>
      </c>
    </row>
    <row r="39" spans="2:2" x14ac:dyDescent="0.75">
      <c r="B39" s="14" t="str">
        <f>IF('Subject-ConceptMap'!Q29=0,"//---END",'Subject-ConceptMap'!Q29)</f>
        <v>* group[=].element[=].target.equivalence = #unmatched</v>
      </c>
    </row>
    <row r="40" spans="2:2" x14ac:dyDescent="0.75">
      <c r="B40" s="14" t="str">
        <f>IF('Subject-ConceptMap'!Q30=0,"//---END",'Subject-ConceptMap'!Q30)</f>
        <v>* group[=].element[+].code = #Subject.maritalStatus</v>
      </c>
    </row>
    <row r="41" spans="2:2" x14ac:dyDescent="0.75">
      <c r="B41" s="14" t="str">
        <f>IF('Subject-ConceptMap'!Q31=0,"//---END",'Subject-ConceptMap'!Q31)</f>
        <v>* group[=].element[=].display = ##34#Marital status##34#</v>
      </c>
    </row>
    <row r="42" spans="2:2" x14ac:dyDescent="0.75">
      <c r="B42" s="14" t="str">
        <f>IF('Subject-ConceptMap'!Q32=0,"//---END",'Subject-ConceptMap'!Q32)</f>
        <v>//-- unmatched</v>
      </c>
    </row>
    <row r="43" spans="2:2" x14ac:dyDescent="0.75">
      <c r="B43" s="14" t="str">
        <f>IF('Subject-ConceptMap'!Q33=0,"//---END",'Subject-ConceptMap'!Q33)</f>
        <v>//-- unmatched</v>
      </c>
    </row>
    <row r="44" spans="2:2" x14ac:dyDescent="0.75">
      <c r="B44" s="14" t="str">
        <f>IF('Subject-ConceptMap'!Q34=0,"//---END",'Subject-ConceptMap'!Q34)</f>
        <v>* group[=].element[=].target.equivalence = #unmatched</v>
      </c>
    </row>
    <row r="45" spans="2:2" x14ac:dyDescent="0.75">
      <c r="B45" s="14" t="str">
        <f>IF('Subject-ConceptMap'!Q35=0,"//---END",'Subject-ConceptMap'!Q35)</f>
        <v>* group[=].element[+].code = #Subject.sexOrGender</v>
      </c>
    </row>
    <row r="46" spans="2:2" x14ac:dyDescent="0.75">
      <c r="B46" s="14" t="str">
        <f>IF('Subject-ConceptMap'!Q36=0,"//---END",'Subject-ConceptMap'!Q36)</f>
        <v>* group[=].element[=].display = ##34#Gender/Sex##34#</v>
      </c>
    </row>
    <row r="47" spans="2:2" x14ac:dyDescent="0.75">
      <c r="B47" s="14" t="str">
        <f>IF('Subject-ConceptMap'!Q37=0,"//---END",'Subject-ConceptMap'!Q37)</f>
        <v>* group[=].element[=].target.code = #Osiris.Patient.Gender</v>
      </c>
    </row>
    <row r="48" spans="2:2" x14ac:dyDescent="0.75">
      <c r="B48" s="14" t="str">
        <f>IF('Subject-ConceptMap'!Q38=0,"//---END",'Subject-ConceptMap'!Q38)</f>
        <v>* group[=].element[=].target.display = ##34#Gender [C2]##34#</v>
      </c>
    </row>
    <row r="49" spans="2:2" x14ac:dyDescent="0.75">
      <c r="B49" s="14" t="str">
        <f>IF('Subject-ConceptMap'!Q39=0,"//---END",'Subject-ConceptMap'!Q39)</f>
        <v>* group[=].element[=].target.equivalence = #narrower</v>
      </c>
    </row>
    <row r="50" spans="2:2" x14ac:dyDescent="0.75">
      <c r="B50" s="14" t="str">
        <f>IF('Subject-ConceptMap'!Q40=0,"//---END",'Subject-ConceptMap'!Q40)</f>
        <v>* group[=].element[+].code = #Subject.race</v>
      </c>
    </row>
    <row r="51" spans="2:2" x14ac:dyDescent="0.75">
      <c r="B51" s="14" t="str">
        <f>IF('Subject-ConceptMap'!Q41=0,"//---END",'Subject-ConceptMap'!Q41)</f>
        <v>* group[=].element[=].display = ##34#Race##34#</v>
      </c>
    </row>
    <row r="52" spans="2:2" x14ac:dyDescent="0.75">
      <c r="B52" s="14" t="str">
        <f>IF('Subject-ConceptMap'!Q42=0,"//---END",'Subject-ConceptMap'!Q42)</f>
        <v>* group[=].element[=].target.code = #Osiris.Patient.Ethnicity</v>
      </c>
    </row>
    <row r="53" spans="2:2" x14ac:dyDescent="0.75">
      <c r="B53" s="14" t="str">
        <f>IF('Subject-ConceptMap'!Q43=0,"//---END",'Subject-ConceptMap'!Q43)</f>
        <v>* group[=].element[=].target.display = ##34#Ethnicity [C3]##34#</v>
      </c>
    </row>
    <row r="54" spans="2:2" x14ac:dyDescent="0.75">
      <c r="B54" s="14" t="str">
        <f>IF('Subject-ConceptMap'!Q44=0,"//---END",'Subject-ConceptMap'!Q44)</f>
        <v>* group[=].element[=].target.equivalence = #wider</v>
      </c>
    </row>
    <row r="55" spans="2:2" x14ac:dyDescent="0.75">
      <c r="B55" s="14" t="str">
        <f>IF('Subject-ConceptMap'!Q45=0,"//---END",'Subject-ConceptMap'!Q45)</f>
        <v>* group[=].element[+].code = #Subject.countryOfResidence</v>
      </c>
    </row>
    <row r="56" spans="2:2" x14ac:dyDescent="0.75">
      <c r="B56" s="14" t="str">
        <f>IF('Subject-ConceptMap'!Q46=0,"//---END",'Subject-ConceptMap'!Q46)</f>
        <v>* group[=].element[=].display = ##34#Country of Residence ##34#</v>
      </c>
    </row>
    <row r="57" spans="2:2" x14ac:dyDescent="0.75">
      <c r="B57" s="14" t="str">
        <f>IF('Subject-ConceptMap'!Q47=0,"//---END",'Subject-ConceptMap'!Q47)</f>
        <v>//-- unmatched</v>
      </c>
    </row>
    <row r="58" spans="2:2" x14ac:dyDescent="0.75">
      <c r="B58" s="14" t="str">
        <f>IF('Subject-ConceptMap'!Q48=0,"//---END",'Subject-ConceptMap'!Q48)</f>
        <v>//-- unmatched</v>
      </c>
    </row>
    <row r="59" spans="2:2" x14ac:dyDescent="0.75">
      <c r="B59" s="14" t="str">
        <f>IF('Subject-ConceptMap'!Q49=0,"//---END",'Subject-ConceptMap'!Q49)</f>
        <v>* group[=].element[=].target.equivalence = #unmatched</v>
      </c>
    </row>
    <row r="60" spans="2:2" x14ac:dyDescent="0.75">
      <c r="B60" s="14" t="str">
        <f>IF('Subject-ConceptMap'!Q50=0,"//---END",'Subject-ConceptMap'!Q50)</f>
        <v>//---END</v>
      </c>
    </row>
    <row r="61" spans="2:2" x14ac:dyDescent="0.75">
      <c r="B61" s="14" t="str">
        <f>IF('Subject-ConceptMap'!Q51=0,"//---END",'Subject-ConceptMap'!Q51)</f>
        <v>//---END</v>
      </c>
    </row>
    <row r="62" spans="2:2" x14ac:dyDescent="0.75">
      <c r="B62" s="14" t="str">
        <f>IF('Subject-ConceptMap'!Q52=0,"//---END",'Subject-ConceptMap'!Q52)</f>
        <v>//---END</v>
      </c>
    </row>
    <row r="63" spans="2:2" x14ac:dyDescent="0.75">
      <c r="B63" s="14"/>
    </row>
    <row r="64" spans="2:2" x14ac:dyDescent="0.75">
      <c r="B64" s="14"/>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68"/>
    </row>
    <row r="71" spans="2:4" x14ac:dyDescent="0.75">
      <c r="B71" s="14"/>
    </row>
    <row r="72" spans="2:4" x14ac:dyDescent="0.75">
      <c r="B72" s="14"/>
    </row>
    <row r="73" spans="2:4" x14ac:dyDescent="0.75">
      <c r="B73" s="14"/>
    </row>
    <row r="74" spans="2:4" x14ac:dyDescent="0.75">
      <c r="B74" s="14"/>
    </row>
    <row r="75" spans="2:4" x14ac:dyDescent="0.75">
      <c r="B75" s="14"/>
    </row>
    <row r="76" spans="2:4" x14ac:dyDescent="0.75">
      <c r="B76" s="14"/>
    </row>
    <row r="77" spans="2:4" x14ac:dyDescent="0.75">
      <c r="B77"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dimension ref="D1:U260"/>
  <sheetViews>
    <sheetView topLeftCell="E1" workbookViewId="0">
      <selection activeCell="I223" sqref="I223"/>
    </sheetView>
  </sheetViews>
  <sheetFormatPr defaultRowHeight="14.75" x14ac:dyDescent="0.75"/>
  <cols>
    <col min="4" max="4" width="70.81640625" customWidth="1"/>
    <col min="5" max="5" width="58.36328125" customWidth="1"/>
    <col min="6" max="7" width="58.36328125" style="11" customWidth="1"/>
    <col min="8" max="8" width="30.54296875" customWidth="1"/>
    <col min="9" max="9" width="37.08984375" customWidth="1"/>
    <col min="10" max="10" width="41.453125" customWidth="1"/>
    <col min="11" max="11" width="58.36328125" style="12" customWidth="1"/>
    <col min="12" max="12" width="36.81640625" customWidth="1"/>
    <col min="13" max="13" width="37.36328125" customWidth="1"/>
    <col min="15" max="15" width="30.6328125" customWidth="1"/>
  </cols>
  <sheetData>
    <row r="1" spans="4:21" x14ac:dyDescent="0.75">
      <c r="D1" s="59" t="str">
        <f>OsirisDataElementConcept[[#Headers],[DataElementConcept]]</f>
        <v>DataElementConcept</v>
      </c>
      <c r="L1" t="s">
        <v>1409</v>
      </c>
    </row>
    <row r="2" spans="4:21" x14ac:dyDescent="0.75">
      <c r="I2" s="61" t="str">
        <f>OsirisDataElementConcept!$A$2</f>
        <v>Patient</v>
      </c>
      <c r="J2" s="61" t="str">
        <f>OsirisDataElementConcept!$A$2</f>
        <v>Patient</v>
      </c>
      <c r="K2" s="61" t="str">
        <f>OsirisDataElementConcept!$A$2</f>
        <v>Patient</v>
      </c>
      <c r="L2" s="63" t="s">
        <v>1410</v>
      </c>
      <c r="M2" s="63" t="s">
        <v>2</v>
      </c>
    </row>
    <row r="3" spans="4:21" ht="29.5" x14ac:dyDescent="0.75">
      <c r="D3" t="str">
        <f>OsirisDataElementConcept!C2</f>
        <v>Patient_Id</v>
      </c>
      <c r="E3" s="11" t="str">
        <f>OsirisDataElementConcept!D2</f>
        <v>Patient Id</v>
      </c>
      <c r="H3" t="str">
        <f>OsirisDataElementConcept!A2</f>
        <v>Patient</v>
      </c>
      <c r="I3" s="11" t="str">
        <f>SUBSTITUTE(OsirisDataElementConcept!C2,"_",".")</f>
        <v>Patient.Id</v>
      </c>
      <c r="J3" t="str">
        <f>OsirisDataElementConcept!D2&amp;" ["&amp;OsirisDataElementConcept!L2&amp;"]"</f>
        <v>Patient Id [C1]</v>
      </c>
      <c r="K3" s="1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60" t="str">
        <f>IF(LEN(OsirisDataElementConcept!I2)=9,"1","0")</f>
        <v>1</v>
      </c>
      <c r="M3" t="str">
        <f>IF(OsirisDataElementConcept!G2="String","string",IF(OsirisDataElementConcept!G2="Date","date",IF(OsirisDataElementConcept!G2="Float","decimal",OsirisDataElementConcept!G2)))</f>
        <v>string</v>
      </c>
    </row>
    <row r="4" spans="4:21" ht="44.25" x14ac:dyDescent="0.75">
      <c r="D4" s="11" t="str">
        <f>OsirisDataElementConcept!C3</f>
        <v>Patient_Gender</v>
      </c>
      <c r="E4" s="11" t="str">
        <f>OsirisDataElementConcept!D3</f>
        <v>Gender</v>
      </c>
      <c r="H4" s="11" t="str">
        <f>OsirisDataElementConcept!A3</f>
        <v>Patient</v>
      </c>
      <c r="I4" s="11" t="str">
        <f>SUBSTITUTE(OsirisDataElementConcept!C3,"_",".")</f>
        <v>Patient.Gender</v>
      </c>
      <c r="J4" s="11" t="str">
        <f>OsirisDataElementConcept!D3&amp;" ["&amp;OsirisDataElementConcept!L3&amp;"]"</f>
        <v>Gender [C2]</v>
      </c>
      <c r="K4" s="1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60" t="str">
        <f>IF(LEN(OsirisDataElementConcept!I3)=9,"1","0")</f>
        <v>1</v>
      </c>
      <c r="M4" s="11" t="str">
        <f>IF(OsirisDataElementConcept!G3="String","string",IF(OsirisDataElementConcept!G3="Date","date",IF(OsirisDataElementConcept!G3="Float","decimal",OsirisDataElementConcept!G3)))</f>
        <v>string</v>
      </c>
    </row>
    <row r="5" spans="4:21" ht="44.25" x14ac:dyDescent="0.75">
      <c r="D5" s="11" t="str">
        <f>OsirisDataElementConcept!C4</f>
        <v>Patient_Ethnicity</v>
      </c>
      <c r="E5" s="11" t="str">
        <f>OsirisDataElementConcept!D4</f>
        <v>Ethnicity</v>
      </c>
      <c r="H5" s="11" t="str">
        <f>OsirisDataElementConcept!A4</f>
        <v>Patient</v>
      </c>
      <c r="I5" s="11" t="str">
        <f>SUBSTITUTE(OsirisDataElementConcept!C4,"_",".")</f>
        <v>Patient.Ethnicity</v>
      </c>
      <c r="J5" s="11" t="str">
        <f>OsirisDataElementConcept!D4&amp;" ["&amp;OsirisDataElementConcept!L4&amp;"]"</f>
        <v>Ethnicity [C3]</v>
      </c>
      <c r="K5" s="1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60" t="str">
        <f>IF(LEN(OsirisDataElementConcept!I4)=9,"1","0")</f>
        <v>0</v>
      </c>
      <c r="M5" s="11" t="str">
        <f>IF(OsirisDataElementConcept!G4="String","string",IF(OsirisDataElementConcept!G4="Date","date",IF(OsirisDataElementConcept!G4="Float","decimal",OsirisDataElementConcept!G4)))</f>
        <v>string</v>
      </c>
    </row>
    <row r="6" spans="4:21" ht="29.5" x14ac:dyDescent="0.75">
      <c r="D6" s="11" t="str">
        <f>OsirisDataElementConcept!C5</f>
        <v>Patient_BirthDate</v>
      </c>
      <c r="E6" s="11" t="str">
        <f>OsirisDataElementConcept!D5</f>
        <v>Birth Date</v>
      </c>
      <c r="H6" s="11" t="str">
        <f>OsirisDataElementConcept!A5</f>
        <v>Patient</v>
      </c>
      <c r="I6" s="11" t="str">
        <f>SUBSTITUTE(OsirisDataElementConcept!C5,"_",".")</f>
        <v>Patient.BirthDate</v>
      </c>
      <c r="J6" s="11" t="str">
        <f>OsirisDataElementConcept!D5&amp;" ["&amp;OsirisDataElementConcept!L5&amp;"]"</f>
        <v>Birth Date [C4]</v>
      </c>
      <c r="K6" s="1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60" t="str">
        <f>IF(LEN(OsirisDataElementConcept!I5)=9,"1","0")</f>
        <v>1</v>
      </c>
      <c r="M6" s="11" t="str">
        <f>IF(OsirisDataElementConcept!G5="String","string",IF(OsirisDataElementConcept!G5="Date","date",IF(OsirisDataElementConcept!G5="Float","decimal",OsirisDataElementConcept!G5)))</f>
        <v>date</v>
      </c>
    </row>
    <row r="7" spans="4:21" ht="29.5" x14ac:dyDescent="0.75">
      <c r="D7" s="11" t="str">
        <f>OsirisDataElementConcept!C6</f>
        <v>Patient_DeathDate</v>
      </c>
      <c r="E7" s="11" t="str">
        <f>OsirisDataElementConcept!D6</f>
        <v>Death Date</v>
      </c>
      <c r="H7" s="11" t="str">
        <f>OsirisDataElementConcept!A6</f>
        <v>Patient</v>
      </c>
      <c r="I7" s="11" t="str">
        <f>SUBSTITUTE(OsirisDataElementConcept!C6,"_",".")</f>
        <v>Patient.DeathDate</v>
      </c>
      <c r="J7" s="11" t="str">
        <f>OsirisDataElementConcept!D6&amp;" ["&amp;OsirisDataElementConcept!L6&amp;"]"</f>
        <v>Death Date [C5]</v>
      </c>
      <c r="K7" s="1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60" t="str">
        <f>IF(LEN(OsirisDataElementConcept!I6)=9,"1","0")</f>
        <v>0</v>
      </c>
      <c r="M7" s="11" t="str">
        <f>IF(OsirisDataElementConcept!G6="String","string",IF(OsirisDataElementConcept!G6="Date","date",IF(OsirisDataElementConcept!G6="Float","decimal",OsirisDataElementConcept!G6)))</f>
        <v>date</v>
      </c>
    </row>
    <row r="8" spans="4:21" ht="29.5" x14ac:dyDescent="0.75">
      <c r="D8" s="11" t="str">
        <f>OsirisDataElementConcept!C7</f>
        <v>Patient_ProviderCenterId</v>
      </c>
      <c r="E8" s="11" t="str">
        <f>OsirisDataElementConcept!D7</f>
        <v>Provider  Center  Id</v>
      </c>
      <c r="H8" s="11" t="str">
        <f>OsirisDataElementConcept!A7</f>
        <v>Patient</v>
      </c>
      <c r="I8" s="11" t="str">
        <f>SUBSTITUTE(OsirisDataElementConcept!C7,"_",".")</f>
        <v>Patient.ProviderCenterId</v>
      </c>
      <c r="J8" s="11" t="str">
        <f>OsirisDataElementConcept!D7&amp;" ["&amp;OsirisDataElementConcept!L7&amp;"]"</f>
        <v>Provider  Center  Id [C6]</v>
      </c>
      <c r="K8" s="1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60" t="str">
        <f>IF(LEN(OsirisDataElementConcept!I7)=9,"1","0")</f>
        <v>1</v>
      </c>
      <c r="M8" s="11" t="str">
        <f>IF(OsirisDataElementConcept!G7="String","string",IF(OsirisDataElementConcept!G7="Date","date",IF(OsirisDataElementConcept!G7="Float","decimal",OsirisDataElementConcept!G7)))</f>
        <v>string</v>
      </c>
    </row>
    <row r="9" spans="4:21" ht="29.5" x14ac:dyDescent="0.75">
      <c r="D9" s="11" t="str">
        <f>OsirisDataElementConcept!C8</f>
        <v>Patient_OriginCenterId</v>
      </c>
      <c r="E9" s="11" t="str">
        <f>OsirisDataElementConcept!D8</f>
        <v>Origin  Center  Id</v>
      </c>
      <c r="H9" s="11" t="str">
        <f>OsirisDataElementConcept!A8</f>
        <v>Patient</v>
      </c>
      <c r="I9" s="11" t="str">
        <f>SUBSTITUTE(OsirisDataElementConcept!C8,"_",".")</f>
        <v>Patient.OriginCenterId</v>
      </c>
      <c r="J9" s="11" t="str">
        <f>OsirisDataElementConcept!D8&amp;" ["&amp;OsirisDataElementConcept!L8&amp;"]"</f>
        <v>Origin  Center  Id [C71]</v>
      </c>
      <c r="K9" s="1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60" t="str">
        <f>IF(LEN(OsirisDataElementConcept!I8)=9,"1","0")</f>
        <v>1</v>
      </c>
      <c r="M9" s="11" t="str">
        <f>IF(OsirisDataElementConcept!G8="String","string",IF(OsirisDataElementConcept!G8="Date","date",IF(OsirisDataElementConcept!G8="Float","decimal",OsirisDataElementConcept!G8)))</f>
        <v>string</v>
      </c>
    </row>
    <row r="10" spans="4:21" ht="44.25" x14ac:dyDescent="0.75">
      <c r="D10" s="11" t="str">
        <f>OsirisDataElementConcept!C9</f>
        <v>Patient_CauseOfDeath</v>
      </c>
      <c r="E10" s="11" t="str">
        <f>OsirisDataElementConcept!D9</f>
        <v>Cause of death</v>
      </c>
      <c r="H10" s="11" t="str">
        <f>OsirisDataElementConcept!A9</f>
        <v>Patient</v>
      </c>
      <c r="I10" s="11" t="str">
        <f>SUBSTITUTE(OsirisDataElementConcept!C9,"_",".")</f>
        <v>Patient.CauseOfDeath</v>
      </c>
      <c r="J10" s="11" t="str">
        <f>OsirisDataElementConcept!D9&amp;" ["&amp;OsirisDataElementConcept!L9&amp;"]"</f>
        <v>Cause of death [C7]</v>
      </c>
      <c r="K10" s="1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60" t="str">
        <f>IF(LEN(OsirisDataElementConcept!I9)=9,"1","0")</f>
        <v>0</v>
      </c>
      <c r="M10" s="11" t="str">
        <f>IF(OsirisDataElementConcept!G9="String","string",IF(OsirisDataElementConcept!G9="Date","date",IF(OsirisDataElementConcept!G9="Float","decimal",OsirisDataElementConcept!G9)))</f>
        <v>string</v>
      </c>
    </row>
    <row r="11" spans="4:21" ht="44.25" x14ac:dyDescent="0.75">
      <c r="D11" s="11" t="str">
        <f>OsirisDataElementConcept!C10</f>
        <v>Patient_LastNewsDate</v>
      </c>
      <c r="E11" s="11" t="str">
        <f>OsirisDataElementConcept!D10</f>
        <v>Last News Date</v>
      </c>
      <c r="H11" s="11" t="str">
        <f>OsirisDataElementConcept!A10</f>
        <v>Patient</v>
      </c>
      <c r="I11" s="11" t="str">
        <f>SUBSTITUTE(OsirisDataElementConcept!C10,"_",".")</f>
        <v>Patient.LastNewsDate</v>
      </c>
      <c r="J11" s="11" t="str">
        <f>OsirisDataElementConcept!D10&amp;" ["&amp;OsirisDataElementConcept!L10&amp;"]"</f>
        <v>Last News Date [C8]</v>
      </c>
      <c r="K11" s="1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60" t="str">
        <f>IF(LEN(OsirisDataElementConcept!I10)=9,"1","0")</f>
        <v>1</v>
      </c>
      <c r="M11" s="11" t="str">
        <f>IF(OsirisDataElementConcept!G10="String","string",IF(OsirisDataElementConcept!G10="Date","date",IF(OsirisDataElementConcept!G10="Float","decimal",OsirisDataElementConcept!G10)))</f>
        <v>date</v>
      </c>
    </row>
    <row r="12" spans="4:21" ht="44.25" x14ac:dyDescent="0.75">
      <c r="D12" s="11" t="str">
        <f>OsirisDataElementConcept!C11</f>
        <v>Patient_LastNewsStatus</v>
      </c>
      <c r="E12" s="11" t="str">
        <f>OsirisDataElementConcept!D11</f>
        <v>Last News Status</v>
      </c>
      <c r="H12" s="11" t="str">
        <f>OsirisDataElementConcept!A11</f>
        <v>Patient</v>
      </c>
      <c r="I12" s="11" t="str">
        <f>SUBSTITUTE(OsirisDataElementConcept!C11,"_",".")</f>
        <v>Patient.LastNewsStatus</v>
      </c>
      <c r="J12" s="11" t="str">
        <f>OsirisDataElementConcept!D11&amp;" ["&amp;OsirisDataElementConcept!L11&amp;"]"</f>
        <v>Last News Status [C9]</v>
      </c>
      <c r="K12" s="1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60" t="str">
        <f>IF(LEN(OsirisDataElementConcept!I11)=9,"1","0")</f>
        <v>1</v>
      </c>
      <c r="M12" s="11" t="str">
        <f>IF(OsirisDataElementConcept!G11="String","string",IF(OsirisDataElementConcept!G11="Date","date",IF(OsirisDataElementConcept!G11="Float","decimal",OsirisDataElementConcept!G11)))</f>
        <v>string</v>
      </c>
    </row>
    <row r="13" spans="4:21" x14ac:dyDescent="0.75">
      <c r="D13" s="11" t="str">
        <f>OsirisDataElementConcept!C12</f>
        <v>Consent_Date</v>
      </c>
      <c r="E13" s="11" t="str">
        <f>OsirisDataElementConcept!D12</f>
        <v>Date</v>
      </c>
      <c r="H13" s="11" t="str">
        <f>OsirisDataElementConcept!A12</f>
        <v>Consent</v>
      </c>
      <c r="I13" s="61" t="str">
        <f>OsirisDataElementConcept!$A$12</f>
        <v>Consent</v>
      </c>
      <c r="J13" s="61" t="str">
        <f>OsirisDataElementConcept!$A$12</f>
        <v>Consent</v>
      </c>
      <c r="K13" s="61" t="str">
        <f>OsirisDataElementConcept!$A$12</f>
        <v>Consent</v>
      </c>
      <c r="L13" s="62">
        <v>1</v>
      </c>
      <c r="M13" s="63" t="s">
        <v>2</v>
      </c>
      <c r="N13" s="11"/>
      <c r="O13" s="11"/>
      <c r="P13" s="11"/>
      <c r="Q13" s="11"/>
      <c r="R13" s="11"/>
      <c r="S13" s="11"/>
      <c r="T13" s="11"/>
      <c r="U13" s="11"/>
    </row>
    <row r="14" spans="4:21" ht="29.5" x14ac:dyDescent="0.75">
      <c r="D14" s="11" t="str">
        <f>OsirisDataElementConcept!C13</f>
        <v>Consent_GeneticAnalysisAuthorization</v>
      </c>
      <c r="E14" s="11" t="str">
        <f>OsirisDataElementConcept!D13</f>
        <v>Genetic Analysis Authorization</v>
      </c>
      <c r="H14" s="11" t="str">
        <f>OsirisDataElementConcept!A13</f>
        <v>Consent</v>
      </c>
      <c r="I14" s="11" t="str">
        <f>SUBSTITUTE(OsirisDataElementConcept!C12,"_",".")</f>
        <v>Consent.Date</v>
      </c>
      <c r="J14" s="11" t="str">
        <f>OsirisDataElementConcept!D12&amp;" ["&amp;OsirisDataElementConcept!L12&amp;"]"</f>
        <v>Date [C72]</v>
      </c>
      <c r="K14" s="1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60" t="str">
        <f>IF(LEN(OsirisDataElementConcept!I12)=9,"1","0")</f>
        <v>1</v>
      </c>
      <c r="M14" s="11" t="str">
        <f>IF(OsirisDataElementConcept!G12="String","string",IF(OsirisDataElementConcept!G12="Date","date",IF(OsirisDataElementConcept!G12="Float","decimal",OsirisDataElementConcept!G12)))</f>
        <v>date</v>
      </c>
    </row>
    <row r="15" spans="4:21" ht="44.25" x14ac:dyDescent="0.75">
      <c r="D15" s="11" t="str">
        <f>OsirisDataElementConcept!C14</f>
        <v>RelatedPathology_PathologyCode</v>
      </c>
      <c r="H15" s="11" t="str">
        <f>OsirisDataElementConcept!A14</f>
        <v>RelatedPathology</v>
      </c>
      <c r="I15" s="11" t="str">
        <f>SUBSTITUTE(OsirisDataElementConcept!C13,"_",".")</f>
        <v>Consent.GeneticAnalysisAuthorization</v>
      </c>
      <c r="J15" s="11" t="str">
        <f>OsirisDataElementConcept!D13&amp;" ["&amp;OsirisDataElementConcept!L13&amp;"]"</f>
        <v>Genetic Analysis Authorization [C79]</v>
      </c>
      <c r="K15" s="1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60" t="str">
        <f>IF(LEN(OsirisDataElementConcept!I13)=9,"1","0")</f>
        <v>1</v>
      </c>
      <c r="M15" s="11" t="str">
        <f>IF(OsirisDataElementConcept!G13="String","string",IF(OsirisDataElementConcept!G13="Date","date",IF(OsirisDataElementConcept!G13="Float","decimal",OsirisDataElementConcept!G13)))</f>
        <v>string</v>
      </c>
    </row>
    <row r="16" spans="4:21" x14ac:dyDescent="0.75">
      <c r="D16" s="11" t="str">
        <f>OsirisDataElementConcept!C15</f>
        <v>RelatedPathology_DiagnosisDate</v>
      </c>
      <c r="H16" s="11" t="str">
        <f>OsirisDataElementConcept!A15</f>
        <v>RelatedPathology</v>
      </c>
      <c r="I16" s="61" t="s">
        <v>281</v>
      </c>
      <c r="J16" s="61" t="s">
        <v>281</v>
      </c>
      <c r="K16" s="61" t="s">
        <v>281</v>
      </c>
      <c r="L16" s="62">
        <v>0</v>
      </c>
      <c r="M16" s="63" t="s">
        <v>2</v>
      </c>
    </row>
    <row r="17" spans="4:13" ht="59" x14ac:dyDescent="0.75">
      <c r="D17" s="11" t="str">
        <f>OsirisDataElementConcept!C16</f>
        <v>RelatedPathology_PathologyEndDate</v>
      </c>
      <c r="H17" s="11" t="str">
        <f>OsirisDataElementConcept!A16</f>
        <v>RelatedPathology</v>
      </c>
      <c r="I17" s="11" t="str">
        <f>SUBSTITUTE(OsirisDataElementConcept!C14,"_",".")</f>
        <v>RelatedPathology.PathologyCode</v>
      </c>
      <c r="J17" s="11" t="str">
        <f>OsirisDataElementConcept!D14&amp;" ["&amp;OsirisDataElementConcept!L14&amp;"]"</f>
        <v>Pathology Code [C13]</v>
      </c>
      <c r="K17" s="1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60" t="str">
        <f>IF(LEN(OsirisDataElementConcept!I14)=9,"1","0")</f>
        <v>0</v>
      </c>
      <c r="M17" s="11" t="str">
        <f>IF(OsirisDataElementConcept!G14="String","string",IF(OsirisDataElementConcept!G14="Date","date",OsirisDataElementConcept!G14))</f>
        <v>string</v>
      </c>
    </row>
    <row r="18" spans="4:13" ht="29.5" x14ac:dyDescent="0.75">
      <c r="D18" s="11" t="str">
        <f>OsirisDataElementConcept!C17</f>
        <v>FamilyCancerHistory_TopographyCode</v>
      </c>
      <c r="H18" s="11" t="str">
        <f>OsirisDataElementConcept!A17</f>
        <v>FamilyCancerHistory</v>
      </c>
      <c r="I18" s="11" t="str">
        <f>SUBSTITUTE(OsirisDataElementConcept!C15,"_",".")</f>
        <v>RelatedPathology.DiagnosisDate</v>
      </c>
      <c r="J18" s="11" t="str">
        <f>OsirisDataElementConcept!D15&amp;" ["&amp;OsirisDataElementConcept!L15&amp;"]"</f>
        <v>Diagnosis Date [C14]</v>
      </c>
      <c r="K18" s="1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60" t="str">
        <f>IF(LEN(OsirisDataElementConcept!I15)=9,"1","0")</f>
        <v>0</v>
      </c>
      <c r="M18" s="11" t="str">
        <f>IF(OsirisDataElementConcept!G15="String","string",IF(OsirisDataElementConcept!G15="Date","date",OsirisDataElementConcept!G15))</f>
        <v>date</v>
      </c>
    </row>
    <row r="19" spans="4:13" ht="29.5" x14ac:dyDescent="0.75">
      <c r="D19" s="11" t="str">
        <f>OsirisDataElementConcept!C18</f>
        <v>FamilyCancerHistory_Parentage</v>
      </c>
      <c r="H19" s="11" t="str">
        <f>OsirisDataElementConcept!A18</f>
        <v>FamilyCancerHistory</v>
      </c>
      <c r="I19" s="11" t="str">
        <f>SUBSTITUTE(OsirisDataElementConcept!C16,"_",".")</f>
        <v>RelatedPathology.PathologyEndDate</v>
      </c>
      <c r="J19" s="11" t="str">
        <f>OsirisDataElementConcept!D16&amp;" ["&amp;OsirisDataElementConcept!L16&amp;"]"</f>
        <v>Pathology End Date [C15]</v>
      </c>
      <c r="K19" s="1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60" t="str">
        <f>IF(LEN(OsirisDataElementConcept!I16)=9,"1","0")</f>
        <v>0</v>
      </c>
      <c r="M19" s="11" t="str">
        <f>IF(OsirisDataElementConcept!G16="String","string",IF(OsirisDataElementConcept!G16="Date","date",OsirisDataElementConcept!G16))</f>
        <v>date</v>
      </c>
    </row>
    <row r="20" spans="4:13" x14ac:dyDescent="0.75">
      <c r="D20" s="11" t="str">
        <f>OsirisDataElementConcept!C19</f>
        <v>TumorPathologyEvent_Type</v>
      </c>
      <c r="H20" s="11" t="str">
        <f>OsirisDataElementConcept!A19</f>
        <v>TumorPathologyEvent</v>
      </c>
      <c r="I20" s="61" t="s">
        <v>305</v>
      </c>
      <c r="J20" s="61" t="s">
        <v>305</v>
      </c>
      <c r="K20" s="61" t="s">
        <v>305</v>
      </c>
      <c r="L20" s="62">
        <v>0</v>
      </c>
      <c r="M20" s="63" t="s">
        <v>2</v>
      </c>
    </row>
    <row r="21" spans="4:13" ht="44.25" x14ac:dyDescent="0.75">
      <c r="D21" s="11" t="str">
        <f>OsirisDataElementConcept!C20</f>
        <v>TumorPathologyEvent_StartDate</v>
      </c>
      <c r="H21" s="11" t="str">
        <f>OsirisDataElementConcept!A20</f>
        <v>TumorPathologyEvent</v>
      </c>
      <c r="I21" s="11" t="str">
        <f>SUBSTITUTE(OsirisDataElementConcept!C17,"_",".")</f>
        <v>FamilyCancerHistory.TopographyCode</v>
      </c>
      <c r="J21" s="11" t="str">
        <f>OsirisDataElementConcept!D17&amp;" ["&amp;OsirisDataElementConcept!L17&amp;"]"</f>
        <v>Topography Code [C17]</v>
      </c>
      <c r="K21" s="1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60" t="str">
        <f>IF(LEN(OsirisDataElementConcept!I17)=9,"1","0")</f>
        <v>0</v>
      </c>
      <c r="M21" s="11" t="str">
        <f>IF(OsirisDataElementConcept!G17="String","string",IF(OsirisDataElementConcept!G17="Date","date",OsirisDataElementConcept!G17))</f>
        <v>string</v>
      </c>
    </row>
    <row r="22" spans="4:13" ht="44.25" x14ac:dyDescent="0.75">
      <c r="D22" s="11" t="str">
        <f>OsirisDataElementConcept!C21</f>
        <v>TumorPathologyEvent_EndDate</v>
      </c>
      <c r="H22" s="11" t="str">
        <f>OsirisDataElementConcept!A21</f>
        <v>TumorPathologyEvent</v>
      </c>
      <c r="I22" s="11" t="str">
        <f>SUBSTITUTE(OsirisDataElementConcept!C18,"_",".")</f>
        <v>FamilyCancerHistory.Parentage</v>
      </c>
      <c r="J22" s="11" t="str">
        <f>OsirisDataElementConcept!D18&amp;" ["&amp;OsirisDataElementConcept!L18&amp;"]"</f>
        <v>Parentage [C77]</v>
      </c>
      <c r="K22" s="1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60" t="str">
        <f>IF(LEN(OsirisDataElementConcept!I18)=9,"1","0")</f>
        <v>0</v>
      </c>
      <c r="M22" s="11" t="str">
        <f>IF(OsirisDataElementConcept!G18="String","string",IF(OsirisDataElementConcept!G18="Date","date",OsirisDataElementConcept!G18))</f>
        <v>string</v>
      </c>
    </row>
    <row r="23" spans="4:13" x14ac:dyDescent="0.75">
      <c r="D23" s="11" t="str">
        <f>OsirisDataElementConcept!C22</f>
        <v>TumorPathologyEvent_PerformanceStatus</v>
      </c>
      <c r="H23" s="11" t="str">
        <f>OsirisDataElementConcept!A22</f>
        <v>TumorPathologyEvent</v>
      </c>
      <c r="I23" s="61" t="s">
        <v>320</v>
      </c>
      <c r="J23" s="61" t="s">
        <v>320</v>
      </c>
      <c r="K23" s="61" t="s">
        <v>320</v>
      </c>
      <c r="L23" s="62">
        <v>1</v>
      </c>
      <c r="M23" s="63" t="s">
        <v>2</v>
      </c>
    </row>
    <row r="24" spans="4:13" ht="73.75" x14ac:dyDescent="0.75">
      <c r="D24" s="11" t="str">
        <f>OsirisDataElementConcept!C23</f>
        <v>TumorPathologyEvent_G8</v>
      </c>
      <c r="H24" s="11" t="str">
        <f>OsirisDataElementConcept!A23</f>
        <v>TumorPathologyEvent</v>
      </c>
      <c r="I24" s="11" t="str">
        <f>SUBSTITUTE(OsirisDataElementConcept!C19,"_",".")</f>
        <v>TumorPathologyEvent.Type</v>
      </c>
      <c r="J24" s="11" t="str">
        <f>OsirisDataElementConcept!D19&amp;" ["&amp;OsirisDataElementConcept!L19&amp;"]"</f>
        <v>Type [C20]</v>
      </c>
      <c r="K24" s="1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60" t="str">
        <f>IF(LEN(OsirisDataElementConcept!I19)=9,"1","0")</f>
        <v>1</v>
      </c>
      <c r="M24" s="11" t="str">
        <f>IF(OsirisDataElementConcept!G19="String","string",IF(OsirisDataElementConcept!G19="Date","date",OsirisDataElementConcept!G19))</f>
        <v>string</v>
      </c>
    </row>
    <row r="25" spans="4:13" ht="29.5" x14ac:dyDescent="0.75">
      <c r="D25" s="11" t="str">
        <f>OsirisDataElementConcept!C24</f>
        <v>TumorPathologyEvent_HistologicalGradeType</v>
      </c>
      <c r="H25" s="11" t="str">
        <f>OsirisDataElementConcept!A24</f>
        <v>TumorPathologyEvent</v>
      </c>
      <c r="I25" s="11" t="str">
        <f>SUBSTITUTE(OsirisDataElementConcept!C20,"_",".")</f>
        <v>TumorPathologyEvent.StartDate</v>
      </c>
      <c r="J25" s="11" t="str">
        <f>OsirisDataElementConcept!D20&amp;" ["&amp;OsirisDataElementConcept!L20&amp;"]"</f>
        <v>Start Date [C21]</v>
      </c>
      <c r="K25" s="1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60" t="str">
        <f>IF(LEN(OsirisDataElementConcept!I20)=9,"1","0")</f>
        <v>1</v>
      </c>
      <c r="M25" s="11" t="str">
        <f>IF(OsirisDataElementConcept!G20="String","string",IF(OsirisDataElementConcept!G20="Date","date",OsirisDataElementConcept!G20))</f>
        <v>date</v>
      </c>
    </row>
    <row r="26" spans="4:13" ht="29.5" x14ac:dyDescent="0.75">
      <c r="D26" s="11" t="str">
        <f>OsirisDataElementConcept!C25</f>
        <v>TumorPathologyEvent_HistologicalGradeValue</v>
      </c>
      <c r="H26" s="11" t="str">
        <f>OsirisDataElementConcept!A25</f>
        <v>TumorPathologyEvent</v>
      </c>
      <c r="I26" s="11" t="str">
        <f>SUBSTITUTE(OsirisDataElementConcept!C21,"_",".")</f>
        <v>TumorPathologyEvent.EndDate</v>
      </c>
      <c r="J26" s="11" t="str">
        <f>OsirisDataElementConcept!D21&amp;" ["&amp;OsirisDataElementConcept!L21&amp;"]"</f>
        <v>End Date [C82]</v>
      </c>
      <c r="K26" s="1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60" t="str">
        <f>IF(LEN(OsirisDataElementConcept!I21)=9,"1","0")</f>
        <v>0</v>
      </c>
      <c r="M26" s="11" t="str">
        <f>IF(OsirisDataElementConcept!G21="String","string",IF(OsirisDataElementConcept!G21="Date","date",OsirisDataElementConcept!G21))</f>
        <v>date</v>
      </c>
    </row>
    <row r="27" spans="4:13" ht="44.25" x14ac:dyDescent="0.75">
      <c r="D27" s="11" t="str">
        <f>OsirisDataElementConcept!C26</f>
        <v>TumorPathologyEvent_StadeType</v>
      </c>
      <c r="H27" s="11" t="str">
        <f>OsirisDataElementConcept!A26</f>
        <v>TumorPathologyEvent</v>
      </c>
      <c r="I27" s="11" t="str">
        <f>SUBSTITUTE(OsirisDataElementConcept!C22,"_",".")</f>
        <v>TumorPathologyEvent.PerformanceStatus</v>
      </c>
      <c r="J27" s="11" t="str">
        <f>OsirisDataElementConcept!D22&amp;" ["&amp;OsirisDataElementConcept!L22&amp;"]"</f>
        <v>Performance Status [C22]</v>
      </c>
      <c r="K27" s="1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60" t="str">
        <f>IF(LEN(OsirisDataElementConcept!I22)=9,"1","0")</f>
        <v>0</v>
      </c>
      <c r="M27" s="11" t="str">
        <f>IF(OsirisDataElementConcept!G22="String","string",IF(OsirisDataElementConcept!G22="Date","date",OsirisDataElementConcept!G22))</f>
        <v>string</v>
      </c>
    </row>
    <row r="28" spans="4:13" ht="29.5" x14ac:dyDescent="0.75">
      <c r="D28" s="11" t="str">
        <f>OsirisDataElementConcept!C27</f>
        <v>TumorPathologyEvent_StadeValue</v>
      </c>
      <c r="H28" s="11" t="str">
        <f>OsirisDataElementConcept!A27</f>
        <v>TumorPathologyEvent</v>
      </c>
      <c r="I28" s="11" t="str">
        <f>SUBSTITUTE(OsirisDataElementConcept!C23,"_",".")</f>
        <v>TumorPathologyEvent.G8</v>
      </c>
      <c r="J28" s="11" t="str">
        <f>OsirisDataElementConcept!D23&amp;" ["&amp;OsirisDataElementConcept!L23&amp;"]"</f>
        <v>G8 score [C23]</v>
      </c>
      <c r="K28" s="1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60" t="str">
        <f>IF(LEN(OsirisDataElementConcept!I23)=9,"1","0")</f>
        <v>0</v>
      </c>
      <c r="M28" s="11" t="str">
        <f>IF(OsirisDataElementConcept!G23="String","string",IF(OsirisDataElementConcept!G23="Date","date",IF(OsirisDataElementConcept!G23="Integer","integer",OsirisDataElementConcept!G23)))</f>
        <v>integer</v>
      </c>
    </row>
    <row r="29" spans="4:13" ht="44.25" x14ac:dyDescent="0.75">
      <c r="D29" s="11" t="str">
        <f>OsirisDataElementConcept!C28</f>
        <v>TumorPathologyEvent_DiagnosisDate</v>
      </c>
      <c r="H29" s="11" t="str">
        <f>OsirisDataElementConcept!A28</f>
        <v>TumorPathologyEvent</v>
      </c>
      <c r="I29" s="11" t="str">
        <f>SUBSTITUTE(OsirisDataElementConcept!C24,"_",".")</f>
        <v>TumorPathologyEvent.HistologicalGradeType</v>
      </c>
      <c r="J29" s="11" t="str">
        <f>OsirisDataElementConcept!D24&amp;" ["&amp;OsirisDataElementConcept!L24&amp;"]"</f>
        <v>Histological Grade Type [C29]</v>
      </c>
      <c r="K29" s="1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60" t="str">
        <f>IF(LEN(OsirisDataElementConcept!I24)=9,"1","0")</f>
        <v>0</v>
      </c>
      <c r="M29" s="11" t="str">
        <f>IF(OsirisDataElementConcept!G24="String","string",IF(OsirisDataElementConcept!G24="Date","date",IF(OsirisDataElementConcept!G24="Integer","integer",OsirisDataElementConcept!G24)))</f>
        <v>string</v>
      </c>
    </row>
    <row r="30" spans="4:13" ht="44.25" x14ac:dyDescent="0.75">
      <c r="D30" s="11" t="str">
        <f>OsirisDataElementConcept!C29</f>
        <v>TumorPathologyEvent_TopographyCode</v>
      </c>
      <c r="H30" s="11" t="str">
        <f>OsirisDataElementConcept!A29</f>
        <v>TumorPathologyEvent</v>
      </c>
      <c r="I30" s="11" t="str">
        <f>SUBSTITUTE(OsirisDataElementConcept!C25,"_",".")</f>
        <v>TumorPathologyEvent.HistologicalGradeValue</v>
      </c>
      <c r="J30" s="11" t="str">
        <f>OsirisDataElementConcept!D25&amp;" ["&amp;OsirisDataElementConcept!L25&amp;"]"</f>
        <v>Histological Grade Value [C30]</v>
      </c>
      <c r="K30" s="1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60" t="str">
        <f>IF(LEN(OsirisDataElementConcept!I25)=9,"1","0")</f>
        <v>0</v>
      </c>
      <c r="M30" s="11" t="str">
        <f>IF(OsirisDataElementConcept!G25="String","string",IF(OsirisDataElementConcept!G25="Date","date",IF(OsirisDataElementConcept!G25="Integer","integer",OsirisDataElementConcept!G25)))</f>
        <v>string</v>
      </c>
    </row>
    <row r="31" spans="4:13" ht="44.25" x14ac:dyDescent="0.75">
      <c r="D31" s="11" t="str">
        <f>OsirisDataElementConcept!C30</f>
        <v>TumorPathologyEvent_MorphologyCode</v>
      </c>
      <c r="H31" s="11" t="str">
        <f>OsirisDataElementConcept!A30</f>
        <v>TumorPathologyEvent</v>
      </c>
      <c r="I31" s="11" t="str">
        <f>SUBSTITUTE(OsirisDataElementConcept!C26,"_",".")</f>
        <v>TumorPathologyEvent.StadeType</v>
      </c>
      <c r="J31" s="11" t="str">
        <f>OsirisDataElementConcept!D26&amp;" ["&amp;OsirisDataElementConcept!L26&amp;"]"</f>
        <v>Stade Type [C31]</v>
      </c>
      <c r="K31" s="1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60" t="str">
        <f>IF(LEN(OsirisDataElementConcept!I26)=9,"1","0")</f>
        <v>0</v>
      </c>
      <c r="M31" s="11" t="str">
        <f>IF(OsirisDataElementConcept!G26="String","string",IF(OsirisDataElementConcept!G26="Date","date",IF(OsirisDataElementConcept!G26="Integer","integer",OsirisDataElementConcept!G26)))</f>
        <v>string</v>
      </c>
    </row>
    <row r="32" spans="4:13" ht="44.25" x14ac:dyDescent="0.75">
      <c r="D32" s="11" t="str">
        <f>OsirisDataElementConcept!C31</f>
        <v>TumorPathologyEvent_Laterality</v>
      </c>
      <c r="H32" s="11" t="str">
        <f>OsirisDataElementConcept!A31</f>
        <v>TumorPathologyEvent</v>
      </c>
      <c r="I32" s="11" t="str">
        <f>SUBSTITUTE(OsirisDataElementConcept!C27,"_",".")</f>
        <v>TumorPathologyEvent.StadeValue</v>
      </c>
      <c r="J32" s="11" t="str">
        <f>OsirisDataElementConcept!D27&amp;" ["&amp;OsirisDataElementConcept!L27&amp;"]"</f>
        <v>Stade Value [C32]</v>
      </c>
      <c r="K32" s="1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60" t="str">
        <f>IF(LEN(OsirisDataElementConcept!I27)=9,"1","0")</f>
        <v>0</v>
      </c>
      <c r="M32" s="11" t="str">
        <f>IF(OsirisDataElementConcept!G27="String","string",IF(OsirisDataElementConcept!G27="Date","date",IF(OsirisDataElementConcept!G27="Integer","integer",OsirisDataElementConcept!G27)))</f>
        <v>string</v>
      </c>
    </row>
    <row r="33" spans="4:13" ht="29.5" x14ac:dyDescent="0.75">
      <c r="D33" s="11" t="str">
        <f>OsirisDataElementConcept!C32</f>
        <v>TNM_T</v>
      </c>
      <c r="I33" s="11" t="str">
        <f>SUBSTITUTE(OsirisDataElementConcept!C28,"_",".")</f>
        <v>TumorPathologyEvent.DiagnosisDate</v>
      </c>
      <c r="J33" s="11" t="str">
        <f>OsirisDataElementConcept!D28&amp;" ["&amp;OsirisDataElementConcept!L28&amp;"]"</f>
        <v>Diagnosis Date [C33]</v>
      </c>
      <c r="K33" s="1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60" t="str">
        <f>IF(LEN(OsirisDataElementConcept!I28)=9,"1","0")</f>
        <v>1</v>
      </c>
      <c r="M33" s="11" t="str">
        <f>IF(OsirisDataElementConcept!G28="String","string",IF(OsirisDataElementConcept!G28="Date","date",IF(OsirisDataElementConcept!G28="Integer","integer",OsirisDataElementConcept!G28)))</f>
        <v>date</v>
      </c>
    </row>
    <row r="34" spans="4:13" ht="44.25" x14ac:dyDescent="0.75">
      <c r="D34" s="11" t="str">
        <f>OsirisDataElementConcept!C33</f>
        <v>TNM_N</v>
      </c>
      <c r="H34" s="11" t="str">
        <f>OsirisDataElementConcept!A33</f>
        <v>TNM</v>
      </c>
      <c r="I34" s="11" t="str">
        <f>SUBSTITUTE(OsirisDataElementConcept!C29,"_",".")</f>
        <v>TumorPathologyEvent.TopographyCode</v>
      </c>
      <c r="J34" s="11" t="str">
        <f>OsirisDataElementConcept!D29&amp;" ["&amp;OsirisDataElementConcept!L29&amp;"]"</f>
        <v>Topography Code [C34]</v>
      </c>
      <c r="K34" s="1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60" t="str">
        <f>IF(LEN(OsirisDataElementConcept!I29)=9,"1","0")</f>
        <v>1</v>
      </c>
      <c r="M34" s="11" t="str">
        <f>IF(OsirisDataElementConcept!G29="String","string",IF(OsirisDataElementConcept!G29="Date","date",IF(OsirisDataElementConcept!G29="Integer","integer",OsirisDataElementConcept!G29)))</f>
        <v>string</v>
      </c>
    </row>
    <row r="35" spans="4:13" ht="59" x14ac:dyDescent="0.75">
      <c r="D35" s="11" t="str">
        <f>OsirisDataElementConcept!C34</f>
        <v>TNM_M</v>
      </c>
      <c r="H35" s="11" t="str">
        <f>OsirisDataElementConcept!A34</f>
        <v>TNM</v>
      </c>
      <c r="I35" s="11" t="str">
        <f>SUBSTITUTE(OsirisDataElementConcept!C30,"_",".")</f>
        <v>TumorPathologyEvent.MorphologyCode</v>
      </c>
      <c r="J35" s="11" t="str">
        <f>OsirisDataElementConcept!D30&amp;" ["&amp;OsirisDataElementConcept!L30&amp;"]"</f>
        <v>Morphology Code [C35]</v>
      </c>
      <c r="K35" s="1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60" t="str">
        <f>IF(LEN(OsirisDataElementConcept!I30)=9,"1","0")</f>
        <v>1</v>
      </c>
      <c r="M35" s="11" t="str">
        <f>IF(OsirisDataElementConcept!G30="String","string",IF(OsirisDataElementConcept!G30="Date","date",IF(OsirisDataElementConcept!G30="Integer","integer",OsirisDataElementConcept!G30)))</f>
        <v>string</v>
      </c>
    </row>
    <row r="36" spans="4:13" ht="44.25" x14ac:dyDescent="0.75">
      <c r="D36" s="11" t="str">
        <f>OsirisDataElementConcept!C35</f>
        <v>TNM_Version</v>
      </c>
      <c r="H36" s="11" t="str">
        <f>OsirisDataElementConcept!A35</f>
        <v>TNM</v>
      </c>
      <c r="I36" s="11" t="str">
        <f>SUBSTITUTE(OsirisDataElementConcept!C31,"_",".")</f>
        <v>TumorPathologyEvent.Laterality</v>
      </c>
      <c r="J36" s="11" t="str">
        <f>OsirisDataElementConcept!D31&amp;" ["&amp;OsirisDataElementConcept!L31&amp;"]"</f>
        <v>Laterality [C36]</v>
      </c>
      <c r="K36" s="1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60" t="str">
        <f>IF(LEN(OsirisDataElementConcept!I31)=9,"1","0")</f>
        <v>0</v>
      </c>
      <c r="M36" s="11" t="str">
        <f>IF(OsirisDataElementConcept!G31="String","string",IF(OsirisDataElementConcept!G31="Date","date",IF(OsirisDataElementConcept!G31="Integer","integer",OsirisDataElementConcept!G31)))</f>
        <v>string</v>
      </c>
    </row>
    <row r="37" spans="4:13" x14ac:dyDescent="0.75">
      <c r="D37" s="11" t="str">
        <f>OsirisDataElementConcept!C36</f>
        <v>TNM_Type</v>
      </c>
      <c r="H37" s="11" t="str">
        <f>OsirisDataElementConcept!A36</f>
        <v>TNM</v>
      </c>
      <c r="I37" s="61" t="s">
        <v>414</v>
      </c>
      <c r="J37" s="61" t="s">
        <v>414</v>
      </c>
      <c r="K37" s="61" t="s">
        <v>414</v>
      </c>
      <c r="L37" s="62">
        <v>0</v>
      </c>
      <c r="M37" s="63" t="s">
        <v>2</v>
      </c>
    </row>
    <row r="38" spans="4:13" ht="44.25" x14ac:dyDescent="0.75">
      <c r="D38" s="11" t="str">
        <f>OsirisDataElementConcept!C37</f>
        <v>Analysis_Code</v>
      </c>
      <c r="H38" s="11" t="str">
        <f>OsirisDataElementConcept!A32</f>
        <v>TNM</v>
      </c>
      <c r="I38" s="11" t="str">
        <f>SUBSTITUTE(OsirisDataElementConcept!C32,"_",".")</f>
        <v>TNM.T</v>
      </c>
      <c r="J38" s="11" t="str">
        <f>OsirisDataElementConcept!D32&amp;" ["&amp;OsirisDataElementConcept!L32&amp;"]"</f>
        <v>T [C83]</v>
      </c>
      <c r="K38" s="1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60" t="str">
        <f>IF(LEN(OsirisDataElementConcept!I32)=9,"1","0")</f>
        <v>0</v>
      </c>
      <c r="M38" s="11" t="str">
        <f>IF(OsirisDataElementConcept!G32="String","string",IF(OsirisDataElementConcept!G32="Date","date",IF(OsirisDataElementConcept!G32="Integer","integer",OsirisDataElementConcept!G32)))</f>
        <v>string</v>
      </c>
    </row>
    <row r="39" spans="4:13" ht="44.25" x14ac:dyDescent="0.75">
      <c r="D39" s="11" t="str">
        <f>OsirisDataElementConcept!C38</f>
        <v>Analysis_Type</v>
      </c>
      <c r="H39" s="11" t="str">
        <f>OsirisDataElementConcept!A33</f>
        <v>TNM</v>
      </c>
      <c r="I39" s="11" t="str">
        <f>SUBSTITUTE(OsirisDataElementConcept!C33,"_",".")</f>
        <v>TNM.N</v>
      </c>
      <c r="J39" s="11" t="str">
        <f>OsirisDataElementConcept!D33&amp;" ["&amp;OsirisDataElementConcept!L33&amp;"]"</f>
        <v>N [C84]</v>
      </c>
      <c r="K39" s="1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60" t="str">
        <f>IF(LEN(OsirisDataElementConcept!I33)=9,"1","0")</f>
        <v>0</v>
      </c>
      <c r="M39" s="11" t="str">
        <f>IF(OsirisDataElementConcept!G33="String","string",IF(OsirisDataElementConcept!G33="Date","date",IF(OsirisDataElementConcept!G33="Integer","integer",OsirisDataElementConcept!G33)))</f>
        <v>string</v>
      </c>
    </row>
    <row r="40" spans="4:13" ht="44.25" x14ac:dyDescent="0.75">
      <c r="D40" s="11" t="str">
        <f>OsirisDataElementConcept!C39</f>
        <v>Analysis_Date</v>
      </c>
      <c r="H40" s="11" t="str">
        <f>OsirisDataElementConcept!A34</f>
        <v>TNM</v>
      </c>
      <c r="I40" s="11" t="str">
        <f>SUBSTITUTE(OsirisDataElementConcept!C34,"_",".")</f>
        <v>TNM.M</v>
      </c>
      <c r="J40" s="11" t="str">
        <f>OsirisDataElementConcept!D34&amp;" ["&amp;OsirisDataElementConcept!L34&amp;"]"</f>
        <v>M [C85]</v>
      </c>
      <c r="K40" s="1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60" t="str">
        <f>IF(LEN(OsirisDataElementConcept!I34)=9,"1","0")</f>
        <v>0</v>
      </c>
      <c r="M40" s="11" t="str">
        <f>IF(OsirisDataElementConcept!G34="String","string",IF(OsirisDataElementConcept!G34="Date","date",IF(OsirisDataElementConcept!G34="Integer","integer",OsirisDataElementConcept!G34)))</f>
        <v>string</v>
      </c>
    </row>
    <row r="41" spans="4:13" ht="44.25" x14ac:dyDescent="0.75">
      <c r="D41" s="11" t="str">
        <f>OsirisDataElementConcept!C40</f>
        <v>ResponseEvaluation_Date</v>
      </c>
      <c r="H41" s="11" t="str">
        <f>OsirisDataElementConcept!A35</f>
        <v>TNM</v>
      </c>
      <c r="I41" s="11" t="str">
        <f>SUBSTITUTE(OsirisDataElementConcept!C35,"_",".")</f>
        <v>TNM.Version</v>
      </c>
      <c r="J41" s="11" t="str">
        <f>OsirisDataElementConcept!D35&amp;" ["&amp;OsirisDataElementConcept!L35&amp;"]"</f>
        <v>TNM Version [C86]</v>
      </c>
      <c r="K41" s="1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60" t="str">
        <f>IF(LEN(OsirisDataElementConcept!I35)=9,"1","0")</f>
        <v>0</v>
      </c>
      <c r="M41" s="11" t="str">
        <f>IF(OsirisDataElementConcept!G35="String","string",IF(OsirisDataElementConcept!G35="Date","date",IF(OsirisDataElementConcept!G35="Integer","integer",OsirisDataElementConcept!G35)))</f>
        <v>string</v>
      </c>
    </row>
    <row r="42" spans="4:13" ht="44.25" x14ac:dyDescent="0.75">
      <c r="D42" s="11" t="str">
        <f>OsirisDataElementConcept!C41</f>
        <v>ResponseEvaluation_Status</v>
      </c>
      <c r="H42" s="11" t="str">
        <f>OsirisDataElementConcept!A36</f>
        <v>TNM</v>
      </c>
      <c r="I42" s="11" t="str">
        <f>SUBSTITUTE(OsirisDataElementConcept!C36,"_",".")</f>
        <v>TNM.Type</v>
      </c>
      <c r="J42" s="11" t="str">
        <f>OsirisDataElementConcept!D36&amp;" ["&amp;OsirisDataElementConcept!L36&amp;"]"</f>
        <v>TNM Type [C87]</v>
      </c>
      <c r="K42" s="1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60" t="str">
        <f>IF(LEN(OsirisDataElementConcept!I36)=9,"1","0")</f>
        <v>0</v>
      </c>
      <c r="M42" s="11" t="str">
        <f>IF(OsirisDataElementConcept!G36="String","string",IF(OsirisDataElementConcept!G36="Date","date",IF(OsirisDataElementConcept!G36="Integer","integer",OsirisDataElementConcept!G36)))</f>
        <v>string</v>
      </c>
    </row>
    <row r="43" spans="4:13" x14ac:dyDescent="0.75">
      <c r="D43" s="11" t="str">
        <f>OsirisDataElementConcept!C42</f>
        <v>Biomarker_Code</v>
      </c>
      <c r="H43" s="11" t="str">
        <f>OsirisDataElementConcept!A37</f>
        <v>Analysis</v>
      </c>
      <c r="I43" s="61" t="s">
        <v>451</v>
      </c>
      <c r="J43" s="61" t="s">
        <v>451</v>
      </c>
      <c r="K43" s="61" t="s">
        <v>451</v>
      </c>
      <c r="L43" s="62">
        <v>0</v>
      </c>
      <c r="M43" s="63" t="s">
        <v>2</v>
      </c>
    </row>
    <row r="44" spans="4:13" ht="29.5" x14ac:dyDescent="0.75">
      <c r="D44" s="11" t="str">
        <f>OsirisDataElementConcept!C43</f>
        <v>Biomarker_Value</v>
      </c>
      <c r="H44" s="11" t="str">
        <f>OsirisDataElementConcept!A38</f>
        <v>Analysis</v>
      </c>
      <c r="I44" s="11" t="str">
        <f>SUBSTITUTE(OsirisDataElementConcept!C37,"_",".")</f>
        <v>Analysis.Code</v>
      </c>
      <c r="J44" s="11" t="str">
        <f>OsirisDataElementConcept!D37&amp;" ["&amp;OsirisDataElementConcept!L37&amp;"]"</f>
        <v>Code [C70]</v>
      </c>
      <c r="K44" s="1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60" t="str">
        <f>IF(LEN(OsirisDataElementConcept!I37)=9,"1","0")</f>
        <v>0</v>
      </c>
      <c r="M44" s="11" t="str">
        <f>IF(OsirisDataElementConcept!G37="String","string",IF(OsirisDataElementConcept!G37="Date","date",IF(OsirisDataElementConcept!G37="Integer","integer",OsirisDataElementConcept!G37)))</f>
        <v>string</v>
      </c>
    </row>
    <row r="45" spans="4:13" ht="44.25" x14ac:dyDescent="0.75">
      <c r="D45" s="11" t="str">
        <f>OsirisDataElementConcept!C44</f>
        <v>Biomarker_Unit</v>
      </c>
      <c r="H45" s="11" t="str">
        <f>OsirisDataElementConcept!A39</f>
        <v>Analysis</v>
      </c>
      <c r="I45" s="11" t="str">
        <f>SUBSTITUTE(OsirisDataElementConcept!C38,"_",".")</f>
        <v>Analysis.Type</v>
      </c>
      <c r="J45" s="11" t="str">
        <f>OsirisDataElementConcept!D38&amp;" ["&amp;OsirisDataElementConcept!L38&amp;"]"</f>
        <v>Type [C37]</v>
      </c>
      <c r="K45" s="1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60" t="str">
        <f>IF(LEN(OsirisDataElementConcept!I38)=9,"1","0")</f>
        <v>0</v>
      </c>
      <c r="M45" s="11" t="str">
        <f>IF(OsirisDataElementConcept!G38="String","string",IF(OsirisDataElementConcept!G38="Date","date",IF(OsirisDataElementConcept!G38="Integer","integer",OsirisDataElementConcept!G38)))</f>
        <v>string</v>
      </c>
    </row>
    <row r="46" spans="4:13" ht="29.5" x14ac:dyDescent="0.75">
      <c r="D46" s="11" t="str">
        <f>OsirisDataElementConcept!C45</f>
        <v>Treatment_Type</v>
      </c>
      <c r="I46" s="11" t="str">
        <f>SUBSTITUTE(OsirisDataElementConcept!C39,"_",".")</f>
        <v>Analysis.Date</v>
      </c>
      <c r="J46" s="11" t="str">
        <f>OsirisDataElementConcept!D39&amp;" ["&amp;OsirisDataElementConcept!L39&amp;"]"</f>
        <v>Date [C38]</v>
      </c>
      <c r="K46" s="1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60" t="str">
        <f>IF(LEN(OsirisDataElementConcept!I39)=9,"1","0")</f>
        <v>0</v>
      </c>
      <c r="M46" s="11" t="str">
        <f>IF(OsirisDataElementConcept!G39="String","string",IF(OsirisDataElementConcept!G39="Date","date",IF(OsirisDataElementConcept!G39="Integer","integer",OsirisDataElementConcept!G39)))</f>
        <v>date</v>
      </c>
    </row>
    <row r="47" spans="4:13" x14ac:dyDescent="0.75">
      <c r="D47" s="11" t="str">
        <f>OsirisDataElementConcept!C46</f>
        <v>Treatment_LineNumber</v>
      </c>
      <c r="H47" s="11" t="str">
        <f>OsirisDataElementConcept!A40</f>
        <v>ResponseEvaluation</v>
      </c>
      <c r="I47" s="61" t="s">
        <v>466</v>
      </c>
      <c r="J47" s="61" t="s">
        <v>466</v>
      </c>
      <c r="K47" s="61" t="s">
        <v>466</v>
      </c>
      <c r="L47" s="62">
        <v>0</v>
      </c>
      <c r="M47" s="63" t="s">
        <v>2</v>
      </c>
    </row>
    <row r="48" spans="4:13" ht="29.5" x14ac:dyDescent="0.75">
      <c r="D48" s="11" t="str">
        <f>OsirisDataElementConcept!C47</f>
        <v>Treatment_ActivityCode</v>
      </c>
      <c r="H48" s="11" t="str">
        <f>OsirisDataElementConcept!A41</f>
        <v>ResponseEvaluation</v>
      </c>
      <c r="I48" s="11" t="str">
        <f>SUBSTITUTE(OsirisDataElementConcept!C40,"_",".")</f>
        <v>ResponseEvaluation.Date</v>
      </c>
      <c r="J48" s="11" t="str">
        <f>OsirisDataElementConcept!D40&amp;" ["&amp;OsirisDataElementConcept!L40&amp;"]"</f>
        <v>Date [C78]</v>
      </c>
      <c r="K48" s="1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60" t="str">
        <f>IF(LEN(OsirisDataElementConcept!I40)=9,"1","0")</f>
        <v>0</v>
      </c>
      <c r="M48" s="11" t="str">
        <f>IF(OsirisDataElementConcept!G40="String","string",IF(OsirisDataElementConcept!G40="Date","date",IF(OsirisDataElementConcept!G40="Integer","integer",OsirisDataElementConcept!G40)))</f>
        <v>date</v>
      </c>
    </row>
    <row r="49" spans="4:13" ht="44.25" x14ac:dyDescent="0.75">
      <c r="D49" s="11" t="str">
        <f>OsirisDataElementConcept!C48</f>
        <v>Treatment_StartDate</v>
      </c>
      <c r="I49" s="11" t="str">
        <f>SUBSTITUTE(OsirisDataElementConcept!C41,"_",".")</f>
        <v>ResponseEvaluation.Status</v>
      </c>
      <c r="J49" s="11" t="str">
        <f>OsirisDataElementConcept!D41&amp;" ["&amp;OsirisDataElementConcept!L41&amp;"]"</f>
        <v>Status [C73]</v>
      </c>
      <c r="K49" s="1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60" t="str">
        <f>IF(LEN(OsirisDataElementConcept!I41)=9,"1","0")</f>
        <v>0</v>
      </c>
      <c r="M49" s="11" t="str">
        <f>IF(OsirisDataElementConcept!G41="String","string",IF(OsirisDataElementConcept!G41="Date","date",IF(OsirisDataElementConcept!G41="Integer","integer",OsirisDataElementConcept!G41)))</f>
        <v>string</v>
      </c>
    </row>
    <row r="50" spans="4:13" x14ac:dyDescent="0.75">
      <c r="D50" s="11" t="str">
        <f>OsirisDataElementConcept!C49</f>
        <v>Treatment_EndDate</v>
      </c>
      <c r="H50" s="11"/>
      <c r="I50" s="61" t="s">
        <v>479</v>
      </c>
      <c r="J50" s="61" t="s">
        <v>479</v>
      </c>
      <c r="K50" s="61" t="s">
        <v>479</v>
      </c>
      <c r="L50" s="62">
        <v>0</v>
      </c>
      <c r="M50" s="63" t="s">
        <v>2</v>
      </c>
    </row>
    <row r="51" spans="4:13" ht="44.25" x14ac:dyDescent="0.75">
      <c r="D51" s="11" t="str">
        <f>OsirisDataElementConcept!C50</f>
        <v>Treatment_ClinicalTrialContext</v>
      </c>
      <c r="H51" s="11" t="str">
        <f>OsirisDataElementConcept!A42</f>
        <v>Biomarker</v>
      </c>
      <c r="I51" s="11" t="str">
        <f>SUBSTITUTE(OsirisDataElementConcept!C42,"_",".")</f>
        <v>Biomarker.Code</v>
      </c>
      <c r="J51" s="11" t="str">
        <f>OsirisDataElementConcept!D42&amp;" ["&amp;OsirisDataElementConcept!L42&amp;"]"</f>
        <v>Code [C39]</v>
      </c>
      <c r="K51" s="1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60" t="str">
        <f>IF(LEN(OsirisDataElementConcept!I42)=9,"1","0")</f>
        <v>0</v>
      </c>
      <c r="M51" s="11" t="str">
        <f>IF(OsirisDataElementConcept!G42="String","string",IF(OsirisDataElementConcept!G42="Date","date",IF(OsirisDataElementConcept!G42="Integer","integer",OsirisDataElementConcept!G42)))</f>
        <v>string</v>
      </c>
    </row>
    <row r="52" spans="4:13" ht="29.5" x14ac:dyDescent="0.75">
      <c r="D52" s="11" t="str">
        <f>OsirisDataElementConcept!C51</f>
        <v>Treatment_ClinicalTrialName</v>
      </c>
      <c r="H52" s="11" t="str">
        <f>OsirisDataElementConcept!A43</f>
        <v>Biomarker</v>
      </c>
      <c r="I52" s="11" t="str">
        <f>SUBSTITUTE(OsirisDataElementConcept!C43,"_",".")</f>
        <v>Biomarker.Value</v>
      </c>
      <c r="J52" s="11" t="str">
        <f>OsirisDataElementConcept!D43&amp;" ["&amp;OsirisDataElementConcept!L43&amp;"]"</f>
        <v>Value [C40]</v>
      </c>
      <c r="K52" s="1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60" t="str">
        <f>IF(LEN(OsirisDataElementConcept!I43)=9,"1","0")</f>
        <v>0</v>
      </c>
      <c r="M52" s="11" t="str">
        <f>IF(OsirisDataElementConcept!G43="String","string",IF(OsirisDataElementConcept!G43="Date","date",IF(OsirisDataElementConcept!G43="Integer","integer",OsirisDataElementConcept!G43)))</f>
        <v>string</v>
      </c>
    </row>
    <row r="53" spans="4:13" ht="29.5" x14ac:dyDescent="0.75">
      <c r="D53" s="11" t="str">
        <f>OsirisDataElementConcept!C52</f>
        <v>Treatment_ClinicalTrialId</v>
      </c>
      <c r="H53" s="11" t="str">
        <f>OsirisDataElementConcept!A44</f>
        <v>Biomarker</v>
      </c>
      <c r="I53" s="11" t="str">
        <f>SUBSTITUTE(OsirisDataElementConcept!C44,"_",".")</f>
        <v>Biomarker.Unit</v>
      </c>
      <c r="J53" s="11" t="str">
        <f>OsirisDataElementConcept!D44&amp;" ["&amp;OsirisDataElementConcept!L44&amp;"]"</f>
        <v>Unit [C81]</v>
      </c>
      <c r="K53" s="1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60" t="str">
        <f>IF(LEN(OsirisDataElementConcept!I44)=9,"1","0")</f>
        <v>0</v>
      </c>
      <c r="M53" s="11" t="str">
        <f>IF(OsirisDataElementConcept!G44="String","string",IF(OsirisDataElementConcept!G44="Date","date",IF(OsirisDataElementConcept!G44="Integer","integer",OsirisDataElementConcept!G44)))</f>
        <v>string</v>
      </c>
    </row>
    <row r="54" spans="4:13" x14ac:dyDescent="0.75">
      <c r="D54" s="11" t="str">
        <f>OsirisDataElementConcept!C53</f>
        <v>Treatment_SurgeryResectionQuality</v>
      </c>
      <c r="H54" s="11"/>
      <c r="I54" s="61" t="s">
        <v>498</v>
      </c>
      <c r="J54" s="61" t="s">
        <v>498</v>
      </c>
      <c r="K54" s="61" t="s">
        <v>498</v>
      </c>
      <c r="L54" s="62">
        <v>0</v>
      </c>
      <c r="M54" s="63" t="s">
        <v>2</v>
      </c>
    </row>
    <row r="55" spans="4:13" ht="44.25" x14ac:dyDescent="0.75">
      <c r="D55" s="11" t="str">
        <f>OsirisDataElementConcept!C54</f>
        <v>Treatment_SurgeryNature</v>
      </c>
      <c r="H55" s="11" t="str">
        <f>OsirisDataElementConcept!A52</f>
        <v>Treatment</v>
      </c>
      <c r="I55" s="11" t="str">
        <f>SUBSTITUTE(OsirisDataElementConcept!C45,"_",".")</f>
        <v>Treatment.Type</v>
      </c>
      <c r="J55" s="11" t="str">
        <f>OsirisDataElementConcept!D45&amp;" ["&amp;OsirisDataElementConcept!L45&amp;"]"</f>
        <v>Type [C41]</v>
      </c>
      <c r="K55" s="1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60" t="str">
        <f>IF(LEN(OsirisDataElementConcept!I45)=9,"1","0")</f>
        <v>0</v>
      </c>
      <c r="M55" s="11" t="str">
        <f>IF(OsirisDataElementConcept!G45="String","string",IF(OsirisDataElementConcept!G45="Date","date",IF(OsirisDataElementConcept!G45="Integer","integer",OsirisDataElementConcept!G45)))</f>
        <v>string</v>
      </c>
    </row>
    <row r="56" spans="4:13" ht="29.5" x14ac:dyDescent="0.75">
      <c r="D56" s="11" t="str">
        <f>OsirisDataElementConcept!C55</f>
        <v>AdverseEvent_Code</v>
      </c>
      <c r="H56" s="11"/>
      <c r="I56" s="11" t="str">
        <f>SUBSTITUTE(OsirisDataElementConcept!C46,"_",".")</f>
        <v>Treatment.LineNumber</v>
      </c>
      <c r="J56" s="11" t="str">
        <f>OsirisDataElementConcept!D46&amp;" ["&amp;OsirisDataElementConcept!L46&amp;"]"</f>
        <v>Line Number [C74]</v>
      </c>
      <c r="K56" s="1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60" t="str">
        <f>IF(LEN(OsirisDataElementConcept!I46)=9,"1","0")</f>
        <v>0</v>
      </c>
      <c r="M56" s="11" t="str">
        <f>IF(OsirisDataElementConcept!G46="String","string",IF(OsirisDataElementConcept!G46="Date","date",IF(OsirisDataElementConcept!G46="Integer","integer",OsirisDataElementConcept!G46)))</f>
        <v>string</v>
      </c>
    </row>
    <row r="57" spans="4:13" ht="44.25" x14ac:dyDescent="0.75">
      <c r="D57" s="11" t="str">
        <f>OsirisDataElementConcept!C56</f>
        <v>AdverseEvent_Date</v>
      </c>
      <c r="H57" s="11"/>
      <c r="I57" s="11" t="str">
        <f>SUBSTITUTE(OsirisDataElementConcept!C47,"_",".")</f>
        <v>Treatment.ActivityCode</v>
      </c>
      <c r="J57" s="11" t="str">
        <f>OsirisDataElementConcept!D47&amp;" ["&amp;OsirisDataElementConcept!L47&amp;"]"</f>
        <v>Activity Code [C42]</v>
      </c>
      <c r="K57" s="1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60" t="str">
        <f>IF(LEN(OsirisDataElementConcept!I47)=9,"1","0")</f>
        <v>0</v>
      </c>
      <c r="M57" s="11" t="str">
        <f>IF(OsirisDataElementConcept!G47="String","string",IF(OsirisDataElementConcept!G47="Date","date",IF(OsirisDataElementConcept!G47="Integer","integer",OsirisDataElementConcept!G47)))</f>
        <v>string</v>
      </c>
    </row>
    <row r="58" spans="4:13" ht="29.5" x14ac:dyDescent="0.75">
      <c r="D58" s="11" t="str">
        <f>OsirisDataElementConcept!C57</f>
        <v>AdverseEvent_EndDate</v>
      </c>
      <c r="I58" s="11" t="str">
        <f>SUBSTITUTE(OsirisDataElementConcept!C48,"_",".")</f>
        <v>Treatment.StartDate</v>
      </c>
      <c r="J58" s="11" t="str">
        <f>OsirisDataElementConcept!D48&amp;" ["&amp;OsirisDataElementConcept!L48&amp;"]"</f>
        <v>Start Date [C43]</v>
      </c>
      <c r="K58" s="1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60" t="str">
        <f>IF(LEN(OsirisDataElementConcept!I48)=9,"1","0")</f>
        <v>0</v>
      </c>
      <c r="M58" s="11" t="str">
        <f>IF(OsirisDataElementConcept!G48="String","string",IF(OsirisDataElementConcept!G48="Date","date",IF(OsirisDataElementConcept!G48="Integer","integer",OsirisDataElementConcept!G48)))</f>
        <v>date</v>
      </c>
    </row>
    <row r="59" spans="4:13" ht="29.5" x14ac:dyDescent="0.75">
      <c r="D59" s="11" t="str">
        <f>OsirisDataElementConcept!C58</f>
        <v>AdverseEvent_Grade</v>
      </c>
      <c r="H59" s="11"/>
      <c r="I59" s="11" t="str">
        <f>SUBSTITUTE(OsirisDataElementConcept!C49,"_",".")</f>
        <v>Treatment.EndDate</v>
      </c>
      <c r="J59" s="11" t="str">
        <f>OsirisDataElementConcept!D49&amp;" ["&amp;OsirisDataElementConcept!L49&amp;"]"</f>
        <v>End Date [C44]</v>
      </c>
      <c r="K59" s="1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60" t="str">
        <f>IF(LEN(OsirisDataElementConcept!I49)=9,"1","0")</f>
        <v>0</v>
      </c>
      <c r="M59" s="11" t="str">
        <f>IF(OsirisDataElementConcept!G49="String","string",IF(OsirisDataElementConcept!G49="Date","date",IF(OsirisDataElementConcept!G49="Integer","integer",OsirisDataElementConcept!G49)))</f>
        <v>date</v>
      </c>
    </row>
    <row r="60" spans="4:13" ht="44.25" x14ac:dyDescent="0.75">
      <c r="D60" s="11" t="str">
        <f>OsirisDataElementConcept!C59</f>
        <v>Drug_Code</v>
      </c>
      <c r="H60" s="11"/>
      <c r="I60" s="11" t="str">
        <f>SUBSTITUTE(OsirisDataElementConcept!C50,"_",".")</f>
        <v>Treatment.ClinicalTrialContext</v>
      </c>
      <c r="J60" s="11" t="str">
        <f>OsirisDataElementConcept!D50&amp;" ["&amp;OsirisDataElementConcept!L50&amp;"]"</f>
        <v>Clinical Trial Context [C45]</v>
      </c>
      <c r="K60" s="1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60" t="str">
        <f>IF(LEN(OsirisDataElementConcept!I50)=9,"1","0")</f>
        <v>0</v>
      </c>
      <c r="M60" s="11" t="str">
        <f>IF(OsirisDataElementConcept!G50="String","string",IF(OsirisDataElementConcept!G50="Date","date",IF(OsirisDataElementConcept!G50="Integer","integer",OsirisDataElementConcept!G50)))</f>
        <v>string</v>
      </c>
    </row>
    <row r="61" spans="4:13" ht="29.5" x14ac:dyDescent="0.75">
      <c r="D61" s="11" t="str">
        <f>OsirisDataElementConcept!C60</f>
        <v>Drug_Name</v>
      </c>
      <c r="H61" s="11"/>
      <c r="I61" s="11" t="str">
        <f>SUBSTITUTE(OsirisDataElementConcept!C51,"_",".")</f>
        <v>Treatment.ClinicalTrialName</v>
      </c>
      <c r="J61" s="11" t="str">
        <f>OsirisDataElementConcept!D51&amp;" ["&amp;OsirisDataElementConcept!L51&amp;"]"</f>
        <v>Clinical Trial Name [C75]</v>
      </c>
      <c r="K61" s="1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60" t="str">
        <f>IF(LEN(OsirisDataElementConcept!I51)=9,"1","0")</f>
        <v>0</v>
      </c>
      <c r="M61" s="11" t="str">
        <f>IF(OsirisDataElementConcept!G51="String","string",IF(OsirisDataElementConcept!G51="Date","date",IF(OsirisDataElementConcept!G51="Integer","integer",OsirisDataElementConcept!G51)))</f>
        <v>string</v>
      </c>
    </row>
    <row r="62" spans="4:13" ht="29.5" x14ac:dyDescent="0.75">
      <c r="D62" s="11" t="str">
        <f>OsirisDataElementConcept!C62</f>
        <v>BiologicalSample_ParentExternalAccession</v>
      </c>
      <c r="H62" s="11"/>
      <c r="I62" s="11" t="str">
        <f>SUBSTITUTE(OsirisDataElementConcept!C52,"_",".")</f>
        <v>Treatment.ClinicalTrialId</v>
      </c>
      <c r="J62" s="11" t="str">
        <f>OsirisDataElementConcept!D52&amp;" ["&amp;OsirisDataElementConcept!L52&amp;"]"</f>
        <v>Clinical Trial Id [C76]</v>
      </c>
      <c r="K62" s="1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60" t="str">
        <f>IF(LEN(OsirisDataElementConcept!I52)=9,"1","0")</f>
        <v>0</v>
      </c>
      <c r="M62" s="11" t="str">
        <f>IF(OsirisDataElementConcept!G52="String","string",IF(OsirisDataElementConcept!G52="Date","date",IF(OsirisDataElementConcept!G52="Integer","integer",OsirisDataElementConcept!G52)))</f>
        <v>string</v>
      </c>
    </row>
    <row r="63" spans="4:13" ht="44.25" x14ac:dyDescent="0.75">
      <c r="D63" s="11" t="str">
        <f>OsirisDataElementConcept!C63</f>
        <v>BiologicalSample_CollectDate</v>
      </c>
      <c r="H63" s="11"/>
      <c r="I63" s="11" t="str">
        <f>SUBSTITUTE(OsirisDataElementConcept!C53,"_",".")</f>
        <v>Treatment.SurgeryResectionQuality</v>
      </c>
      <c r="J63" s="11" t="str">
        <f>OsirisDataElementConcept!D53&amp;" ["&amp;OsirisDataElementConcept!L53&amp;"]"</f>
        <v>Surgery Resection Quality [C46]</v>
      </c>
      <c r="K63" s="1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60" t="str">
        <f>IF(LEN(OsirisDataElementConcept!I53)=9,"1","0")</f>
        <v>0</v>
      </c>
      <c r="M63" s="11" t="str">
        <f>IF(OsirisDataElementConcept!G53="String","string",IF(OsirisDataElementConcept!G53="Date","date",IF(OsirisDataElementConcept!G53="Integer","integer",OsirisDataElementConcept!G53)))</f>
        <v>string</v>
      </c>
    </row>
    <row r="64" spans="4:13" ht="29.5" x14ac:dyDescent="0.75">
      <c r="D64" s="11" t="str">
        <f>OsirisDataElementConcept!C64</f>
        <v>BiologicalSample_TopographyCode</v>
      </c>
      <c r="H64" s="11"/>
      <c r="I64" s="11" t="str">
        <f>SUBSTITUTE(OsirisDataElementConcept!C54,"_",".")</f>
        <v>Treatment.SurgeryNature</v>
      </c>
      <c r="J64" s="11" t="str">
        <f>OsirisDataElementConcept!D54&amp;" ["&amp;OsirisDataElementConcept!L54&amp;"]"</f>
        <v>Surgery Nature [C47]</v>
      </c>
      <c r="K64" s="1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60" t="str">
        <f>IF(LEN(OsirisDataElementConcept!I54)=9,"1","0")</f>
        <v>0</v>
      </c>
      <c r="M64" s="11" t="str">
        <f>IF(OsirisDataElementConcept!G54="String","string",IF(OsirisDataElementConcept!G54="Date","date",IF(OsirisDataElementConcept!G54="Integer","integer",OsirisDataElementConcept!G54)))</f>
        <v>string</v>
      </c>
    </row>
    <row r="65" spans="4:13" x14ac:dyDescent="0.75">
      <c r="D65" s="11" t="str">
        <f>OsirisDataElementConcept!C65</f>
        <v>BiologicalSample_Nature</v>
      </c>
      <c r="H65" s="11"/>
      <c r="I65" s="61" t="s">
        <v>563</v>
      </c>
      <c r="J65" s="61" t="s">
        <v>563</v>
      </c>
      <c r="K65" s="61" t="s">
        <v>563</v>
      </c>
      <c r="L65" s="62">
        <v>0</v>
      </c>
      <c r="M65" s="63" t="s">
        <v>2</v>
      </c>
    </row>
    <row r="66" spans="4:13" ht="59" x14ac:dyDescent="0.75">
      <c r="D66" s="11" t="str">
        <f>OsirisDataElementConcept!C66</f>
        <v>BiologicalSample_Origin</v>
      </c>
      <c r="H66" s="11" t="str">
        <f>OsirisDataElementConcept!A55</f>
        <v>AdverseEvent</v>
      </c>
      <c r="I66" s="11" t="str">
        <f>SUBSTITUTE(OsirisDataElementConcept!C55,"_",".")</f>
        <v>AdverseEvent.Code</v>
      </c>
      <c r="J66" s="11" t="str">
        <f>OsirisDataElementConcept!D55&amp;" ["&amp;OsirisDataElementConcept!L55&amp;"]"</f>
        <v>Code [C48]</v>
      </c>
      <c r="K66" s="1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60" t="str">
        <f>IF(LEN(OsirisDataElementConcept!I55)=9,"1","0")</f>
        <v>0</v>
      </c>
      <c r="M66" s="11" t="str">
        <f>IF(OsirisDataElementConcept!G55="String","string",IF(OsirisDataElementConcept!G55="Date","date",IF(OsirisDataElementConcept!G55="Integer","integer",OsirisDataElementConcept!G55)))</f>
        <v>string</v>
      </c>
    </row>
    <row r="67" spans="4:13" ht="29.5" x14ac:dyDescent="0.75">
      <c r="D67" s="11" t="str">
        <f>OsirisDataElementConcept!C67</f>
        <v>BiologicalSample_StorageTemperature</v>
      </c>
      <c r="H67" s="11" t="str">
        <f>OsirisDataElementConcept!A56</f>
        <v>AdverseEvent</v>
      </c>
      <c r="I67" s="11" t="str">
        <f>SUBSTITUTE(OsirisDataElementConcept!C56,"_",".")</f>
        <v>AdverseEvent.Date</v>
      </c>
      <c r="J67" s="11" t="str">
        <f>OsirisDataElementConcept!D56&amp;" ["&amp;OsirisDataElementConcept!L56&amp;"]"</f>
        <v>Date [C49]</v>
      </c>
      <c r="K67" s="1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60" t="str">
        <f>IF(LEN(OsirisDataElementConcept!I56)=9,"1","0")</f>
        <v>0</v>
      </c>
      <c r="M67" s="11" t="str">
        <f>IF(OsirisDataElementConcept!G56="String","string",IF(OsirisDataElementConcept!G56="Date","date",IF(OsirisDataElementConcept!G56="Integer","integer",OsirisDataElementConcept!G56)))</f>
        <v>date</v>
      </c>
    </row>
    <row r="68" spans="4:13" ht="29.5" x14ac:dyDescent="0.75">
      <c r="D68" s="11" t="str">
        <f>OsirisDataElementConcept!C68</f>
        <v>BiologicalSample_TumorCellularity</v>
      </c>
      <c r="H68" s="11" t="str">
        <f>OsirisDataElementConcept!A57</f>
        <v>AdverseEvent</v>
      </c>
      <c r="I68" s="11" t="str">
        <f>SUBSTITUTE(OsirisDataElementConcept!C57,"_",".")</f>
        <v>AdverseEvent.EndDate</v>
      </c>
      <c r="J68" s="11" t="str">
        <f>OsirisDataElementConcept!D57&amp;" ["&amp;OsirisDataElementConcept!L57&amp;"]"</f>
        <v>End Date [C50]</v>
      </c>
      <c r="K68" s="1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60" t="str">
        <f>IF(LEN(OsirisDataElementConcept!I57)=9,"1","0")</f>
        <v>0</v>
      </c>
      <c r="M68" s="11" t="str">
        <f>IF(OsirisDataElementConcept!G57="String","string",IF(OsirisDataElementConcept!G57="Date","date",IF(OsirisDataElementConcept!G57="Integer","integer",OsirisDataElementConcept!G57)))</f>
        <v>date</v>
      </c>
    </row>
    <row r="69" spans="4:13" ht="29.5" x14ac:dyDescent="0.75">
      <c r="D69" s="11" t="str">
        <f>OsirisDataElementConcept!C69</f>
        <v>Technology_TechnicalProtocol</v>
      </c>
      <c r="H69" s="11" t="str">
        <f>OsirisDataElementConcept!A58</f>
        <v>AdverseEvent</v>
      </c>
      <c r="I69" s="11" t="str">
        <f>SUBSTITUTE(OsirisDataElementConcept!C58,"_",".")</f>
        <v>AdverseEvent.Grade</v>
      </c>
      <c r="J69" s="11" t="str">
        <f>OsirisDataElementConcept!D58&amp;" ["&amp;OsirisDataElementConcept!L58&amp;"]"</f>
        <v>Grade [C80]</v>
      </c>
      <c r="K69" s="1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60" t="str">
        <f>IF(LEN(OsirisDataElementConcept!I58)=9,"1","0")</f>
        <v>0</v>
      </c>
      <c r="M69" s="11" t="str">
        <f>IF(OsirisDataElementConcept!G58="String","string",IF(OsirisDataElementConcept!G58="Date","date",IF(OsirisDataElementConcept!G58="Integer","integer",OsirisDataElementConcept!G58)))</f>
        <v>string</v>
      </c>
    </row>
    <row r="70" spans="4:13" x14ac:dyDescent="0.75">
      <c r="D70" s="11" t="str">
        <f>OsirisDataElementConcept!C70</f>
        <v>Technology_PlatformName</v>
      </c>
      <c r="H70" s="11" t="str">
        <f>OsirisDataElementConcept!A59</f>
        <v>Drug</v>
      </c>
      <c r="I70" s="61" t="s">
        <v>584</v>
      </c>
      <c r="J70" s="61" t="s">
        <v>584</v>
      </c>
      <c r="K70" s="61" t="s">
        <v>584</v>
      </c>
      <c r="L70" s="62">
        <v>0</v>
      </c>
      <c r="M70" s="63" t="s">
        <v>2</v>
      </c>
    </row>
    <row r="71" spans="4:13" ht="44.25" x14ac:dyDescent="0.75">
      <c r="D71" s="11" t="str">
        <f>OsirisDataElementConcept!C71</f>
        <v>Technology_PlatformAccession</v>
      </c>
      <c r="H71" s="11" t="str">
        <f>OsirisDataElementConcept!A60</f>
        <v>Drug</v>
      </c>
      <c r="I71" s="11" t="str">
        <f>SUBSTITUTE(OsirisDataElementConcept!C59,"_",".")</f>
        <v>Drug.Code</v>
      </c>
      <c r="J71" s="11" t="str">
        <f>OsirisDataElementConcept!D59&amp;" ["&amp;OsirisDataElementConcept!L59&amp;"]"</f>
        <v>Code [C51]</v>
      </c>
      <c r="K71" s="1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60" t="str">
        <f>IF(LEN(OsirisDataElementConcept!I59)=9,"1","0")</f>
        <v>0</v>
      </c>
      <c r="M71" s="11" t="str">
        <f>IF(OsirisDataElementConcept!G59="String","string",IF(OsirisDataElementConcept!G59="Date","date",IF(OsirisDataElementConcept!G59="Integer","integer",OsirisDataElementConcept!G59)))</f>
        <v>string</v>
      </c>
    </row>
    <row r="72" spans="4:13" ht="29.5" x14ac:dyDescent="0.75">
      <c r="D72" s="11" t="str">
        <f>OsirisDataElementConcept!C72</f>
        <v>Technology_DateOfExperiment</v>
      </c>
      <c r="H72" s="11" t="str">
        <f>OsirisDataElementConcept!A61</f>
        <v>BiologicalSample</v>
      </c>
      <c r="I72" s="11" t="str">
        <f>SUBSTITUTE(OsirisDataElementConcept!C60,"_",".")</f>
        <v>Drug.Name</v>
      </c>
      <c r="J72" s="11" t="str">
        <f>OsirisDataElementConcept!D60&amp;" ["&amp;OsirisDataElementConcept!L60&amp;"]"</f>
        <v>Name [C52]</v>
      </c>
      <c r="K72" s="1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60" t="str">
        <f>IF(LEN(OsirisDataElementConcept!I60)=9,"1","0")</f>
        <v>0</v>
      </c>
      <c r="M72" s="11" t="str">
        <f>IF(OsirisDataElementConcept!G60="String","string",IF(OsirisDataElementConcept!G60="Date","date",IF(OsirisDataElementConcept!G60="Integer","integer",OsirisDataElementConcept!G60)))</f>
        <v>string</v>
      </c>
    </row>
    <row r="73" spans="4:13" x14ac:dyDescent="0.75">
      <c r="D73" s="11" t="str">
        <f>OsirisDataElementConcept!C73</f>
        <v>Panel_Name</v>
      </c>
      <c r="I73" s="61" t="s">
        <v>595</v>
      </c>
      <c r="J73" s="61" t="s">
        <v>595</v>
      </c>
      <c r="K73" s="61" t="s">
        <v>595</v>
      </c>
      <c r="L73" s="62">
        <v>0</v>
      </c>
      <c r="M73" s="63" t="s">
        <v>2</v>
      </c>
    </row>
    <row r="74" spans="4:13" ht="29.5" x14ac:dyDescent="0.75">
      <c r="D74" s="11" t="str">
        <f>OsirisDataElementConcept!C74</f>
        <v>AnalysisProcess_AnalyticPipelineCode</v>
      </c>
      <c r="H74" s="11" t="str">
        <f>OsirisDataElementConcept!A62</f>
        <v>BiologicalSample</v>
      </c>
      <c r="I74" s="11" t="str">
        <f>SUBSTITUTE(OsirisDataElementConcept!C61,"_",".")</f>
        <v>BiologicalSample.ExternalAccession</v>
      </c>
      <c r="J74" s="11" t="str">
        <f>OsirisDataElementConcept!D61&amp;" ["&amp;OsirisDataElementConcept!L61&amp;"]"</f>
        <v>Sample External Accession [C53]</v>
      </c>
      <c r="K74" s="1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60" t="str">
        <f>IF(LEN(OsirisDataElementConcept!I61)=9,"1","0")</f>
        <v>0</v>
      </c>
      <c r="M74" s="11" t="str">
        <f>IF(OsirisDataElementConcept!G61="String","string",IF(OsirisDataElementConcept!G61="Date","date",IF(OsirisDataElementConcept!G61="Integer","integer",OsirisDataElementConcept!G61)))</f>
        <v>string</v>
      </c>
    </row>
    <row r="75" spans="4:13" ht="44.25" x14ac:dyDescent="0.75">
      <c r="D75" s="11" t="str">
        <f>OsirisDataElementConcept!C75</f>
        <v>OmicAnalysis_AlgorithmicCellularity</v>
      </c>
      <c r="H75" s="11" t="str">
        <f>OsirisDataElementConcept!A64</f>
        <v>BiologicalSample</v>
      </c>
      <c r="I75" s="11" t="str">
        <f>SUBSTITUTE(OsirisDataElementConcept!C62,"_",".")</f>
        <v>BiologicalSample.ParentExternalAccession</v>
      </c>
      <c r="J75" s="11" t="str">
        <f>OsirisDataElementConcept!D62&amp;" ["&amp;OsirisDataElementConcept!L62&amp;"]"</f>
        <v>Parent sample External Accession [C54]</v>
      </c>
      <c r="K75" s="1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60" t="str">
        <f>IF(LEN(OsirisDataElementConcept!I62)=9,"1","0")</f>
        <v>0</v>
      </c>
      <c r="M75" s="11" t="str">
        <f>IF(OsirisDataElementConcept!G62="String","string",IF(OsirisDataElementConcept!G62="Date","date",IF(OsirisDataElementConcept!G62="Integer","integer",OsirisDataElementConcept!G62)))</f>
        <v>string</v>
      </c>
    </row>
    <row r="76" spans="4:13" ht="29.5" x14ac:dyDescent="0.75">
      <c r="D76" s="11" t="str">
        <f>OsirisDataElementConcept!C76</f>
        <v>OmicAnalysis_AlgorithmicPloidy</v>
      </c>
      <c r="H76" s="11" t="str">
        <f>OsirisDataElementConcept!A65</f>
        <v>BiologicalSample</v>
      </c>
      <c r="I76" s="11" t="str">
        <f>SUBSTITUTE(OsirisDataElementConcept!C63,"_",".")</f>
        <v>BiologicalSample.CollectDate</v>
      </c>
      <c r="J76" s="11" t="str">
        <f>OsirisDataElementConcept!D63&amp;" ["&amp;OsirisDataElementConcept!L63&amp;"]"</f>
        <v>Collect Date [C56]</v>
      </c>
      <c r="K76" s="1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60" t="str">
        <f>IF(LEN(OsirisDataElementConcept!I63)=9,"1","0")</f>
        <v>0</v>
      </c>
      <c r="M76" s="11" t="str">
        <f>IF(OsirisDataElementConcept!G63="String","string",IF(OsirisDataElementConcept!G63="Date","date",IF(OsirisDataElementConcept!G63="Integer","integer",OsirisDataElementConcept!G63)))</f>
        <v>date</v>
      </c>
    </row>
    <row r="77" spans="4:13" ht="44.25" x14ac:dyDescent="0.75">
      <c r="D77" s="11" t="str">
        <f>OsirisDataElementConcept!C77</f>
        <v>OmicAnalysis_NumberOfBreakPoints</v>
      </c>
      <c r="I77" s="11" t="str">
        <f>SUBSTITUTE(OsirisDataElementConcept!C64,"_",".")</f>
        <v>BiologicalSample.TopographyCode</v>
      </c>
      <c r="J77" s="11" t="str">
        <f>OsirisDataElementConcept!D64&amp;" ["&amp;OsirisDataElementConcept!L64&amp;"]"</f>
        <v>Topography Code [C57]</v>
      </c>
      <c r="K77" s="1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60" t="str">
        <f>IF(LEN(OsirisDataElementConcept!I64)=9,"1","0")</f>
        <v>0</v>
      </c>
      <c r="M77" s="11" t="str">
        <f>IF(OsirisDataElementConcept!G64="String","string",IF(OsirisDataElementConcept!G64="Date","date",IF(OsirisDataElementConcept!G64="Integer","integer",OsirisDataElementConcept!G64)))</f>
        <v>string</v>
      </c>
    </row>
    <row r="78" spans="4:13" ht="44.25" x14ac:dyDescent="0.75">
      <c r="D78" s="11" t="str">
        <f>OsirisDataElementConcept!C78</f>
        <v>AlterationOnSample_AlterationType</v>
      </c>
      <c r="I78" s="11" t="str">
        <f>SUBSTITUTE(OsirisDataElementConcept!C65,"_",".")</f>
        <v>BiologicalSample.Nature</v>
      </c>
      <c r="J78" s="11" t="str">
        <f>OsirisDataElementConcept!D65&amp;" ["&amp;OsirisDataElementConcept!L65&amp;"]"</f>
        <v>Nature [C58]</v>
      </c>
      <c r="K78" s="1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60" t="str">
        <f>IF(LEN(OsirisDataElementConcept!I65)=9,"1","0")</f>
        <v>0</v>
      </c>
      <c r="M78" s="11" t="str">
        <f>IF(OsirisDataElementConcept!G65="String","string",IF(OsirisDataElementConcept!G65="Date","date",IF(OsirisDataElementConcept!G65="Integer","integer",OsirisDataElementConcept!G65)))</f>
        <v>string</v>
      </c>
    </row>
    <row r="79" spans="4:13" ht="44.25" x14ac:dyDescent="0.75">
      <c r="D79" s="11" t="str">
        <f>OsirisDataElementConcept!C79</f>
        <v>AlterationOnSample_Pathogenicity</v>
      </c>
      <c r="I79" s="11" t="str">
        <f>SUBSTITUTE(OsirisDataElementConcept!C66,"_",".")</f>
        <v>BiologicalSample.Origin</v>
      </c>
      <c r="J79" s="11" t="str">
        <f>OsirisDataElementConcept!D66&amp;" ["&amp;OsirisDataElementConcept!L66&amp;"]"</f>
        <v>Origin [C59]</v>
      </c>
      <c r="K79" s="1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60" t="str">
        <f>IF(LEN(OsirisDataElementConcept!I66)=9,"1","0")</f>
        <v>0</v>
      </c>
      <c r="M79" s="11" t="str">
        <f>IF(OsirisDataElementConcept!G66="String","string",IF(OsirisDataElementConcept!G66="Date","date",IF(OsirisDataElementConcept!G66="Integer","integer",OsirisDataElementConcept!G66)))</f>
        <v>string</v>
      </c>
    </row>
    <row r="80" spans="4:13" ht="44.25" x14ac:dyDescent="0.75">
      <c r="D80" s="11" t="str">
        <f>OsirisDataElementConcept!C80</f>
        <v>AlterationOnSample_Actionability</v>
      </c>
      <c r="I80" s="11" t="str">
        <f>SUBSTITUTE(OsirisDataElementConcept!C67,"_",".")</f>
        <v>BiologicalSample.StorageTemperature</v>
      </c>
      <c r="J80" s="11" t="str">
        <f>OsirisDataElementConcept!D67&amp;" ["&amp;OsirisDataElementConcept!L67&amp;"]"</f>
        <v>Storage Temperature [C60]</v>
      </c>
      <c r="K80" s="1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60" t="str">
        <f>IF(LEN(OsirisDataElementConcept!I67)=9,"1","0")</f>
        <v>0</v>
      </c>
      <c r="M80" s="11" t="str">
        <f>IF(OsirisDataElementConcept!G67="String","string",IF(OsirisDataElementConcept!G67="Date","date",IF(OsirisDataElementConcept!G67="Integer","integer",OsirisDataElementConcept!G67)))</f>
        <v>string</v>
      </c>
    </row>
    <row r="81" spans="4:13" ht="29.5" x14ac:dyDescent="0.75">
      <c r="D81" s="11" t="str">
        <f>OsirisDataElementConcept!C81</f>
        <v>AlterationOnSample_ProposedForOrientation</v>
      </c>
      <c r="I81" s="11" t="str">
        <f>SUBSTITUTE(OsirisDataElementConcept!C68,"_",".")</f>
        <v>BiologicalSample.TumorCellularity</v>
      </c>
      <c r="J81" s="11" t="str">
        <f>OsirisDataElementConcept!D68&amp;" ["&amp;OsirisDataElementConcept!L68&amp;"]"</f>
        <v>Tumor Cellularity [C61]</v>
      </c>
      <c r="K81" s="1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60" t="str">
        <f>IF(LEN(OsirisDataElementConcept!I68)=9,"1","0")</f>
        <v>0</v>
      </c>
      <c r="M81" s="11" t="str">
        <f>IF(OsirisDataElementConcept!G68="String","string",IF(OsirisDataElementConcept!G68="Date","date",IF(OsirisDataElementConcept!G68="Integer","integer",OsirisDataElementConcept!G68)))</f>
        <v>integer</v>
      </c>
    </row>
    <row r="82" spans="4:13" x14ac:dyDescent="0.75">
      <c r="D82" s="11" t="str">
        <f>OsirisDataElementConcept!C82</f>
        <v>Validation_Type</v>
      </c>
      <c r="H82" s="11"/>
      <c r="I82" s="61" t="s">
        <v>647</v>
      </c>
      <c r="J82" s="61" t="s">
        <v>647</v>
      </c>
      <c r="K82" s="61" t="s">
        <v>647</v>
      </c>
      <c r="L82" s="62">
        <v>1</v>
      </c>
      <c r="M82" s="63" t="s">
        <v>2</v>
      </c>
    </row>
    <row r="83" spans="4:13" ht="44.25" x14ac:dyDescent="0.75">
      <c r="D83" s="11" t="str">
        <f>OsirisDataElementConcept!C83</f>
        <v>Validation_Method</v>
      </c>
      <c r="H83" s="11" t="str">
        <f>OsirisDataElementConcept!A71</f>
        <v>Technology</v>
      </c>
      <c r="I83" s="11" t="str">
        <f>SUBSTITUTE(OsirisDataElementConcept!C69,"_",".")</f>
        <v>Technology.TechnicalProtocol</v>
      </c>
      <c r="J83" s="11" t="str">
        <f>OsirisDataElementConcept!D69&amp;" ["&amp;OsirisDataElementConcept!L69&amp;"]"</f>
        <v>Technical Protocol [O6]</v>
      </c>
      <c r="K83" s="1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60" t="str">
        <f>IF(LEN(OsirisDataElementConcept!I69)=9,"1","0")</f>
        <v>1</v>
      </c>
      <c r="M83" s="11" t="str">
        <f>IF(OsirisDataElementConcept!G69="String","string",IF(OsirisDataElementConcept!G69="Date","date",IF(OsirisDataElementConcept!G69="Integer","integer",OsirisDataElementConcept!G69)))</f>
        <v>string</v>
      </c>
    </row>
    <row r="84" spans="4:13" ht="59" x14ac:dyDescent="0.75">
      <c r="D84" s="11" t="str">
        <f>OsirisDataElementConcept!C84</f>
        <v>Validation_Status</v>
      </c>
      <c r="H84" s="11" t="str">
        <f>OsirisDataElementConcept!A72</f>
        <v>Technology</v>
      </c>
      <c r="I84" s="11" t="str">
        <f>SUBSTITUTE(OsirisDataElementConcept!C70,"_",".")</f>
        <v>Technology.PlatformName</v>
      </c>
      <c r="J84" s="11" t="str">
        <f>OsirisDataElementConcept!D70&amp;" ["&amp;OsirisDataElementConcept!L70&amp;"]"</f>
        <v>Platform Name [O7]</v>
      </c>
      <c r="K84" s="1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60" t="str">
        <f>IF(LEN(OsirisDataElementConcept!I70)=9,"1","0")</f>
        <v>1</v>
      </c>
      <c r="M84" s="11" t="str">
        <f>IF(OsirisDataElementConcept!G70="String","string",IF(OsirisDataElementConcept!G70="Date","date",IF(OsirisDataElementConcept!G70="Integer","integer",OsirisDataElementConcept!G70)))</f>
        <v>string</v>
      </c>
    </row>
    <row r="85" spans="4:13" ht="29.5" x14ac:dyDescent="0.75">
      <c r="D85" s="11" t="str">
        <f>OsirisDataElementConcept!C85</f>
        <v>Alteration_Chromosome</v>
      </c>
      <c r="I85" s="11" t="str">
        <f>SUBSTITUTE(OsirisDataElementConcept!C71,"_",".")</f>
        <v>Technology.PlatformAccession</v>
      </c>
      <c r="J85" s="11" t="str">
        <f>OsirisDataElementConcept!D71&amp;" ["&amp;OsirisDataElementConcept!L71&amp;"]"</f>
        <v>Platform Accession [O8]</v>
      </c>
      <c r="K85" s="1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60" t="str">
        <f>IF(LEN(OsirisDataElementConcept!I71)=9,"1","0")</f>
        <v>0</v>
      </c>
      <c r="M85" s="11" t="str">
        <f>IF(OsirisDataElementConcept!G71="String","string",IF(OsirisDataElementConcept!G71="Date","date",IF(OsirisDataElementConcept!G71="Integer","integer",OsirisDataElementConcept!G71)))</f>
        <v>string</v>
      </c>
    </row>
    <row r="86" spans="4:13" ht="29.5" x14ac:dyDescent="0.75">
      <c r="D86" s="11" t="str">
        <f>OsirisDataElementConcept!C86</f>
        <v>Alteration_GenomicStart</v>
      </c>
      <c r="H86" s="11"/>
      <c r="I86" s="11" t="str">
        <f>SUBSTITUTE(OsirisDataElementConcept!C72,"_",".")</f>
        <v>Technology.DateOfExperiment</v>
      </c>
      <c r="J86" s="11" t="str">
        <f>OsirisDataElementConcept!D72&amp;" ["&amp;OsirisDataElementConcept!L72&amp;"]"</f>
        <v>Date Of Experiment [O9]</v>
      </c>
      <c r="K86" s="1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60" t="str">
        <f>IF(LEN(OsirisDataElementConcept!I72)=9,"1","0")</f>
        <v>0</v>
      </c>
      <c r="M86" s="11" t="str">
        <f>IF(OsirisDataElementConcept!G72="String","string",IF(OsirisDataElementConcept!G72="Date","date",IF(OsirisDataElementConcept!G72="Integer","integer",OsirisDataElementConcept!G72)))</f>
        <v>date</v>
      </c>
    </row>
    <row r="87" spans="4:13" x14ac:dyDescent="0.75">
      <c r="D87" s="11" t="str">
        <f>OsirisDataElementConcept!C87</f>
        <v>Alteration_GenomicStop</v>
      </c>
      <c r="H87" s="11"/>
      <c r="I87" s="61" t="s">
        <v>677</v>
      </c>
      <c r="J87" s="61" t="s">
        <v>677</v>
      </c>
      <c r="K87" s="61" t="s">
        <v>677</v>
      </c>
      <c r="L87" s="62">
        <v>0</v>
      </c>
      <c r="M87" s="63" t="s">
        <v>2</v>
      </c>
    </row>
    <row r="88" spans="4:13" ht="59" x14ac:dyDescent="0.75">
      <c r="D88" s="11" t="str">
        <f>OsirisDataElementConcept!C88</f>
        <v>Alteration_GenomeBuild</v>
      </c>
      <c r="H88" s="11" t="str">
        <f>OsirisDataElementConcept!A73</f>
        <v>Panel</v>
      </c>
      <c r="I88" s="11" t="str">
        <f>SUBSTITUTE(OsirisDataElementConcept!C73,"_",".")</f>
        <v>Panel.Name</v>
      </c>
      <c r="J88" s="11" t="str">
        <f>OsirisDataElementConcept!D73&amp;" ["&amp;OsirisDataElementConcept!L73&amp;"]"</f>
        <v>Name [O10]</v>
      </c>
      <c r="K88" s="1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60" t="str">
        <f>IF(LEN(OsirisDataElementConcept!I73)=9,"1","0")</f>
        <v>0</v>
      </c>
      <c r="M88" s="11" t="str">
        <f>IF(OsirisDataElementConcept!G73="String","string",IF(OsirisDataElementConcept!G73="Date","date",IF(OsirisDataElementConcept!G73="Integer","integer",OsirisDataElementConcept!G73)))</f>
        <v>string</v>
      </c>
    </row>
    <row r="89" spans="4:13" x14ac:dyDescent="0.75">
      <c r="D89" s="11" t="str">
        <f>OsirisDataElementConcept!C89</f>
        <v>Alteration_Cytoband</v>
      </c>
      <c r="I89" s="61" t="s">
        <v>684</v>
      </c>
      <c r="J89" s="61" t="s">
        <v>684</v>
      </c>
      <c r="K89" s="61" t="s">
        <v>684</v>
      </c>
      <c r="L89" s="62">
        <v>1</v>
      </c>
      <c r="M89" s="63" t="s">
        <v>2</v>
      </c>
    </row>
    <row r="90" spans="4:13" ht="29.5" x14ac:dyDescent="0.75">
      <c r="D90" s="11" t="str">
        <f>OsirisDataElementConcept!C90</f>
        <v>GenomeEntity_Type</v>
      </c>
      <c r="H90" s="11" t="str">
        <f>OsirisDataElementConcept!A74</f>
        <v>AnalysisProcess</v>
      </c>
      <c r="I90" s="11" t="str">
        <f>SUBSTITUTE(OsirisDataElementConcept!C74,"_",".")</f>
        <v>AnalysisProcess.AnalyticPipelineCode</v>
      </c>
      <c r="J90" s="11" t="str">
        <f>OsirisDataElementConcept!D74&amp;" ["&amp;OsirisDataElementConcept!L74&amp;"]"</f>
        <v>Analytic Pipeline Code [O11]</v>
      </c>
      <c r="K90" s="1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60" t="str">
        <f>IF(LEN(OsirisDataElementConcept!I74)=9,"1","0")</f>
        <v>1</v>
      </c>
      <c r="M90" s="11" t="str">
        <f>IF(OsirisDataElementConcept!G74="String","string",IF(OsirisDataElementConcept!G74="Date","date",IF(OsirisDataElementConcept!G74="Integer","integer",OsirisDataElementConcept!G74)))</f>
        <v>string</v>
      </c>
    </row>
    <row r="91" spans="4:13" x14ac:dyDescent="0.75">
      <c r="D91" s="11" t="str">
        <f>OsirisDataElementConcept!C91</f>
        <v>GenomeEntity_Database</v>
      </c>
      <c r="H91" s="11" t="str">
        <f>OsirisDataElementConcept!A76</f>
        <v>OmicAnalysis</v>
      </c>
      <c r="I91" s="61" t="s">
        <v>692</v>
      </c>
      <c r="J91" s="61" t="s">
        <v>692</v>
      </c>
      <c r="K91" s="61" t="s">
        <v>692</v>
      </c>
      <c r="L91" s="62">
        <v>0</v>
      </c>
      <c r="M91" s="63" t="s">
        <v>2</v>
      </c>
    </row>
    <row r="92" spans="4:13" ht="29.5" x14ac:dyDescent="0.75">
      <c r="D92" s="11" t="str">
        <f>OsirisDataElementConcept!C92</f>
        <v>GenomeEntity_Id</v>
      </c>
      <c r="H92" s="11" t="str">
        <f>OsirisDataElementConcept!A77</f>
        <v>OmicAnalysis</v>
      </c>
      <c r="I92" s="11" t="str">
        <f>SUBSTITUTE(OsirisDataElementConcept!C75,"_",".")</f>
        <v>OmicAnalysis.AlgorithmicCellularity</v>
      </c>
      <c r="J92" s="11" t="str">
        <f>OsirisDataElementConcept!D75&amp;" ["&amp;OsirisDataElementConcept!L75&amp;"]"</f>
        <v>Algorithmic Cellularity [O12]</v>
      </c>
      <c r="K92" s="1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60" t="str">
        <f>IF(LEN(OsirisDataElementConcept!I75)=9,"1","0")</f>
        <v>0</v>
      </c>
      <c r="M92" s="11" t="str">
        <f>IF(OsirisDataElementConcept!G75="String","string",IF(OsirisDataElementConcept!G75="Date","date",IF(OsirisDataElementConcept!G75="Integer","integer",OsirisDataElementConcept!G75)))</f>
        <v>integer</v>
      </c>
    </row>
    <row r="93" spans="4:13" ht="44.25" x14ac:dyDescent="0.75">
      <c r="D93" s="11" t="str">
        <f>OsirisDataElementConcept!C93</f>
        <v>GenomeEntity_Symbol</v>
      </c>
      <c r="I93" s="11" t="str">
        <f>SUBSTITUTE(OsirisDataElementConcept!C76,"_",".")</f>
        <v>OmicAnalysis.AlgorithmicPloidy</v>
      </c>
      <c r="J93" s="11" t="str">
        <f>OsirisDataElementConcept!D76&amp;" ["&amp;OsirisDataElementConcept!L76&amp;"]"</f>
        <v>Algorithmic Ploidy [O13]</v>
      </c>
      <c r="K93" s="1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60" t="str">
        <f>IF(LEN(OsirisDataElementConcept!I76)=9,"1","0")</f>
        <v>0</v>
      </c>
      <c r="M93" s="11" t="str">
        <f>IF(OsirisDataElementConcept!G76="String","string",IF(OsirisDataElementConcept!G76="Date","date",IF(OsirisDataElementConcept!G76="Integer","integer",OsirisDataElementConcept!G76)))</f>
        <v>string</v>
      </c>
    </row>
    <row r="94" spans="4:13" ht="29.5" x14ac:dyDescent="0.75">
      <c r="D94" s="11" t="str">
        <f>OsirisDataElementConcept!C94</f>
        <v>Fusion_Type</v>
      </c>
      <c r="H94" s="11" t="str">
        <f>OsirisDataElementConcept!A79</f>
        <v>AlterationOnSample</v>
      </c>
      <c r="I94" s="11" t="str">
        <f>SUBSTITUTE(OsirisDataElementConcept!C77,"_",".")</f>
        <v>OmicAnalysis.NumberOfBreakPoints</v>
      </c>
      <c r="J94" s="11" t="str">
        <f>OsirisDataElementConcept!D77&amp;" ["&amp;OsirisDataElementConcept!L77&amp;"]"</f>
        <v>Number Of Break Points [O14]</v>
      </c>
      <c r="K94" s="1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60" t="str">
        <f>IF(LEN(OsirisDataElementConcept!I77)=9,"1","0")</f>
        <v>0</v>
      </c>
      <c r="M94" s="11" t="str">
        <f>IF(OsirisDataElementConcept!G77="String","string",IF(OsirisDataElementConcept!G77="Date","date",IF(OsirisDataElementConcept!G77="Integer","integer",OsirisDataElementConcept!G77)))</f>
        <v>integer</v>
      </c>
    </row>
    <row r="95" spans="4:13" x14ac:dyDescent="0.75">
      <c r="D95" s="11" t="str">
        <f>OsirisDataElementConcept!C95</f>
        <v>Fusion_Point5prime</v>
      </c>
      <c r="H95" s="61"/>
      <c r="I95" s="61" t="s">
        <v>715</v>
      </c>
      <c r="J95" s="61" t="s">
        <v>715</v>
      </c>
      <c r="K95" s="61" t="s">
        <v>715</v>
      </c>
      <c r="L95" s="62">
        <v>1</v>
      </c>
      <c r="M95" s="63" t="s">
        <v>2</v>
      </c>
    </row>
    <row r="96" spans="4:13" ht="44.25" x14ac:dyDescent="0.75">
      <c r="D96" s="11" t="str">
        <f>OsirisDataElementConcept!C96</f>
        <v>Fusion_Chromosome5prime</v>
      </c>
      <c r="H96" s="11" t="str">
        <f>OsirisDataElementConcept!A78</f>
        <v>AlterationOnSample</v>
      </c>
      <c r="I96" s="11" t="str">
        <f>SUBSTITUTE(OsirisDataElementConcept!C78,"_",".")</f>
        <v>AlterationOnSample.AlterationType</v>
      </c>
      <c r="J96" s="11" t="str">
        <f>OsirisDataElementConcept!D78&amp;" ["&amp;OsirisDataElementConcept!L78&amp;"]"</f>
        <v>Alteration Type [O15]</v>
      </c>
      <c r="K96" s="1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60" t="str">
        <f>IF(LEN(OsirisDataElementConcept!I78)=9,"1","0")</f>
        <v>1</v>
      </c>
      <c r="M96" s="11" t="str">
        <f>IF(OsirisDataElementConcept!G78="String","string",IF(OsirisDataElementConcept!G78="Date","date",IF(OsirisDataElementConcept!G78="Integer","integer",OsirisDataElementConcept!G78)))</f>
        <v>string</v>
      </c>
    </row>
    <row r="97" spans="4:13" ht="59" x14ac:dyDescent="0.75">
      <c r="D97" s="11" t="str">
        <f>OsirisDataElementConcept!C97</f>
        <v>Fusion_Point3prime</v>
      </c>
      <c r="H97" s="11" t="str">
        <f>OsirisDataElementConcept!A81</f>
        <v>AlterationOnSample</v>
      </c>
      <c r="I97" s="11" t="str">
        <f>SUBSTITUTE(OsirisDataElementConcept!C79,"_",".")</f>
        <v>AlterationOnSample.Pathogenicity</v>
      </c>
      <c r="J97" s="11" t="str">
        <f>OsirisDataElementConcept!D79&amp;" ["&amp;OsirisDataElementConcept!L79&amp;"]"</f>
        <v>Pathogenicity [O81]</v>
      </c>
      <c r="K97" s="1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60" t="str">
        <f>IF(LEN(OsirisDataElementConcept!I79)=9,"1","0")</f>
        <v>0</v>
      </c>
      <c r="M97" s="11" t="str">
        <f>IF(OsirisDataElementConcept!G79="String","string",IF(OsirisDataElementConcept!G79="Date","date",IF(OsirisDataElementConcept!G79="Integer","integer",OsirisDataElementConcept!G79)))</f>
        <v>string</v>
      </c>
    </row>
    <row r="98" spans="4:13" ht="59" x14ac:dyDescent="0.75">
      <c r="D98" s="11" t="str">
        <f>OsirisDataElementConcept!C98</f>
        <v>Fusion_Chromosome3prime</v>
      </c>
      <c r="H98" s="11" t="str">
        <f>OsirisDataElementConcept!A82</f>
        <v>Validation</v>
      </c>
      <c r="I98" s="11" t="str">
        <f>SUBSTITUTE(OsirisDataElementConcept!C80,"_",".")</f>
        <v>AlterationOnSample.Actionability</v>
      </c>
      <c r="J98" s="11" t="str">
        <f>OsirisDataElementConcept!D80&amp;" ["&amp;OsirisDataElementConcept!L80&amp;"]"</f>
        <v>Actionability [O82]</v>
      </c>
      <c r="K98" s="1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60" t="str">
        <f>IF(LEN(OsirisDataElementConcept!I80)=9,"1","0")</f>
        <v>0</v>
      </c>
      <c r="M98" s="11" t="str">
        <f>IF(OsirisDataElementConcept!G80="String","string",IF(OsirisDataElementConcept!G80="Date","date",IF(OsirisDataElementConcept!G80="Integer","integer",OsirisDataElementConcept!G80)))</f>
        <v>string</v>
      </c>
    </row>
    <row r="99" spans="4:13" ht="59" x14ac:dyDescent="0.75">
      <c r="D99" s="11" t="str">
        <f>OsirisDataElementConcept!C99</f>
        <v>Fusion_InFrame</v>
      </c>
      <c r="H99" s="11" t="str">
        <f>OsirisDataElementConcept!A83</f>
        <v>Validation</v>
      </c>
      <c r="I99" s="11" t="str">
        <f>SUBSTITUTE(OsirisDataElementConcept!C81,"_",".")</f>
        <v>AlterationOnSample.ProposedForOrientation</v>
      </c>
      <c r="J99" s="11" t="str">
        <f>OsirisDataElementConcept!D81&amp;" ["&amp;OsirisDataElementConcept!L81&amp;"]"</f>
        <v>Proposed For Orientation [O83]</v>
      </c>
      <c r="K99" s="1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60" t="str">
        <f>IF(LEN(OsirisDataElementConcept!I81)=9,"1","0")</f>
        <v>0</v>
      </c>
      <c r="M99" s="11" t="str">
        <f>IF(OsirisDataElementConcept!G81="String","string",IF(OsirisDataElementConcept!G81="Date","date",IF(OsirisDataElementConcept!G81="Integer","integer",OsirisDataElementConcept!G81)))</f>
        <v>string</v>
      </c>
    </row>
    <row r="100" spans="4:13" x14ac:dyDescent="0.75">
      <c r="D100" s="11" t="str">
        <f>OsirisDataElementConcept!C100</f>
        <v>Fusion_NbSpanningPair</v>
      </c>
      <c r="H100" s="11"/>
      <c r="I100" s="61" t="s">
        <v>742</v>
      </c>
      <c r="J100" s="61" t="s">
        <v>742</v>
      </c>
      <c r="K100" s="61" t="s">
        <v>742</v>
      </c>
      <c r="L100" s="62">
        <v>0</v>
      </c>
      <c r="M100" s="63" t="s">
        <v>2</v>
      </c>
    </row>
    <row r="101" spans="4:13" ht="44.25" x14ac:dyDescent="0.75">
      <c r="D101" s="11" t="str">
        <f>OsirisDataElementConcept!C101</f>
        <v>Fusion_NbSplitReads</v>
      </c>
      <c r="H101" s="11" t="str">
        <f>OsirisDataElementConcept!A84</f>
        <v>Validation</v>
      </c>
      <c r="I101" s="11" t="str">
        <f>SUBSTITUTE(OsirisDataElementConcept!C82,"_",".")</f>
        <v>Validation.Type</v>
      </c>
      <c r="J101" s="11" t="str">
        <f>OsirisDataElementConcept!D82&amp;" ["&amp;OsirisDataElementConcept!L82&amp;"]"</f>
        <v>Type [O16]</v>
      </c>
      <c r="K101" s="1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60" t="str">
        <f>IF(LEN(OsirisDataElementConcept!I82)=9,"1","0")</f>
        <v>0</v>
      </c>
      <c r="M101" s="11" t="str">
        <f>IF(OsirisDataElementConcept!G82="String","string",IF(OsirisDataElementConcept!G82="Date","date",IF(OsirisDataElementConcept!G82="Integer","integer",OsirisDataElementConcept!G82)))</f>
        <v>string</v>
      </c>
    </row>
    <row r="102" spans="4:13" ht="29.5" x14ac:dyDescent="0.75">
      <c r="D102" s="11" t="str">
        <f>OsirisDataElementConcept!C102</f>
        <v>CNV_SegmentIntensity</v>
      </c>
      <c r="I102" s="11" t="str">
        <f>SUBSTITUTE(OsirisDataElementConcept!C83,"_",".")</f>
        <v>Validation.Method</v>
      </c>
      <c r="J102" s="11" t="str">
        <f>OsirisDataElementConcept!D83&amp;" ["&amp;OsirisDataElementConcept!L83&amp;"]"</f>
        <v>Method [O17]</v>
      </c>
      <c r="K102" s="1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60" t="str">
        <f>IF(LEN(OsirisDataElementConcept!I83)=9,"1","0")</f>
        <v>0</v>
      </c>
      <c r="M102" s="11" t="str">
        <f>IF(OsirisDataElementConcept!G83="String","string",IF(OsirisDataElementConcept!G83="Date","date",IF(OsirisDataElementConcept!G83="Integer","integer",OsirisDataElementConcept!G83)))</f>
        <v>string</v>
      </c>
    </row>
    <row r="103" spans="4:13" ht="44.25" x14ac:dyDescent="0.75">
      <c r="D103" s="11" t="str">
        <f>OsirisDataElementConcept!C103</f>
        <v>CNV_SegmentGenomicStatus</v>
      </c>
      <c r="I103" s="11" t="str">
        <f>SUBSTITUTE(OsirisDataElementConcept!C84,"_",".")</f>
        <v>Validation.Status</v>
      </c>
      <c r="J103" s="11" t="str">
        <f>OsirisDataElementConcept!D84&amp;" ["&amp;OsirisDataElementConcept!L84&amp;"]"</f>
        <v>Status [O18]</v>
      </c>
      <c r="K103" s="1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60" t="str">
        <f>IF(LEN(OsirisDataElementConcept!I84)=9,"1","0")</f>
        <v>0</v>
      </c>
      <c r="M103" s="11" t="str">
        <f>IF(OsirisDataElementConcept!G84="String","string",IF(OsirisDataElementConcept!G84="Date","date",IF(OsirisDataElementConcept!G84="Integer","integer",OsirisDataElementConcept!G84)))</f>
        <v>string</v>
      </c>
    </row>
    <row r="104" spans="4:13" x14ac:dyDescent="0.75">
      <c r="D104" s="11" t="str">
        <f>OsirisDataElementConcept!C104</f>
        <v>CNV_CopyNumber</v>
      </c>
      <c r="H104" s="11"/>
      <c r="I104" s="61" t="s">
        <v>760</v>
      </c>
      <c r="J104" s="61" t="s">
        <v>760</v>
      </c>
      <c r="K104" s="61" t="s">
        <v>760</v>
      </c>
      <c r="L104" s="62">
        <v>1</v>
      </c>
      <c r="M104" s="63" t="s">
        <v>2</v>
      </c>
    </row>
    <row r="105" spans="4:13" ht="44.25" x14ac:dyDescent="0.75">
      <c r="D105" s="11" t="str">
        <f>OsirisDataElementConcept!C105</f>
        <v>CNV_LOH</v>
      </c>
      <c r="H105" s="11" t="str">
        <f>OsirisDataElementConcept!A85</f>
        <v>Alteration</v>
      </c>
      <c r="I105" s="11" t="str">
        <f>SUBSTITUTE(OsirisDataElementConcept!C85,"_",".")</f>
        <v>Alteration.Chromosome</v>
      </c>
      <c r="J105" s="11" t="str">
        <f>OsirisDataElementConcept!D85&amp;" ["&amp;OsirisDataElementConcept!L85&amp;"]"</f>
        <v>Chromosome [O19]</v>
      </c>
      <c r="K105" s="1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60" t="str">
        <f>IF(LEN(OsirisDataElementConcept!I85)=9,"1","0")</f>
        <v>1</v>
      </c>
      <c r="M105" s="11" t="str">
        <f>IF(OsirisDataElementConcept!G85="String","string",IF(OsirisDataElementConcept!G85="Date","date",IF(OsirisDataElementConcept!G85="Integer","integer",OsirisDataElementConcept!G85)))</f>
        <v>string</v>
      </c>
    </row>
    <row r="106" spans="4:13" ht="44.25" x14ac:dyDescent="0.75">
      <c r="D106" s="11" t="str">
        <f>OsirisDataElementConcept!C106</f>
        <v>CNV_SegmentSize</v>
      </c>
      <c r="H106" s="11" t="str">
        <f>OsirisDataElementConcept!A86</f>
        <v>Alteration</v>
      </c>
      <c r="I106" s="11" t="str">
        <f>SUBSTITUTE(OsirisDataElementConcept!C86,"_",".")</f>
        <v>Alteration.GenomicStart</v>
      </c>
      <c r="J106" s="11" t="str">
        <f>OsirisDataElementConcept!D86&amp;" ["&amp;OsirisDataElementConcept!L86&amp;"]"</f>
        <v>Genomic Start [O20]</v>
      </c>
      <c r="K106" s="1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60" t="str">
        <f>IF(LEN(OsirisDataElementConcept!I86)=9,"1","0")</f>
        <v>1</v>
      </c>
      <c r="M106" s="11" t="str">
        <f>IF(OsirisDataElementConcept!G86="String","string",IF(OsirisDataElementConcept!G86="Date","date",IF(OsirisDataElementConcept!G86="Integer","integer",OsirisDataElementConcept!G86)))</f>
        <v>integer</v>
      </c>
    </row>
    <row r="107" spans="4:13" ht="44.25" x14ac:dyDescent="0.75">
      <c r="D107" s="11" t="str">
        <f>OsirisDataElementConcept!C107</f>
        <v>Variant_ReferenceAllele</v>
      </c>
      <c r="H107" s="11" t="str">
        <f>OsirisDataElementConcept!A87</f>
        <v>Alteration</v>
      </c>
      <c r="I107" s="11" t="str">
        <f>SUBSTITUTE(OsirisDataElementConcept!C87,"_",".")</f>
        <v>Alteration.GenomicStop</v>
      </c>
      <c r="J107" s="11" t="str">
        <f>OsirisDataElementConcept!D87&amp;" ["&amp;OsirisDataElementConcept!L87&amp;"]"</f>
        <v>Genomic Stop [O21]</v>
      </c>
      <c r="K107" s="1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60" t="str">
        <f>IF(LEN(OsirisDataElementConcept!I87)=9,"1","0")</f>
        <v>1</v>
      </c>
      <c r="M107" s="11" t="str">
        <f>IF(OsirisDataElementConcept!G87="String","string",IF(OsirisDataElementConcept!G87="Date","date",IF(OsirisDataElementConcept!G87="Integer","integer",OsirisDataElementConcept!G87)))</f>
        <v>integer</v>
      </c>
    </row>
    <row r="108" spans="4:13" ht="44.25" x14ac:dyDescent="0.75">
      <c r="D108" s="11" t="str">
        <f>OsirisDataElementConcept!C108</f>
        <v>Variant_AlternativeAllele</v>
      </c>
      <c r="H108" s="11" t="str">
        <f>OsirisDataElementConcept!A88</f>
        <v>Alteration</v>
      </c>
      <c r="I108" s="11" t="str">
        <f>SUBSTITUTE(OsirisDataElementConcept!C88,"_",".")</f>
        <v>Alteration.GenomeBuild</v>
      </c>
      <c r="J108" s="11" t="str">
        <f>OsirisDataElementConcept!D88&amp;" ["&amp;OsirisDataElementConcept!L88&amp;"]"</f>
        <v>Genome Build [O22]</v>
      </c>
      <c r="K108" s="1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60" t="str">
        <f>IF(LEN(OsirisDataElementConcept!I88)=9,"1","0")</f>
        <v>1</v>
      </c>
      <c r="M108" s="11" t="str">
        <f>IF(OsirisDataElementConcept!G88="String","string",IF(OsirisDataElementConcept!G88="Date","date",IF(OsirisDataElementConcept!G88="Integer","integer",OsirisDataElementConcept!G88)))</f>
        <v>string</v>
      </c>
    </row>
    <row r="109" spans="4:13" ht="29.5" x14ac:dyDescent="0.75">
      <c r="D109" s="11" t="str">
        <f>OsirisDataElementConcept!C109</f>
        <v>Variant_DNASequenceVariationType</v>
      </c>
      <c r="H109" s="11" t="str">
        <f>OsirisDataElementConcept!A89</f>
        <v>Alteration</v>
      </c>
      <c r="I109" s="11" t="str">
        <f>SUBSTITUTE(OsirisDataElementConcept!C89,"_",".")</f>
        <v>Alteration.Cytoband</v>
      </c>
      <c r="J109" s="11" t="str">
        <f>OsirisDataElementConcept!D89&amp;" ["&amp;OsirisDataElementConcept!L89&amp;"]"</f>
        <v>Cytoband [O23]</v>
      </c>
      <c r="K109" s="1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60" t="str">
        <f>IF(LEN(OsirisDataElementConcept!I89)=9,"1","0")</f>
        <v>0</v>
      </c>
      <c r="M109" s="11" t="str">
        <f>IF(OsirisDataElementConcept!G89="String","string",IF(OsirisDataElementConcept!G89="Date","date",IF(OsirisDataElementConcept!G89="Integer","integer",OsirisDataElementConcept!G89)))</f>
        <v>string</v>
      </c>
    </row>
    <row r="110" spans="4:13" x14ac:dyDescent="0.75">
      <c r="D110" s="11" t="str">
        <f>OsirisDataElementConcept!C110</f>
        <v>Annotation_ReferenceType</v>
      </c>
      <c r="H110" s="11" t="str">
        <f>OsirisDataElementConcept!$A$90</f>
        <v>GenomeEntity</v>
      </c>
      <c r="I110" s="61" t="str">
        <f>OsirisDataElementConcept!$A$90</f>
        <v>GenomeEntity</v>
      </c>
      <c r="J110" s="61" t="str">
        <f>OsirisDataElementConcept!$A$90</f>
        <v>GenomeEntity</v>
      </c>
      <c r="K110" s="61" t="str">
        <f>OsirisDataElementConcept!$A$90</f>
        <v>GenomeEntity</v>
      </c>
      <c r="L110" s="62">
        <v>1</v>
      </c>
      <c r="M110" s="63" t="s">
        <v>2</v>
      </c>
    </row>
    <row r="111" spans="4:13" ht="44.25" x14ac:dyDescent="0.75">
      <c r="D111" s="11" t="str">
        <f>OsirisDataElementConcept!C111</f>
        <v>Annotation_ReferenceDatabase</v>
      </c>
      <c r="H111" s="11" t="str">
        <f>OsirisDataElementConcept!A91</f>
        <v>GenomeEntity</v>
      </c>
      <c r="I111" s="11" t="str">
        <f>SUBSTITUTE(OsirisDataElementConcept!C90,"_",".")</f>
        <v>GenomeEntity.Type</v>
      </c>
      <c r="J111" s="11" t="str">
        <f>OsirisDataElementConcept!D90&amp;" ["&amp;OsirisDataElementConcept!L90&amp;"]"</f>
        <v>Type [O24]</v>
      </c>
      <c r="K111" s="1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60" t="str">
        <f>IF(LEN(OsirisDataElementConcept!I90)=9,"1","0")</f>
        <v>1</v>
      </c>
      <c r="M111" s="11" t="str">
        <f>IF(OsirisDataElementConcept!G90="String","string",IF(OsirisDataElementConcept!G90="Date","date",IF(OsirisDataElementConcept!G90="Integer","integer",OsirisDataElementConcept!G90)))</f>
        <v>string</v>
      </c>
    </row>
    <row r="112" spans="4:13" ht="44.25" x14ac:dyDescent="0.75">
      <c r="D112" s="11" t="str">
        <f>OsirisDataElementConcept!C112</f>
        <v>Annotation_ReferenceValue</v>
      </c>
      <c r="H112" s="11" t="str">
        <f>OsirisDataElementConcept!A92</f>
        <v>GenomeEntity</v>
      </c>
      <c r="I112" s="11" t="str">
        <f>SUBSTITUTE(OsirisDataElementConcept!C91,"_",".")</f>
        <v>GenomeEntity.Database</v>
      </c>
      <c r="J112" s="11" t="str">
        <f>OsirisDataElementConcept!D91&amp;" ["&amp;OsirisDataElementConcept!L91&amp;"]"</f>
        <v>Database [O25]</v>
      </c>
      <c r="K112" s="1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60" t="str">
        <f>IF(LEN(OsirisDataElementConcept!I91)=9,"1","0")</f>
        <v>1</v>
      </c>
      <c r="M112" s="11" t="str">
        <f>IF(OsirisDataElementConcept!G91="String","string",IF(OsirisDataElementConcept!G91="Date","date",IF(OsirisDataElementConcept!G91="Integer","integer",OsirisDataElementConcept!G91)))</f>
        <v>string</v>
      </c>
    </row>
    <row r="113" spans="4:15" ht="29.5" x14ac:dyDescent="0.75">
      <c r="D113" s="11" t="str">
        <f>OsirisDataElementConcept!C113</f>
        <v>Annotation_MutationPredictionAlgorithm</v>
      </c>
      <c r="H113" s="11" t="str">
        <f>OsirisDataElementConcept!A93</f>
        <v>GenomeEntity</v>
      </c>
      <c r="I113" s="11" t="str">
        <f>SUBSTITUTE(OsirisDataElementConcept!C92,"_",".")</f>
        <v>GenomeEntity.Id</v>
      </c>
      <c r="J113" s="11" t="str">
        <f>OsirisDataElementConcept!D92&amp;" ["&amp;OsirisDataElementConcept!L92&amp;"]"</f>
        <v>Id [O26]</v>
      </c>
      <c r="K113" s="1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60" t="str">
        <f>IF(LEN(OsirisDataElementConcept!I92)=9,"1","0")</f>
        <v>1</v>
      </c>
      <c r="M113" s="11" t="str">
        <f>IF(OsirisDataElementConcept!G92="String","string",IF(OsirisDataElementConcept!G92="Date","date",IF(OsirisDataElementConcept!G92="Integer","integer",OsirisDataElementConcept!G92)))</f>
        <v>string</v>
      </c>
    </row>
    <row r="114" spans="4:15" ht="29.5" x14ac:dyDescent="0.75">
      <c r="D114" s="11" t="str">
        <f>OsirisDataElementConcept!C114</f>
        <v>Annotation_MutationPredictionValue</v>
      </c>
      <c r="I114" s="11" t="str">
        <f>SUBSTITUTE(OsirisDataElementConcept!C93,"_",".")</f>
        <v>GenomeEntity.Symbol</v>
      </c>
      <c r="J114" s="11" t="str">
        <f>OsirisDataElementConcept!D93&amp;" ["&amp;OsirisDataElementConcept!L93&amp;"]"</f>
        <v>Symbol [O27]</v>
      </c>
      <c r="K114" s="1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60" t="str">
        <f>IF(LEN(OsirisDataElementConcept!I93)=9,"1","0")</f>
        <v>0</v>
      </c>
      <c r="M114" s="11" t="str">
        <f>IF(OsirisDataElementConcept!G93="String","string",IF(OsirisDataElementConcept!G93="Date","date",IF(OsirisDataElementConcept!G93="Integer","integer",OsirisDataElementConcept!G93)))</f>
        <v>string</v>
      </c>
    </row>
    <row r="115" spans="4:15" x14ac:dyDescent="0.75">
      <c r="D115" s="11" t="str">
        <f>OsirisDataElementConcept!C115</f>
        <v>Annotation_MutationPredictionScore</v>
      </c>
      <c r="H115" s="11" t="str">
        <f>OsirisDataElementConcept!$A$94</f>
        <v>Fusion</v>
      </c>
      <c r="I115" s="61" t="str">
        <f>OsirisDataElementConcept!$A$94</f>
        <v>Fusion</v>
      </c>
      <c r="J115" s="61" t="str">
        <f>OsirisDataElementConcept!$A$94</f>
        <v>Fusion</v>
      </c>
      <c r="K115" s="61" t="str">
        <f>OsirisDataElementConcept!$A$94</f>
        <v>Fusion</v>
      </c>
      <c r="L115" s="62">
        <v>1</v>
      </c>
      <c r="M115" s="63" t="s">
        <v>2</v>
      </c>
    </row>
    <row r="116" spans="4:15" ht="44.25" x14ac:dyDescent="0.75">
      <c r="D116" s="11" t="str">
        <f>OsirisDataElementConcept!C116</f>
        <v>Annotation_PfamDomain</v>
      </c>
      <c r="H116" s="11" t="str">
        <f>OsirisDataElementConcept!A96</f>
        <v>Fusion</v>
      </c>
      <c r="I116" s="11" t="str">
        <f>SUBSTITUTE(OsirisDataElementConcept!C94,"_",".")</f>
        <v>Fusion.Type</v>
      </c>
      <c r="J116" s="11" t="str">
        <f>OsirisDataElementConcept!D94&amp;" ["&amp;OsirisDataElementConcept!L94&amp;"]"</f>
        <v>Type [O28]</v>
      </c>
      <c r="K116" s="1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60" t="str">
        <f>IF(LEN(OsirisDataElementConcept!I94)=9,"1","0")</f>
        <v>0</v>
      </c>
      <c r="M116" s="11" t="str">
        <f>IF(OsirisDataElementConcept!G94="String","string",IF(OsirisDataElementConcept!G94="Date","date",IF(OsirisDataElementConcept!G94="Float","decimal",IF(OsirisDataElementConcept!G94="Integer","integer",OsirisDataElementConcept!G94))))</f>
        <v>string</v>
      </c>
    </row>
    <row r="117" spans="4:15" ht="29.5" x14ac:dyDescent="0.75">
      <c r="D117" s="11" t="str">
        <f>OsirisDataElementConcept!C117</f>
        <v>Annotation_PfamId</v>
      </c>
      <c r="H117" s="11" t="str">
        <f>OsirisDataElementConcept!A97</f>
        <v>Fusion</v>
      </c>
      <c r="I117" s="11" t="str">
        <f>SUBSTITUTE(OsirisDataElementConcept!C95,"_",".")</f>
        <v>Fusion.Point5prime</v>
      </c>
      <c r="J117" s="11" t="str">
        <f>OsirisDataElementConcept!D95&amp;" ["&amp;OsirisDataElementConcept!L95&amp;"]"</f>
        <v>Point 5 prime [O35]</v>
      </c>
      <c r="K117" s="1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60" t="str">
        <f>IF(LEN(OsirisDataElementConcept!I95)=9,"1","0")</f>
        <v>1</v>
      </c>
      <c r="M117" s="11" t="str">
        <f>IF(OsirisDataElementConcept!G95="String","string",IF(OsirisDataElementConcept!G95="Date","date",IF(OsirisDataElementConcept!G95="Float","decimal",IF(OsirisDataElementConcept!G95="Integer","integer",OsirisDataElementConcept!G95))))</f>
        <v>integer</v>
      </c>
    </row>
    <row r="118" spans="4:15" ht="44.25" x14ac:dyDescent="0.75">
      <c r="D118" s="11" t="str">
        <f>OsirisDataElementConcept!C118</f>
        <v>Annotation_DNARegionName</v>
      </c>
      <c r="H118" s="11" t="str">
        <f>OsirisDataElementConcept!A98</f>
        <v>Fusion</v>
      </c>
      <c r="I118" s="11" t="str">
        <f>SUBSTITUTE(OsirisDataElementConcept!C96,"_",".")</f>
        <v>Fusion.Chromosome5prime</v>
      </c>
      <c r="J118" s="11" t="str">
        <f>OsirisDataElementConcept!D96&amp;" ["&amp;OsirisDataElementConcept!L96&amp;"]"</f>
        <v>Chromosome 5 prime [O97]</v>
      </c>
      <c r="K118" s="1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60" t="str">
        <f>IF(LEN(OsirisDataElementConcept!I96)=9,"1","0")</f>
        <v>1</v>
      </c>
      <c r="M118" s="11" t="str">
        <f>IF(OsirisDataElementConcept!G96="String","string",IF(OsirisDataElementConcept!G96="Date","date",IF(OsirisDataElementConcept!G96="Float","decimal",IF(OsirisDataElementConcept!G96="Integer","integer",OsirisDataElementConcept!G96))))</f>
        <v>string</v>
      </c>
    </row>
    <row r="119" spans="4:15" ht="29.5" x14ac:dyDescent="0.75">
      <c r="D119" s="11" t="str">
        <f>OsirisDataElementConcept!C119</f>
        <v>Annotation_DNASequenceVariation</v>
      </c>
      <c r="H119" s="11" t="str">
        <f>OsirisDataElementConcept!A99</f>
        <v>Fusion</v>
      </c>
      <c r="I119" s="11" t="str">
        <f>SUBSTITUTE(OsirisDataElementConcept!C97,"_",".")</f>
        <v>Fusion.Point3prime</v>
      </c>
      <c r="J119" s="11" t="str">
        <f>OsirisDataElementConcept!D97&amp;" ["&amp;OsirisDataElementConcept!L97&amp;"]"</f>
        <v>Point 3 prime [O40]</v>
      </c>
      <c r="K119" s="1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60" t="str">
        <f>IF(LEN(OsirisDataElementConcept!I97)=9,"1","0")</f>
        <v>1</v>
      </c>
      <c r="M119" s="11" t="str">
        <f>IF(OsirisDataElementConcept!G97="String","string",IF(OsirisDataElementConcept!G97="Date","date",IF(OsirisDataElementConcept!G97="Float","decimal",IF(OsirisDataElementConcept!G97="Integer","integer",OsirisDataElementConcept!G97))))</f>
        <v>integer</v>
      </c>
    </row>
    <row r="120" spans="4:15" ht="44.25" x14ac:dyDescent="0.75">
      <c r="D120" s="11" t="str">
        <f>OsirisDataElementConcept!C120</f>
        <v>Annotation_AminoAcidChange</v>
      </c>
      <c r="H120" s="11" t="str">
        <f>OsirisDataElementConcept!A100</f>
        <v>Fusion</v>
      </c>
      <c r="I120" s="11" t="str">
        <f>SUBSTITUTE(OsirisDataElementConcept!C98,"_",".")</f>
        <v>Fusion.Chromosome3prime</v>
      </c>
      <c r="J120" s="11" t="str">
        <f>OsirisDataElementConcept!D98&amp;" ["&amp;OsirisDataElementConcept!L98&amp;"]"</f>
        <v>Chromosome 3 prime [O98]</v>
      </c>
      <c r="K120" s="1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60" t="str">
        <f>IF(LEN(OsirisDataElementConcept!I98)=9,"1","0")</f>
        <v>1</v>
      </c>
      <c r="M120" s="11" t="str">
        <f>IF(OsirisDataElementConcept!G98="String","string",IF(OsirisDataElementConcept!G98="Date","date",IF(OsirisDataElementConcept!G98="Float","decimal",IF(OsirisDataElementConcept!G98="Integer","integer",OsirisDataElementConcept!G98))))</f>
        <v>string</v>
      </c>
    </row>
    <row r="121" spans="4:15" ht="44.25" x14ac:dyDescent="0.75">
      <c r="D121" s="11" t="str">
        <f>OsirisDataElementConcept!C121</f>
        <v>Annotation_GenomicSequenceVariation</v>
      </c>
      <c r="H121" s="11" t="str">
        <f>OsirisDataElementConcept!A101</f>
        <v>Fusion</v>
      </c>
      <c r="I121" s="11" t="str">
        <f>SUBSTITUTE(OsirisDataElementConcept!C99,"_",".")</f>
        <v>Fusion.InFrame</v>
      </c>
      <c r="J121" s="11" t="str">
        <f>OsirisDataElementConcept!D99&amp;" ["&amp;OsirisDataElementConcept!L99&amp;"]"</f>
        <v>In Frame [O41]</v>
      </c>
      <c r="K121" s="1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60" t="str">
        <f>IF(LEN(OsirisDataElementConcept!I99)=9,"1","0")</f>
        <v>0</v>
      </c>
      <c r="M121" s="1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s="11" t="str">
        <f>OsirisDataElementConcept!C122</f>
        <v>Annotation_RNASequenceVariation</v>
      </c>
      <c r="I122" s="11" t="str">
        <f>SUBSTITUTE(OsirisDataElementConcept!C100,"_",".")</f>
        <v>Fusion.NbSpanningPair</v>
      </c>
      <c r="J122" s="11" t="str">
        <f>OsirisDataElementConcept!D100&amp;" ["&amp;OsirisDataElementConcept!L100&amp;"]"</f>
        <v>Nb Spanning Pair [O44]</v>
      </c>
      <c r="K122" s="1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60" t="str">
        <f>IF(LEN(OsirisDataElementConcept!I100)=9,"1","0")</f>
        <v>1</v>
      </c>
      <c r="M122" s="11" t="str">
        <f>IF(OsirisDataElementConcept!G100="String","string",IF(OsirisDataElementConcept!G100="Date","date",IF(OsirisDataElementConcept!G100="Float","decimal",IF(OsirisDataElementConcept!G100="Integer","integer",OsirisDataElementConcept!G100))))</f>
        <v>integer</v>
      </c>
    </row>
    <row r="123" spans="4:15" ht="29.5" x14ac:dyDescent="0.75">
      <c r="D123" s="11" t="str">
        <f>OsirisDataElementConcept!C123</f>
        <v>Annotation_AminoAcidChangeType</v>
      </c>
      <c r="H123" s="11" t="str">
        <f>OsirisDataElementConcept!A103</f>
        <v>CNV</v>
      </c>
      <c r="I123" s="11" t="str">
        <f>SUBSTITUTE(OsirisDataElementConcept!C101,"_",".")</f>
        <v>Fusion.NbSplitReads</v>
      </c>
      <c r="J123" s="11" t="str">
        <f>OsirisDataElementConcept!D101&amp;" ["&amp;OsirisDataElementConcept!L101&amp;"]"</f>
        <v>Nb Split Reads [O46]</v>
      </c>
      <c r="K123" s="1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60" t="str">
        <f>IF(LEN(OsirisDataElementConcept!I101)=9,"1","0")</f>
        <v>0</v>
      </c>
      <c r="M123" s="11" t="str">
        <f>IF(OsirisDataElementConcept!G101="String","string",IF(OsirisDataElementConcept!G101="Date","date",IF(OsirisDataElementConcept!G101="Float","decimal",IF(OsirisDataElementConcept!G101="Integer","integer",OsirisDataElementConcept!G101))))</f>
        <v>integer</v>
      </c>
    </row>
    <row r="124" spans="4:15" x14ac:dyDescent="0.75">
      <c r="D124" s="11" t="str">
        <f>OsirisDataElementConcept!C124</f>
        <v>Annotation_FusionPrimeEnd</v>
      </c>
      <c r="H124" s="11" t="str">
        <f>OsirisDataElementConcept!$A$102</f>
        <v>CNV</v>
      </c>
      <c r="I124" s="61" t="str">
        <f>OsirisDataElementConcept!$A$102</f>
        <v>CNV</v>
      </c>
      <c r="J124" s="61" t="str">
        <f>OsirisDataElementConcept!$A$102</f>
        <v>CNV</v>
      </c>
      <c r="K124" s="61" t="str">
        <f>OsirisDataElementConcept!$A$102</f>
        <v>CNV</v>
      </c>
      <c r="L124" s="62">
        <v>1</v>
      </c>
      <c r="M124" s="63" t="s">
        <v>2</v>
      </c>
    </row>
    <row r="125" spans="4:15" ht="29.5" x14ac:dyDescent="0.75">
      <c r="D125" s="11" t="str">
        <f>OsirisDataElementConcept!C125</f>
        <v>Annotation_Strand</v>
      </c>
      <c r="H125" s="11" t="str">
        <f>OsirisDataElementConcept!A105</f>
        <v>CNV</v>
      </c>
      <c r="I125" s="11" t="str">
        <f>SUBSTITUTE(OsirisDataElementConcept!C102,"_",".")</f>
        <v>CNV.SegmentIntensity</v>
      </c>
      <c r="J125" s="11" t="str">
        <f>OsirisDataElementConcept!D102&amp;" ["&amp;OsirisDataElementConcept!L102&amp;"]"</f>
        <v>Segment Intensity [O47]</v>
      </c>
      <c r="K125" s="1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60" t="str">
        <f>IF(LEN(OsirisDataElementConcept!I102)=9,"1","0")</f>
        <v>1</v>
      </c>
      <c r="M125" s="11" t="str">
        <f>IF(OsirisDataElementConcept!G102="String","string",IF(OsirisDataElementConcept!G102="Date","date",IF(OsirisDataElementConcept!G102="Float","decimal",IF(OsirisDataElementConcept!G102="Integer","integer",OsirisDataElementConcept!G102))))</f>
        <v>decimal</v>
      </c>
    </row>
    <row r="126" spans="4:15" ht="44.25" x14ac:dyDescent="0.75">
      <c r="D126" s="11" t="str">
        <f>OsirisDataElementConcept!C126</f>
        <v>Annotation_OnSplicingSite</v>
      </c>
      <c r="H126" s="11" t="str">
        <f>OsirisDataElementConcept!A106</f>
        <v>CNV</v>
      </c>
      <c r="I126" s="11" t="str">
        <f>SUBSTITUTE(OsirisDataElementConcept!C103,"_",".")</f>
        <v>CNV.SegmentGenomicStatus</v>
      </c>
      <c r="J126" s="11" t="str">
        <f>OsirisDataElementConcept!D103&amp;" ["&amp;OsirisDataElementConcept!L103&amp;"]"</f>
        <v>Segment Genomic Status [O49]</v>
      </c>
      <c r="K126" s="1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60" t="str">
        <f>IF(LEN(OsirisDataElementConcept!I103)=9,"1","0")</f>
        <v>1</v>
      </c>
      <c r="M126" s="11" t="str">
        <f>IF(OsirisDataElementConcept!G103="String","string",IF(OsirisDataElementConcept!G103="Date","date",IF(OsirisDataElementConcept!G103="Float","decimal",IF(OsirisDataElementConcept!G103="Integer","integer",OsirisDataElementConcept!G103))))</f>
        <v>string</v>
      </c>
    </row>
    <row r="127" spans="4:15" ht="29.5" x14ac:dyDescent="0.75">
      <c r="D127" s="11" t="str">
        <f>OsirisDataElementConcept!C127</f>
        <v>VariantInSample_PositionReadDepth</v>
      </c>
      <c r="H127" s="11" t="str">
        <f>OsirisDataElementConcept!A107</f>
        <v>Variant</v>
      </c>
      <c r="I127" s="11" t="str">
        <f>SUBSTITUTE(OsirisDataElementConcept!C104,"_",".")</f>
        <v>CNV.CopyNumber</v>
      </c>
      <c r="J127" s="11" t="str">
        <f>OsirisDataElementConcept!D104&amp;" ["&amp;OsirisDataElementConcept!L104&amp;"]"</f>
        <v>Copy Number [O50]</v>
      </c>
      <c r="K127" s="1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60" t="str">
        <f>IF(LEN(OsirisDataElementConcept!I104)=9,"1","0")</f>
        <v>0</v>
      </c>
      <c r="M127" s="11" t="str">
        <f>IF(OsirisDataElementConcept!G104="String","string",IF(OsirisDataElementConcept!G104="Date","date",IF(OsirisDataElementConcept!G104="Float","decimal",IF(OsirisDataElementConcept!G104="Integer","integer",OsirisDataElementConcept!G104))))</f>
        <v>integer</v>
      </c>
    </row>
    <row r="128" spans="4:15" ht="59" x14ac:dyDescent="0.75">
      <c r="D128" s="11" t="str">
        <f>OsirisDataElementConcept!C128</f>
        <v>VariantInSample_VariantReadDepth</v>
      </c>
      <c r="I128" s="11" t="str">
        <f>SUBSTITUTE(OsirisDataElementConcept!C105,"_",".")</f>
        <v>CNV.LOH</v>
      </c>
      <c r="J128" s="11" t="str">
        <f>OsirisDataElementConcept!D105&amp;" ["&amp;OsirisDataElementConcept!L105&amp;"]"</f>
        <v>LOH [O51]</v>
      </c>
      <c r="K128" s="1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60" t="str">
        <f>IF(LEN(OsirisDataElementConcept!I105)=9,"1","0")</f>
        <v>0</v>
      </c>
      <c r="M128" s="11" t="str">
        <f>IF(OsirisDataElementConcept!G105="String","string",IF(OsirisDataElementConcept!G105="Date","date",IF(OsirisDataElementConcept!G105="Float","decimal",IF(OsirisDataElementConcept!G105="Integer","integer",OsirisDataElementConcept!G105))))</f>
        <v>string</v>
      </c>
    </row>
    <row r="129" spans="4:15" ht="29.5" x14ac:dyDescent="0.75">
      <c r="D129" s="11" t="str">
        <f>OsirisDataElementConcept!C129</f>
        <v>VariantInSample_StrandBias</v>
      </c>
      <c r="I129" s="11" t="str">
        <f>SUBSTITUTE(OsirisDataElementConcept!C106,"_",".")</f>
        <v>CNV.SegmentSize</v>
      </c>
      <c r="J129" s="11" t="str">
        <f>OsirisDataElementConcept!D106&amp;" ["&amp;OsirisDataElementConcept!L106&amp;"]"</f>
        <v>SegmentSize []</v>
      </c>
      <c r="K129" s="1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60" t="str">
        <f>IF(LEN(OsirisDataElementConcept!I106)=9,"1","0")</f>
        <v>0</v>
      </c>
      <c r="M129" s="11" t="str">
        <f>IF(OsirisDataElementConcept!G106="String","string",IF(OsirisDataElementConcept!G106="Date","date",IF(OsirisDataElementConcept!G106="Float","decimal",IF(OsirisDataElementConcept!G106="Integer","integer",OsirisDataElementConcept!G106))))</f>
        <v>integer</v>
      </c>
    </row>
    <row r="130" spans="4:15" x14ac:dyDescent="0.75">
      <c r="D130" s="11" t="str">
        <f>OsirisDataElementConcept!C130</f>
        <v>VariantInSample_GenomicSourceClass</v>
      </c>
      <c r="H130" s="11" t="str">
        <f>OsirisDataElementConcept!$A$109</f>
        <v>Variant</v>
      </c>
      <c r="I130" s="61" t="str">
        <f>OsirisDataElementConcept!$A$109</f>
        <v>Variant</v>
      </c>
      <c r="J130" s="61" t="str">
        <f>OsirisDataElementConcept!$A$109</f>
        <v>Variant</v>
      </c>
      <c r="K130" s="61" t="str">
        <f>OsirisDataElementConcept!$A$109</f>
        <v>Variant</v>
      </c>
      <c r="L130" s="62">
        <v>1</v>
      </c>
      <c r="M130" s="63" t="s">
        <v>2</v>
      </c>
    </row>
    <row r="131" spans="4:15" ht="44.25" x14ac:dyDescent="0.75">
      <c r="D131" s="11" t="str">
        <f>OsirisDataElementConcept!C131</f>
        <v>VariantInSample_AllelicState</v>
      </c>
      <c r="H131" s="11" t="str">
        <f>OsirisDataElementConcept!A108</f>
        <v>Variant</v>
      </c>
      <c r="I131" s="11" t="str">
        <f>SUBSTITUTE(OsirisDataElementConcept!C107,"_",".")</f>
        <v>Variant.ReferenceAllele</v>
      </c>
      <c r="J131" s="11" t="str">
        <f>OsirisDataElementConcept!D107&amp;" ["&amp;OsirisDataElementConcept!L107&amp;"]"</f>
        <v>Reference Allele [O53]</v>
      </c>
      <c r="K131" s="1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60" t="str">
        <f>IF(LEN(OsirisDataElementConcept!I107)=9,"1","0")</f>
        <v>1</v>
      </c>
      <c r="M131" s="11" t="str">
        <f>IF(OsirisDataElementConcept!G107="String","string",IF(OsirisDataElementConcept!G107="Date","date",IF(OsirisDataElementConcept!G107="Float","decimal",IF(OsirisDataElementConcept!G107="Integer","integer",OsirisDataElementConcept!G107))))</f>
        <v>string</v>
      </c>
    </row>
    <row r="132" spans="4:15" ht="44.25" x14ac:dyDescent="0.75">
      <c r="D132" s="11" t="str">
        <f>OsirisDataElementConcept!C132</f>
        <v>GeneExpression_DataType</v>
      </c>
      <c r="H132" s="11" t="str">
        <f>OsirisDataElementConcept!A109</f>
        <v>Variant</v>
      </c>
      <c r="I132" s="11" t="str">
        <f>SUBSTITUTE(OsirisDataElementConcept!C108,"_",".")</f>
        <v>Variant.AlternativeAllele</v>
      </c>
      <c r="J132" s="11" t="str">
        <f>OsirisDataElementConcept!D108&amp;" ["&amp;OsirisDataElementConcept!L108&amp;"]"</f>
        <v>Alternative Allele [O54]</v>
      </c>
      <c r="K132" s="1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60" t="str">
        <f>IF(LEN(OsirisDataElementConcept!I108)=9,"1","0")</f>
        <v>1</v>
      </c>
      <c r="M132" s="11" t="str">
        <f>IF(OsirisDataElementConcept!G108="String","string",IF(OsirisDataElementConcept!G108="Date","date",IF(OsirisDataElementConcept!G108="Float","decimal",IF(OsirisDataElementConcept!G108="Integer","integer",OsirisDataElementConcept!G108))))</f>
        <v>string</v>
      </c>
    </row>
    <row r="133" spans="4:15" ht="44.25" x14ac:dyDescent="0.75">
      <c r="D133" s="11" t="str">
        <f>OsirisDataElementConcept!C133</f>
        <v>GeneExpression_Value</v>
      </c>
      <c r="H133" s="11" t="str">
        <f>OsirisDataElementConcept!A110</f>
        <v>Annotation</v>
      </c>
      <c r="I133" s="11" t="str">
        <f>SUBSTITUTE(OsirisDataElementConcept!C109,"_",".")</f>
        <v>Variant.DNASequenceVariationType</v>
      </c>
      <c r="J133" s="11" t="str">
        <f>OsirisDataElementConcept!D109&amp;" ["&amp;OsirisDataElementConcept!L109&amp;"]"</f>
        <v>DNA Sequence Variation Type [O55]</v>
      </c>
      <c r="K133" s="1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60" t="str">
        <f>IF(LEN(OsirisDataElementConcept!I109)=9,"1","0")</f>
        <v>1</v>
      </c>
      <c r="M133" s="11" t="str">
        <f>IF(OsirisDataElementConcept!G109="String","string",IF(OsirisDataElementConcept!G109="Date","date",IF(OsirisDataElementConcept!G109="Float","decimal",IF(OsirisDataElementConcept!G109="Integer","integer",OsirisDataElementConcept!G109))))</f>
        <v>string</v>
      </c>
    </row>
    <row r="134" spans="4:15" x14ac:dyDescent="0.75">
      <c r="D134" s="11" t="str">
        <f>OsirisDataElementConcept!C134</f>
        <v>Equipment_ModelName</v>
      </c>
      <c r="H134" s="11" t="str">
        <f>OsirisDataElementConcept!$A$111</f>
        <v>Annotation</v>
      </c>
      <c r="I134" s="61" t="str">
        <f>OsirisDataElementConcept!$A$111</f>
        <v>Annotation</v>
      </c>
      <c r="J134" s="61" t="str">
        <f>OsirisDataElementConcept!$A$111</f>
        <v>Annotation</v>
      </c>
      <c r="K134" s="61" t="str">
        <f>OsirisDataElementConcept!$A$111</f>
        <v>Annotation</v>
      </c>
      <c r="L134" s="62">
        <v>0</v>
      </c>
      <c r="M134" s="63" t="s">
        <v>2</v>
      </c>
    </row>
    <row r="135" spans="4:15" ht="44.25" x14ac:dyDescent="0.75">
      <c r="D135" s="11" t="str">
        <f>OsirisDataElementConcept!C135</f>
        <v>Equipment_Manufacturer</v>
      </c>
      <c r="H135" s="11" t="str">
        <f>OsirisDataElementConcept!A112</f>
        <v>Annotation</v>
      </c>
      <c r="I135" s="11" t="str">
        <f>SUBSTITUTE(OsirisDataElementConcept!C110,"_",".")</f>
        <v>Annotation.ReferenceType</v>
      </c>
      <c r="J135" s="11" t="str">
        <f>OsirisDataElementConcept!D110&amp;" ["&amp;OsirisDataElementConcept!L110&amp;"]"</f>
        <v>Reference Type [O90]</v>
      </c>
      <c r="K135" s="1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60" t="str">
        <f>IF(LEN(OsirisDataElementConcept!I110)=9,"1","0")</f>
        <v>0</v>
      </c>
      <c r="M135" s="11" t="str">
        <f>IF(OsirisDataElementConcept!G110="String","string",IF(OsirisDataElementConcept!G110="Date","date",IF(OsirisDataElementConcept!G110="Float","decimal",IF(OsirisDataElementConcept!G110="Integer","integer",OsirisDataElementConcept!G110))))</f>
        <v>string</v>
      </c>
    </row>
    <row r="136" spans="4:15" ht="44.25" x14ac:dyDescent="0.75">
      <c r="D136" s="11" t="str">
        <f>OsirisDataElementConcept!C136</f>
        <v>Study_StudyInstanceUID</v>
      </c>
      <c r="H136" s="11" t="str">
        <f>OsirisDataElementConcept!A113</f>
        <v>Annotation</v>
      </c>
      <c r="I136" s="11" t="str">
        <f>SUBSTITUTE(OsirisDataElementConcept!C111,"_",".")</f>
        <v>Annotation.ReferenceDatabase</v>
      </c>
      <c r="J136" s="11" t="str">
        <f>OsirisDataElementConcept!D111&amp;" ["&amp;OsirisDataElementConcept!L111&amp;"]"</f>
        <v>Reference Database [O91]</v>
      </c>
      <c r="K136" s="1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60" t="str">
        <f>IF(LEN(OsirisDataElementConcept!I111)=9,"1","0")</f>
        <v>0</v>
      </c>
      <c r="M136" s="11" t="str">
        <f>IF(OsirisDataElementConcept!G111="String","string",IF(OsirisDataElementConcept!G111="Date","date",IF(OsirisDataElementConcept!G111="Float","decimal",IF(OsirisDataElementConcept!G111="Integer","integer",OsirisDataElementConcept!G111))))</f>
        <v>string</v>
      </c>
    </row>
    <row r="137" spans="4:15" ht="29.5" x14ac:dyDescent="0.75">
      <c r="D137" s="11" t="str">
        <f>OsirisDataElementConcept!C137</f>
        <v>Study_StudyDescription</v>
      </c>
      <c r="H137" s="11" t="str">
        <f>OsirisDataElementConcept!A114</f>
        <v>Annotation</v>
      </c>
      <c r="I137" s="11" t="str">
        <f>SUBSTITUTE(OsirisDataElementConcept!C112,"_",".")</f>
        <v>Annotation.ReferenceValue</v>
      </c>
      <c r="J137" s="11" t="str">
        <f>OsirisDataElementConcept!D112&amp;" ["&amp;OsirisDataElementConcept!L112&amp;"]"</f>
        <v>Reference Value [O92]</v>
      </c>
      <c r="K137" s="1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60" t="str">
        <f>IF(LEN(OsirisDataElementConcept!I112)=9,"1","0")</f>
        <v>0</v>
      </c>
      <c r="M137" s="11"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s="11" t="str">
        <f>OsirisDataElementConcept!C138</f>
        <v>Study_AcquisitionDate</v>
      </c>
      <c r="H138" s="11" t="str">
        <f>OsirisDataElementConcept!A115</f>
        <v>Annotation</v>
      </c>
      <c r="I138" s="11" t="str">
        <f>SUBSTITUTE(OsirisDataElementConcept!C113,"_",".")</f>
        <v>Annotation.MutationPredictionAlgorithm</v>
      </c>
      <c r="J138" s="11" t="str">
        <f>OsirisDataElementConcept!D113&amp;" ["&amp;OsirisDataElementConcept!L113&amp;"]"</f>
        <v>Mutation Prediction Algorithm [O63]</v>
      </c>
      <c r="K138" s="1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60" t="str">
        <f>IF(LEN(OsirisDataElementConcept!I113)=9,"1","0")</f>
        <v>0</v>
      </c>
      <c r="M138" s="11" t="str">
        <f>IF(OsirisDataElementConcept!G113="String","string",IF(OsirisDataElementConcept!G113="Date","date",IF(OsirisDataElementConcept!G113="Float","decimal",IF(OsirisDataElementConcept!G113="Integer","integer",OsirisDataElementConcept!G113))))</f>
        <v>string</v>
      </c>
    </row>
    <row r="139" spans="4:15" ht="29.5" x14ac:dyDescent="0.75">
      <c r="D139" s="11" t="str">
        <f>OsirisDataElementConcept!C139</f>
        <v>Study_Location</v>
      </c>
      <c r="H139" s="11" t="str">
        <f>OsirisDataElementConcept!A116</f>
        <v>Annotation</v>
      </c>
      <c r="I139" s="11" t="str">
        <f>SUBSTITUTE(OsirisDataElementConcept!C114,"_",".")</f>
        <v>Annotation.MutationPredictionValue</v>
      </c>
      <c r="J139" s="11" t="str">
        <f>OsirisDataElementConcept!D114&amp;" ["&amp;OsirisDataElementConcept!L114&amp;"]"</f>
        <v>Mutation Prediction Value [O64]</v>
      </c>
      <c r="K139" s="1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60" t="str">
        <f>IF(LEN(OsirisDataElementConcept!I114)=9,"1","0")</f>
        <v>0</v>
      </c>
      <c r="M139" s="11" t="str">
        <f>IF(OsirisDataElementConcept!G114="String","string",IF(OsirisDataElementConcept!G114="Date","date",IF(OsirisDataElementConcept!G114="Float","decimal",IF(OsirisDataElementConcept!G114="Integer","integer",OsirisDataElementConcept!G114))))</f>
        <v>string</v>
      </c>
    </row>
    <row r="140" spans="4:15" ht="44.25" x14ac:dyDescent="0.75">
      <c r="D140" s="11" t="str">
        <f>OsirisDataElementConcept!C140</f>
        <v>Study_InstitutionName</v>
      </c>
      <c r="H140" s="11" t="str">
        <f>OsirisDataElementConcept!A117</f>
        <v>Annotation</v>
      </c>
      <c r="I140" s="11" t="str">
        <f>SUBSTITUTE(OsirisDataElementConcept!C115,"_",".")</f>
        <v>Annotation.MutationPredictionScore</v>
      </c>
      <c r="J140" s="11" t="str">
        <f>OsirisDataElementConcept!D115&amp;" ["&amp;OsirisDataElementConcept!L115&amp;"]"</f>
        <v>Mutation Prediction Score [O65]</v>
      </c>
      <c r="K140" s="1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60" t="str">
        <f>IF(LEN(OsirisDataElementConcept!I115)=9,"1","0")</f>
        <v>0</v>
      </c>
      <c r="M140" s="11" t="str">
        <f>IF(OsirisDataElementConcept!G115="String","string",IF(OsirisDataElementConcept!G115="Date","date",IF(OsirisDataElementConcept!G115="Float","decimal",IF(OsirisDataElementConcept!G115="Integer","integer",OsirisDataElementConcept!G115))))</f>
        <v>decimal</v>
      </c>
    </row>
    <row r="141" spans="4:15" ht="29.5" x14ac:dyDescent="0.75">
      <c r="D141" s="11" t="str">
        <f>OsirisDataElementConcept!C141</f>
        <v>Study_ModalitiesInStudy</v>
      </c>
      <c r="H141" s="11" t="str">
        <f>OsirisDataElementConcept!A118</f>
        <v>Annotation</v>
      </c>
      <c r="I141" s="11" t="str">
        <f>SUBSTITUTE(OsirisDataElementConcept!C116,"_",".")</f>
        <v>Annotation.PfamDomain</v>
      </c>
      <c r="J141" s="11" t="str">
        <f>OsirisDataElementConcept!D116&amp;" ["&amp;OsirisDataElementConcept!L116&amp;"]"</f>
        <v>Pfam Domain [O58]</v>
      </c>
      <c r="K141" s="1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60" t="str">
        <f>IF(LEN(OsirisDataElementConcept!I116)=9,"1","0")</f>
        <v>0</v>
      </c>
      <c r="M141" s="11" t="str">
        <f>IF(OsirisDataElementConcept!G116="String","string",IF(OsirisDataElementConcept!G116="Date","date",IF(OsirisDataElementConcept!G116="Float","decimal",IF(OsirisDataElementConcept!G116="Integer","integer",OsirisDataElementConcept!G116))))</f>
        <v>string</v>
      </c>
    </row>
    <row r="142" spans="4:15" ht="29.5" x14ac:dyDescent="0.75">
      <c r="D142" s="11" t="str">
        <f>OsirisDataElementConcept!C142</f>
        <v>Study_NbStudyRelatedSeries</v>
      </c>
      <c r="H142" s="11" t="str">
        <f>OsirisDataElementConcept!A119</f>
        <v>Annotation</v>
      </c>
      <c r="I142" s="11" t="str">
        <f>SUBSTITUTE(OsirisDataElementConcept!C117,"_",".")</f>
        <v>Annotation.PfamId</v>
      </c>
      <c r="J142" s="11" t="str">
        <f>OsirisDataElementConcept!D117&amp;" ["&amp;OsirisDataElementConcept!L117&amp;"]"</f>
        <v>Pfam Id [O59]</v>
      </c>
      <c r="K142" s="1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60" t="str">
        <f>IF(LEN(OsirisDataElementConcept!I117)=9,"1","0")</f>
        <v>0</v>
      </c>
      <c r="M142" s="11" t="str">
        <f>IF(OsirisDataElementConcept!G117="String","string",IF(OsirisDataElementConcept!G117="Date","date",IF(OsirisDataElementConcept!G117="Float","decimal",IF(OsirisDataElementConcept!G117="Integer","integer",OsirisDataElementConcept!G117))))</f>
        <v>string</v>
      </c>
    </row>
    <row r="143" spans="4:15" ht="44.25" x14ac:dyDescent="0.75">
      <c r="D143" s="11" t="str">
        <f>OsirisDataElementConcept!C143</f>
        <v>Series_SeriesNumber</v>
      </c>
      <c r="H143" s="11" t="str">
        <f>OsirisDataElementConcept!A120</f>
        <v>Annotation</v>
      </c>
      <c r="I143" s="11" t="str">
        <f>SUBSTITUTE(OsirisDataElementConcept!C118,"_",".")</f>
        <v>Annotation.DNARegionName</v>
      </c>
      <c r="J143" s="11" t="str">
        <f>OsirisDataElementConcept!D118&amp;" ["&amp;OsirisDataElementConcept!L118&amp;"]"</f>
        <v>DNA Region Name [O66]</v>
      </c>
      <c r="K143" s="1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60" t="str">
        <f>IF(LEN(OsirisDataElementConcept!I118)=9,"1","0")</f>
        <v>0</v>
      </c>
      <c r="M143" s="11" t="str">
        <f>IF(OsirisDataElementConcept!G118="String","string",IF(OsirisDataElementConcept!G118="Date","date",IF(OsirisDataElementConcept!G118="Float","decimal",IF(OsirisDataElementConcept!G118="Integer","integer",OsirisDataElementConcept!G118))))</f>
        <v>string</v>
      </c>
    </row>
    <row r="144" spans="4:15" ht="29.5" x14ac:dyDescent="0.75">
      <c r="D144" s="11" t="str">
        <f>OsirisDataElementConcept!C144</f>
        <v>Series_SeriesInstanceUID</v>
      </c>
      <c r="H144" s="11" t="str">
        <f>OsirisDataElementConcept!A121</f>
        <v>Annotation</v>
      </c>
      <c r="I144" s="11" t="str">
        <f>SUBSTITUTE(OsirisDataElementConcept!C119,"_",".")</f>
        <v>Annotation.DNASequenceVariation</v>
      </c>
      <c r="J144" s="11" t="str">
        <f>OsirisDataElementConcept!D119&amp;" ["&amp;OsirisDataElementConcept!L119&amp;"]"</f>
        <v>DNA Sequence Variation [O71]</v>
      </c>
      <c r="K144" s="1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60" t="str">
        <f>IF(LEN(OsirisDataElementConcept!I119)=9,"1","0")</f>
        <v>1</v>
      </c>
      <c r="M144" s="11" t="str">
        <f>IF(OsirisDataElementConcept!G119="String","string",IF(OsirisDataElementConcept!G119="Date","date",IF(OsirisDataElementConcept!G119="Float","decimal",IF(OsirisDataElementConcept!G119="Integer","integer",OsirisDataElementConcept!G119))))</f>
        <v>string</v>
      </c>
    </row>
    <row r="145" spans="4:15" ht="29.5" x14ac:dyDescent="0.75">
      <c r="D145" s="11" t="str">
        <f>OsirisDataElementConcept!C145</f>
        <v>Series_Modality</v>
      </c>
      <c r="H145" s="11" t="str">
        <f>OsirisDataElementConcept!A122</f>
        <v>Annotation</v>
      </c>
      <c r="I145" s="11" t="str">
        <f>SUBSTITUTE(OsirisDataElementConcept!C120,"_",".")</f>
        <v>Annotation.AminoAcidChange</v>
      </c>
      <c r="J145" s="11" t="str">
        <f>OsirisDataElementConcept!D120&amp;" ["&amp;OsirisDataElementConcept!L120&amp;"]"</f>
        <v>Amino Acid Change [O72]</v>
      </c>
      <c r="K145" s="1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60" t="str">
        <f>IF(LEN(OsirisDataElementConcept!I120)=9,"1","0")</f>
        <v>0</v>
      </c>
      <c r="M145" s="11" t="str">
        <f>IF(OsirisDataElementConcept!G120="String","string",IF(OsirisDataElementConcept!G120="Date","date",IF(OsirisDataElementConcept!G120="Float","decimal",IF(OsirisDataElementConcept!G120="Integer","integer",OsirisDataElementConcept!G120))))</f>
        <v>string</v>
      </c>
    </row>
    <row r="146" spans="4:15" ht="29.5" x14ac:dyDescent="0.75">
      <c r="D146" s="11" t="str">
        <f>OsirisDataElementConcept!C146</f>
        <v>Series_Description</v>
      </c>
      <c r="H146" s="11" t="str">
        <f>OsirisDataElementConcept!A123</f>
        <v>Annotation</v>
      </c>
      <c r="I146" s="11" t="str">
        <f>SUBSTITUTE(OsirisDataElementConcept!C121,"_",".")</f>
        <v>Annotation.GenomicSequenceVariation</v>
      </c>
      <c r="J146" s="11" t="str">
        <f>OsirisDataElementConcept!D121&amp;" ["&amp;OsirisDataElementConcept!L121&amp;"]"</f>
        <v>Genomic Sequence Variation [O73]</v>
      </c>
      <c r="K146" s="1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60" t="str">
        <f>IF(LEN(OsirisDataElementConcept!I121)=9,"1","0")</f>
        <v>0</v>
      </c>
      <c r="M146" s="11" t="str">
        <f>IF(OsirisDataElementConcept!G121="String","string",IF(OsirisDataElementConcept!G121="Date","date",IF(OsirisDataElementConcept!G121="Float","decimal",IF(OsirisDataElementConcept!G121="Integer","integer",OsirisDataElementConcept!G121))))</f>
        <v>string</v>
      </c>
    </row>
    <row r="147" spans="4:15" ht="44.25" x14ac:dyDescent="0.75">
      <c r="D147" s="11" t="str">
        <f>OsirisDataElementConcept!C147</f>
        <v>Series_BodyPartExamined</v>
      </c>
      <c r="H147" s="11" t="str">
        <f>OsirisDataElementConcept!A124</f>
        <v>Annotation</v>
      </c>
      <c r="I147" s="11" t="str">
        <f>SUBSTITUTE(OsirisDataElementConcept!C122,"_",".")</f>
        <v>Annotation.RNASequenceVariation</v>
      </c>
      <c r="J147" s="11" t="str">
        <f>OsirisDataElementConcept!D122&amp;" ["&amp;OsirisDataElementConcept!L122&amp;"]"</f>
        <v>RNA Sequence Variation [O74]</v>
      </c>
      <c r="K147" s="1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60" t="str">
        <f>IF(LEN(OsirisDataElementConcept!I122)=9,"1","0")</f>
        <v>0</v>
      </c>
      <c r="M147" s="11" t="str">
        <f>IF(OsirisDataElementConcept!G122="String","string",IF(OsirisDataElementConcept!G122="Date","date",IF(OsirisDataElementConcept!G122="Float","decimal",IF(OsirisDataElementConcept!G122="Integer","integer",OsirisDataElementConcept!G122))))</f>
        <v>string</v>
      </c>
    </row>
    <row r="148" spans="4:15" ht="44.25" x14ac:dyDescent="0.75">
      <c r="D148" s="11" t="str">
        <f>OsirisDataElementConcept!C148</f>
        <v>Series_NbSeriesRelatedInstances</v>
      </c>
      <c r="H148" s="11" t="str">
        <f>OsirisDataElementConcept!A125</f>
        <v>Annotation</v>
      </c>
      <c r="I148" s="11" t="str">
        <f>SUBSTITUTE(OsirisDataElementConcept!C123,"_",".")</f>
        <v>Annotation.AminoAcidChangeType</v>
      </c>
      <c r="J148" s="11" t="str">
        <f>OsirisDataElementConcept!D123&amp;" ["&amp;OsirisDataElementConcept!L123&amp;"]"</f>
        <v>Amino Acid Change Type [O75]</v>
      </c>
      <c r="K148" s="1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60" t="str">
        <f>IF(LEN(OsirisDataElementConcept!I123)=9,"1","0")</f>
        <v>0</v>
      </c>
      <c r="M148" s="11" t="str">
        <f>IF(OsirisDataElementConcept!G123="String","string",IF(OsirisDataElementConcept!G123="Date","date",IF(OsirisDataElementConcept!G123="Float","decimal",IF(OsirisDataElementConcept!G123="Integer","integer",OsirisDataElementConcept!G123))))</f>
        <v>string</v>
      </c>
    </row>
    <row r="149" spans="4:15" ht="44.25" x14ac:dyDescent="0.75">
      <c r="D149" s="11" t="str">
        <f>OsirisDataElementConcept!C149</f>
        <v>Series_SoftwareVersion</v>
      </c>
      <c r="H149" s="11" t="str">
        <f>OsirisDataElementConcept!A126</f>
        <v>Annotation</v>
      </c>
      <c r="I149" s="11" t="str">
        <f>SUBSTITUTE(OsirisDataElementConcept!C124,"_",".")</f>
        <v>Annotation.FusionPrimeEnd</v>
      </c>
      <c r="J149" s="11" t="str">
        <f>OsirisDataElementConcept!D124&amp;" ["&amp;OsirisDataElementConcept!L124&amp;"]"</f>
        <v>Fusion Prime End [O93]</v>
      </c>
      <c r="K149" s="1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60" t="str">
        <f>IF(LEN(OsirisDataElementConcept!I124)=9,"1","0")</f>
        <v>0</v>
      </c>
      <c r="M149" s="11" t="str">
        <f>IF(OsirisDataElementConcept!G124="String","string",IF(OsirisDataElementConcept!G124="Date","date",IF(OsirisDataElementConcept!G124="Float","decimal",IF(OsirisDataElementConcept!G124="Integer","integer",OsirisDataElementConcept!G124))))</f>
        <v>string</v>
      </c>
    </row>
    <row r="150" spans="4:15" ht="44.25" x14ac:dyDescent="0.75">
      <c r="D150" s="11" t="str">
        <f>OsirisDataElementConcept!C150</f>
        <v>Injection_Radiopharmaceutical</v>
      </c>
      <c r="H150" s="11" t="str">
        <f>OsirisDataElementConcept!A127</f>
        <v>VariantInSample</v>
      </c>
      <c r="I150" s="11" t="str">
        <f>SUBSTITUTE(OsirisDataElementConcept!C125,"_",".")</f>
        <v>Annotation.Strand</v>
      </c>
      <c r="J150" s="11" t="str">
        <f>OsirisDataElementConcept!D125&amp;" ["&amp;OsirisDataElementConcept!L125&amp;"]"</f>
        <v>Strand [O94]</v>
      </c>
      <c r="K150" s="1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60" t="str">
        <f>IF(LEN(OsirisDataElementConcept!I125)=9,"1","0")</f>
        <v>0</v>
      </c>
      <c r="M150" s="11" t="str">
        <f>IF(OsirisDataElementConcept!G125="String","string",IF(OsirisDataElementConcept!G125="Date","date",IF(OsirisDataElementConcept!G125="Float","decimal",IF(OsirisDataElementConcept!G125="Integer","integer",OsirisDataElementConcept!G125))))</f>
        <v>string</v>
      </c>
    </row>
    <row r="151" spans="4:15" ht="44.25" x14ac:dyDescent="0.75">
      <c r="D151" s="11" t="str">
        <f>OsirisDataElementConcept!C151</f>
        <v>Injection_ContrastBolusAgent</v>
      </c>
      <c r="I151" s="11" t="str">
        <f>SUBSTITUTE(OsirisDataElementConcept!C126,"_",".")</f>
        <v>Annotation.OnSplicingSite</v>
      </c>
      <c r="J151" s="11" t="str">
        <f>OsirisDataElementConcept!D126&amp;" ["&amp;OsirisDataElementConcept!L126&amp;"]"</f>
        <v>OnSplicingSite [O95]</v>
      </c>
      <c r="K151" s="1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60" t="str">
        <f>IF(LEN(OsirisDataElementConcept!I126)=9,"1","0")</f>
        <v>0</v>
      </c>
      <c r="M151" s="11" t="str">
        <f>IF(OsirisDataElementConcept!G126="String","string",IF(OsirisDataElementConcept!G126="Date","date",IF(OsirisDataElementConcept!G126="Float","decimal",IF(OsirisDataElementConcept!G126="Integer","integer",OsirisDataElementConcept!G126))))</f>
        <v>string</v>
      </c>
    </row>
    <row r="152" spans="4:15" x14ac:dyDescent="0.75">
      <c r="D152" s="11" t="str">
        <f>OsirisDataElementConcept!C152</f>
        <v>Injection_ContrastBolusStartTime</v>
      </c>
      <c r="H152" s="61" t="str">
        <f>OsirisDataElementConcept!$A$128</f>
        <v>VariantInSample</v>
      </c>
      <c r="I152" s="61" t="str">
        <f>OsirisDataElementConcept!$A$128</f>
        <v>VariantInSample</v>
      </c>
      <c r="J152" s="61" t="str">
        <f>OsirisDataElementConcept!$A$128</f>
        <v>VariantInSample</v>
      </c>
      <c r="K152" s="61" t="str">
        <f>OsirisDataElementConcept!$A$128</f>
        <v>VariantInSample</v>
      </c>
      <c r="L152" s="62">
        <v>1</v>
      </c>
      <c r="M152" s="63" t="s">
        <v>2</v>
      </c>
    </row>
    <row r="153" spans="4:15" ht="44.25" x14ac:dyDescent="0.75">
      <c r="D153" s="11" t="str">
        <f>OsirisDataElementConcept!C153</f>
        <v>Injection_ContrastBolusStopTime</v>
      </c>
      <c r="H153" s="11" t="str">
        <f>OsirisDataElementConcept!A130</f>
        <v>VariantInSample</v>
      </c>
      <c r="I153" s="11" t="str">
        <f>SUBSTITUTE(OsirisDataElementConcept!C127,"_",".")</f>
        <v>VariantInSample.PositionReadDepth</v>
      </c>
      <c r="J153" s="11" t="str">
        <f>OsirisDataElementConcept!D127&amp;" ["&amp;OsirisDataElementConcept!L127&amp;"]"</f>
        <v>Position Read Depth [O76]</v>
      </c>
      <c r="K153" s="1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60" t="str">
        <f>IF(LEN(OsirisDataElementConcept!I127)=9,"1","0")</f>
        <v>1</v>
      </c>
      <c r="M153" s="11" t="str">
        <f>IF(OsirisDataElementConcept!G127="String","string",IF(OsirisDataElementConcept!G127="Date","date",IF(OsirisDataElementConcept!G127="Float","decimal",IF(OsirisDataElementConcept!G127="Integer","integer",OsirisDataElementConcept!G127))))</f>
        <v>integer</v>
      </c>
    </row>
    <row r="154" spans="4:15" ht="44.25" x14ac:dyDescent="0.75">
      <c r="D154" s="11" t="str">
        <f>OsirisDataElementConcept!C154</f>
        <v>Injection_RadiopharmaceuticalStartTime</v>
      </c>
      <c r="H154" s="11" t="str">
        <f>OsirisDataElementConcept!A131</f>
        <v>VariantInSample</v>
      </c>
      <c r="I154" s="11" t="str">
        <f>SUBSTITUTE(OsirisDataElementConcept!C128,"_",".")</f>
        <v>VariantInSample.VariantReadDepth</v>
      </c>
      <c r="J154" s="11" t="str">
        <f>OsirisDataElementConcept!D128&amp;" ["&amp;OsirisDataElementConcept!L128&amp;"]"</f>
        <v>Variant Read Depth [O77]</v>
      </c>
      <c r="K154" s="1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60" t="str">
        <f>IF(LEN(OsirisDataElementConcept!I128)=9,"1","0")</f>
        <v>1</v>
      </c>
      <c r="M154" s="11" t="str">
        <f>IF(OsirisDataElementConcept!G128="String","string",IF(OsirisDataElementConcept!G128="Date","date",IF(OsirisDataElementConcept!G128="Float","decimal",IF(OsirisDataElementConcept!G128="Integer","integer",OsirisDataElementConcept!G128))))</f>
        <v>integer</v>
      </c>
    </row>
    <row r="155" spans="4:15" ht="44.25" x14ac:dyDescent="0.75">
      <c r="D155" s="11" t="str">
        <f>OsirisDataElementConcept!C155</f>
        <v>Injection_RadionuclideTotalDose</v>
      </c>
      <c r="I155" s="11" t="str">
        <f>SUBSTITUTE(OsirisDataElementConcept!C129,"_",".")</f>
        <v>VariantInSample.StrandBias</v>
      </c>
      <c r="J155" s="11" t="str">
        <f>OsirisDataElementConcept!D129&amp;" ["&amp;OsirisDataElementConcept!L129&amp;"]"</f>
        <v>Strand Bias [O78]</v>
      </c>
      <c r="K155" s="1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60" t="str">
        <f>IF(LEN(OsirisDataElementConcept!I129)=9,"1","0")</f>
        <v>0</v>
      </c>
      <c r="M155" s="11" t="str">
        <f>IF(OsirisDataElementConcept!G129="String","string",IF(OsirisDataElementConcept!G129="Date","date",IF(OsirisDataElementConcept!G129="Float","decimal",IF(OsirisDataElementConcept!G129="Integer","integer",OsirisDataElementConcept!G129))))</f>
        <v>string</v>
      </c>
    </row>
    <row r="156" spans="4:15" ht="44.25" x14ac:dyDescent="0.75">
      <c r="D156" s="11" t="str">
        <f>OsirisDataElementConcept!C156</f>
        <v>CommonImage_SOPInstanceUID</v>
      </c>
      <c r="I156" s="11" t="str">
        <f>SUBSTITUTE(OsirisDataElementConcept!C130,"_",".")</f>
        <v>VariantInSample.GenomicSourceClass</v>
      </c>
      <c r="J156" s="11" t="str">
        <f>OsirisDataElementConcept!D130&amp;" ["&amp;OsirisDataElementConcept!L130&amp;"]"</f>
        <v>Genomic Source Class [O79]</v>
      </c>
      <c r="K156" s="1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60" t="str">
        <f>IF(LEN(OsirisDataElementConcept!I130)=9,"1","0")</f>
        <v>1</v>
      </c>
      <c r="M156" s="11"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s="11" t="str">
        <f>OsirisDataElementConcept!C157</f>
        <v>CommonImage_SliceThickness</v>
      </c>
      <c r="H157" s="11" t="str">
        <f>OsirisDataElementConcept!A134</f>
        <v>Equipment</v>
      </c>
      <c r="I157" s="11" t="str">
        <f>SUBSTITUTE(OsirisDataElementConcept!C131,"_",".")</f>
        <v>VariantInSample.AllelicState</v>
      </c>
      <c r="J157" s="11" t="str">
        <f>OsirisDataElementConcept!D131&amp;" ["&amp;OsirisDataElementConcept!L131&amp;"]"</f>
        <v>Allelic State [O80]</v>
      </c>
      <c r="K157" s="1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60" t="str">
        <f>IF(LEN(OsirisDataElementConcept!I131)=9,"1","0")</f>
        <v>0</v>
      </c>
      <c r="M157" s="83" t="s">
        <v>2</v>
      </c>
    </row>
    <row r="158" spans="4:15" x14ac:dyDescent="0.75">
      <c r="D158" s="11" t="str">
        <f>OsirisDataElementConcept!C158</f>
        <v>CommonImage_PixelSpacing</v>
      </c>
      <c r="H158" s="11" t="str">
        <f>OsirisDataElementConcept!$A$133</f>
        <v>GeneExpression</v>
      </c>
      <c r="I158" s="61" t="str">
        <f>OsirisDataElementConcept!$A$133</f>
        <v>GeneExpression</v>
      </c>
      <c r="J158" s="61" t="str">
        <f>OsirisDataElementConcept!$A$133</f>
        <v>GeneExpression</v>
      </c>
      <c r="K158" s="61" t="str">
        <f>OsirisDataElementConcept!$A$133</f>
        <v>GeneExpression</v>
      </c>
      <c r="L158" s="62">
        <v>1</v>
      </c>
      <c r="M158" s="63" t="s">
        <v>2</v>
      </c>
    </row>
    <row r="159" spans="4:15" ht="59" x14ac:dyDescent="0.75">
      <c r="D159" s="11" t="str">
        <f>OsirisDataElementConcept!C159</f>
        <v>CommonImage_FieldOfView</v>
      </c>
      <c r="H159" s="11" t="str">
        <f>OsirisDataElementConcept!A132</f>
        <v>GeneExpression</v>
      </c>
      <c r="I159" s="11" t="str">
        <f>SUBSTITUTE(OsirisDataElementConcept!C132,"_",".")</f>
        <v>GeneExpression.DataType</v>
      </c>
      <c r="J159" s="11" t="str">
        <f>OsirisDataElementConcept!D132&amp;" ["&amp;OsirisDataElementConcept!L132&amp;"]"</f>
        <v>Data Type [O84]</v>
      </c>
      <c r="K159" s="1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60" t="str">
        <f>IF(LEN(OsirisDataElementConcept!I132)=9,"1","0")</f>
        <v>1</v>
      </c>
      <c r="M159" s="83" t="s">
        <v>2</v>
      </c>
    </row>
    <row r="160" spans="4:15" ht="29.5" x14ac:dyDescent="0.75">
      <c r="D160" s="11" t="str">
        <f>OsirisDataElementConcept!C160</f>
        <v>CommonImage_Rows</v>
      </c>
      <c r="H160" s="11" t="str">
        <f>OsirisDataElementConcept!A133</f>
        <v>GeneExpression</v>
      </c>
      <c r="I160" s="11" t="str">
        <f>SUBSTITUTE(OsirisDataElementConcept!C133,"_",".")</f>
        <v>GeneExpression.Value</v>
      </c>
      <c r="J160" s="11" t="str">
        <f>OsirisDataElementConcept!D133&amp;" ["&amp;OsirisDataElementConcept!L133&amp;"]"</f>
        <v>Value [O85]</v>
      </c>
      <c r="K160" s="1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60" t="str">
        <f>IF(LEN(OsirisDataElementConcept!I133)=9,"1","0")</f>
        <v>1</v>
      </c>
      <c r="M160" s="83" t="s">
        <v>2</v>
      </c>
    </row>
    <row r="161" spans="4:13" x14ac:dyDescent="0.75">
      <c r="D161" s="11" t="str">
        <f>OsirisDataElementConcept!C161</f>
        <v>CommonImage_Columns</v>
      </c>
      <c r="H161" s="11" t="str">
        <f>OsirisDataElementConcept!$A$134</f>
        <v>Equipment</v>
      </c>
      <c r="I161" s="61" t="str">
        <f>OsirisDataElementConcept!$A$134</f>
        <v>Equipment</v>
      </c>
      <c r="J161" s="61" t="str">
        <f>OsirisDataElementConcept!$A$134</f>
        <v>Equipment</v>
      </c>
      <c r="K161" s="61" t="str">
        <f>OsirisDataElementConcept!$A$134</f>
        <v>Equipment</v>
      </c>
      <c r="L161" s="62">
        <v>0</v>
      </c>
      <c r="M161" s="63" t="s">
        <v>2</v>
      </c>
    </row>
    <row r="162" spans="4:13" ht="44.25" x14ac:dyDescent="0.75">
      <c r="D162" s="11" t="str">
        <f>OsirisDataElementConcept!C162</f>
        <v>MRImage_SequenceName</v>
      </c>
      <c r="H162" s="11" t="str">
        <f>OsirisDataElementConcept!A135</f>
        <v>Equipment</v>
      </c>
      <c r="I162" s="11" t="str">
        <f>SUBSTITUTE(OsirisDataElementConcept!C134,"_",".")</f>
        <v>Equipment.ModelName</v>
      </c>
      <c r="J162" s="11" t="str">
        <f>OsirisDataElementConcept!D134&amp;" ["&amp;OsirisDataElementConcept!L134&amp;"]"</f>
        <v>Manufacturer's model name [I1]</v>
      </c>
      <c r="K162" s="1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60" t="str">
        <f>IF(LEN(OsirisDataElementConcept!I134)=9,"1","0")</f>
        <v>0</v>
      </c>
      <c r="M162" s="83" t="s">
        <v>2</v>
      </c>
    </row>
    <row r="163" spans="4:13" ht="44.25" x14ac:dyDescent="0.75">
      <c r="D163" s="11" t="str">
        <f>OsirisDataElementConcept!C163</f>
        <v>MRImage_MagneticFieldStrength</v>
      </c>
      <c r="I163" s="11" t="str">
        <f>SUBSTITUTE(OsirisDataElementConcept!C135,"_",".")</f>
        <v>Equipment.Manufacturer</v>
      </c>
      <c r="J163" s="11" t="str">
        <f>OsirisDataElementConcept!D135&amp;" ["&amp;OsirisDataElementConcept!L135&amp;"]"</f>
        <v>Manufacturer's name [I2]</v>
      </c>
      <c r="K163" s="1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60" t="str">
        <f>IF(LEN(OsirisDataElementConcept!I135)=9,"1","0")</f>
        <v>0</v>
      </c>
      <c r="M163" s="83" t="s">
        <v>2</v>
      </c>
    </row>
    <row r="164" spans="4:13" x14ac:dyDescent="0.75">
      <c r="D164" s="11" t="str">
        <f>OsirisDataElementConcept!C164</f>
        <v>MRImage_MRAcquisitionType</v>
      </c>
      <c r="H164" s="11" t="str">
        <f>OsirisDataElementConcept!$A$136</f>
        <v>Study</v>
      </c>
      <c r="I164" s="61" t="str">
        <f>OsirisDataElementConcept!$A$136</f>
        <v>Study</v>
      </c>
      <c r="J164" s="61" t="str">
        <f>OsirisDataElementConcept!$A$136</f>
        <v>Study</v>
      </c>
      <c r="K164" s="61" t="str">
        <f>OsirisDataElementConcept!$A$136</f>
        <v>Study</v>
      </c>
      <c r="L164" s="62">
        <v>0</v>
      </c>
      <c r="M164" s="63" t="s">
        <v>2</v>
      </c>
    </row>
    <row r="165" spans="4:13" ht="44.25" x14ac:dyDescent="0.75">
      <c r="D165" s="11" t="str">
        <f>OsirisDataElementConcept!C165</f>
        <v>MRImage_RepetitionTime</v>
      </c>
      <c r="H165" s="11" t="str">
        <f>OsirisDataElementConcept!A137</f>
        <v>Study</v>
      </c>
      <c r="I165" s="11" t="str">
        <f>SUBSTITUTE(OsirisDataElementConcept!C136,"_",".")</f>
        <v>Study.StudyInstanceUID</v>
      </c>
      <c r="J165" s="11" t="str">
        <f>OsirisDataElementConcept!D136&amp;" ["&amp;OsirisDataElementConcept!L136&amp;"]"</f>
        <v>Study Instance UID [I3]</v>
      </c>
      <c r="K165" s="1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60" t="str">
        <f>IF(LEN(OsirisDataElementConcept!I136)=9,"1","0")</f>
        <v>0</v>
      </c>
      <c r="M165" s="83" t="s">
        <v>2</v>
      </c>
    </row>
    <row r="166" spans="4:13" ht="44.25" x14ac:dyDescent="0.75">
      <c r="D166" s="11" t="str">
        <f>OsirisDataElementConcept!C166</f>
        <v>MRImage_EchoTime</v>
      </c>
      <c r="H166" s="11" t="str">
        <f>OsirisDataElementConcept!A138</f>
        <v>Study</v>
      </c>
      <c r="I166" s="11" t="str">
        <f>SUBSTITUTE(OsirisDataElementConcept!C137,"_",".")</f>
        <v>Study.StudyDescription</v>
      </c>
      <c r="J166" s="11" t="str">
        <f>OsirisDataElementConcept!D137&amp;" ["&amp;OsirisDataElementConcept!L137&amp;"]"</f>
        <v>Study description [I4]</v>
      </c>
      <c r="K166" s="1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60" t="str">
        <f>IF(LEN(OsirisDataElementConcept!I137)=9,"1","0")</f>
        <v>0</v>
      </c>
      <c r="M166" s="83" t="s">
        <v>2</v>
      </c>
    </row>
    <row r="167" spans="4:13" ht="44.25" x14ac:dyDescent="0.75">
      <c r="D167" s="11" t="str">
        <f>OsirisDataElementConcept!C167</f>
        <v>MRImage_ImagingFrequency</v>
      </c>
      <c r="H167" s="11" t="str">
        <f>OsirisDataElementConcept!A139</f>
        <v>Study</v>
      </c>
      <c r="I167" s="11" t="str">
        <f>SUBSTITUTE(OsirisDataElementConcept!C138,"_",".")</f>
        <v>Study.AcquisitionDate</v>
      </c>
      <c r="J167" s="11" t="str">
        <f>OsirisDataElementConcept!D138&amp;" ["&amp;OsirisDataElementConcept!L138&amp;"]"</f>
        <v>Acquisition date [I5]</v>
      </c>
      <c r="K167" s="1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60" t="str">
        <f>IF(LEN(OsirisDataElementConcept!I138)=9,"1","0")</f>
        <v>0</v>
      </c>
      <c r="M167" s="83" t="s">
        <v>2</v>
      </c>
    </row>
    <row r="168" spans="4:13" ht="29.5" x14ac:dyDescent="0.75">
      <c r="D168" s="11" t="str">
        <f>OsirisDataElementConcept!C168</f>
        <v>MRImage_FlipAngle</v>
      </c>
      <c r="H168" s="11" t="str">
        <f>OsirisDataElementConcept!A140</f>
        <v>Study</v>
      </c>
      <c r="I168" s="11" t="str">
        <f>SUBSTITUTE(OsirisDataElementConcept!C139,"_",".")</f>
        <v>Study.Location</v>
      </c>
      <c r="J168" s="11" t="str">
        <f>OsirisDataElementConcept!D139&amp;" ["&amp;OsirisDataElementConcept!L139&amp;"]"</f>
        <v>Location [I6]</v>
      </c>
      <c r="K168" s="12" t="str">
        <f>IF(OsirisDataElementConcept!K139="",OsirisDataElementConcept!D139,OsirisDataElementConcept!K139)&amp;IF(OsirisDataElementConcept!F139="","",CHAR(10)&amp;CHAR(13)&amp;"ConceptualDomain: "&amp;OsirisDataElementConcept!F139)&amp;CHAR(10)&amp;CHAR(13)&amp;OsirisDataElementConcept!I139</f>
        <v>Location
_x000D_</v>
      </c>
      <c r="L168" s="60" t="str">
        <f>IF(LEN(OsirisDataElementConcept!I139)=9,"1","0")</f>
        <v>0</v>
      </c>
      <c r="M168" s="83" t="s">
        <v>2</v>
      </c>
    </row>
    <row r="169" spans="4:13" ht="44.25" x14ac:dyDescent="0.75">
      <c r="D169" s="11" t="str">
        <f>OsirisDataElementConcept!C169</f>
        <v>MRImage_InversionTime</v>
      </c>
      <c r="H169" s="11" t="str">
        <f>OsirisDataElementConcept!A141</f>
        <v>Study</v>
      </c>
      <c r="I169" s="11" t="str">
        <f>SUBSTITUTE(OsirisDataElementConcept!C140,"_",".")</f>
        <v>Study.InstitutionName</v>
      </c>
      <c r="J169" s="11" t="str">
        <f>OsirisDataElementConcept!D140&amp;" ["&amp;OsirisDataElementConcept!L140&amp;"]"</f>
        <v>Institution's name [I7]</v>
      </c>
      <c r="K169" s="1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60" t="str">
        <f>IF(LEN(OsirisDataElementConcept!I140)=9,"1","0")</f>
        <v>0</v>
      </c>
      <c r="M169" s="83" t="s">
        <v>2</v>
      </c>
    </row>
    <row r="170" spans="4:13" ht="44.25" x14ac:dyDescent="0.75">
      <c r="D170" s="11" t="str">
        <f>OsirisDataElementConcept!C170</f>
        <v>MRImage_ReceiveCoilName</v>
      </c>
      <c r="H170" s="11" t="str">
        <f>OsirisDataElementConcept!A142</f>
        <v>Study</v>
      </c>
      <c r="I170" s="11" t="str">
        <f>SUBSTITUTE(OsirisDataElementConcept!C141,"_",".")</f>
        <v>Study.ModalitiesInStudy</v>
      </c>
      <c r="J170" s="11" t="str">
        <f>OsirisDataElementConcept!D141&amp;" ["&amp;OsirisDataElementConcept!L141&amp;"]"</f>
        <v>Modalities in study [I8]</v>
      </c>
      <c r="K170" s="1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60" t="str">
        <f>IF(LEN(OsirisDataElementConcept!I141)=9,"1","0")</f>
        <v>0</v>
      </c>
      <c r="M170" s="83" t="s">
        <v>2</v>
      </c>
    </row>
    <row r="171" spans="4:13" ht="44.25" x14ac:dyDescent="0.75">
      <c r="D171" s="11" t="str">
        <f>OsirisDataElementConcept!C171</f>
        <v>CTImage_KVp</v>
      </c>
      <c r="H171" s="11" t="str">
        <f>OsirisDataElementConcept!A143</f>
        <v>Series</v>
      </c>
      <c r="I171" s="11" t="str">
        <f>SUBSTITUTE(OsirisDataElementConcept!C142,"_",".")</f>
        <v>Study.NbStudyRelatedSeries</v>
      </c>
      <c r="J171" s="11" t="str">
        <f>OsirisDataElementConcept!D142&amp;" ["&amp;OsirisDataElementConcept!L142&amp;"]"</f>
        <v>Number of Study Related Series [I9]</v>
      </c>
      <c r="K171" s="1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60" t="str">
        <f>IF(LEN(OsirisDataElementConcept!I142)=9,"1","0")</f>
        <v>0</v>
      </c>
      <c r="M171" s="83" t="s">
        <v>2</v>
      </c>
    </row>
    <row r="172" spans="4:13" x14ac:dyDescent="0.75">
      <c r="D172" s="11" t="str">
        <f>OsirisDataElementConcept!C172</f>
        <v>CTImage_XRayTubeCurrent</v>
      </c>
      <c r="H172" s="11" t="str">
        <f>OsirisDataElementConcept!$A$144</f>
        <v>Series</v>
      </c>
      <c r="I172" s="61" t="str">
        <f>OsirisDataElementConcept!$A$144</f>
        <v>Series</v>
      </c>
      <c r="J172" s="61" t="str">
        <f>OsirisDataElementConcept!$A$144</f>
        <v>Series</v>
      </c>
      <c r="K172" s="61" t="str">
        <f>OsirisDataElementConcept!$A$144</f>
        <v>Series</v>
      </c>
      <c r="L172" s="62">
        <v>0</v>
      </c>
      <c r="M172" s="63" t="s">
        <v>2</v>
      </c>
    </row>
    <row r="173" spans="4:13" ht="44.25" x14ac:dyDescent="0.75">
      <c r="D173" s="11" t="str">
        <f>OsirisDataElementConcept!C173</f>
        <v>CTImage_ExposureTime</v>
      </c>
      <c r="H173" s="11" t="str">
        <f>OsirisDataElementConcept!A145</f>
        <v>Series</v>
      </c>
      <c r="I173" s="11" t="str">
        <f>SUBSTITUTE(OsirisDataElementConcept!C143,"_",".")</f>
        <v>Series.SeriesNumber</v>
      </c>
      <c r="J173" s="11" t="str">
        <f>OsirisDataElementConcept!D143&amp;" ["&amp;OsirisDataElementConcept!L143&amp;"]"</f>
        <v>Series Number [I10]</v>
      </c>
      <c r="K173" s="1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60" t="str">
        <f>IF(LEN(OsirisDataElementConcept!I143)=9,"1","0")</f>
        <v>0</v>
      </c>
      <c r="M173" s="83" t="s">
        <v>2</v>
      </c>
    </row>
    <row r="174" spans="4:13" ht="44.25" x14ac:dyDescent="0.75">
      <c r="D174" s="11" t="str">
        <f>OsirisDataElementConcept!C174</f>
        <v>CTImage_SpiralPitchFactor</v>
      </c>
      <c r="H174" s="11" t="str">
        <f>OsirisDataElementConcept!A146</f>
        <v>Series</v>
      </c>
      <c r="I174" s="11" t="str">
        <f>SUBSTITUTE(OsirisDataElementConcept!C144,"_",".")</f>
        <v>Series.SeriesInstanceUID</v>
      </c>
      <c r="J174" s="11" t="str">
        <f>OsirisDataElementConcept!D144&amp;" ["&amp;OsirisDataElementConcept!L144&amp;"]"</f>
        <v>Series Instance UID [I11]</v>
      </c>
      <c r="K174" s="1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60" t="str">
        <f>IF(LEN(OsirisDataElementConcept!I144)=9,"1","0")</f>
        <v>0</v>
      </c>
      <c r="M174" s="83" t="s">
        <v>2</v>
      </c>
    </row>
    <row r="175" spans="4:13" ht="44.25" x14ac:dyDescent="0.75">
      <c r="D175" s="11" t="str">
        <f>OsirisDataElementConcept!C175</f>
        <v>CTImage_FilterType</v>
      </c>
      <c r="H175" s="11" t="str">
        <f>OsirisDataElementConcept!A147</f>
        <v>Series</v>
      </c>
      <c r="I175" s="11" t="str">
        <f>SUBSTITUTE(OsirisDataElementConcept!C145,"_",".")</f>
        <v>Series.Modality</v>
      </c>
      <c r="J175" s="11" t="str">
        <f>OsirisDataElementConcept!D145&amp;" ["&amp;OsirisDataElementConcept!L145&amp;"]"</f>
        <v>Modality [I12]</v>
      </c>
      <c r="K175" s="1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60" t="str">
        <f>IF(LEN(OsirisDataElementConcept!I145)=9,"1","0")</f>
        <v>0</v>
      </c>
      <c r="M175" s="83" t="s">
        <v>2</v>
      </c>
    </row>
    <row r="176" spans="4:13" ht="44.25" x14ac:dyDescent="0.75">
      <c r="D176" s="11" t="str">
        <f>OsirisDataElementConcept!C176</f>
        <v>CTImage_ConvolutionKernel</v>
      </c>
      <c r="H176" s="11" t="str">
        <f>OsirisDataElementConcept!A148</f>
        <v>Series</v>
      </c>
      <c r="I176" s="11" t="str">
        <f>SUBSTITUTE(OsirisDataElementConcept!C146,"_",".")</f>
        <v>Series.Description</v>
      </c>
      <c r="J176" s="11" t="str">
        <f>OsirisDataElementConcept!D146&amp;" ["&amp;OsirisDataElementConcept!L146&amp;"]"</f>
        <v>Description [I13]</v>
      </c>
      <c r="K176" s="1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60" t="str">
        <f>IF(LEN(OsirisDataElementConcept!I146)=9,"1","0")</f>
        <v>0</v>
      </c>
      <c r="M176" s="83" t="s">
        <v>2</v>
      </c>
    </row>
    <row r="177" spans="4:13" ht="44.25" x14ac:dyDescent="0.75">
      <c r="D177" s="11" t="str">
        <f>OsirisDataElementConcept!C177</f>
        <v>PTImage_AttenuationCorrectionMethod</v>
      </c>
      <c r="H177" s="11" t="str">
        <f>OsirisDataElementConcept!A149</f>
        <v>Series</v>
      </c>
      <c r="I177" s="11" t="str">
        <f>SUBSTITUTE(OsirisDataElementConcept!C147,"_",".")</f>
        <v>Series.BodyPartExamined</v>
      </c>
      <c r="J177" s="11" t="str">
        <f>OsirisDataElementConcept!D147&amp;" ["&amp;OsirisDataElementConcept!L147&amp;"]"</f>
        <v>Body Part Examined [I14]</v>
      </c>
      <c r="K177" s="1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60" t="str">
        <f>IF(LEN(OsirisDataElementConcept!I147)=9,"1","0")</f>
        <v>0</v>
      </c>
      <c r="M177" s="83" t="s">
        <v>2</v>
      </c>
    </row>
    <row r="178" spans="4:13" ht="44.25" x14ac:dyDescent="0.75">
      <c r="D178" s="11" t="str">
        <f>OsirisDataElementConcept!C178</f>
        <v>PTImage_ReconstructionMethod</v>
      </c>
      <c r="H178" s="11" t="str">
        <f>OsirisDataElementConcept!A150</f>
        <v>Injection</v>
      </c>
      <c r="I178" s="11" t="str">
        <f>SUBSTITUTE(OsirisDataElementConcept!C148,"_",".")</f>
        <v>Series.NbSeriesRelatedInstances</v>
      </c>
      <c r="J178" s="11" t="str">
        <f>OsirisDataElementConcept!D148&amp;" ["&amp;OsirisDataElementConcept!L148&amp;"]"</f>
        <v>Number of Series Related Instances [I15]</v>
      </c>
      <c r="K178" s="1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60" t="str">
        <f>IF(LEN(OsirisDataElementConcept!I148)=9,"1","0")</f>
        <v>0</v>
      </c>
      <c r="M178" s="83" t="s">
        <v>2</v>
      </c>
    </row>
    <row r="179" spans="4:13" ht="44.25" x14ac:dyDescent="0.75">
      <c r="D179" s="11" t="str">
        <f>OsirisDataElementConcept!C179</f>
        <v>PTImage_ScatterCorrectionMethod</v>
      </c>
      <c r="H179" s="11" t="str">
        <f>OsirisDataElementConcept!A151</f>
        <v>Injection</v>
      </c>
      <c r="I179" s="11" t="str">
        <f>SUBSTITUTE(OsirisDataElementConcept!C149,"_",".")</f>
        <v>Series.SoftwareVersion</v>
      </c>
      <c r="J179" s="11" t="str">
        <f>OsirisDataElementConcept!D149&amp;" ["&amp;OsirisDataElementConcept!L149&amp;"]"</f>
        <v>Software's version [I16]</v>
      </c>
      <c r="K179" s="1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60" t="str">
        <f>IF(LEN(OsirisDataElementConcept!I149)=9,"1","0")</f>
        <v>0</v>
      </c>
      <c r="M179" s="83" t="s">
        <v>2</v>
      </c>
    </row>
    <row r="180" spans="4:13" x14ac:dyDescent="0.75">
      <c r="D180" s="11" t="str">
        <f>OsirisDataElementConcept!C180</f>
        <v>NMImage_AttenuationCorrectionMethod</v>
      </c>
      <c r="H180" s="11" t="str">
        <f>OsirisDataElementConcept!$A$152</f>
        <v>Injection</v>
      </c>
      <c r="I180" s="61" t="str">
        <f>OsirisDataElementConcept!$A$152</f>
        <v>Injection</v>
      </c>
      <c r="J180" s="61" t="str">
        <f>OsirisDataElementConcept!$A$152</f>
        <v>Injection</v>
      </c>
      <c r="K180" s="61" t="str">
        <f>OsirisDataElementConcept!$A$152</f>
        <v>Injection</v>
      </c>
      <c r="L180" s="62">
        <v>0</v>
      </c>
      <c r="M180" s="63" t="s">
        <v>2</v>
      </c>
    </row>
    <row r="181" spans="4:13" ht="44.25" x14ac:dyDescent="0.75">
      <c r="D181" s="11" t="str">
        <f>OsirisDataElementConcept!C181</f>
        <v>NMImage_ReconstructionMethod</v>
      </c>
      <c r="H181" s="11" t="str">
        <f>OsirisDataElementConcept!A153</f>
        <v>Injection</v>
      </c>
      <c r="I181" s="11" t="str">
        <f>SUBSTITUTE(OsirisDataElementConcept!C150,"_",".")</f>
        <v>Injection.Radiopharmaceutical</v>
      </c>
      <c r="J181" s="11" t="str">
        <f>OsirisDataElementConcept!D150&amp;" ["&amp;OsirisDataElementConcept!L150&amp;"]"</f>
        <v>Radiopharmaceutical [I17]</v>
      </c>
      <c r="K181" s="1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60" t="str">
        <f>IF(LEN(OsirisDataElementConcept!I150)=9,"1","0")</f>
        <v>0</v>
      </c>
      <c r="M181" s="83" t="s">
        <v>2</v>
      </c>
    </row>
    <row r="182" spans="4:13" ht="44.25" x14ac:dyDescent="0.75">
      <c r="D182" s="11" t="str">
        <f>OsirisDataElementConcept!C182</f>
        <v>NMImage_ScatterCorrectionMethod</v>
      </c>
      <c r="H182" s="11" t="str">
        <f>OsirisDataElementConcept!A154</f>
        <v>Injection</v>
      </c>
      <c r="I182" s="11" t="str">
        <f>SUBSTITUTE(OsirisDataElementConcept!C151,"_",".")</f>
        <v>Injection.ContrastBolusAgent</v>
      </c>
      <c r="J182" s="11" t="str">
        <f>OsirisDataElementConcept!D151&amp;" ["&amp;OsirisDataElementConcept!L151&amp;"]"</f>
        <v>Contrast/bolus agent [I18]</v>
      </c>
      <c r="K182" s="1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60" t="str">
        <f>IF(LEN(OsirisDataElementConcept!I151)=9,"1","0")</f>
        <v>0</v>
      </c>
      <c r="M182" s="83" t="s">
        <v>2</v>
      </c>
    </row>
    <row r="183" spans="4:13" ht="44.25" x14ac:dyDescent="0.75">
      <c r="D183" s="11" t="str">
        <f>OsirisDataElementConcept!C183</f>
        <v>DXImage_ImageLaterality</v>
      </c>
      <c r="H183" s="11" t="str">
        <f>OsirisDataElementConcept!A155</f>
        <v>Injection</v>
      </c>
      <c r="I183" s="11" t="str">
        <f>SUBSTITUTE(OsirisDataElementConcept!C152,"_",".")</f>
        <v>Injection.ContrastBolusStartTime</v>
      </c>
      <c r="J183" s="11" t="str">
        <f>OsirisDataElementConcept!D152&amp;" ["&amp;OsirisDataElementConcept!L152&amp;"]"</f>
        <v>Contrast/bolus start time [I19]</v>
      </c>
      <c r="K183" s="1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60" t="str">
        <f>IF(LEN(OsirisDataElementConcept!I152)=9,"1","0")</f>
        <v>0</v>
      </c>
      <c r="M183" s="83" t="s">
        <v>2</v>
      </c>
    </row>
    <row r="184" spans="4:13" ht="44.25" x14ac:dyDescent="0.75">
      <c r="D184" s="11" t="str">
        <f>OsirisDataElementConcept!C184</f>
        <v>DXImage_PatientOrientation</v>
      </c>
      <c r="H184" s="11" t="str">
        <f>OsirisDataElementConcept!A156</f>
        <v>CommonImage</v>
      </c>
      <c r="I184" s="11" t="str">
        <f>SUBSTITUTE(OsirisDataElementConcept!C153,"_",".")</f>
        <v>Injection.ContrastBolusStopTime</v>
      </c>
      <c r="J184" s="11" t="str">
        <f>OsirisDataElementConcept!D153&amp;" ["&amp;OsirisDataElementConcept!L153&amp;"]"</f>
        <v>Contrast/bolus stop time [I20]</v>
      </c>
      <c r="K184" s="1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60" t="str">
        <f>IF(LEN(OsirisDataElementConcept!I153)=9,"1","0")</f>
        <v>0</v>
      </c>
      <c r="M184" s="83" t="s">
        <v>2</v>
      </c>
    </row>
    <row r="185" spans="4:13" ht="44.25" x14ac:dyDescent="0.75">
      <c r="D185" s="11" t="str">
        <f>OsirisDataElementConcept!C185</f>
        <v>DXImage_AnatomicRegionSequenceCodeMeaning</v>
      </c>
      <c r="H185" s="11" t="str">
        <f>OsirisDataElementConcept!A157</f>
        <v>CommonImage</v>
      </c>
      <c r="I185" s="11" t="str">
        <f>SUBSTITUTE(OsirisDataElementConcept!C154,"_",".")</f>
        <v>Injection.RadiopharmaceuticalStartTime</v>
      </c>
      <c r="J185" s="11" t="str">
        <f>OsirisDataElementConcept!D154&amp;" ["&amp;OsirisDataElementConcept!L154&amp;"]"</f>
        <v>Radiopharmaceutical start time [I21]</v>
      </c>
      <c r="K185" s="1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60" t="str">
        <f>IF(LEN(OsirisDataElementConcept!I154)=9,"1","0")</f>
        <v>0</v>
      </c>
      <c r="M185" s="83" t="s">
        <v>2</v>
      </c>
    </row>
    <row r="186" spans="4:13" ht="44.25" x14ac:dyDescent="0.75">
      <c r="D186" s="11" t="str">
        <f>OsirisDataElementConcept!C186</f>
        <v>DXImage_AnatomicRegionSequenceCodeValue</v>
      </c>
      <c r="H186" s="11" t="str">
        <f>OsirisDataElementConcept!A158</f>
        <v>CommonImage</v>
      </c>
      <c r="I186" s="11" t="str">
        <f>SUBSTITUTE(OsirisDataElementConcept!C155,"_",".")</f>
        <v>Injection.RadionuclideTotalDose</v>
      </c>
      <c r="J186" s="11" t="str">
        <f>OsirisDataElementConcept!D155&amp;" ["&amp;OsirisDataElementConcept!L155&amp;"]"</f>
        <v>Radionuclide total dose [I22]</v>
      </c>
      <c r="K186" s="1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60" t="str">
        <f>IF(LEN(OsirisDataElementConcept!I155)=9,"1","0")</f>
        <v>0</v>
      </c>
      <c r="M186" s="83" t="s">
        <v>2</v>
      </c>
    </row>
    <row r="187" spans="4:13" x14ac:dyDescent="0.75">
      <c r="D187" s="11" t="str">
        <f>OsirisDataElementConcept!C187</f>
        <v>DXImage_KVP</v>
      </c>
      <c r="H187" s="11" t="str">
        <f>OsirisDataElementConcept!$A$159</f>
        <v>CommonImage</v>
      </c>
      <c r="I187" s="61" t="str">
        <f>OsirisDataElementConcept!$A$159</f>
        <v>CommonImage</v>
      </c>
      <c r="J187" s="61" t="str">
        <f>OsirisDataElementConcept!$A$159</f>
        <v>CommonImage</v>
      </c>
      <c r="K187" s="61" t="str">
        <f>OsirisDataElementConcept!$A$159</f>
        <v>CommonImage</v>
      </c>
      <c r="L187" s="62">
        <v>0</v>
      </c>
      <c r="M187" s="62" t="s">
        <v>2</v>
      </c>
    </row>
    <row r="188" spans="4:13" ht="44.25" x14ac:dyDescent="0.75">
      <c r="D188" s="11" t="str">
        <f>OsirisDataElementConcept!C188</f>
        <v>DXImage_Exposure</v>
      </c>
      <c r="H188" s="11" t="str">
        <f>OsirisDataElementConcept!A160</f>
        <v>CommonImage</v>
      </c>
      <c r="I188" s="11" t="str">
        <f>SUBSTITUTE(OsirisDataElementConcept!C156,"_",".")</f>
        <v>CommonImage.SOPInstanceUID</v>
      </c>
      <c r="J188" s="11" t="str">
        <f>OsirisDataElementConcept!D156&amp;" ["&amp;OsirisDataElementConcept!L156&amp;"]"</f>
        <v>SOP Instance UID [I23]</v>
      </c>
      <c r="K188" s="1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60" t="str">
        <f>IF(LEN(OsirisDataElementConcept!I156)=9,"1","0")</f>
        <v>0</v>
      </c>
      <c r="M188" s="83" t="s">
        <v>2</v>
      </c>
    </row>
    <row r="189" spans="4:13" ht="44.25" x14ac:dyDescent="0.75">
      <c r="D189" s="11" t="str">
        <f>OsirisDataElementConcept!C189</f>
        <v>DXImage_ExposureTime</v>
      </c>
      <c r="H189" s="11" t="str">
        <f>OsirisDataElementConcept!A161</f>
        <v>CommonImage</v>
      </c>
      <c r="I189" s="11" t="str">
        <f>SUBSTITUTE(OsirisDataElementConcept!C157,"_",".")</f>
        <v>CommonImage.SliceThickness</v>
      </c>
      <c r="J189" s="11" t="str">
        <f>OsirisDataElementConcept!D157&amp;" ["&amp;OsirisDataElementConcept!L157&amp;"]"</f>
        <v>Slice thickness [I24]</v>
      </c>
      <c r="K189" s="1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60" t="str">
        <f>IF(LEN(OsirisDataElementConcept!I157)=9,"1","0")</f>
        <v>0</v>
      </c>
      <c r="M189" s="83" t="s">
        <v>2</v>
      </c>
    </row>
    <row r="190" spans="4:13" ht="44.25" x14ac:dyDescent="0.75">
      <c r="D190" s="11" t="str">
        <f>OsirisDataElementConcept!C190</f>
        <v>DXImage_ContrastBolusAgent</v>
      </c>
      <c r="H190" s="11" t="str">
        <f>OsirisDataElementConcept!A162</f>
        <v>MRImage</v>
      </c>
      <c r="I190" s="11" t="str">
        <f>SUBSTITUTE(OsirisDataElementConcept!C158,"_",".")</f>
        <v>CommonImage.PixelSpacing</v>
      </c>
      <c r="J190" s="11" t="str">
        <f>OsirisDataElementConcept!D158&amp;" ["&amp;OsirisDataElementConcept!L158&amp;"]"</f>
        <v>Pixel spacing [I25]</v>
      </c>
      <c r="K190" s="1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60" t="str">
        <f>IF(LEN(OsirisDataElementConcept!I158)=9,"1","0")</f>
        <v>0</v>
      </c>
      <c r="M190" s="83" t="s">
        <v>2</v>
      </c>
    </row>
    <row r="191" spans="4:13" ht="29.5" x14ac:dyDescent="0.75">
      <c r="D191" s="11" t="str">
        <f>OsirisDataElementConcept!C191</f>
        <v>ROISegmentation_ReferencedSOPInstanceUID</v>
      </c>
      <c r="H191" s="11" t="str">
        <f>OsirisDataElementConcept!A163</f>
        <v>MRImage</v>
      </c>
      <c r="I191" s="11" t="str">
        <f>SUBSTITUTE(OsirisDataElementConcept!C159,"_",".")</f>
        <v>CommonImage.FieldOfView</v>
      </c>
      <c r="J191" s="11" t="str">
        <f>OsirisDataElementConcept!D159&amp;" ["&amp;OsirisDataElementConcept!L159&amp;"]"</f>
        <v>Field of view [I26]</v>
      </c>
      <c r="K191" s="12" t="str">
        <f>IF(OsirisDataElementConcept!K159="",OsirisDataElementConcept!D159,OsirisDataElementConcept!K159)&amp;IF(OsirisDataElementConcept!F159="","",CHAR(10)&amp;CHAR(13)&amp;"ConceptualDomain: "&amp;OsirisDataElementConcept!F159)&amp;CHAR(10)&amp;CHAR(13)&amp;OsirisDataElementConcept!I159</f>
        <v>Field of view
_x000D_</v>
      </c>
      <c r="L191" s="60" t="str">
        <f>IF(LEN(OsirisDataElementConcept!I159)=9,"1","0")</f>
        <v>0</v>
      </c>
      <c r="M191" s="83" t="s">
        <v>2</v>
      </c>
    </row>
    <row r="192" spans="4:13" ht="44.25" x14ac:dyDescent="0.75">
      <c r="D192" s="11" t="str">
        <f>OsirisDataElementConcept!C192</f>
        <v>ROISegmentation_ROINumber</v>
      </c>
      <c r="H192" s="11" t="str">
        <f>OsirisDataElementConcept!A164</f>
        <v>MRImage</v>
      </c>
      <c r="I192" s="11" t="str">
        <f>SUBSTITUTE(OsirisDataElementConcept!C160,"_",".")</f>
        <v>CommonImage.Rows</v>
      </c>
      <c r="J192" s="11" t="str">
        <f>OsirisDataElementConcept!D160&amp;" ["&amp;OsirisDataElementConcept!L160&amp;"]"</f>
        <v>rows [I27]</v>
      </c>
      <c r="K192" s="1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60" t="str">
        <f>IF(LEN(OsirisDataElementConcept!I160)=9,"1","0")</f>
        <v>0</v>
      </c>
      <c r="M192" s="83" t="s">
        <v>2</v>
      </c>
    </row>
    <row r="193" spans="4:13" ht="44.25" x14ac:dyDescent="0.75">
      <c r="D193" s="11" t="str">
        <f>OsirisDataElementConcept!C193</f>
        <v>ROISegmentation_ROIName</v>
      </c>
      <c r="H193" s="11" t="str">
        <f>OsirisDataElementConcept!A165</f>
        <v>MRImage</v>
      </c>
      <c r="I193" s="11" t="str">
        <f>SUBSTITUTE(OsirisDataElementConcept!C161,"_",".")</f>
        <v>CommonImage.Columns</v>
      </c>
      <c r="J193" s="11" t="str">
        <f>OsirisDataElementConcept!D161&amp;" ["&amp;OsirisDataElementConcept!L161&amp;"]"</f>
        <v>columns [I28]</v>
      </c>
      <c r="K193" s="1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60" t="str">
        <f>IF(LEN(OsirisDataElementConcept!I161)=9,"1","0")</f>
        <v>0</v>
      </c>
      <c r="M193" s="83" t="s">
        <v>2</v>
      </c>
    </row>
    <row r="194" spans="4:13" x14ac:dyDescent="0.75">
      <c r="D194" s="11" t="str">
        <f>OsirisDataElementConcept!C194</f>
        <v>ROISegmentation_ROIDescription</v>
      </c>
      <c r="H194" s="11" t="str">
        <f>OsirisDataElementConcept!$A$166</f>
        <v>MRImage</v>
      </c>
      <c r="I194" s="61" t="str">
        <f>OsirisDataElementConcept!$A$166</f>
        <v>MRImage</v>
      </c>
      <c r="J194" s="61" t="str">
        <f>OsirisDataElementConcept!$A$166</f>
        <v>MRImage</v>
      </c>
      <c r="K194" s="61" t="str">
        <f>OsirisDataElementConcept!$A$166</f>
        <v>MRImage</v>
      </c>
      <c r="L194" s="62">
        <v>0</v>
      </c>
      <c r="M194" s="63" t="s">
        <v>2</v>
      </c>
    </row>
    <row r="195" spans="4:13" ht="44.25" x14ac:dyDescent="0.75">
      <c r="D195" s="11" t="str">
        <f>OsirisDataElementConcept!C195</f>
        <v>ROISegmentation_ROIType</v>
      </c>
      <c r="H195" s="11" t="str">
        <f>OsirisDataElementConcept!A167</f>
        <v>MRImage</v>
      </c>
      <c r="I195" s="11" t="str">
        <f>SUBSTITUTE(OsirisDataElementConcept!C162,"_",".")</f>
        <v>MRImage.SequenceName</v>
      </c>
      <c r="J195" s="11" t="str">
        <f>OsirisDataElementConcept!D162&amp;" ["&amp;OsirisDataElementConcept!L162&amp;"]"</f>
        <v>Sequence's name [I29]</v>
      </c>
      <c r="K195" s="1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60" t="str">
        <f>IF(LEN(OsirisDataElementConcept!I162)=9,"1","0")</f>
        <v>0</v>
      </c>
      <c r="M195" s="83" t="s">
        <v>2</v>
      </c>
    </row>
    <row r="196" spans="4:13" ht="44.25" x14ac:dyDescent="0.75">
      <c r="D196" s="11" t="str">
        <f>OsirisDataElementConcept!C196</f>
        <v>ROISegmentation_ROIFilename</v>
      </c>
      <c r="H196" s="11" t="str">
        <f>OsirisDataElementConcept!A168</f>
        <v>MRImage</v>
      </c>
      <c r="I196" s="11" t="str">
        <f>SUBSTITUTE(OsirisDataElementConcept!C163,"_",".")</f>
        <v>MRImage.MagneticFieldStrength</v>
      </c>
      <c r="J196" s="11" t="str">
        <f>OsirisDataElementConcept!D163&amp;" ["&amp;OsirisDataElementConcept!L163&amp;"]"</f>
        <v>Magnetic field strength [I30]</v>
      </c>
      <c r="K196" s="1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60" t="str">
        <f>IF(LEN(OsirisDataElementConcept!I163)=9,"1","0")</f>
        <v>0</v>
      </c>
      <c r="M196" s="83" t="s">
        <v>2</v>
      </c>
    </row>
    <row r="197" spans="4:13" ht="44.25" x14ac:dyDescent="0.75">
      <c r="D197" s="11" t="str">
        <f>OsirisDataElementConcept!C197</f>
        <v>RadiomicsCriteria_SoftwareName</v>
      </c>
      <c r="H197" s="11" t="str">
        <f>OsirisDataElementConcept!A169</f>
        <v>MRImage</v>
      </c>
      <c r="I197" s="11" t="str">
        <f>SUBSTITUTE(OsirisDataElementConcept!C164,"_",".")</f>
        <v>MRImage.MRAcquisitionType</v>
      </c>
      <c r="J197" s="11" t="str">
        <f>OsirisDataElementConcept!D164&amp;" ["&amp;OsirisDataElementConcept!L164&amp;"]"</f>
        <v>MR acquisition type [I31]</v>
      </c>
      <c r="K197" s="1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60" t="str">
        <f>IF(LEN(OsirisDataElementConcept!I164)=9,"1","0")</f>
        <v>0</v>
      </c>
      <c r="M197" s="83" t="s">
        <v>2</v>
      </c>
    </row>
    <row r="198" spans="4:13" ht="44.25" x14ac:dyDescent="0.75">
      <c r="D198" s="11" t="str">
        <f>OsirisDataElementConcept!C198</f>
        <v>RadiomicsCriteria_SoftwareVersion</v>
      </c>
      <c r="H198" s="11" t="str">
        <f>OsirisDataElementConcept!A170</f>
        <v>MRImage</v>
      </c>
      <c r="I198" s="11" t="str">
        <f>SUBSTITUTE(OsirisDataElementConcept!C165,"_",".")</f>
        <v>MRImage.RepetitionTime</v>
      </c>
      <c r="J198" s="11" t="str">
        <f>OsirisDataElementConcept!D165&amp;" ["&amp;OsirisDataElementConcept!L165&amp;"]"</f>
        <v>Repetition time [I32]</v>
      </c>
      <c r="K198" s="1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60" t="str">
        <f>IF(LEN(OsirisDataElementConcept!I165)=9,"1","0")</f>
        <v>0</v>
      </c>
      <c r="M198" s="83" t="s">
        <v>2</v>
      </c>
    </row>
    <row r="199" spans="4:13" ht="44.25" x14ac:dyDescent="0.75">
      <c r="D199" s="11" t="str">
        <f>OsirisDataElementConcept!C199</f>
        <v>RadiomicsCriteria_Method</v>
      </c>
      <c r="I199" s="11" t="str">
        <f>SUBSTITUTE(OsirisDataElementConcept!C166,"_",".")</f>
        <v>MRImage.EchoTime</v>
      </c>
      <c r="J199" s="11" t="str">
        <f>OsirisDataElementConcept!D166&amp;" ["&amp;OsirisDataElementConcept!L166&amp;"]"</f>
        <v>EchoTime [I33]</v>
      </c>
      <c r="K199" s="1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60" t="str">
        <f>IF(LEN(OsirisDataElementConcept!I166)=9,"1","0")</f>
        <v>0</v>
      </c>
      <c r="M199" s="83" t="s">
        <v>2</v>
      </c>
    </row>
    <row r="200" spans="4:13" ht="44.25" x14ac:dyDescent="0.75">
      <c r="D200" s="11" t="str">
        <f>OsirisDataElementConcept!C200</f>
        <v>RadiomicsCriteria_UsedImageFilter</v>
      </c>
      <c r="I200" s="11" t="str">
        <f>SUBSTITUTE(OsirisDataElementConcept!C167,"_",".")</f>
        <v>MRImage.ImagingFrequency</v>
      </c>
      <c r="J200" s="11" t="str">
        <f>OsirisDataElementConcept!D167&amp;" ["&amp;OsirisDataElementConcept!L167&amp;"]"</f>
        <v>ImagingFrequency [I34]</v>
      </c>
      <c r="K200" s="1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60" t="str">
        <f>IF(LEN(OsirisDataElementConcept!I167)=9,"1","0")</f>
        <v>0</v>
      </c>
      <c r="M200" s="83" t="s">
        <v>2</v>
      </c>
    </row>
    <row r="201" spans="4:13" ht="44.25" x14ac:dyDescent="0.75">
      <c r="D201" s="11" t="str">
        <f>OsirisDataElementConcept!C201</f>
        <v>RadiomicsCriteria_DistanceWeighting</v>
      </c>
      <c r="I201" s="11" t="str">
        <f>SUBSTITUTE(OsirisDataElementConcept!C168,"_",".")</f>
        <v>MRImage.FlipAngle</v>
      </c>
      <c r="J201" s="11" t="str">
        <f>OsirisDataElementConcept!D168&amp;" ["&amp;OsirisDataElementConcept!L168&amp;"]"</f>
        <v>FlipAngle [I35]</v>
      </c>
      <c r="K201" s="1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60" t="str">
        <f>IF(LEN(OsirisDataElementConcept!I168)=9,"1","0")</f>
        <v>0</v>
      </c>
      <c r="M201" s="83" t="s">
        <v>2</v>
      </c>
    </row>
    <row r="202" spans="4:13" ht="44.25" x14ac:dyDescent="0.75">
      <c r="D202" s="11" t="str">
        <f>OsirisDataElementConcept!C202</f>
        <v>RadiomicsCriteria_NumberOfGreyLevels</v>
      </c>
      <c r="I202" s="11" t="str">
        <f>SUBSTITUTE(OsirisDataElementConcept!C169,"_",".")</f>
        <v>MRImage.InversionTime</v>
      </c>
      <c r="J202" s="11" t="str">
        <f>OsirisDataElementConcept!D169&amp;" ["&amp;OsirisDataElementConcept!L169&amp;"]"</f>
        <v>InversionTime [I36]</v>
      </c>
      <c r="K202" s="1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60" t="str">
        <f>IF(LEN(OsirisDataElementConcept!I169)=9,"1","0")</f>
        <v>0</v>
      </c>
      <c r="M202" s="83" t="s">
        <v>2</v>
      </c>
    </row>
    <row r="203" spans="4:13" ht="44.25" x14ac:dyDescent="0.75">
      <c r="D203" s="11" t="str">
        <f>OsirisDataElementConcept!C203</f>
        <v>RadiomicsCriteria_BinSize</v>
      </c>
      <c r="I203" s="11" t="str">
        <f>SUBSTITUTE(OsirisDataElementConcept!C170,"_",".")</f>
        <v>MRImage.ReceiveCoilName</v>
      </c>
      <c r="J203" s="11" t="str">
        <f>OsirisDataElementConcept!D170&amp;" ["&amp;OsirisDataElementConcept!L170&amp;"]"</f>
        <v>ReceiveCoilName [I37]</v>
      </c>
      <c r="K203" s="1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60" t="str">
        <f>IF(LEN(OsirisDataElementConcept!I170)=9,"1","0")</f>
        <v>0</v>
      </c>
      <c r="M203" s="83" t="s">
        <v>2</v>
      </c>
    </row>
    <row r="204" spans="4:13" x14ac:dyDescent="0.75">
      <c r="D204" s="11" t="str">
        <f>OsirisDataElementConcept!C204</f>
        <v>RadiomicsCriteria_IntensityResampling</v>
      </c>
      <c r="H204" s="61" t="str">
        <f>OsirisDataElementConcept!$A$171</f>
        <v>CTImage</v>
      </c>
      <c r="I204" s="61" t="str">
        <f>OsirisDataElementConcept!$A$171</f>
        <v>CTImage</v>
      </c>
      <c r="J204" s="61" t="str">
        <f>OsirisDataElementConcept!$A$171</f>
        <v>CTImage</v>
      </c>
      <c r="K204" s="61" t="str">
        <f>OsirisDataElementConcept!$A$171</f>
        <v>CTImage</v>
      </c>
      <c r="L204" s="62">
        <v>0</v>
      </c>
      <c r="M204" s="63" t="s">
        <v>2</v>
      </c>
    </row>
    <row r="205" spans="4:13" ht="44.25" x14ac:dyDescent="0.75">
      <c r="D205" s="11" t="str">
        <f>OsirisDataElementConcept!C205</f>
        <v>RadiomicsCriteria_LowestIntensity</v>
      </c>
      <c r="H205" s="11" t="str">
        <f>OsirisDataElementConcept!A172</f>
        <v>CTImage</v>
      </c>
      <c r="I205" s="11" t="str">
        <f>SUBSTITUTE(OsirisDataElementConcept!C171,"_",".")</f>
        <v>CTImage.KVp</v>
      </c>
      <c r="J205" s="11" t="str">
        <f>OsirisDataElementConcept!D171&amp;" ["&amp;OsirisDataElementConcept!L171&amp;"]"</f>
        <v>KVp [I38]</v>
      </c>
      <c r="K205" s="1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60" t="str">
        <f>IF(LEN(OsirisDataElementConcept!I171)=9,"1","0")</f>
        <v>0</v>
      </c>
      <c r="M205" s="83" t="s">
        <v>2</v>
      </c>
    </row>
    <row r="206" spans="4:13" ht="44.25" x14ac:dyDescent="0.75">
      <c r="D206" s="11" t="str">
        <f>OsirisDataElementConcept!C206</f>
        <v>RadiomicsCriteria_BoundsRangeOfValueAfterDiscretisation</v>
      </c>
      <c r="H206" s="11" t="str">
        <f>OsirisDataElementConcept!A173</f>
        <v>CTImage</v>
      </c>
      <c r="I206" s="11" t="str">
        <f>SUBSTITUTE(OsirisDataElementConcept!C172,"_",".")</f>
        <v>CTImage.XRayTubeCurrent</v>
      </c>
      <c r="J206" s="11" t="str">
        <f>OsirisDataElementConcept!D172&amp;" ["&amp;OsirisDataElementConcept!L172&amp;"]"</f>
        <v>XRayTubeCurrent [I39]</v>
      </c>
      <c r="K206" s="1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60" t="str">
        <f>IF(LEN(OsirisDataElementConcept!I172)=9,"1","0")</f>
        <v>0</v>
      </c>
      <c r="M206" s="83" t="s">
        <v>2</v>
      </c>
    </row>
    <row r="207" spans="4:13" ht="44.25" x14ac:dyDescent="0.75">
      <c r="D207" s="11" t="str">
        <f>OsirisDataElementConcept!C207</f>
        <v>RadiomicsCriteria_SpatialResamplingMethod</v>
      </c>
      <c r="H207" s="11" t="str">
        <f>OsirisDataElementConcept!A174</f>
        <v>CTImage</v>
      </c>
      <c r="I207" s="11" t="str">
        <f>SUBSTITUTE(OsirisDataElementConcept!C173,"_",".")</f>
        <v>CTImage.ExposureTime</v>
      </c>
      <c r="J207" s="11" t="str">
        <f>OsirisDataElementConcept!D173&amp;" ["&amp;OsirisDataElementConcept!L173&amp;"]"</f>
        <v>ExposureTime [I40]</v>
      </c>
      <c r="K207" s="1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60" t="str">
        <f>IF(LEN(OsirisDataElementConcept!I173)=9,"1","0")</f>
        <v>0</v>
      </c>
      <c r="M207" s="83" t="s">
        <v>2</v>
      </c>
    </row>
    <row r="208" spans="4:13" ht="44.25" x14ac:dyDescent="0.75">
      <c r="D208" s="11" t="str">
        <f>OsirisDataElementConcept!C208</f>
        <v>RadiomicsCriteria_SpatialResamplingValues</v>
      </c>
      <c r="H208" s="11" t="str">
        <f>OsirisDataElementConcept!A175</f>
        <v>CTImage</v>
      </c>
      <c r="I208" s="11" t="str">
        <f>SUBSTITUTE(OsirisDataElementConcept!C174,"_",".")</f>
        <v>CTImage.SpiralPitchFactor</v>
      </c>
      <c r="J208" s="11" t="str">
        <f>OsirisDataElementConcept!D174&amp;" ["&amp;OsirisDataElementConcept!L174&amp;"]"</f>
        <v>SpiralPitchFactor [I41]</v>
      </c>
      <c r="K208" s="1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60" t="str">
        <f>IF(LEN(OsirisDataElementConcept!I174)=9,"1","0")</f>
        <v>0</v>
      </c>
      <c r="M208" s="83" t="s">
        <v>2</v>
      </c>
    </row>
    <row r="209" spans="4:13" ht="44.25" x14ac:dyDescent="0.75">
      <c r="D209" s="11" t="str">
        <f>OsirisDataElementConcept!C209</f>
        <v>RadiomicsCriteria_TextureMatrixAggregation</v>
      </c>
      <c r="H209" s="11" t="str">
        <f>OsirisDataElementConcept!A176</f>
        <v>CTImage</v>
      </c>
      <c r="I209" s="11" t="str">
        <f>SUBSTITUTE(OsirisDataElementConcept!C175,"_",".")</f>
        <v>CTImage.FilterType</v>
      </c>
      <c r="J209" s="11" t="str">
        <f>OsirisDataElementConcept!D175&amp;" ["&amp;OsirisDataElementConcept!L175&amp;"]"</f>
        <v>FilterType [I42]</v>
      </c>
      <c r="K209" s="1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60" t="str">
        <f>IF(LEN(OsirisDataElementConcept!I175)=9,"1","0")</f>
        <v>0</v>
      </c>
      <c r="M209" s="83" t="s">
        <v>2</v>
      </c>
    </row>
    <row r="210" spans="4:13" ht="44.25" x14ac:dyDescent="0.75">
      <c r="D210" s="11" t="str">
        <f>OsirisDataElementConcept!C210</f>
        <v>RadiomicsImageFilter_SoftwareName</v>
      </c>
      <c r="H210" s="11" t="str">
        <f>OsirisDataElementConcept!A177</f>
        <v>PTImage</v>
      </c>
      <c r="I210" s="11" t="str">
        <f>SUBSTITUTE(OsirisDataElementConcept!C176,"_",".")</f>
        <v>CTImage.ConvolutionKernel</v>
      </c>
      <c r="J210" s="11" t="str">
        <f>OsirisDataElementConcept!D176&amp;" ["&amp;OsirisDataElementConcept!L176&amp;"]"</f>
        <v>ConvolutionKernel [I43]</v>
      </c>
      <c r="K210" s="1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60" t="str">
        <f>IF(LEN(OsirisDataElementConcept!I176)=9,"1","0")</f>
        <v>0</v>
      </c>
      <c r="M210" s="83" t="s">
        <v>2</v>
      </c>
    </row>
    <row r="211" spans="4:13" x14ac:dyDescent="0.75">
      <c r="D211" s="11" t="str">
        <f>OsirisDataElementConcept!C211</f>
        <v>RadiomicsImageFilter_SoftwareVersion</v>
      </c>
      <c r="H211" s="61" t="str">
        <f>OsirisDataElementConcept!$A$178</f>
        <v>PTImage</v>
      </c>
      <c r="I211" s="61" t="str">
        <f>OsirisDataElementConcept!$A$178</f>
        <v>PTImage</v>
      </c>
      <c r="J211" s="61" t="str">
        <f>OsirisDataElementConcept!$A$178</f>
        <v>PTImage</v>
      </c>
      <c r="K211" s="61" t="str">
        <f>OsirisDataElementConcept!$A$178</f>
        <v>PTImage</v>
      </c>
      <c r="L211" s="62">
        <v>0</v>
      </c>
      <c r="M211" s="61" t="s">
        <v>2</v>
      </c>
    </row>
    <row r="212" spans="4:13" ht="44.25" x14ac:dyDescent="0.75">
      <c r="D212" s="11" t="str">
        <f>OsirisDataElementConcept!C212</f>
        <v>RadiomicsImageFilter_FilterName</v>
      </c>
      <c r="H212" s="11" t="str">
        <f>OsirisDataElementConcept!A179</f>
        <v>PTImage</v>
      </c>
      <c r="I212" s="11" t="str">
        <f>SUBSTITUTE(OsirisDataElementConcept!C177,"_",".")</f>
        <v>PTImage.AttenuationCorrectionMethod</v>
      </c>
      <c r="J212" s="11" t="str">
        <f>OsirisDataElementConcept!D177&amp;" ["&amp;OsirisDataElementConcept!L177&amp;"]"</f>
        <v>AttenuationCorrectionMethod [I44]</v>
      </c>
      <c r="K212" s="1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60" t="str">
        <f>IF(LEN(OsirisDataElementConcept!I177)=9,"1","0")</f>
        <v>0</v>
      </c>
      <c r="M212" s="83" t="s">
        <v>2</v>
      </c>
    </row>
    <row r="213" spans="4:13" ht="44.25" x14ac:dyDescent="0.75">
      <c r="D213" s="11" t="str">
        <f>OsirisDataElementConcept!C213</f>
        <v>RadiomicsImageFilter_FilterType</v>
      </c>
      <c r="H213" s="11" t="str">
        <f>OsirisDataElementConcept!A180</f>
        <v>NMImage</v>
      </c>
      <c r="I213" s="11" t="str">
        <f>SUBSTITUTE(OsirisDataElementConcept!C178,"_",".")</f>
        <v>PTImage.ReconstructionMethod</v>
      </c>
      <c r="J213" s="11" t="str">
        <f>OsirisDataElementConcept!D178&amp;" ["&amp;OsirisDataElementConcept!L178&amp;"]"</f>
        <v>ReconstructionMethod [I45]</v>
      </c>
      <c r="K213" s="1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60" t="str">
        <f>IF(LEN(OsirisDataElementConcept!I178)=9,"1","0")</f>
        <v>0</v>
      </c>
      <c r="M213" s="83" t="s">
        <v>2</v>
      </c>
    </row>
    <row r="214" spans="4:13" ht="44.25" x14ac:dyDescent="0.75">
      <c r="D214" s="11" t="str">
        <f>OsirisDataElementConcept!C214</f>
        <v>RadiomicsImageFilter_FilterInterpolation</v>
      </c>
      <c r="H214" s="11" t="str">
        <f>OsirisDataElementConcept!A181</f>
        <v>NMImage</v>
      </c>
      <c r="I214" s="11" t="str">
        <f>SUBSTITUTE(OsirisDataElementConcept!C179,"_",".")</f>
        <v>PTImage.ScatterCorrectionMethod</v>
      </c>
      <c r="J214" s="11" t="str">
        <f>OsirisDataElementConcept!D179&amp;" ["&amp;OsirisDataElementConcept!L179&amp;"]"</f>
        <v>ScatterCorrectionMethod [I46]</v>
      </c>
      <c r="K214" s="1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60" t="str">
        <f>IF(LEN(OsirisDataElementConcept!I179)=9,"1","0")</f>
        <v>0</v>
      </c>
      <c r="M214" s="83" t="s">
        <v>2</v>
      </c>
    </row>
    <row r="215" spans="4:13" x14ac:dyDescent="0.75">
      <c r="D215" s="11" t="str">
        <f>OsirisDataElementConcept!C215</f>
        <v>RadiomicsImageFilter_IntensityRounding</v>
      </c>
      <c r="H215" s="61" t="str">
        <f>OsirisDataElementConcept!$A$182</f>
        <v>NMImage</v>
      </c>
      <c r="I215" s="61" t="str">
        <f>OsirisDataElementConcept!$A$182</f>
        <v>NMImage</v>
      </c>
      <c r="J215" s="61" t="str">
        <f>OsirisDataElementConcept!$A$182</f>
        <v>NMImage</v>
      </c>
      <c r="K215" s="61" t="str">
        <f>OsirisDataElementConcept!$A$182</f>
        <v>NMImage</v>
      </c>
      <c r="L215" s="62">
        <v>0</v>
      </c>
      <c r="M215" s="61" t="s">
        <v>2</v>
      </c>
    </row>
    <row r="216" spans="4:13" ht="44.25" x14ac:dyDescent="0.75">
      <c r="D216" s="11" t="str">
        <f>OsirisDataElementConcept!C216</f>
        <v>RadiomicsImageFilter_BoundaryCondition</v>
      </c>
      <c r="H216" s="11" t="str">
        <f>OsirisDataElementConcept!A183</f>
        <v>DXImage</v>
      </c>
      <c r="I216" s="11" t="str">
        <f>SUBSTITUTE(OsirisDataElementConcept!C180,"_",".")</f>
        <v>NMImage.AttenuationCorrectionMethod</v>
      </c>
      <c r="J216" s="11" t="str">
        <f>OsirisDataElementConcept!D180&amp;" ["&amp;OsirisDataElementConcept!L180&amp;"]"</f>
        <v>AttenuationCorrectionMethod [I47]</v>
      </c>
      <c r="K216" s="1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60" t="str">
        <f>IF(LEN(OsirisDataElementConcept!I180)=9,"1","0")</f>
        <v>0</v>
      </c>
      <c r="M216" s="83" t="s">
        <v>2</v>
      </c>
    </row>
    <row r="217" spans="4:13" ht="44.25" x14ac:dyDescent="0.75">
      <c r="D217" s="11" t="str">
        <f>OsirisDataElementConcept!C217</f>
        <v>RadiomicsFeature_Id</v>
      </c>
      <c r="H217" s="11" t="str">
        <f>OsirisDataElementConcept!A184</f>
        <v>DXImage</v>
      </c>
      <c r="I217" s="11" t="str">
        <f>SUBSTITUTE(OsirisDataElementConcept!C181,"_",".")</f>
        <v>NMImage.ReconstructionMethod</v>
      </c>
      <c r="J217" s="11" t="str">
        <f>OsirisDataElementConcept!D181&amp;" ["&amp;OsirisDataElementConcept!L181&amp;"]"</f>
        <v>ReconstructionMethod [I48]</v>
      </c>
      <c r="K217" s="1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60" t="str">
        <f>IF(LEN(OsirisDataElementConcept!I181)=9,"1","0")</f>
        <v>0</v>
      </c>
      <c r="M217" s="83" t="s">
        <v>2</v>
      </c>
    </row>
    <row r="218" spans="4:13" ht="44.25" x14ac:dyDescent="0.75">
      <c r="D218" s="11" t="str">
        <f>OsirisDataElementConcept!C218</f>
        <v>RadiomicsFeature_Name</v>
      </c>
      <c r="H218" s="11" t="str">
        <f>OsirisDataElementConcept!A185</f>
        <v>DXImage</v>
      </c>
      <c r="I218" s="11" t="str">
        <f>SUBSTITUTE(OsirisDataElementConcept!C182,"_",".")</f>
        <v>NMImage.ScatterCorrectionMethod</v>
      </c>
      <c r="J218" s="11" t="str">
        <f>OsirisDataElementConcept!D182&amp;" ["&amp;OsirisDataElementConcept!L182&amp;"]"</f>
        <v>ScatterCorrectionMethod [I49]</v>
      </c>
      <c r="K218" s="1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60" t="str">
        <f>IF(LEN(OsirisDataElementConcept!I182)=9,"1","0")</f>
        <v>0</v>
      </c>
      <c r="M218" s="83" t="s">
        <v>2</v>
      </c>
    </row>
    <row r="219" spans="4:13" x14ac:dyDescent="0.75">
      <c r="D219" s="11" t="str">
        <f>OsirisDataElementConcept!C219</f>
        <v>RadiomicsFeature_Value</v>
      </c>
      <c r="H219" s="61" t="str">
        <f>OsirisDataElementConcept!$A$186</f>
        <v>DXImage</v>
      </c>
      <c r="I219" s="61" t="str">
        <f>OsirisDataElementConcept!$A$186</f>
        <v>DXImage</v>
      </c>
      <c r="J219" s="61" t="str">
        <f>OsirisDataElementConcept!$A$186</f>
        <v>DXImage</v>
      </c>
      <c r="K219" s="61" t="str">
        <f>OsirisDataElementConcept!$A$186</f>
        <v>DXImage</v>
      </c>
      <c r="L219" s="62">
        <v>0</v>
      </c>
      <c r="M219" s="61" t="s">
        <v>2</v>
      </c>
    </row>
    <row r="220" spans="4:13" ht="44.25" x14ac:dyDescent="0.75">
      <c r="D220" s="11" t="str">
        <f>OsirisDataElementConcept!C220</f>
        <v/>
      </c>
      <c r="H220" s="11" t="str">
        <f>OsirisDataElementConcept!A187</f>
        <v>DXImage</v>
      </c>
      <c r="I220" s="11" t="str">
        <f>SUBSTITUTE(OsirisDataElementConcept!C183,"_",".")</f>
        <v>DXImage.ImageLaterality</v>
      </c>
      <c r="J220" s="11" t="str">
        <f>OsirisDataElementConcept!D183&amp;" ["&amp;OsirisDataElementConcept!L183&amp;"]"</f>
        <v>ImageLaterality [I50]</v>
      </c>
      <c r="K220" s="1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60" t="str">
        <f>IF(LEN(OsirisDataElementConcept!I183)=9,"1","0")</f>
        <v>0</v>
      </c>
      <c r="M220" s="83" t="s">
        <v>2</v>
      </c>
    </row>
    <row r="221" spans="4:13" ht="44.25" x14ac:dyDescent="0.75">
      <c r="D221" s="11" t="str">
        <f>OsirisDataElementConcept!C221</f>
        <v/>
      </c>
      <c r="H221" s="11" t="str">
        <f>OsirisDataElementConcept!A188</f>
        <v>DXImage</v>
      </c>
      <c r="I221" s="11" t="str">
        <f>SUBSTITUTE(OsirisDataElementConcept!C184,"_",".")</f>
        <v>DXImage.PatientOrientation</v>
      </c>
      <c r="J221" s="11" t="str">
        <f>OsirisDataElementConcept!D184&amp;" ["&amp;OsirisDataElementConcept!L184&amp;"]"</f>
        <v>PatientOrientation [I51]</v>
      </c>
      <c r="K221" s="1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60" t="str">
        <f>IF(LEN(OsirisDataElementConcept!I184)=9,"1","0")</f>
        <v>0</v>
      </c>
      <c r="M221" s="83" t="s">
        <v>2</v>
      </c>
    </row>
    <row r="222" spans="4:13" ht="44.25" x14ac:dyDescent="0.75">
      <c r="D222" s="11" t="str">
        <f>OsirisDataElementConcept!C222</f>
        <v/>
      </c>
      <c r="H222" s="11" t="str">
        <f>OsirisDataElementConcept!A189</f>
        <v>DXImage</v>
      </c>
      <c r="I222" s="11" t="str">
        <f>SUBSTITUTE(OsirisDataElementConcept!C185,"_",".")</f>
        <v>DXImage.AnatomicRegionSequenceCodeMeaning</v>
      </c>
      <c r="J222" s="11" t="str">
        <f>OsirisDataElementConcept!D185&amp;" ["&amp;OsirisDataElementConcept!L185&amp;"]"</f>
        <v>AnatomicRegionSequenceCodeMeaning [I52]</v>
      </c>
      <c r="K222" s="1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60" t="str">
        <f>IF(LEN(OsirisDataElementConcept!I185)=9,"1","0")</f>
        <v>0</v>
      </c>
      <c r="M222" s="83" t="s">
        <v>2</v>
      </c>
    </row>
    <row r="223" spans="4:13" ht="44.25" x14ac:dyDescent="0.75">
      <c r="D223" s="11" t="str">
        <f>OsirisDataElementConcept!C223</f>
        <v/>
      </c>
      <c r="H223" s="11" t="str">
        <f>OsirisDataElementConcept!A190</f>
        <v>DXImage</v>
      </c>
      <c r="I223" s="85" t="str">
        <f>SUBSTITUTE(OsirisDataElementConcept!C186,"_",".")</f>
        <v>DXImage.AnatomicRegionSequenceCodeValue</v>
      </c>
      <c r="J223" s="11" t="str">
        <f>OsirisDataElementConcept!D186&amp;" ["&amp;OsirisDataElementConcept!L186&amp;"]"</f>
        <v>Anatomic Region SequenceCodeValue [I53]</v>
      </c>
      <c r="K223" s="1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60" t="str">
        <f>IF(LEN(OsirisDataElementConcept!I186)=9,"1","0")</f>
        <v>0</v>
      </c>
      <c r="M223" s="83" t="s">
        <v>2</v>
      </c>
    </row>
    <row r="224" spans="4:13" ht="44.25" x14ac:dyDescent="0.75">
      <c r="D224" s="11" t="str">
        <f>OsirisDataElementConcept!C224</f>
        <v/>
      </c>
      <c r="H224" s="11" t="str">
        <f>OsirisDataElementConcept!A191</f>
        <v>ROISegmentation</v>
      </c>
      <c r="I224" s="11" t="str">
        <f>SUBSTITUTE(OsirisDataElementConcept!C187,"_",".")</f>
        <v>DXImage.KVP</v>
      </c>
      <c r="J224" s="11" t="str">
        <f>OsirisDataElementConcept!D187&amp;" ["&amp;OsirisDataElementConcept!L187&amp;"]"</f>
        <v>KVP [I54]</v>
      </c>
      <c r="K224" s="1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60" t="str">
        <f>IF(LEN(OsirisDataElementConcept!I187)=9,"1","0")</f>
        <v>0</v>
      </c>
      <c r="M224" s="83" t="s">
        <v>2</v>
      </c>
    </row>
    <row r="225" spans="4:13" ht="44.25" x14ac:dyDescent="0.75">
      <c r="D225" s="11" t="str">
        <f>OsirisDataElementConcept!C225</f>
        <v/>
      </c>
      <c r="H225" s="11" t="str">
        <f>OsirisDataElementConcept!A192</f>
        <v>ROISegmentation</v>
      </c>
      <c r="I225" s="11" t="str">
        <f>SUBSTITUTE(OsirisDataElementConcept!C188,"_",".")</f>
        <v>DXImage.Exposure</v>
      </c>
      <c r="J225" s="11" t="str">
        <f>OsirisDataElementConcept!D188&amp;" ["&amp;OsirisDataElementConcept!L188&amp;"]"</f>
        <v>Exposure [I55]</v>
      </c>
      <c r="K225" s="1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60" t="str">
        <f>IF(LEN(OsirisDataElementConcept!I188)=9,"1","0")</f>
        <v>0</v>
      </c>
      <c r="M225" s="83" t="s">
        <v>2</v>
      </c>
    </row>
    <row r="226" spans="4:13" ht="44.25" x14ac:dyDescent="0.75">
      <c r="D226" s="11" t="str">
        <f>OsirisDataElementConcept!C226</f>
        <v/>
      </c>
      <c r="H226" s="11" t="str">
        <f>OsirisDataElementConcept!A193</f>
        <v>ROISegmentation</v>
      </c>
      <c r="I226" s="11" t="str">
        <f>SUBSTITUTE(OsirisDataElementConcept!C189,"_",".")</f>
        <v>DXImage.ExposureTime</v>
      </c>
      <c r="J226" s="11" t="str">
        <f>OsirisDataElementConcept!D189&amp;" ["&amp;OsirisDataElementConcept!L189&amp;"]"</f>
        <v>ExposureTime [I56]</v>
      </c>
      <c r="K226" s="1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60" t="str">
        <f>IF(LEN(OsirisDataElementConcept!I189)=9,"1","0")</f>
        <v>0</v>
      </c>
      <c r="M226" s="83" t="s">
        <v>2</v>
      </c>
    </row>
    <row r="227" spans="4:13" ht="44.25" x14ac:dyDescent="0.75">
      <c r="D227" s="11" t="str">
        <f>OsirisDataElementConcept!C227</f>
        <v/>
      </c>
      <c r="H227" s="11" t="str">
        <f>OsirisDataElementConcept!A194</f>
        <v>ROISegmentation</v>
      </c>
      <c r="I227" s="11" t="str">
        <f>SUBSTITUTE(OsirisDataElementConcept!C190,"_",".")</f>
        <v>DXImage.ContrastBolusAgent</v>
      </c>
      <c r="J227" s="11" t="str">
        <f>OsirisDataElementConcept!D190&amp;" ["&amp;OsirisDataElementConcept!L190&amp;"]"</f>
        <v>ContrastBolusAgent [I57]</v>
      </c>
      <c r="K227" s="1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60" t="str">
        <f>IF(LEN(OsirisDataElementConcept!I190)=9,"1","0")</f>
        <v>0</v>
      </c>
      <c r="M227" s="83" t="s">
        <v>2</v>
      </c>
    </row>
    <row r="228" spans="4:13" x14ac:dyDescent="0.75">
      <c r="D228" s="11" t="str">
        <f>OsirisDataElementConcept!C228</f>
        <v/>
      </c>
      <c r="H228" s="61" t="str">
        <f>OsirisDataElementConcept!$A$195</f>
        <v>ROISegmentation</v>
      </c>
      <c r="I228" s="61" t="str">
        <f>OsirisDataElementConcept!$A$195</f>
        <v>ROISegmentation</v>
      </c>
      <c r="J228" s="61" t="str">
        <f>OsirisDataElementConcept!$A$195</f>
        <v>ROISegmentation</v>
      </c>
      <c r="K228" s="61" t="str">
        <f>OsirisDataElementConcept!$A$195</f>
        <v>ROISegmentation</v>
      </c>
      <c r="L228" s="62">
        <v>0</v>
      </c>
      <c r="M228" s="61" t="s">
        <v>2</v>
      </c>
    </row>
    <row r="229" spans="4:13" ht="44.25" x14ac:dyDescent="0.75">
      <c r="D229" s="11" t="str">
        <f>OsirisDataElementConcept!C229</f>
        <v/>
      </c>
      <c r="H229" s="11" t="str">
        <f>OsirisDataElementConcept!A196</f>
        <v>ROISegmentation</v>
      </c>
      <c r="I229" s="11" t="str">
        <f>SUBSTITUTE(OsirisDataElementConcept!C191,"_",".")</f>
        <v>ROISegmentation.ReferencedSOPInstanceUID</v>
      </c>
      <c r="J229" s="11" t="str">
        <f>OsirisDataElementConcept!D191&amp;" ["&amp;OsirisDataElementConcept!L191&amp;"]"</f>
        <v>ReferencedSOPInstanceUID [I58]</v>
      </c>
      <c r="K229" s="1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60" t="str">
        <f>IF(LEN(OsirisDataElementConcept!I191)=9,"1","0")</f>
        <v>0</v>
      </c>
      <c r="M229" s="83" t="s">
        <v>2</v>
      </c>
    </row>
    <row r="230" spans="4:13" ht="44.25" x14ac:dyDescent="0.75">
      <c r="D230" s="11" t="str">
        <f>OsirisDataElementConcept!C230</f>
        <v/>
      </c>
      <c r="I230" s="11" t="str">
        <f>SUBSTITUTE(OsirisDataElementConcept!C192,"_",".")</f>
        <v>ROISegmentation.ROINumber</v>
      </c>
      <c r="J230" s="11" t="str">
        <f>OsirisDataElementConcept!D192&amp;" ["&amp;OsirisDataElementConcept!L192&amp;"]"</f>
        <v>ROINumber [I59]</v>
      </c>
      <c r="K230" s="1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60" t="str">
        <f>IF(LEN(OsirisDataElementConcept!I192)=9,"1","0")</f>
        <v>0</v>
      </c>
      <c r="M230" s="83" t="s">
        <v>2</v>
      </c>
    </row>
    <row r="231" spans="4:13" ht="44.25" x14ac:dyDescent="0.75">
      <c r="D231" s="11" t="str">
        <f>OsirisDataElementConcept!C231</f>
        <v/>
      </c>
      <c r="H231" s="11"/>
      <c r="I231" s="11" t="str">
        <f>SUBSTITUTE(OsirisDataElementConcept!C193,"_",".")</f>
        <v>ROISegmentation.ROIName</v>
      </c>
      <c r="J231" s="11" t="str">
        <f>OsirisDataElementConcept!D193&amp;" ["&amp;OsirisDataElementConcept!L193&amp;"]"</f>
        <v>ROIName [I60]</v>
      </c>
      <c r="K231" s="1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60" t="str">
        <f>IF(LEN(OsirisDataElementConcept!I193)=9,"1","0")</f>
        <v>0</v>
      </c>
      <c r="M231" s="83" t="s">
        <v>2</v>
      </c>
    </row>
    <row r="232" spans="4:13" ht="44.25" x14ac:dyDescent="0.75">
      <c r="D232" s="11" t="str">
        <f>OsirisDataElementConcept!C232</f>
        <v/>
      </c>
      <c r="H232" s="11"/>
      <c r="I232" s="11" t="str">
        <f>SUBSTITUTE(OsirisDataElementConcept!C194,"_",".")</f>
        <v>ROISegmentation.ROIDescription</v>
      </c>
      <c r="J232" s="11" t="str">
        <f>OsirisDataElementConcept!D194&amp;" ["&amp;OsirisDataElementConcept!L194&amp;"]"</f>
        <v>ROIDescription [I61]</v>
      </c>
      <c r="K232" s="1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60" t="str">
        <f>IF(LEN(OsirisDataElementConcept!I194)=9,"1","0")</f>
        <v>0</v>
      </c>
      <c r="M232" s="83" t="s">
        <v>2</v>
      </c>
    </row>
    <row r="233" spans="4:13" ht="29.5" x14ac:dyDescent="0.75">
      <c r="H233" s="11"/>
      <c r="I233" s="11" t="str">
        <f>SUBSTITUTE(OsirisDataElementConcept!C195,"_",".")</f>
        <v>ROISegmentation.ROIType</v>
      </c>
      <c r="J233" s="11" t="str">
        <f>OsirisDataElementConcept!D195&amp;" ["&amp;OsirisDataElementConcept!L195&amp;"]"</f>
        <v>ROIType [I62]</v>
      </c>
      <c r="K233" s="12" t="str">
        <f>IF(OsirisDataElementConcept!K195="",OsirisDataElementConcept!D195,OsirisDataElementConcept!K195)&amp;IF(OsirisDataElementConcept!F195="","",CHAR(10)&amp;CHAR(13)&amp;"ConceptualDomain: "&amp;OsirisDataElementConcept!F195)&amp;CHAR(10)&amp;CHAR(13)&amp;OsirisDataElementConcept!I195</f>
        <v>ROIType
_x000D_</v>
      </c>
      <c r="L233" s="60" t="str">
        <f>IF(LEN(OsirisDataElementConcept!I195)=9,"1","0")</f>
        <v>0</v>
      </c>
      <c r="M233" s="83" t="s">
        <v>2</v>
      </c>
    </row>
    <row r="234" spans="4:13" ht="29.5" x14ac:dyDescent="0.75">
      <c r="I234" s="11" t="str">
        <f>SUBSTITUTE(OsirisDataElementConcept!C196,"_",".")</f>
        <v>ROISegmentation.ROIFilename</v>
      </c>
      <c r="J234" s="11" t="str">
        <f>OsirisDataElementConcept!D196&amp;" ["&amp;OsirisDataElementConcept!L196&amp;"]"</f>
        <v>ROIFilename [I63]</v>
      </c>
      <c r="K234" s="12" t="str">
        <f>IF(OsirisDataElementConcept!K196="",OsirisDataElementConcept!D196,OsirisDataElementConcept!K196)&amp;IF(OsirisDataElementConcept!F196="","",CHAR(10)&amp;CHAR(13)&amp;"ConceptualDomain: "&amp;OsirisDataElementConcept!F196)&amp;CHAR(10)&amp;CHAR(13)&amp;OsirisDataElementConcept!I196</f>
        <v>ROIFilename
_x000D_</v>
      </c>
      <c r="L234" s="60" t="str">
        <f>IF(LEN(OsirisDataElementConcept!I196)=9,"1","0")</f>
        <v>0</v>
      </c>
      <c r="M234" s="83" t="s">
        <v>2</v>
      </c>
    </row>
    <row r="235" spans="4:13" x14ac:dyDescent="0.75">
      <c r="H235" s="61" t="str">
        <f>OsirisDataElementConcept!$A$197</f>
        <v>RadiomicsCriteria</v>
      </c>
      <c r="I235" s="61" t="str">
        <f>OsirisDataElementConcept!$A$197</f>
        <v>RadiomicsCriteria</v>
      </c>
      <c r="J235" s="61" t="str">
        <f>OsirisDataElementConcept!$A$197</f>
        <v>RadiomicsCriteria</v>
      </c>
      <c r="K235" s="61" t="str">
        <f>OsirisDataElementConcept!$A$197</f>
        <v>RadiomicsCriteria</v>
      </c>
      <c r="L235" s="62">
        <v>0</v>
      </c>
      <c r="M235" s="61" t="s">
        <v>2</v>
      </c>
    </row>
    <row r="236" spans="4:13" ht="44.25" x14ac:dyDescent="0.75">
      <c r="H236" s="11" t="str">
        <f>OsirisDataElementConcept!A201</f>
        <v>RadiomicsCriteria</v>
      </c>
      <c r="I236" s="11" t="str">
        <f>SUBSTITUTE(OsirisDataElementConcept!C197,"_",".")</f>
        <v>RadiomicsCriteria.SoftwareName</v>
      </c>
      <c r="J236" s="11" t="str">
        <f>OsirisDataElementConcept!D197&amp;" ["&amp;OsirisDataElementConcept!L197&amp;"]"</f>
        <v>SoftwareName [I64]</v>
      </c>
      <c r="K236" s="1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60" t="str">
        <f>IF(LEN(OsirisDataElementConcept!I197)=9,"1","0")</f>
        <v>0</v>
      </c>
      <c r="M236" s="83" t="s">
        <v>2</v>
      </c>
    </row>
    <row r="237" spans="4:13" ht="44.25" x14ac:dyDescent="0.75">
      <c r="H237" s="11" t="str">
        <f>OsirisDataElementConcept!A202</f>
        <v>RadiomicsCriteria</v>
      </c>
      <c r="I237" s="11" t="str">
        <f>SUBSTITUTE(OsirisDataElementConcept!C198,"_",".")</f>
        <v>RadiomicsCriteria.SoftwareVersion</v>
      </c>
      <c r="J237" s="11" t="str">
        <f>OsirisDataElementConcept!D198&amp;" ["&amp;OsirisDataElementConcept!L198&amp;"]"</f>
        <v>SoftwareVersion [I65]</v>
      </c>
      <c r="K237" s="1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60" t="str">
        <f>IF(LEN(OsirisDataElementConcept!I198)=9,"1","0")</f>
        <v>0</v>
      </c>
      <c r="M237" s="83" t="s">
        <v>2</v>
      </c>
    </row>
    <row r="238" spans="4:13" ht="44.25" x14ac:dyDescent="0.75">
      <c r="H238" s="11" t="str">
        <f>OsirisDataElementConcept!A203</f>
        <v>RadiomicsCriteria</v>
      </c>
      <c r="I238" s="11" t="str">
        <f>SUBSTITUTE(OsirisDataElementConcept!C199,"_",".")</f>
        <v>RadiomicsCriteria.Method</v>
      </c>
      <c r="J238" s="11" t="str">
        <f>OsirisDataElementConcept!D199&amp;" ["&amp;OsirisDataElementConcept!L199&amp;"]"</f>
        <v>Method [I66]</v>
      </c>
      <c r="K238" s="1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60" t="str">
        <f>IF(LEN(OsirisDataElementConcept!I199)=9,"1","0")</f>
        <v>0</v>
      </c>
      <c r="M238" s="83" t="s">
        <v>2</v>
      </c>
    </row>
    <row r="239" spans="4:13" ht="44.25" x14ac:dyDescent="0.75">
      <c r="H239" s="11" t="str">
        <f>OsirisDataElementConcept!A204</f>
        <v>RadiomicsCriteria</v>
      </c>
      <c r="I239" s="11" t="str">
        <f>SUBSTITUTE(OsirisDataElementConcept!C200,"_",".")</f>
        <v>RadiomicsCriteria.UsedImageFilter</v>
      </c>
      <c r="J239" s="11" t="str">
        <f>OsirisDataElementConcept!D200&amp;" ["&amp;OsirisDataElementConcept!L200&amp;"]"</f>
        <v>UsedImageFilter [I67]</v>
      </c>
      <c r="K239" s="1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60" t="str">
        <f>IF(LEN(OsirisDataElementConcept!I200)=9,"1","0")</f>
        <v>0</v>
      </c>
      <c r="M239" s="83" t="s">
        <v>2</v>
      </c>
    </row>
    <row r="240" spans="4:13" ht="44.25" x14ac:dyDescent="0.75">
      <c r="H240" s="11" t="str">
        <f>OsirisDataElementConcept!A205</f>
        <v>RadiomicsCriteria</v>
      </c>
      <c r="I240" s="11" t="str">
        <f>SUBSTITUTE(OsirisDataElementConcept!C201,"_",".")</f>
        <v>RadiomicsCriteria.DistanceWeighting</v>
      </c>
      <c r="J240" s="11" t="str">
        <f>OsirisDataElementConcept!D201&amp;" ["&amp;OsirisDataElementConcept!L201&amp;"]"</f>
        <v>DistanceWeighting [I68]</v>
      </c>
      <c r="K240" s="1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60" t="str">
        <f>IF(LEN(OsirisDataElementConcept!I201)=9,"1","0")</f>
        <v>0</v>
      </c>
      <c r="M240" s="83" t="s">
        <v>2</v>
      </c>
    </row>
    <row r="241" spans="8:13" ht="44.25" x14ac:dyDescent="0.75">
      <c r="H241" s="11" t="str">
        <f>OsirisDataElementConcept!A206</f>
        <v>RadiomicsCriteria</v>
      </c>
      <c r="I241" s="11" t="str">
        <f>SUBSTITUTE(OsirisDataElementConcept!C202,"_",".")</f>
        <v>RadiomicsCriteria.NumberOfGreyLevels</v>
      </c>
      <c r="J241" s="11" t="str">
        <f>OsirisDataElementConcept!D202&amp;" ["&amp;OsirisDataElementConcept!L202&amp;"]"</f>
        <v>NumberOfGreyLevels [I69]</v>
      </c>
      <c r="K241" s="1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60" t="str">
        <f>IF(LEN(OsirisDataElementConcept!I202)=9,"1","0")</f>
        <v>0</v>
      </c>
      <c r="M241" s="83" t="s">
        <v>2</v>
      </c>
    </row>
    <row r="242" spans="8:13" ht="44.25" x14ac:dyDescent="0.75">
      <c r="H242" s="11" t="str">
        <f>OsirisDataElementConcept!A207</f>
        <v>RadiomicsCriteria</v>
      </c>
      <c r="I242" s="11" t="str">
        <f>SUBSTITUTE(OsirisDataElementConcept!C203,"_",".")</f>
        <v>RadiomicsCriteria.BinSize</v>
      </c>
      <c r="J242" s="11" t="str">
        <f>OsirisDataElementConcept!D203&amp;" ["&amp;OsirisDataElementConcept!L203&amp;"]"</f>
        <v>BinSize [I70]</v>
      </c>
      <c r="K242" s="1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60" t="str">
        <f>IF(LEN(OsirisDataElementConcept!I203)=9,"1","0")</f>
        <v>0</v>
      </c>
      <c r="M242" s="83" t="s">
        <v>2</v>
      </c>
    </row>
    <row r="243" spans="8:13" ht="44.25" x14ac:dyDescent="0.75">
      <c r="H243" s="11" t="str">
        <f>OsirisDataElementConcept!A208</f>
        <v>RadiomicsCriteria</v>
      </c>
      <c r="I243" s="11" t="str">
        <f>SUBSTITUTE(OsirisDataElementConcept!C204,"_",".")</f>
        <v>RadiomicsCriteria.IntensityResampling</v>
      </c>
      <c r="J243" s="11" t="str">
        <f>OsirisDataElementConcept!D204&amp;" ["&amp;OsirisDataElementConcept!L204&amp;"]"</f>
        <v>IntensityResampling [I71]</v>
      </c>
      <c r="K243" s="1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60" t="str">
        <f>IF(LEN(OsirisDataElementConcept!I204)=9,"1","0")</f>
        <v>0</v>
      </c>
      <c r="M243" s="83" t="s">
        <v>2</v>
      </c>
    </row>
    <row r="244" spans="8:13" ht="44.25" x14ac:dyDescent="0.75">
      <c r="H244" s="11" t="str">
        <f>OsirisDataElementConcept!A209</f>
        <v>RadiomicsCriteria</v>
      </c>
      <c r="I244" s="11" t="str">
        <f>SUBSTITUTE(OsirisDataElementConcept!C205,"_",".")</f>
        <v>RadiomicsCriteria.LowestIntensity</v>
      </c>
      <c r="J244" s="11" t="str">
        <f>OsirisDataElementConcept!D205&amp;" ["&amp;OsirisDataElementConcept!L205&amp;"]"</f>
        <v>LowestIntensity [I72]</v>
      </c>
      <c r="K244" s="1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60" t="str">
        <f>IF(LEN(OsirisDataElementConcept!I205)=9,"1","0")</f>
        <v>0</v>
      </c>
      <c r="M244" s="83" t="s">
        <v>2</v>
      </c>
    </row>
    <row r="245" spans="8:13" ht="44.25" x14ac:dyDescent="0.75">
      <c r="I245" s="11" t="str">
        <f>SUBSTITUTE(OsirisDataElementConcept!C206,"_",".")</f>
        <v>RadiomicsCriteria.BoundsRangeOfValueAfterDiscretisation</v>
      </c>
      <c r="J245" s="11" t="str">
        <f>OsirisDataElementConcept!D206&amp;" ["&amp;OsirisDataElementConcept!L206&amp;"]"</f>
        <v>BoundsRangeOfValueAfterDiscretisation [I73]</v>
      </c>
      <c r="K245" s="1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60" t="str">
        <f>IF(LEN(OsirisDataElementConcept!I206)=9,"1","0")</f>
        <v>0</v>
      </c>
      <c r="M245" s="83" t="s">
        <v>2</v>
      </c>
    </row>
    <row r="246" spans="8:13" ht="44.25" x14ac:dyDescent="0.75">
      <c r="I246" s="11" t="str">
        <f>SUBSTITUTE(OsirisDataElementConcept!C207,"_",".")</f>
        <v>RadiomicsCriteria.SpatialResamplingMethod</v>
      </c>
      <c r="J246" s="11" t="str">
        <f>OsirisDataElementConcept!D207&amp;" ["&amp;OsirisDataElementConcept!L207&amp;"]"</f>
        <v>SpatialResamplingMethod [I74]</v>
      </c>
      <c r="K246" s="1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60" t="str">
        <f>IF(LEN(OsirisDataElementConcept!I207)=9,"1","0")</f>
        <v>0</v>
      </c>
      <c r="M246" s="83" t="s">
        <v>2</v>
      </c>
    </row>
    <row r="247" spans="8:13" ht="44.25" x14ac:dyDescent="0.75">
      <c r="I247" s="11" t="str">
        <f>SUBSTITUTE(OsirisDataElementConcept!C208,"_",".")</f>
        <v>RadiomicsCriteria.SpatialResamplingValues</v>
      </c>
      <c r="J247" s="11" t="str">
        <f>OsirisDataElementConcept!D208&amp;" ["&amp;OsirisDataElementConcept!L208&amp;"]"</f>
        <v>SpatialResamplingValues [I75]</v>
      </c>
      <c r="K247" s="1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60" t="str">
        <f>IF(LEN(OsirisDataElementConcept!I208)=9,"1","0")</f>
        <v>0</v>
      </c>
      <c r="M247" s="83" t="s">
        <v>2</v>
      </c>
    </row>
    <row r="248" spans="8:13" ht="44.25" x14ac:dyDescent="0.75">
      <c r="I248" s="11" t="str">
        <f>SUBSTITUTE(OsirisDataElementConcept!C209,"_",".")</f>
        <v>RadiomicsCriteria.TextureMatrixAggregation</v>
      </c>
      <c r="J248" s="11" t="str">
        <f>OsirisDataElementConcept!D209&amp;" ["&amp;OsirisDataElementConcept!L209&amp;"]"</f>
        <v>TextureMatrixAggregation [I76]</v>
      </c>
      <c r="K248" s="1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60" t="str">
        <f>IF(LEN(OsirisDataElementConcept!I209)=9,"1","0")</f>
        <v>0</v>
      </c>
      <c r="M248" s="83" t="s">
        <v>2</v>
      </c>
    </row>
    <row r="249" spans="8:13" x14ac:dyDescent="0.75">
      <c r="H249" s="61" t="str">
        <f>OsirisDataElementConcept!$A$210</f>
        <v>RadiomicsImageFilter</v>
      </c>
      <c r="I249" s="61" t="str">
        <f>OsirisDataElementConcept!$A$210</f>
        <v>RadiomicsImageFilter</v>
      </c>
      <c r="J249" s="61" t="str">
        <f>OsirisDataElementConcept!$A$210</f>
        <v>RadiomicsImageFilter</v>
      </c>
      <c r="K249" s="61" t="str">
        <f>OsirisDataElementConcept!$A$210</f>
        <v>RadiomicsImageFilter</v>
      </c>
      <c r="L249" s="62">
        <v>0</v>
      </c>
      <c r="M249" s="61" t="s">
        <v>2</v>
      </c>
    </row>
    <row r="250" spans="8:13" ht="44.25" x14ac:dyDescent="0.75">
      <c r="H250" s="11" t="str">
        <f>OsirisDataElementConcept!A211</f>
        <v>RadiomicsImageFilter</v>
      </c>
      <c r="I250" s="11" t="str">
        <f>SUBSTITUTE(OsirisDataElementConcept!C210,"_",".")</f>
        <v>RadiomicsImageFilter.SoftwareName</v>
      </c>
      <c r="J250" s="11" t="str">
        <f>OsirisDataElementConcept!D210&amp;" ["&amp;OsirisDataElementConcept!L210&amp;"]"</f>
        <v>SoftwareName [I77]</v>
      </c>
      <c r="K250" s="1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60" t="str">
        <f>IF(LEN(OsirisDataElementConcept!I210)=9,"1","0")</f>
        <v>0</v>
      </c>
      <c r="M250" s="83" t="s">
        <v>2</v>
      </c>
    </row>
    <row r="251" spans="8:13" ht="44.25" x14ac:dyDescent="0.75">
      <c r="H251" s="11" t="str">
        <f>OsirisDataElementConcept!A212</f>
        <v>RadiomicsImageFilter</v>
      </c>
      <c r="I251" s="11" t="str">
        <f>SUBSTITUTE(OsirisDataElementConcept!C211,"_",".")</f>
        <v>RadiomicsImageFilter.SoftwareVersion</v>
      </c>
      <c r="J251" s="11" t="str">
        <f>OsirisDataElementConcept!D211&amp;" ["&amp;OsirisDataElementConcept!L211&amp;"]"</f>
        <v>SoftwareVersion [I78]</v>
      </c>
      <c r="K251" s="1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60" t="str">
        <f>IF(LEN(OsirisDataElementConcept!I211)=9,"1","0")</f>
        <v>0</v>
      </c>
      <c r="M251" s="83" t="s">
        <v>2</v>
      </c>
    </row>
    <row r="252" spans="8:13" ht="44.25" x14ac:dyDescent="0.75">
      <c r="H252" s="11" t="str">
        <f>OsirisDataElementConcept!A213</f>
        <v>RadiomicsImageFilter</v>
      </c>
      <c r="I252" s="11" t="str">
        <f>SUBSTITUTE(OsirisDataElementConcept!C212,"_",".")</f>
        <v>RadiomicsImageFilter.FilterName</v>
      </c>
      <c r="J252" s="11" t="str">
        <f>OsirisDataElementConcept!D212&amp;" ["&amp;OsirisDataElementConcept!L212&amp;"]"</f>
        <v>FilterName [I79]</v>
      </c>
      <c r="K252" s="1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60" t="str">
        <f>IF(LEN(OsirisDataElementConcept!I212)=9,"1","0")</f>
        <v>0</v>
      </c>
      <c r="M252" s="83" t="s">
        <v>2</v>
      </c>
    </row>
    <row r="253" spans="8:13" ht="44.25" x14ac:dyDescent="0.75">
      <c r="H253" s="11" t="str">
        <f>OsirisDataElementConcept!A214</f>
        <v>RadiomicsImageFilter</v>
      </c>
      <c r="I253" s="11" t="str">
        <f>SUBSTITUTE(OsirisDataElementConcept!C213,"_",".")</f>
        <v>RadiomicsImageFilter.FilterType</v>
      </c>
      <c r="J253" s="11" t="str">
        <f>OsirisDataElementConcept!D213&amp;" ["&amp;OsirisDataElementConcept!L213&amp;"]"</f>
        <v>FilterType [I80]</v>
      </c>
      <c r="K253" s="1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60" t="str">
        <f>IF(LEN(OsirisDataElementConcept!I213)=9,"1","0")</f>
        <v>0</v>
      </c>
      <c r="M253" s="83" t="s">
        <v>2</v>
      </c>
    </row>
    <row r="254" spans="8:13" ht="44.25" x14ac:dyDescent="0.75">
      <c r="H254" s="11" t="str">
        <f>OsirisDataElementConcept!A215</f>
        <v>RadiomicsImageFilter</v>
      </c>
      <c r="I254" s="11" t="str">
        <f>SUBSTITUTE(OsirisDataElementConcept!C214,"_",".")</f>
        <v>RadiomicsImageFilter.FilterInterpolation</v>
      </c>
      <c r="J254" s="11" t="str">
        <f>OsirisDataElementConcept!D214&amp;" ["&amp;OsirisDataElementConcept!L214&amp;"]"</f>
        <v>FilterInterpolation [I81]</v>
      </c>
      <c r="K254" s="1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60" t="str">
        <f>IF(LEN(OsirisDataElementConcept!I214)=9,"1","0")</f>
        <v>0</v>
      </c>
      <c r="M254" s="83" t="s">
        <v>2</v>
      </c>
    </row>
    <row r="255" spans="8:13" ht="44.25" x14ac:dyDescent="0.75">
      <c r="H255" s="11" t="str">
        <f>OsirisDataElementConcept!A216</f>
        <v>RadiomicsImageFilter</v>
      </c>
      <c r="I255" s="11" t="str">
        <f>SUBSTITUTE(OsirisDataElementConcept!C215,"_",".")</f>
        <v>RadiomicsImageFilter.IntensityRounding</v>
      </c>
      <c r="J255" s="11" t="str">
        <f>OsirisDataElementConcept!D215&amp;" ["&amp;OsirisDataElementConcept!L215&amp;"]"</f>
        <v>IntensityRounding [I82]</v>
      </c>
      <c r="K255" s="1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60" t="str">
        <f>IF(LEN(OsirisDataElementConcept!I215)=9,"1","0")</f>
        <v>0</v>
      </c>
      <c r="M255" s="83" t="s">
        <v>2</v>
      </c>
    </row>
    <row r="256" spans="8:13" ht="44.25" x14ac:dyDescent="0.75">
      <c r="H256" s="11" t="str">
        <f>OsirisDataElementConcept!A217</f>
        <v>RadiomicsFeature</v>
      </c>
      <c r="I256" s="11" t="str">
        <f>SUBSTITUTE(OsirisDataElementConcept!C216,"_",".")</f>
        <v>RadiomicsImageFilter.BoundaryCondition</v>
      </c>
      <c r="J256" s="11" t="str">
        <f>OsirisDataElementConcept!D216&amp;" ["&amp;OsirisDataElementConcept!L216&amp;"]"</f>
        <v>BoundaryCondition [I83]</v>
      </c>
      <c r="K256" s="1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60" t="str">
        <f>IF(LEN(OsirisDataElementConcept!I216)=9,"1","0")</f>
        <v>0</v>
      </c>
      <c r="M256" s="83" t="s">
        <v>2</v>
      </c>
    </row>
    <row r="257" spans="8:13" x14ac:dyDescent="0.75">
      <c r="H257" s="61" t="str">
        <f>OsirisDataElementConcept!$A$218</f>
        <v>RadiomicsFeature</v>
      </c>
      <c r="I257" s="61" t="str">
        <f>OsirisDataElementConcept!$A$218</f>
        <v>RadiomicsFeature</v>
      </c>
      <c r="J257" s="61" t="str">
        <f>OsirisDataElementConcept!$A$218</f>
        <v>RadiomicsFeature</v>
      </c>
      <c r="K257" s="61" t="str">
        <f>OsirisDataElementConcept!$A$218</f>
        <v>RadiomicsFeature</v>
      </c>
      <c r="L257" s="62">
        <v>0</v>
      </c>
      <c r="M257" s="61" t="s">
        <v>2</v>
      </c>
    </row>
    <row r="258" spans="8:13" ht="44.25" x14ac:dyDescent="0.75">
      <c r="H258" s="11" t="str">
        <f>OsirisDataElementConcept!A219</f>
        <v>RadiomicsFeature</v>
      </c>
      <c r="I258" s="11" t="str">
        <f>SUBSTITUTE(OsirisDataElementConcept!C217,"_",".")</f>
        <v>RadiomicsFeature.Id</v>
      </c>
      <c r="J258" s="11" t="str">
        <f>OsirisDataElementConcept!D217&amp;" ["&amp;OsirisDataElementConcept!L217&amp;"]"</f>
        <v>Id [I84]</v>
      </c>
      <c r="K258" s="1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60" t="str">
        <f>IF(LEN(OsirisDataElementConcept!I217)=9,"1","0")</f>
        <v>0</v>
      </c>
      <c r="M258" s="83" t="s">
        <v>2</v>
      </c>
    </row>
    <row r="259" spans="8:13" ht="44.25" x14ac:dyDescent="0.75">
      <c r="I259" s="11" t="str">
        <f>SUBSTITUTE(OsirisDataElementConcept!C218,"_",".")</f>
        <v>RadiomicsFeature.Name</v>
      </c>
      <c r="J259" s="11" t="str">
        <f>OsirisDataElementConcept!D218&amp;" ["&amp;OsirisDataElementConcept!L218&amp;"]"</f>
        <v>Name [I85]</v>
      </c>
      <c r="K259" s="1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60" t="str">
        <f>IF(LEN(OsirisDataElementConcept!I218)=9,"1","0")</f>
        <v>0</v>
      </c>
      <c r="M259" s="83" t="s">
        <v>2</v>
      </c>
    </row>
    <row r="260" spans="8:13" ht="44.25" x14ac:dyDescent="0.75">
      <c r="I260" s="11" t="str">
        <f>SUBSTITUTE(OsirisDataElementConcept!C219,"_",".")</f>
        <v>RadiomicsFeature.Value</v>
      </c>
      <c r="J260" s="11" t="str">
        <f>OsirisDataElementConcept!D219&amp;" ["&amp;OsirisDataElementConcept!L219&amp;"]"</f>
        <v>Value [I86]</v>
      </c>
      <c r="K260" s="1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60" t="str">
        <f>IF(LEN(OsirisDataElementConcept!I219)=9,"1","0")</f>
        <v>0</v>
      </c>
      <c r="M260" s="83" t="s">
        <v>2</v>
      </c>
    </row>
  </sheetData>
  <autoFilter ref="D2:U232" xr:uid="{65625CB6-A4D1-445C-8FA0-02E90328069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style="11" customWidth="1"/>
    <col min="2" max="2" width="59.5" style="11" customWidth="1"/>
    <col min="3" max="3" width="44.6328125" style="11" customWidth="1"/>
    <col min="4" max="4" width="71.58984375" style="11" bestFit="1" customWidth="1"/>
    <col min="5" max="5" width="10.81640625" style="11" customWidth="1"/>
    <col min="6" max="6" width="9" style="11" customWidth="1"/>
    <col min="7" max="7" width="56.58984375" style="11" customWidth="1"/>
    <col min="8" max="8" width="21.76953125" style="11" customWidth="1"/>
    <col min="9" max="9" width="67.1796875" style="12" customWidth="1"/>
    <col min="10" max="10" width="19.31640625" style="11" customWidth="1"/>
    <col min="11" max="11" width="8.7265625" style="11"/>
    <col min="12" max="12" width="45.81640625" style="12" customWidth="1"/>
    <col min="13" max="13" width="8.7265625" style="11" customWidth="1"/>
    <col min="14" max="16384" width="8.7265625" style="11"/>
  </cols>
  <sheetData>
    <row r="1" spans="1:9" x14ac:dyDescent="0.75">
      <c r="B1" s="15"/>
      <c r="C1" s="15"/>
      <c r="D1" s="15"/>
      <c r="I1" s="28" t="s">
        <v>21</v>
      </c>
    </row>
    <row r="2" spans="1:9" x14ac:dyDescent="0.75">
      <c r="B2" s="15"/>
      <c r="C2" s="15"/>
      <c r="D2" s="15"/>
      <c r="I2" s="29" t="s">
        <v>20</v>
      </c>
    </row>
    <row r="3" spans="1:9" ht="15.5" thickBot="1" x14ac:dyDescent="0.9">
      <c r="B3" s="15"/>
      <c r="C3" s="15"/>
      <c r="D3" s="15"/>
      <c r="I3" s="29" t="str">
        <f>I1</f>
        <v>// -------------------------------------------------------------------------------</v>
      </c>
    </row>
    <row r="4" spans="1:9" x14ac:dyDescent="0.75">
      <c r="A4" s="5" t="s">
        <v>12</v>
      </c>
      <c r="B4" s="51" t="s">
        <v>1406</v>
      </c>
      <c r="C4" s="15"/>
      <c r="D4" s="15"/>
      <c r="I4" s="21" t="str">
        <f>CONCATENATE("Logical: ",B4)</f>
        <v>Logical: Osiris</v>
      </c>
    </row>
    <row r="5" spans="1:9" x14ac:dyDescent="0.75">
      <c r="A5" s="18" t="s">
        <v>17</v>
      </c>
      <c r="B5" s="52" t="s">
        <v>1406</v>
      </c>
      <c r="C5" s="15"/>
      <c r="D5" s="15"/>
      <c r="I5" s="21" t="str">
        <f>CONCATENATE("Id: ",B5)</f>
        <v>Id: Osiris</v>
      </c>
    </row>
    <row r="6" spans="1:9" x14ac:dyDescent="0.75">
      <c r="A6" s="19" t="s">
        <v>11</v>
      </c>
      <c r="B6" s="53" t="s">
        <v>1407</v>
      </c>
      <c r="C6" s="15"/>
      <c r="D6" s="15"/>
      <c r="I6" s="22" t="str">
        <f>CONCATENATE("Title: ##34#",B6,"##34#")</f>
        <v>Title: ##34#Osiris Model##34#</v>
      </c>
    </row>
    <row r="7" spans="1:9" ht="15.5" thickBot="1" x14ac:dyDescent="0.9">
      <c r="A7" s="32" t="s">
        <v>3</v>
      </c>
      <c r="B7" s="58" t="s">
        <v>1408</v>
      </c>
      <c r="C7" s="9" t="s">
        <v>4</v>
      </c>
      <c r="D7" s="1" t="s">
        <v>5</v>
      </c>
      <c r="E7" s="3" t="s">
        <v>6</v>
      </c>
      <c r="F7" s="3" t="s">
        <v>7</v>
      </c>
      <c r="G7" s="3" t="s">
        <v>8</v>
      </c>
      <c r="I7" s="22" t="str">
        <f>CONCATENATE("Description: "," ##334#",B7,"##334#",)</f>
        <v>Description:  ##334#Osiris Data Element Concept##334#</v>
      </c>
    </row>
    <row r="8" spans="1:9" x14ac:dyDescent="0.75">
      <c r="A8" s="13">
        <v>1</v>
      </c>
      <c r="B8" s="13" t="str">
        <f>ConvertOsiris!I2</f>
        <v>Patient</v>
      </c>
      <c r="C8" s="14" t="str">
        <f>ConvertOsiris!J2</f>
        <v>Patient</v>
      </c>
      <c r="D8" s="14" t="str">
        <f>ConvertOsiris!K2</f>
        <v>Patient</v>
      </c>
      <c r="E8" s="14" t="str">
        <f>ConvertOsiris!L2</f>
        <v>1</v>
      </c>
      <c r="F8" s="13" t="s">
        <v>9</v>
      </c>
      <c r="G8" s="13" t="str">
        <f>ConvertOsiris!M2</f>
        <v>BackboneElement</v>
      </c>
      <c r="H8" s="31"/>
      <c r="I8" s="30" t="str">
        <f t="shared" ref="I8:I71" si="0">IF(B8=0,"//---- END",CONCATENATE("* ",B8, " ",E8,"..",F8," ",G8," ##34#",C8,"##34# ##334#",D8,"##334#"))</f>
        <v>* Patient 1..* BackboneElement ##34#Patient##34# ##334#Patient##334#</v>
      </c>
    </row>
    <row r="9" spans="1:9" ht="44.25" x14ac:dyDescent="0.75">
      <c r="A9" s="13">
        <v>2</v>
      </c>
      <c r="B9" s="13" t="str">
        <f>ConvertOsiris!I3</f>
        <v>Patient.Id</v>
      </c>
      <c r="C9" s="14" t="str">
        <f>ConvertOsiris!J3</f>
        <v>Patient Id [C1]</v>
      </c>
      <c r="D9" s="14" t="str">
        <f>ConvertOsiris!K3</f>
        <v>Patient ID in the center providing the information
_x000D_mandatory</v>
      </c>
      <c r="E9" s="14" t="str">
        <f>ConvertOsiris!L3</f>
        <v>1</v>
      </c>
      <c r="F9" s="13" t="s">
        <v>9</v>
      </c>
      <c r="G9" s="13" t="str">
        <f>ConvertOsiris!M3</f>
        <v>string</v>
      </c>
      <c r="H9" s="31"/>
      <c r="I9" s="30" t="str">
        <f t="shared" si="0"/>
        <v>* Patient.Id 1..* string ##34#Patient Id [C1]##34# ##334#Patient ID in the center providing the information
_x000D_mandatory##334#</v>
      </c>
    </row>
    <row r="10" spans="1:9" ht="59" x14ac:dyDescent="0.75">
      <c r="A10" s="13">
        <v>3</v>
      </c>
      <c r="B10" s="13" t="str">
        <f>ConvertOsiris!I4</f>
        <v>Patient.Gender</v>
      </c>
      <c r="C10" s="14" t="str">
        <f>ConvertOsiris!J4</f>
        <v>Gender [C2]</v>
      </c>
      <c r="D10" s="14" t="str">
        <f>ConvertOsiris!K4</f>
        <v>Gender of the patient
_x000D_ConceptualDomain: FHIR:AdministrativeGender
_x000D_mandatory</v>
      </c>
      <c r="E10" s="14" t="str">
        <f>ConvertOsiris!L4</f>
        <v>1</v>
      </c>
      <c r="F10" s="13" t="s">
        <v>9</v>
      </c>
      <c r="G10" s="13" t="str">
        <f>ConvertOsiris!M4</f>
        <v>string</v>
      </c>
      <c r="H10" s="31"/>
      <c r="I10" s="30" t="str">
        <f t="shared" si="0"/>
        <v>* Patient.Gender 1..* string ##34#Gender [C2]##34# ##334#Gender of the patient
_x000D_ConceptualDomain: FHIR:AdministrativeGender
_x000D_mandatory##334#</v>
      </c>
    </row>
    <row r="11" spans="1:9" ht="59" x14ac:dyDescent="0.75">
      <c r="A11" s="13">
        <v>4</v>
      </c>
      <c r="B11" s="13" t="str">
        <f>ConvertOsiris!I5</f>
        <v>Patient.Ethnicity</v>
      </c>
      <c r="C11" s="14" t="str">
        <f>ConvertOsiris!J5</f>
        <v>Ethnicity [C3]</v>
      </c>
      <c r="D11" s="14" t="str">
        <f>ConvertOsiris!K5</f>
        <v>Ethnicity of the patient
_x000D_ConceptualDomain: FHIR:Race
_x000D_optional</v>
      </c>
      <c r="E11" s="14" t="str">
        <f>ConvertOsiris!L5</f>
        <v>0</v>
      </c>
      <c r="F11" s="13" t="s">
        <v>9</v>
      </c>
      <c r="G11" s="13" t="str">
        <f>ConvertOsiris!M5</f>
        <v>string</v>
      </c>
      <c r="H11" s="31"/>
      <c r="I11" s="30" t="str">
        <f t="shared" si="0"/>
        <v>* Patient.Ethnicity 0..* string ##34#Ethnicity [C3]##34# ##334#Ethnicity of the patient
_x000D_ConceptualDomain: FHIR:Race
_x000D_optional##334#</v>
      </c>
    </row>
    <row r="12" spans="1:9" ht="44.25" x14ac:dyDescent="0.75">
      <c r="A12" s="13">
        <v>5</v>
      </c>
      <c r="B12" s="13" t="str">
        <f>ConvertOsiris!I6</f>
        <v>Patient.BirthDate</v>
      </c>
      <c r="C12" s="14" t="str">
        <f>ConvertOsiris!J6</f>
        <v>Birth Date [C4]</v>
      </c>
      <c r="D12" s="14" t="str">
        <f>ConvertOsiris!K6</f>
        <v>Date of birth of the patient
_x000D_mandatory</v>
      </c>
      <c r="E12" s="14" t="str">
        <f>ConvertOsiris!L6</f>
        <v>1</v>
      </c>
      <c r="F12" s="13" t="s">
        <v>9</v>
      </c>
      <c r="G12" s="13" t="str">
        <f>ConvertOsiris!M6</f>
        <v>date</v>
      </c>
      <c r="H12" s="31"/>
      <c r="I12" s="30" t="str">
        <f t="shared" si="0"/>
        <v>* Patient.BirthDate 1..* date ##34#Birth Date [C4]##34# ##334#Date of birth of the patient
_x000D_mandatory##334#</v>
      </c>
    </row>
    <row r="13" spans="1:9" ht="44.25" x14ac:dyDescent="0.75">
      <c r="A13" s="13">
        <v>6</v>
      </c>
      <c r="B13" s="13" t="str">
        <f>ConvertOsiris!I7</f>
        <v>Patient.DeathDate</v>
      </c>
      <c r="C13" s="14" t="str">
        <f>ConvertOsiris!J7</f>
        <v>Death Date [C5]</v>
      </c>
      <c r="D13" s="14" t="str">
        <f>ConvertOsiris!K7</f>
        <v>Date of death of the patient
_x000D_optional</v>
      </c>
      <c r="E13" s="14" t="str">
        <f>ConvertOsiris!L7</f>
        <v>0</v>
      </c>
      <c r="F13" s="13" t="s">
        <v>9</v>
      </c>
      <c r="G13" s="13" t="str">
        <f>ConvertOsiris!M7</f>
        <v>date</v>
      </c>
      <c r="H13" s="31"/>
      <c r="I13" s="30" t="str">
        <f t="shared" si="0"/>
        <v>* Patient.DeathDate 0..* date ##34#Death Date [C5]##34# ##334#Date of death of the patient
_x000D_optional##334#</v>
      </c>
    </row>
    <row r="14" spans="1:9" ht="44.25" x14ac:dyDescent="0.75">
      <c r="A14" s="13">
        <v>7</v>
      </c>
      <c r="B14" s="13" t="str">
        <f>ConvertOsiris!I8</f>
        <v>Patient.ProviderCenterId</v>
      </c>
      <c r="C14" s="14" t="str">
        <f>ConvertOsiris!J8</f>
        <v>Provider  Center  Id [C6]</v>
      </c>
      <c r="D14" s="14" t="str">
        <f>ConvertOsiris!K8</f>
        <v>Center ID of the center providing the information
_x000D_mandatory</v>
      </c>
      <c r="E14" s="14" t="str">
        <f>ConvertOsiris!L8</f>
        <v>1</v>
      </c>
      <c r="F14" s="13" t="s">
        <v>9</v>
      </c>
      <c r="G14" s="13" t="str">
        <f>ConvertOsiris!M8</f>
        <v>string</v>
      </c>
      <c r="H14" s="31"/>
      <c r="I14" s="30" t="str">
        <f t="shared" si="0"/>
        <v>* Patient.ProviderCenterId 1..* string ##34#Provider  Center  Id [C6]##34# ##334#Center ID of the center providing the information
_x000D_mandatory##334#</v>
      </c>
    </row>
    <row r="15" spans="1:9" ht="44.25" x14ac:dyDescent="0.75">
      <c r="A15" s="13">
        <v>8</v>
      </c>
      <c r="B15" s="13" t="str">
        <f>ConvertOsiris!I9</f>
        <v>Patient.OriginCenterId</v>
      </c>
      <c r="C15" s="14" t="str">
        <f>ConvertOsiris!J9</f>
        <v>Origin  Center  Id [C71]</v>
      </c>
      <c r="D15" s="14" t="str">
        <f>ConvertOsiris!K9</f>
        <v>Center ID of the center of origin of the patient
_x000D_mandatory</v>
      </c>
      <c r="E15" s="14" t="str">
        <f>ConvertOsiris!L9</f>
        <v>1</v>
      </c>
      <c r="F15" s="13" t="s">
        <v>9</v>
      </c>
      <c r="G15" s="13" t="str">
        <f>ConvertOsiris!M9</f>
        <v>string</v>
      </c>
      <c r="H15" s="31"/>
      <c r="I15" s="30" t="str">
        <f t="shared" si="0"/>
        <v>* Patient.OriginCenterId 1..* string ##34#Origin  Center  Id [C71]##34# ##334#Center ID of the center of origin of the patient
_x000D_mandatory##334#</v>
      </c>
    </row>
    <row r="16" spans="1:9" ht="59" x14ac:dyDescent="0.75">
      <c r="A16" s="13">
        <v>9</v>
      </c>
      <c r="B16" s="13" t="str">
        <f>ConvertOsiris!I10</f>
        <v>Patient.CauseOfDeath</v>
      </c>
      <c r="C16" s="14" t="str">
        <f>ConvertOsiris!J10</f>
        <v>Cause of death [C7]</v>
      </c>
      <c r="D16" s="14" t="str">
        <f>ConvertOsiris!K10</f>
        <v>Description of the cause of death of the patient 
_x000D_ConceptualDomain: UMLS:C0007465
_x000D_mandatory if DeathDate is set</v>
      </c>
      <c r="E16" s="14" t="str">
        <f>ConvertOsiris!L10</f>
        <v>0</v>
      </c>
      <c r="F16" s="13" t="s">
        <v>9</v>
      </c>
      <c r="G16" s="13" t="str">
        <f>ConvertOsiris!M10</f>
        <v>string</v>
      </c>
      <c r="H16" s="31"/>
      <c r="I16" s="30" t="str">
        <f t="shared" si="0"/>
        <v>* Patient.CauseOfDeath 0..* string ##34#Cause of death [C7]##34# ##334#Description of the cause of death of the patient 
_x000D_ConceptualDomain: UMLS:C0007465
_x000D_mandatory if DeathDate is set##334#</v>
      </c>
    </row>
    <row r="17" spans="1:9" ht="59" x14ac:dyDescent="0.75">
      <c r="A17" s="13">
        <v>10</v>
      </c>
      <c r="B17" s="13" t="str">
        <f>ConvertOsiris!I11</f>
        <v>Patient.LastNewsDate</v>
      </c>
      <c r="C17" s="14" t="str">
        <f>ConvertOsiris!J11</f>
        <v>Last News Date [C8]</v>
      </c>
      <c r="D17" s="14" t="str">
        <f>ConvertOsiris!K11</f>
        <v>Date of last news (= date of last patient visit if there is no other information available) (day is set to the 15th)
_x000D_mandatory</v>
      </c>
      <c r="E17" s="14" t="str">
        <f>ConvertOsiris!L11</f>
        <v>1</v>
      </c>
      <c r="F17" s="13" t="s">
        <v>9</v>
      </c>
      <c r="G17" s="13" t="str">
        <f>ConvertOsiris!M11</f>
        <v>date</v>
      </c>
      <c r="H17" s="31"/>
      <c r="I17" s="30" t="str">
        <f t="shared" si="0"/>
        <v>* Patient.LastNewsDate 1..* date ##34#Last News Date [C8]##34# ##334#Date of last news (= date of last patient visit if there is no other information available) (day is set to the 15th)
_x000D_mandatory##334#</v>
      </c>
    </row>
    <row r="18" spans="1:9" ht="59" x14ac:dyDescent="0.75">
      <c r="A18" s="13">
        <v>11</v>
      </c>
      <c r="B18" s="13" t="str">
        <f>ConvertOsiris!I12</f>
        <v>Patient.LastNewsStatus</v>
      </c>
      <c r="C18" s="14" t="str">
        <f>ConvertOsiris!J12</f>
        <v>Last News Status [C9]</v>
      </c>
      <c r="D18" s="14" t="str">
        <f>ConvertOsiris!K12</f>
        <v>Indicator of the patient's last known vital status (alive or deceased)
_x000D_ConceptualDomain: OSIRIS:LastNewsStatus
_x000D_mandatory</v>
      </c>
      <c r="E18" s="14" t="str">
        <f>ConvertOsiris!L12</f>
        <v>1</v>
      </c>
      <c r="F18" s="13" t="s">
        <v>9</v>
      </c>
      <c r="G18" s="13" t="str">
        <f>ConvertOsiris!M12</f>
        <v>string</v>
      </c>
      <c r="H18" s="31"/>
      <c r="I18" s="30" t="str">
        <f t="shared" si="0"/>
        <v>* Patient.LastNewsStatus 1..* string ##34#Last News Status [C9]##34# ##334#Indicator of the patient's last known vital status (alive or deceased)
_x000D_ConceptualDomain: OSIRIS:LastNewsStatus
_x000D_mandatory##334#</v>
      </c>
    </row>
    <row r="19" spans="1:9" x14ac:dyDescent="0.75">
      <c r="A19" s="13">
        <v>12</v>
      </c>
      <c r="B19" s="13" t="str">
        <f>ConvertOsiris!I13</f>
        <v>Consent</v>
      </c>
      <c r="C19" s="14" t="str">
        <f>ConvertOsiris!J13</f>
        <v>Consent</v>
      </c>
      <c r="D19" s="14" t="str">
        <f>ConvertOsiris!K13</f>
        <v>Consent</v>
      </c>
      <c r="E19" s="14">
        <f>ConvertOsiris!L13</f>
        <v>1</v>
      </c>
      <c r="F19" s="13" t="s">
        <v>9</v>
      </c>
      <c r="G19" s="13" t="str">
        <f>ConvertOsiris!M13</f>
        <v>BackboneElement</v>
      </c>
      <c r="H19" s="31"/>
      <c r="I19" s="30" t="str">
        <f t="shared" si="0"/>
        <v>* Consent 1..* BackboneElement ##34#Consent##34# ##334#Consent##334#</v>
      </c>
    </row>
    <row r="20" spans="1:9" ht="44.25" x14ac:dyDescent="0.75">
      <c r="A20" s="13">
        <v>13</v>
      </c>
      <c r="B20" s="13" t="str">
        <f>ConvertOsiris!I14</f>
        <v>Consent.Date</v>
      </c>
      <c r="C20" s="14" t="str">
        <f>ConvertOsiris!J14</f>
        <v>Date [C72]</v>
      </c>
      <c r="D20" s="14" t="str">
        <f>ConvertOsiris!K14</f>
        <v>Date of consent signature
_x000D_mandatory</v>
      </c>
      <c r="E20" s="14" t="str">
        <f>ConvertOsiris!L14</f>
        <v>1</v>
      </c>
      <c r="F20" s="13" t="s">
        <v>9</v>
      </c>
      <c r="G20" s="13" t="str">
        <f>ConvertOsiris!M14</f>
        <v>date</v>
      </c>
      <c r="H20" s="31"/>
      <c r="I20" s="30" t="str">
        <f t="shared" si="0"/>
        <v>* Consent.Date 1..* date ##34#Date [C72]##34# ##334#Date of consent signature
_x000D_mandatory##334#</v>
      </c>
    </row>
    <row r="21" spans="1:9" ht="59" x14ac:dyDescent="0.75">
      <c r="A21" s="13">
        <v>14</v>
      </c>
      <c r="B21" s="13" t="str">
        <f>ConvertOsiris!I15</f>
        <v>Consent.GeneticAnalysisAuthorization</v>
      </c>
      <c r="C21" s="14" t="str">
        <f>ConvertOsiris!J15</f>
        <v>Genetic Analysis Authorization [C79]</v>
      </c>
      <c r="D21" s="14" t="str">
        <f>ConvertOsiris!K15</f>
        <v>Consent for genetic analysis
_x000D_ConceptualDomain: OSIRIS:Boolean
_x000D_mandatory</v>
      </c>
      <c r="E21" s="14" t="str">
        <f>ConvertOsiris!L15</f>
        <v>1</v>
      </c>
      <c r="F21" s="13" t="s">
        <v>9</v>
      </c>
      <c r="G21" s="13" t="str">
        <f>ConvertOsiris!M15</f>
        <v>string</v>
      </c>
      <c r="H21" s="31"/>
      <c r="I21" s="30" t="str">
        <f t="shared" si="0"/>
        <v>* Consent.GeneticAnalysisAuthorization 1..* string ##34#Genetic Analysis Authorization [C79]##34# ##334#Consent for genetic analysis
_x000D_ConceptualDomain: OSIRIS:Boolean
_x000D_mandatory##334#</v>
      </c>
    </row>
    <row r="22" spans="1:9" ht="29.5" x14ac:dyDescent="0.75">
      <c r="A22" s="13">
        <v>15</v>
      </c>
      <c r="B22" s="13" t="str">
        <f>ConvertOsiris!I16</f>
        <v>RelatedPathology</v>
      </c>
      <c r="C22" s="14" t="str">
        <f>ConvertOsiris!J16</f>
        <v>RelatedPathology</v>
      </c>
      <c r="D22" s="14" t="str">
        <f>ConvertOsiris!K16</f>
        <v>RelatedPathology</v>
      </c>
      <c r="E22" s="14">
        <f>ConvertOsiris!L16</f>
        <v>0</v>
      </c>
      <c r="F22" s="13" t="s">
        <v>9</v>
      </c>
      <c r="G22" s="13" t="str">
        <f>ConvertOsiris!M16</f>
        <v>BackboneElement</v>
      </c>
      <c r="H22" s="31"/>
      <c r="I22" s="30" t="str">
        <f t="shared" si="0"/>
        <v>* RelatedPathology 0..* BackboneElement ##34#RelatedPathology##34# ##334#RelatedPathology##334#</v>
      </c>
    </row>
    <row r="23" spans="1:9" ht="73.75" x14ac:dyDescent="0.75">
      <c r="A23" s="13">
        <v>16</v>
      </c>
      <c r="B23" s="13" t="str">
        <f>ConvertOsiris!I17</f>
        <v>RelatedPathology.PathologyCode</v>
      </c>
      <c r="C23" s="14" t="str">
        <f>ConvertOsiris!J17</f>
        <v>Pathology Code [C13]</v>
      </c>
      <c r="D23" s="14" t="str">
        <f>ConvertOsiris!K17</f>
        <v>International code for the related disease (other than cancer). 3 characters.
_x000D_ConceptualDomain: ICD10
_x000D_mandatory if ObjectClass is set</v>
      </c>
      <c r="E23" s="14" t="str">
        <f>ConvertOsiris!L17</f>
        <v>0</v>
      </c>
      <c r="F23" s="13" t="s">
        <v>9</v>
      </c>
      <c r="G23" s="13" t="str">
        <f>ConvertOsiris!M17</f>
        <v>string</v>
      </c>
      <c r="H23" s="31"/>
      <c r="I23" s="30"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3">
        <v>17</v>
      </c>
      <c r="B24" s="13" t="str">
        <f>ConvertOsiris!I18</f>
        <v>RelatedPathology.DiagnosisDate</v>
      </c>
      <c r="C24" s="14" t="str">
        <f>ConvertOsiris!J18</f>
        <v>Diagnosis Date [C14]</v>
      </c>
      <c r="D24" s="14" t="str">
        <f>ConvertOsiris!K18</f>
        <v>Date of diagnosis for the related disease.
_x000D_mandatory if ObjectClass is set</v>
      </c>
      <c r="E24" s="14" t="str">
        <f>ConvertOsiris!L18</f>
        <v>0</v>
      </c>
      <c r="F24" s="13" t="s">
        <v>9</v>
      </c>
      <c r="G24" s="13" t="str">
        <f>ConvertOsiris!M18</f>
        <v>date</v>
      </c>
      <c r="H24" s="31"/>
      <c r="I24" s="30" t="str">
        <f t="shared" si="0"/>
        <v>* RelatedPathology.DiagnosisDate 0..* date ##34#Diagnosis Date [C14]##34# ##334#Date of diagnosis for the related disease.
_x000D_mandatory if ObjectClass is set##334#</v>
      </c>
    </row>
    <row r="25" spans="1:9" ht="59" x14ac:dyDescent="0.75">
      <c r="A25" s="13">
        <v>18</v>
      </c>
      <c r="B25" s="13" t="str">
        <f>ConvertOsiris!I19</f>
        <v>RelatedPathology.PathologyEndDate</v>
      </c>
      <c r="C25" s="14" t="str">
        <f>ConvertOsiris!J19</f>
        <v>Pathology End Date [C15]</v>
      </c>
      <c r="D25" s="14" t="str">
        <f>ConvertOsiris!K19</f>
        <v>Date of the end of the related disease (if occuring and known)
_x000D_optional</v>
      </c>
      <c r="E25" s="14" t="str">
        <f>ConvertOsiris!L19</f>
        <v>0</v>
      </c>
      <c r="F25" s="13" t="s">
        <v>9</v>
      </c>
      <c r="G25" s="13" t="str">
        <f>ConvertOsiris!M19</f>
        <v>date</v>
      </c>
      <c r="H25" s="31"/>
      <c r="I25" s="30" t="str">
        <f t="shared" si="0"/>
        <v>* RelatedPathology.PathologyEndDate 0..* date ##34#Pathology End Date [C15]##34# ##334#Date of the end of the related disease (if occuring and known)
_x000D_optional##334#</v>
      </c>
    </row>
    <row r="26" spans="1:9" ht="29.5" x14ac:dyDescent="0.75">
      <c r="A26" s="13">
        <v>19</v>
      </c>
      <c r="B26" s="13" t="str">
        <f>ConvertOsiris!I20</f>
        <v>FamilyCancerHistory</v>
      </c>
      <c r="C26" s="14" t="str">
        <f>ConvertOsiris!J20</f>
        <v>FamilyCancerHistory</v>
      </c>
      <c r="D26" s="14" t="str">
        <f>ConvertOsiris!K20</f>
        <v>FamilyCancerHistory</v>
      </c>
      <c r="E26" s="14">
        <f>ConvertOsiris!L20</f>
        <v>0</v>
      </c>
      <c r="F26" s="13" t="s">
        <v>9</v>
      </c>
      <c r="G26" s="13" t="str">
        <f>ConvertOsiris!M20</f>
        <v>BackboneElement</v>
      </c>
      <c r="H26" s="31"/>
      <c r="I26" s="30" t="str">
        <f t="shared" si="0"/>
        <v>* FamilyCancerHistory 0..* BackboneElement ##34#FamilyCancerHistory##34# ##334#FamilyCancerHistory##334#</v>
      </c>
    </row>
    <row r="27" spans="1:9" ht="73.75" x14ac:dyDescent="0.75">
      <c r="A27" s="13">
        <v>20</v>
      </c>
      <c r="B27" s="13" t="str">
        <f>ConvertOsiris!I21</f>
        <v>FamilyCancerHistory.TopographyCode</v>
      </c>
      <c r="C27" s="14" t="str">
        <f>ConvertOsiris!J21</f>
        <v>Topography Code [C17]</v>
      </c>
      <c r="D27" s="14" t="str">
        <f>ConvertOsiris!K21</f>
        <v>International code for the localization of the oncologic primary site
_x000D_ConceptualDomain: ICDO3:Topography
_x000D_mandatory if ObjectClass is set</v>
      </c>
      <c r="E27" s="14" t="str">
        <f>ConvertOsiris!L21</f>
        <v>0</v>
      </c>
      <c r="F27" s="13" t="s">
        <v>9</v>
      </c>
      <c r="G27" s="13" t="str">
        <f>ConvertOsiris!M21</f>
        <v>string</v>
      </c>
      <c r="H27" s="31"/>
      <c r="I27" s="30"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3">
        <v>21</v>
      </c>
      <c r="B28" s="13" t="str">
        <f>ConvertOsiris!I22</f>
        <v>FamilyCancerHistory.Parentage</v>
      </c>
      <c r="C28" s="14" t="str">
        <f>ConvertOsiris!J22</f>
        <v>Parentage [C77]</v>
      </c>
      <c r="D28" s="14" t="str">
        <f>ConvertOsiris!K22</f>
        <v>Family relationship
_x000D_ConceptualDomain: OSIRIS:FamilyCancerHistoryParentage
_x000D_mandatory if ObjectClass is set</v>
      </c>
      <c r="E28" s="14" t="str">
        <f>ConvertOsiris!L22</f>
        <v>0</v>
      </c>
      <c r="F28" s="13" t="s">
        <v>9</v>
      </c>
      <c r="G28" s="13" t="str">
        <f>ConvertOsiris!M22</f>
        <v>string</v>
      </c>
      <c r="H28" s="31"/>
      <c r="I28" s="30" t="str">
        <f t="shared" si="0"/>
        <v>* FamilyCancerHistory.Parentage 0..* string ##34#Parentage [C77]##34# ##334#Family relationship
_x000D_ConceptualDomain: OSIRIS:FamilyCancerHistoryParentage
_x000D_mandatory if ObjectClass is set##334#</v>
      </c>
    </row>
    <row r="29" spans="1:9" ht="29.5" x14ac:dyDescent="0.75">
      <c r="A29" s="13">
        <v>22</v>
      </c>
      <c r="B29" s="13" t="str">
        <f>ConvertOsiris!I23</f>
        <v>TumorPathologyEvent</v>
      </c>
      <c r="C29" s="14" t="str">
        <f>ConvertOsiris!J23</f>
        <v>TumorPathologyEvent</v>
      </c>
      <c r="D29" s="14" t="str">
        <f>ConvertOsiris!K23</f>
        <v>TumorPathologyEvent</v>
      </c>
      <c r="E29" s="14">
        <f>ConvertOsiris!L23</f>
        <v>1</v>
      </c>
      <c r="F29" s="13" t="s">
        <v>9</v>
      </c>
      <c r="G29" s="13" t="str">
        <f>ConvertOsiris!M23</f>
        <v>BackboneElement</v>
      </c>
      <c r="H29" s="31"/>
      <c r="I29" s="30" t="str">
        <f t="shared" si="0"/>
        <v>* TumorPathologyEvent 1..* BackboneElement ##34#TumorPathologyEvent##34# ##334#TumorPathologyEvent##334#</v>
      </c>
    </row>
    <row r="30" spans="1:9" ht="88.5" x14ac:dyDescent="0.75">
      <c r="A30" s="13">
        <v>23</v>
      </c>
      <c r="B30" s="13" t="str">
        <f>ConvertOsiris!I24</f>
        <v>TumorPathologyEvent.Type</v>
      </c>
      <c r="C30" s="14" t="str">
        <f>ConvertOsiris!J24</f>
        <v>Type [C20]</v>
      </c>
      <c r="D30" s="14" t="str">
        <f>ConvertOsiris!K24</f>
        <v>The field 'Type' allows to describe the 'Cancer' event as a global disease, as well as the various events constituting this disease (primary tumor, local relapse, metastatic relapse...)
_x000D_ConceptualDomain: OSIRIS:EventType
_x000D_mandatory</v>
      </c>
      <c r="E30" s="14" t="str">
        <f>ConvertOsiris!L24</f>
        <v>1</v>
      </c>
      <c r="F30" s="13" t="s">
        <v>9</v>
      </c>
      <c r="G30" s="13" t="str">
        <f>ConvertOsiris!M24</f>
        <v>string</v>
      </c>
      <c r="H30" s="31"/>
      <c r="I30" s="30"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3">
        <v>24</v>
      </c>
      <c r="B31" s="13" t="str">
        <f>ConvertOsiris!I25</f>
        <v>TumorPathologyEvent.StartDate</v>
      </c>
      <c r="C31" s="14" t="str">
        <f>ConvertOsiris!J25</f>
        <v>Start Date [C21]</v>
      </c>
      <c r="D31" s="14" t="str">
        <f>ConvertOsiris!K25</f>
        <v>Date of start of cancer event or disease
_x000D_mandatory</v>
      </c>
      <c r="E31" s="14" t="str">
        <f>ConvertOsiris!L25</f>
        <v>1</v>
      </c>
      <c r="F31" s="13" t="s">
        <v>9</v>
      </c>
      <c r="G31" s="13" t="str">
        <f>ConvertOsiris!M25</f>
        <v>date</v>
      </c>
      <c r="H31" s="31"/>
      <c r="I31" s="30" t="str">
        <f t="shared" si="0"/>
        <v>* TumorPathologyEvent.StartDate 1..* date ##34#Start Date [C21]##34# ##334#Date of start of cancer event or disease
_x000D_mandatory##334#</v>
      </c>
    </row>
    <row r="32" spans="1:9" ht="44.25" x14ac:dyDescent="0.75">
      <c r="A32" s="13">
        <v>25</v>
      </c>
      <c r="B32" s="13" t="str">
        <f>ConvertOsiris!I26</f>
        <v>TumorPathologyEvent.EndDate</v>
      </c>
      <c r="C32" s="14" t="str">
        <f>ConvertOsiris!J26</f>
        <v>End Date [C82]</v>
      </c>
      <c r="D32" s="14" t="str">
        <f>ConvertOsiris!K26</f>
        <v>Date of end of cancer event or disease
_x000D_optional</v>
      </c>
      <c r="E32" s="14" t="str">
        <f>ConvertOsiris!L26</f>
        <v>0</v>
      </c>
      <c r="F32" s="13" t="s">
        <v>9</v>
      </c>
      <c r="G32" s="13" t="str">
        <f>ConvertOsiris!M26</f>
        <v>date</v>
      </c>
      <c r="H32" s="31"/>
      <c r="I32" s="30" t="str">
        <f t="shared" si="0"/>
        <v>* TumorPathologyEvent.EndDate 0..* date ##34#End Date [C82]##34# ##334#Date of end of cancer event or disease
_x000D_optional##334#</v>
      </c>
    </row>
    <row r="33" spans="1:9" ht="73.75" x14ac:dyDescent="0.75">
      <c r="A33" s="13">
        <v>26</v>
      </c>
      <c r="B33" s="13" t="str">
        <f>ConvertOsiris!I27</f>
        <v>TumorPathologyEvent.PerformanceStatus</v>
      </c>
      <c r="C33" s="14" t="str">
        <f>ConvertOsiris!J27</f>
        <v>Performance Status [C22]</v>
      </c>
      <c r="D33" s="14" t="str">
        <f>ConvertOsiris!K27</f>
        <v>Definition of the autonomy scale (Karnofsky scale or OMS)
_x000D_ConceptualDomain: OMS:PerformanceStatus
_x000D_optional</v>
      </c>
      <c r="E33" s="14" t="str">
        <f>ConvertOsiris!L27</f>
        <v>0</v>
      </c>
      <c r="F33" s="13" t="s">
        <v>9</v>
      </c>
      <c r="G33" s="13" t="str">
        <f>ConvertOsiris!M27</f>
        <v>string</v>
      </c>
      <c r="H33" s="31"/>
      <c r="I33" s="30" t="str">
        <f t="shared" si="0"/>
        <v>* TumorPathologyEvent.PerformanceStatus 0..* string ##34#Performance Status [C22]##34# ##334#Definition of the autonomy scale (Karnofsky scale or OMS)
_x000D_ConceptualDomain: OMS:PerformanceStatus
_x000D_optional##334#</v>
      </c>
    </row>
    <row r="34" spans="1:9" ht="44.25" x14ac:dyDescent="0.75">
      <c r="A34" s="13">
        <v>27</v>
      </c>
      <c r="B34" s="13" t="str">
        <f>ConvertOsiris!I28</f>
        <v>TumorPathologyEvent.G8</v>
      </c>
      <c r="C34" s="14" t="str">
        <f>ConvertOsiris!J28</f>
        <v>G8 score [C23]</v>
      </c>
      <c r="D34" s="14" t="str">
        <f>ConvertOsiris!K28</f>
        <v>Tool for the evaluation of the general condition of the patient
_x000D_optional</v>
      </c>
      <c r="E34" s="14" t="str">
        <f>ConvertOsiris!L28</f>
        <v>0</v>
      </c>
      <c r="F34" s="13" t="s">
        <v>9</v>
      </c>
      <c r="G34" s="13" t="str">
        <f>ConvertOsiris!M28</f>
        <v>integer</v>
      </c>
      <c r="H34" s="31"/>
      <c r="I34" s="30" t="str">
        <f t="shared" si="0"/>
        <v>* TumorPathologyEvent.G8 0..* integer ##34#G8 score [C23]##34# ##334#Tool for the evaluation of the general condition of the patient
_x000D_optional##334#</v>
      </c>
    </row>
    <row r="35" spans="1:9" ht="59" x14ac:dyDescent="0.75">
      <c r="A35" s="13">
        <v>28</v>
      </c>
      <c r="B35" s="13" t="str">
        <f>ConvertOsiris!I29</f>
        <v>TumorPathologyEvent.HistologicalGradeType</v>
      </c>
      <c r="C35" s="14" t="str">
        <f>ConvertOsiris!J29</f>
        <v>Histological Grade Type [C29]</v>
      </c>
      <c r="D35" s="14" t="str">
        <f>ConvertOsiris!K29</f>
        <v>List of histological grading scales
_x000D_ConceptualDomain: OSIRIS:HistologicalGradeType
_x000D_optional, mandatory if HistologicalGradeValue is set</v>
      </c>
      <c r="E35" s="14" t="str">
        <f>ConvertOsiris!L29</f>
        <v>0</v>
      </c>
      <c r="F35" s="13" t="s">
        <v>9</v>
      </c>
      <c r="G35" s="13" t="str">
        <f>ConvertOsiris!M29</f>
        <v>string</v>
      </c>
      <c r="H35" s="31"/>
      <c r="I35" s="30"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3">
        <v>29</v>
      </c>
      <c r="B36" s="13" t="str">
        <f>ConvertOsiris!I30</f>
        <v>TumorPathologyEvent.HistologicalGradeValue</v>
      </c>
      <c r="C36" s="14" t="str">
        <f>ConvertOsiris!J30</f>
        <v>Histological Grade Value [C30]</v>
      </c>
      <c r="D36" s="14" t="str">
        <f>ConvertOsiris!K30</f>
        <v>Value of histological grade
_x000D_ConceptualDomain: OSIRIS:HistologicalGradeValue
_x000D_optional, mandatory if HistologicalGradeType is set</v>
      </c>
      <c r="E36" s="14" t="str">
        <f>ConvertOsiris!L30</f>
        <v>0</v>
      </c>
      <c r="F36" s="13" t="s">
        <v>9</v>
      </c>
      <c r="G36" s="13" t="str">
        <f>ConvertOsiris!M30</f>
        <v>string</v>
      </c>
      <c r="H36" s="31"/>
      <c r="I36" s="30"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3">
        <v>30</v>
      </c>
      <c r="B37" s="13" t="str">
        <f>ConvertOsiris!I31</f>
        <v>TumorPathologyEvent.StadeType</v>
      </c>
      <c r="C37" s="14" t="str">
        <f>ConvertOsiris!J31</f>
        <v>Stade Type [C31]</v>
      </c>
      <c r="D37" s="14" t="str">
        <f>ConvertOsiris!K31</f>
        <v>List of stage scales
_x000D_ConceptualDomain: OSIRIS:StadeType
_x000D_optional, mandatory if StadeValue is set</v>
      </c>
      <c r="E37" s="14" t="str">
        <f>ConvertOsiris!L31</f>
        <v>0</v>
      </c>
      <c r="F37" s="13" t="s">
        <v>9</v>
      </c>
      <c r="G37" s="13" t="str">
        <f>ConvertOsiris!M31</f>
        <v>string</v>
      </c>
      <c r="H37" s="31"/>
      <c r="I37" s="30" t="str">
        <f t="shared" si="0"/>
        <v>* TumorPathologyEvent.StadeType 0..* string ##34#Stade Type [C31]##34# ##334#List of stage scales
_x000D_ConceptualDomain: OSIRIS:StadeType
_x000D_optional, mandatory if StadeValue is set##334#</v>
      </c>
    </row>
    <row r="38" spans="1:9" ht="59" x14ac:dyDescent="0.75">
      <c r="A38" s="13">
        <v>31</v>
      </c>
      <c r="B38" s="13" t="str">
        <f>ConvertOsiris!I32</f>
        <v>TumorPathologyEvent.StadeValue</v>
      </c>
      <c r="C38" s="14" t="str">
        <f>ConvertOsiris!J32</f>
        <v>Stade Value [C32]</v>
      </c>
      <c r="D38" s="14" t="str">
        <f>ConvertOsiris!K32</f>
        <v>Stage value
_x000D_ConceptualDomain: OSIRIS:StadeValue
_x000D_optional, mandatory if StadeType is set</v>
      </c>
      <c r="E38" s="14" t="str">
        <f>ConvertOsiris!L32</f>
        <v>0</v>
      </c>
      <c r="F38" s="13" t="s">
        <v>9</v>
      </c>
      <c r="G38" s="13" t="str">
        <f>ConvertOsiris!M32</f>
        <v>string</v>
      </c>
      <c r="H38" s="31"/>
      <c r="I38" s="30" t="str">
        <f t="shared" si="0"/>
        <v>* TumorPathologyEvent.StadeValue 0..* string ##34#Stade Value [C32]##34# ##334#Stage value
_x000D_ConceptualDomain: OSIRIS:StadeValue
_x000D_optional, mandatory if StadeType is set##334#</v>
      </c>
    </row>
    <row r="39" spans="1:9" ht="44.25" x14ac:dyDescent="0.75">
      <c r="A39" s="13">
        <v>32</v>
      </c>
      <c r="B39" s="13" t="str">
        <f>ConvertOsiris!I33</f>
        <v>TumorPathologyEvent.DiagnosisDate</v>
      </c>
      <c r="C39" s="14" t="str">
        <f>ConvertOsiris!J33</f>
        <v>Diagnosis Date [C33]</v>
      </c>
      <c r="D39" s="14" t="str">
        <f>ConvertOsiris!K33</f>
        <v>Date of diagnosis of the tumor event
_x000D_mandatory</v>
      </c>
      <c r="E39" s="14" t="str">
        <f>ConvertOsiris!L33</f>
        <v>1</v>
      </c>
      <c r="F39" s="13" t="s">
        <v>9</v>
      </c>
      <c r="G39" s="13" t="str">
        <f>ConvertOsiris!M33</f>
        <v>date</v>
      </c>
      <c r="H39" s="31"/>
      <c r="I39" s="30" t="str">
        <f t="shared" si="0"/>
        <v>* TumorPathologyEvent.DiagnosisDate 1..* date ##34#Diagnosis Date [C33]##34# ##334#Date of diagnosis of the tumor event
_x000D_mandatory##334#</v>
      </c>
    </row>
    <row r="40" spans="1:9" ht="59" x14ac:dyDescent="0.75">
      <c r="A40" s="13">
        <v>33</v>
      </c>
      <c r="B40" s="13" t="str">
        <f>ConvertOsiris!I34</f>
        <v>TumorPathologyEvent.TopographyCode</v>
      </c>
      <c r="C40" s="14" t="str">
        <f>ConvertOsiris!J34</f>
        <v>Topography Code [C34]</v>
      </c>
      <c r="D40" s="14" t="str">
        <f>ConvertOsiris!K34</f>
        <v>Localisation of the primary tumor
_x000D_ConceptualDomain: ICDO3:Topography
_x000D_mandatory</v>
      </c>
      <c r="E40" s="14" t="str">
        <f>ConvertOsiris!L34</f>
        <v>1</v>
      </c>
      <c r="F40" s="13" t="s">
        <v>9</v>
      </c>
      <c r="G40" s="13" t="str">
        <f>ConvertOsiris!M34</f>
        <v>string</v>
      </c>
      <c r="H40" s="31"/>
      <c r="I40" s="30" t="str">
        <f t="shared" si="0"/>
        <v>* TumorPathologyEvent.TopographyCode 1..* string ##34#Topography Code [C34]##34# ##334#Localisation of the primary tumor
_x000D_ConceptualDomain: ICDO3:Topography
_x000D_mandatory##334#</v>
      </c>
    </row>
    <row r="41" spans="1:9" ht="73.75" x14ac:dyDescent="0.75">
      <c r="A41" s="13">
        <v>34</v>
      </c>
      <c r="B41" s="13" t="str">
        <f>ConvertOsiris!I35</f>
        <v>TumorPathologyEvent.MorphologyCode</v>
      </c>
      <c r="C41" s="14" t="str">
        <f>ConvertOsiris!J35</f>
        <v>Morphology Code [C35]</v>
      </c>
      <c r="D41" s="14" t="str">
        <f>ConvertOsiris!K35</f>
        <v>International code of lesion / histological type / tumor morphology of the tumoral event
_x000D_ConceptualDomain: ICDO3:Morphology
_x000D_mandatory</v>
      </c>
      <c r="E41" s="14" t="str">
        <f>ConvertOsiris!L35</f>
        <v>1</v>
      </c>
      <c r="F41" s="13" t="s">
        <v>9</v>
      </c>
      <c r="G41" s="13" t="str">
        <f>ConvertOsiris!M35</f>
        <v>string</v>
      </c>
      <c r="H41" s="31"/>
      <c r="I41" s="30"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3">
        <v>35</v>
      </c>
      <c r="B42" s="13" t="str">
        <f>ConvertOsiris!I36</f>
        <v>TumorPathologyEvent.Laterality</v>
      </c>
      <c r="C42" s="14" t="str">
        <f>ConvertOsiris!J36</f>
        <v>Laterality [C36]</v>
      </c>
      <c r="D42" s="14" t="str">
        <f>ConvertOsiris!K36</f>
        <v>Laterality of location (if it exists)
_x000D_ConceptualDomain: OSIRIS:Laterality
_x000D_optional</v>
      </c>
      <c r="E42" s="14" t="str">
        <f>ConvertOsiris!L36</f>
        <v>0</v>
      </c>
      <c r="F42" s="13" t="s">
        <v>9</v>
      </c>
      <c r="G42" s="13" t="str">
        <f>ConvertOsiris!M36</f>
        <v>string</v>
      </c>
      <c r="H42" s="31"/>
      <c r="I42" s="30" t="str">
        <f t="shared" si="0"/>
        <v>* TumorPathologyEvent.Laterality 0..* string ##34#Laterality [C36]##34# ##334#Laterality of location (if it exists)
_x000D_ConceptualDomain: OSIRIS:Laterality
_x000D_optional##334#</v>
      </c>
    </row>
    <row r="43" spans="1:9" x14ac:dyDescent="0.75">
      <c r="A43" s="13">
        <v>36</v>
      </c>
      <c r="B43" s="13" t="str">
        <f>ConvertOsiris!I37</f>
        <v>TNM</v>
      </c>
      <c r="C43" s="14" t="str">
        <f>ConvertOsiris!J37</f>
        <v>TNM</v>
      </c>
      <c r="D43" s="14" t="str">
        <f>ConvertOsiris!K37</f>
        <v>TNM</v>
      </c>
      <c r="E43" s="14">
        <f>ConvertOsiris!L37</f>
        <v>0</v>
      </c>
      <c r="F43" s="13" t="s">
        <v>9</v>
      </c>
      <c r="G43" s="13" t="str">
        <f>ConvertOsiris!M37</f>
        <v>BackboneElement</v>
      </c>
      <c r="H43" s="31"/>
      <c r="I43" s="30" t="str">
        <f t="shared" si="0"/>
        <v>* TNM 0..* BackboneElement ##34#TNM##34# ##334#TNM##334#</v>
      </c>
    </row>
    <row r="44" spans="1:9" ht="59" x14ac:dyDescent="0.75">
      <c r="A44" s="13">
        <v>37</v>
      </c>
      <c r="B44" s="13" t="str">
        <f>ConvertOsiris!I38</f>
        <v>TNM.T</v>
      </c>
      <c r="C44" s="14" t="str">
        <f>ConvertOsiris!J38</f>
        <v>T [C83]</v>
      </c>
      <c r="D44" s="14" t="str">
        <f>ConvertOsiris!K38</f>
        <v>Size of the tumor, propagation the site of the primary tumor
_x000D_ConceptualDomain: OSIRIS:T_TNM
_x000D_optional, mandatory if either N, M or TNMType is set</v>
      </c>
      <c r="E44" s="14" t="str">
        <f>ConvertOsiris!L38</f>
        <v>0</v>
      </c>
      <c r="F44" s="13" t="s">
        <v>9</v>
      </c>
      <c r="G44" s="13" t="str">
        <f>ConvertOsiris!M38</f>
        <v>string</v>
      </c>
      <c r="H44" s="31"/>
      <c r="I44" s="30" t="str">
        <f t="shared" si="0"/>
        <v>* TNM.T 0..* string ##34#T [C83]##34# ##334#Size of the tumor, propagation the site of the primary tumor
_x000D_ConceptualDomain: OSIRIS:T_TNM
_x000D_optional, mandatory if either N, M or TNMType is set##334#</v>
      </c>
    </row>
    <row r="45" spans="1:9" ht="59" x14ac:dyDescent="0.75">
      <c r="A45" s="13">
        <v>38</v>
      </c>
      <c r="B45" s="13" t="str">
        <f>ConvertOsiris!I39</f>
        <v>TNM.N</v>
      </c>
      <c r="C45" s="14" t="str">
        <f>ConvertOsiris!J39</f>
        <v>N [C84]</v>
      </c>
      <c r="D45" s="14" t="str">
        <f>ConvertOsiris!K39</f>
        <v>Propagation at the ganglion level
_x000D_ConceptualDomain: OSIRIS:N_TNM
_x000D_optional, mandatory if either T, M or TNMType is set</v>
      </c>
      <c r="E45" s="14" t="str">
        <f>ConvertOsiris!L39</f>
        <v>0</v>
      </c>
      <c r="F45" s="13" t="s">
        <v>9</v>
      </c>
      <c r="G45" s="13" t="str">
        <f>ConvertOsiris!M39</f>
        <v>string</v>
      </c>
      <c r="H45" s="31"/>
      <c r="I45" s="30" t="str">
        <f t="shared" si="0"/>
        <v>* TNM.N 0..* string ##34#N [C84]##34# ##334#Propagation at the ganglion level
_x000D_ConceptualDomain: OSIRIS:N_TNM
_x000D_optional, mandatory if either T, M or TNMType is set##334#</v>
      </c>
    </row>
    <row r="46" spans="1:9" ht="59" x14ac:dyDescent="0.75">
      <c r="A46" s="13">
        <v>39</v>
      </c>
      <c r="B46" s="13" t="str">
        <f>ConvertOsiris!I40</f>
        <v>TNM.M</v>
      </c>
      <c r="C46" s="14" t="str">
        <f>ConvertOsiris!J40</f>
        <v>M [C85]</v>
      </c>
      <c r="D46" s="14" t="str">
        <f>ConvertOsiris!K40</f>
        <v>Remote propagation, presence of metastases
_x000D_ConceptualDomain: OSIRIS:M_TNM
_x000D_optional, mandatory if either T, N or TNMType is set</v>
      </c>
      <c r="E46" s="14" t="str">
        <f>ConvertOsiris!L40</f>
        <v>0</v>
      </c>
      <c r="F46" s="13" t="s">
        <v>9</v>
      </c>
      <c r="G46" s="13" t="str">
        <f>ConvertOsiris!M40</f>
        <v>string</v>
      </c>
      <c r="H46" s="31"/>
      <c r="I46" s="30" t="str">
        <f t="shared" si="0"/>
        <v>* TNM.M 0..* string ##34#M [C85]##34# ##334#Remote propagation, presence of metastases
_x000D_ConceptualDomain: OSIRIS:M_TNM
_x000D_optional, mandatory if either T, N or TNMType is set##334#</v>
      </c>
    </row>
    <row r="47" spans="1:9" ht="59" x14ac:dyDescent="0.75">
      <c r="A47" s="13">
        <v>40</v>
      </c>
      <c r="B47" s="13" t="str">
        <f>ConvertOsiris!I41</f>
        <v>TNM.Version</v>
      </c>
      <c r="C47" s="14" t="str">
        <f>ConvertOsiris!J41</f>
        <v>TNM Version [C86]</v>
      </c>
      <c r="D47" s="14" t="str">
        <f>ConvertOsiris!K41</f>
        <v>TNM classification version
_x000D_ConceptualDomain: OSIRIS:TNMVersion
_x000D_optional</v>
      </c>
      <c r="E47" s="14" t="str">
        <f>ConvertOsiris!L41</f>
        <v>0</v>
      </c>
      <c r="F47" s="13" t="s">
        <v>9</v>
      </c>
      <c r="G47" s="13" t="str">
        <f>ConvertOsiris!M41</f>
        <v>string</v>
      </c>
      <c r="H47" s="31"/>
      <c r="I47" s="30" t="str">
        <f t="shared" si="0"/>
        <v>* TNM.Version 0..* string ##34#TNM Version [C86]##34# ##334#TNM classification version
_x000D_ConceptualDomain: OSIRIS:TNMVersion
_x000D_optional##334#</v>
      </c>
    </row>
    <row r="48" spans="1:9" ht="44.25" x14ac:dyDescent="0.75">
      <c r="A48" s="13">
        <v>41</v>
      </c>
      <c r="B48" s="13" t="str">
        <f>ConvertOsiris!I42</f>
        <v>TNM.Type</v>
      </c>
      <c r="C48" s="14" t="str">
        <f>ConvertOsiris!J42</f>
        <v>TNM Type [C87]</v>
      </c>
      <c r="D48" s="14" t="str">
        <f>ConvertOsiris!K42</f>
        <v>c, p, r,...
_x000D_ConceptualDomain: OSIRIS:TNMType
_x000D_optional, mandatory if either T, N or M is set</v>
      </c>
      <c r="E48" s="14" t="str">
        <f>ConvertOsiris!L42</f>
        <v>0</v>
      </c>
      <c r="F48" s="13" t="s">
        <v>9</v>
      </c>
      <c r="G48" s="13" t="str">
        <f>ConvertOsiris!M42</f>
        <v>string</v>
      </c>
      <c r="H48" s="31"/>
      <c r="I48" s="30" t="str">
        <f t="shared" si="0"/>
        <v>* TNM.Type 0..* string ##34#TNM Type [C87]##34# ##334#c, p, r,...
_x000D_ConceptualDomain: OSIRIS:TNMType
_x000D_optional, mandatory if either T, N or M is set##334#</v>
      </c>
    </row>
    <row r="49" spans="1:9" x14ac:dyDescent="0.75">
      <c r="A49" s="13">
        <v>42</v>
      </c>
      <c r="B49" s="13" t="str">
        <f>ConvertOsiris!I43</f>
        <v>Analysis</v>
      </c>
      <c r="C49" s="14" t="str">
        <f>ConvertOsiris!J43</f>
        <v>Analysis</v>
      </c>
      <c r="D49" s="14" t="str">
        <f>ConvertOsiris!K43</f>
        <v>Analysis</v>
      </c>
      <c r="E49" s="14">
        <f>ConvertOsiris!L43</f>
        <v>0</v>
      </c>
      <c r="F49" s="13" t="s">
        <v>9</v>
      </c>
      <c r="G49" s="13" t="str">
        <f>ConvertOsiris!M43</f>
        <v>BackboneElement</v>
      </c>
      <c r="H49" s="31"/>
      <c r="I49" s="30" t="str">
        <f t="shared" si="0"/>
        <v>* Analysis 0..* BackboneElement ##34#Analysis##34# ##334#Analysis##334#</v>
      </c>
    </row>
    <row r="50" spans="1:9" ht="29.5" x14ac:dyDescent="0.75">
      <c r="A50" s="13">
        <v>43</v>
      </c>
      <c r="B50" s="13" t="str">
        <f>ConvertOsiris!I44</f>
        <v>Analysis.Code</v>
      </c>
      <c r="C50" s="14" t="str">
        <f>ConvertOsiris!J44</f>
        <v>Code [C70]</v>
      </c>
      <c r="D50" s="14" t="str">
        <f>ConvertOsiris!K44</f>
        <v>Code of analysis
_x000D_optional</v>
      </c>
      <c r="E50" s="14" t="str">
        <f>ConvertOsiris!L44</f>
        <v>0</v>
      </c>
      <c r="F50" s="13" t="s">
        <v>9</v>
      </c>
      <c r="G50" s="13" t="str">
        <f>ConvertOsiris!M44</f>
        <v>string</v>
      </c>
      <c r="H50" s="31"/>
      <c r="I50" s="30" t="str">
        <f t="shared" si="0"/>
        <v>* Analysis.Code 0..* string ##34#Code [C70]##34# ##334#Code of analysis
_x000D_optional##334#</v>
      </c>
    </row>
    <row r="51" spans="1:9" ht="44.25" x14ac:dyDescent="0.75">
      <c r="A51" s="13">
        <v>44</v>
      </c>
      <c r="B51" s="13" t="str">
        <f>ConvertOsiris!I45</f>
        <v>Analysis.Type</v>
      </c>
      <c r="C51" s="14" t="str">
        <f>ConvertOsiris!J45</f>
        <v>Type [C37]</v>
      </c>
      <c r="D51" s="14" t="str">
        <f>ConvertOsiris!K45</f>
        <v>Type of analysis
_x000D_ConceptualDomain: OSIRIS:AnalysisType
_x000D_mandatory if ObjectClass is set</v>
      </c>
      <c r="E51" s="14" t="str">
        <f>ConvertOsiris!L45</f>
        <v>0</v>
      </c>
      <c r="F51" s="13" t="s">
        <v>9</v>
      </c>
      <c r="G51" s="13" t="str">
        <f>ConvertOsiris!M45</f>
        <v>string</v>
      </c>
      <c r="H51" s="31"/>
      <c r="I51" s="30" t="str">
        <f t="shared" si="0"/>
        <v>* Analysis.Type 0..* string ##34#Type [C37]##34# ##334#Type of analysis
_x000D_ConceptualDomain: OSIRIS:AnalysisType
_x000D_mandatory if ObjectClass is set##334#</v>
      </c>
    </row>
    <row r="52" spans="1:9" ht="29.5" x14ac:dyDescent="0.75">
      <c r="A52" s="13">
        <v>45</v>
      </c>
      <c r="B52" s="13" t="str">
        <f>ConvertOsiris!I46</f>
        <v>Analysis.Date</v>
      </c>
      <c r="C52" s="14" t="str">
        <f>ConvertOsiris!J46</f>
        <v>Date [C38]</v>
      </c>
      <c r="D52" s="14" t="str">
        <f>ConvertOsiris!K46</f>
        <v>Date of analysis
_x000D_mandatory if ObjectClass is set</v>
      </c>
      <c r="E52" s="14" t="str">
        <f>ConvertOsiris!L46</f>
        <v>0</v>
      </c>
      <c r="F52" s="13" t="s">
        <v>9</v>
      </c>
      <c r="G52" s="13" t="str">
        <f>ConvertOsiris!M46</f>
        <v>date</v>
      </c>
      <c r="H52" s="31"/>
      <c r="I52" s="30" t="str">
        <f t="shared" si="0"/>
        <v>* Analysis.Date 0..* date ##34#Date [C38]##34# ##334#Date of analysis
_x000D_mandatory if ObjectClass is set##334#</v>
      </c>
    </row>
    <row r="53" spans="1:9" ht="29.5" x14ac:dyDescent="0.75">
      <c r="A53" s="13">
        <v>46</v>
      </c>
      <c r="B53" s="13" t="str">
        <f>ConvertOsiris!I47</f>
        <v>ResponseEvaluation</v>
      </c>
      <c r="C53" s="14" t="str">
        <f>ConvertOsiris!J47</f>
        <v>ResponseEvaluation</v>
      </c>
      <c r="D53" s="14" t="str">
        <f>ConvertOsiris!K47</f>
        <v>ResponseEvaluation</v>
      </c>
      <c r="E53" s="14">
        <f>ConvertOsiris!L47</f>
        <v>0</v>
      </c>
      <c r="F53" s="13" t="s">
        <v>9</v>
      </c>
      <c r="G53" s="13" t="str">
        <f>ConvertOsiris!M47</f>
        <v>BackboneElement</v>
      </c>
      <c r="H53" s="31"/>
      <c r="I53" s="30" t="str">
        <f t="shared" si="0"/>
        <v>* ResponseEvaluation 0..* BackboneElement ##34#ResponseEvaluation##34# ##334#ResponseEvaluation##334#</v>
      </c>
    </row>
    <row r="54" spans="1:9" ht="44.25" x14ac:dyDescent="0.75">
      <c r="A54" s="13">
        <v>47</v>
      </c>
      <c r="B54" s="13" t="str">
        <f>ConvertOsiris!I48</f>
        <v>ResponseEvaluation.Date</v>
      </c>
      <c r="C54" s="14" t="str">
        <f>ConvertOsiris!J48</f>
        <v>Date [C78]</v>
      </c>
      <c r="D54" s="14" t="str">
        <f>ConvertOsiris!K48</f>
        <v>Date of assessment of treatment response
_x000D_mandatory if ObjectClass is set</v>
      </c>
      <c r="E54" s="14" t="str">
        <f>ConvertOsiris!L48</f>
        <v>0</v>
      </c>
      <c r="F54" s="13" t="s">
        <v>9</v>
      </c>
      <c r="G54" s="13" t="str">
        <f>ConvertOsiris!M48</f>
        <v>date</v>
      </c>
      <c r="H54" s="31"/>
      <c r="I54" s="30" t="str">
        <f t="shared" si="0"/>
        <v>* ResponseEvaluation.Date 0..* date ##34#Date [C78]##34# ##334#Date of assessment of treatment response
_x000D_mandatory if ObjectClass is set##334#</v>
      </c>
    </row>
    <row r="55" spans="1:9" ht="59" x14ac:dyDescent="0.75">
      <c r="A55" s="13">
        <v>48</v>
      </c>
      <c r="B55" s="13" t="str">
        <f>ConvertOsiris!I49</f>
        <v>ResponseEvaluation.Status</v>
      </c>
      <c r="C55" s="14" t="str">
        <f>ConvertOsiris!J49</f>
        <v>Status [C73]</v>
      </c>
      <c r="D55" s="14" t="str">
        <f>ConvertOsiris!K49</f>
        <v>Assessment of treatment response
_x000D_ConceptualDomain: OSIRIS:RECIST
_x000D_mandatory if ObjectClass is set</v>
      </c>
      <c r="E55" s="14" t="str">
        <f>ConvertOsiris!L49</f>
        <v>0</v>
      </c>
      <c r="F55" s="13" t="s">
        <v>9</v>
      </c>
      <c r="G55" s="13" t="str">
        <f>ConvertOsiris!M49</f>
        <v>string</v>
      </c>
      <c r="H55" s="31"/>
      <c r="I55" s="30" t="str">
        <f t="shared" si="0"/>
        <v>* ResponseEvaluation.Status 0..* string ##34#Status [C73]##34# ##334#Assessment of treatment response
_x000D_ConceptualDomain: OSIRIS:RECIST
_x000D_mandatory if ObjectClass is set##334#</v>
      </c>
    </row>
    <row r="56" spans="1:9" ht="29.5" x14ac:dyDescent="0.75">
      <c r="A56" s="13">
        <v>49</v>
      </c>
      <c r="B56" s="13" t="str">
        <f>ConvertOsiris!I50</f>
        <v>Biomarker</v>
      </c>
      <c r="C56" s="14" t="str">
        <f>ConvertOsiris!J50</f>
        <v>Biomarker</v>
      </c>
      <c r="D56" s="14" t="str">
        <f>ConvertOsiris!K50</f>
        <v>Biomarker</v>
      </c>
      <c r="E56" s="14">
        <f>ConvertOsiris!L50</f>
        <v>0</v>
      </c>
      <c r="F56" s="13" t="s">
        <v>9</v>
      </c>
      <c r="G56" s="13" t="str">
        <f>ConvertOsiris!M50</f>
        <v>BackboneElement</v>
      </c>
      <c r="H56" s="31"/>
      <c r="I56" s="30" t="str">
        <f t="shared" si="0"/>
        <v>* Biomarker 0..* BackboneElement ##34#Biomarker##34# ##334#Biomarker##334#</v>
      </c>
    </row>
    <row r="57" spans="1:9" ht="44.25" x14ac:dyDescent="0.75">
      <c r="A57" s="13">
        <v>50</v>
      </c>
      <c r="B57" s="13" t="str">
        <f>ConvertOsiris!I51</f>
        <v>Biomarker.Code</v>
      </c>
      <c r="C57" s="14" t="str">
        <f>ConvertOsiris!J51</f>
        <v>Code [C39]</v>
      </c>
      <c r="D57" s="14" t="str">
        <f>ConvertOsiris!K51</f>
        <v>Biomarker name
_x000D_ConceptualDomain: OSIRIS:BiomarkerCode
_x000D_mandatory if ObjectClass is set</v>
      </c>
      <c r="E57" s="14" t="str">
        <f>ConvertOsiris!L51</f>
        <v>0</v>
      </c>
      <c r="F57" s="13" t="s">
        <v>9</v>
      </c>
      <c r="G57" s="13" t="str">
        <f>ConvertOsiris!M51</f>
        <v>string</v>
      </c>
      <c r="H57" s="31"/>
      <c r="I57" s="30" t="str">
        <f t="shared" si="0"/>
        <v>* Biomarker.Code 0..* string ##34#Code [C39]##34# ##334#Biomarker name
_x000D_ConceptualDomain: OSIRIS:BiomarkerCode
_x000D_mandatory if ObjectClass is set##334#</v>
      </c>
    </row>
    <row r="58" spans="1:9" ht="29.5" x14ac:dyDescent="0.75">
      <c r="A58" s="13">
        <v>51</v>
      </c>
      <c r="B58" s="13" t="str">
        <f>ConvertOsiris!I52</f>
        <v>Biomarker.Value</v>
      </c>
      <c r="C58" s="14" t="str">
        <f>ConvertOsiris!J52</f>
        <v>Value [C40]</v>
      </c>
      <c r="D58" s="14" t="str">
        <f>ConvertOsiris!K52</f>
        <v>Biomarker value
_x000D_mandatory if ObjectClass is set</v>
      </c>
      <c r="E58" s="14" t="str">
        <f>ConvertOsiris!L52</f>
        <v>0</v>
      </c>
      <c r="F58" s="13" t="s">
        <v>9</v>
      </c>
      <c r="G58" s="13" t="str">
        <f>ConvertOsiris!M52</f>
        <v>string</v>
      </c>
      <c r="H58" s="31"/>
      <c r="I58" s="30" t="str">
        <f t="shared" si="0"/>
        <v>* Biomarker.Value 0..* string ##34#Value [C40]##34# ##334#Biomarker value
_x000D_mandatory if ObjectClass is set##334#</v>
      </c>
    </row>
    <row r="59" spans="1:9" ht="29.5" x14ac:dyDescent="0.75">
      <c r="A59" s="13">
        <v>52</v>
      </c>
      <c r="B59" s="13" t="str">
        <f>ConvertOsiris!I53</f>
        <v>Biomarker.Unit</v>
      </c>
      <c r="C59" s="14" t="str">
        <f>ConvertOsiris!J53</f>
        <v>Unit [C81]</v>
      </c>
      <c r="D59" s="14" t="str">
        <f>ConvertOsiris!K53</f>
        <v>Biomarker unit
_x000D_optional</v>
      </c>
      <c r="E59" s="14" t="str">
        <f>ConvertOsiris!L53</f>
        <v>0</v>
      </c>
      <c r="F59" s="13" t="s">
        <v>9</v>
      </c>
      <c r="G59" s="13" t="str">
        <f>ConvertOsiris!M53</f>
        <v>string</v>
      </c>
      <c r="H59" s="31"/>
      <c r="I59" s="30" t="str">
        <f t="shared" si="0"/>
        <v>* Biomarker.Unit 0..* string ##34#Unit [C81]##34# ##334#Biomarker unit
_x000D_optional##334#</v>
      </c>
    </row>
    <row r="60" spans="1:9" ht="29.5" x14ac:dyDescent="0.75">
      <c r="A60" s="13">
        <v>53</v>
      </c>
      <c r="B60" s="13" t="str">
        <f>ConvertOsiris!I54</f>
        <v>Treatment</v>
      </c>
      <c r="C60" s="14" t="str">
        <f>ConvertOsiris!J54</f>
        <v>Treatment</v>
      </c>
      <c r="D60" s="14" t="str">
        <f>ConvertOsiris!K54</f>
        <v>Treatment</v>
      </c>
      <c r="E60" s="14">
        <f>ConvertOsiris!L54</f>
        <v>0</v>
      </c>
      <c r="F60" s="13" t="s">
        <v>9</v>
      </c>
      <c r="G60" s="13" t="str">
        <f>ConvertOsiris!M54</f>
        <v>BackboneElement</v>
      </c>
      <c r="H60" s="31"/>
      <c r="I60" s="30" t="str">
        <f t="shared" si="0"/>
        <v>* Treatment 0..* BackboneElement ##34#Treatment##34# ##334#Treatment##334#</v>
      </c>
    </row>
    <row r="61" spans="1:9" ht="44.25" x14ac:dyDescent="0.75">
      <c r="A61" s="13">
        <v>54</v>
      </c>
      <c r="B61" s="13" t="str">
        <f>ConvertOsiris!I55</f>
        <v>Treatment.Type</v>
      </c>
      <c r="C61" s="14" t="str">
        <f>ConvertOsiris!J55</f>
        <v>Type [C41]</v>
      </c>
      <c r="D61" s="14" t="str">
        <f>ConvertOsiris!K55</f>
        <v>Type of treatment
_x000D_ConceptualDomain: OSIRIS:TreatmentType
_x000D_mandatory if ObjectClass is set</v>
      </c>
      <c r="E61" s="14" t="str">
        <f>ConvertOsiris!L55</f>
        <v>0</v>
      </c>
      <c r="F61" s="13" t="s">
        <v>9</v>
      </c>
      <c r="G61" s="13" t="str">
        <f>ConvertOsiris!M55</f>
        <v>string</v>
      </c>
      <c r="H61" s="31"/>
      <c r="I61" s="30" t="str">
        <f t="shared" si="0"/>
        <v>* Treatment.Type 0..* string ##34#Type [C41]##34# ##334#Type of treatment
_x000D_ConceptualDomain: OSIRIS:TreatmentType
_x000D_mandatory if ObjectClass is set##334#</v>
      </c>
    </row>
    <row r="62" spans="1:9" ht="44.25" x14ac:dyDescent="0.75">
      <c r="A62" s="13">
        <v>55</v>
      </c>
      <c r="B62" s="13" t="str">
        <f>ConvertOsiris!I56</f>
        <v>Treatment.LineNumber</v>
      </c>
      <c r="C62" s="14" t="str">
        <f>ConvertOsiris!J56</f>
        <v>Line Number [C74]</v>
      </c>
      <c r="D62" s="14" t="str">
        <f>ConvertOsiris!K56</f>
        <v>Line of treatment
_x000D_optional</v>
      </c>
      <c r="E62" s="14" t="str">
        <f>ConvertOsiris!L56</f>
        <v>0</v>
      </c>
      <c r="F62" s="13" t="s">
        <v>9</v>
      </c>
      <c r="G62" s="13" t="str">
        <f>ConvertOsiris!M56</f>
        <v>string</v>
      </c>
      <c r="H62" s="31"/>
      <c r="I62" s="30" t="str">
        <f t="shared" si="0"/>
        <v>* Treatment.LineNumber 0..* string ##34#Line Number [C74]##34# ##334#Line of treatment
_x000D_optional##334#</v>
      </c>
    </row>
    <row r="63" spans="1:9" ht="59" x14ac:dyDescent="0.75">
      <c r="A63" s="13">
        <v>56</v>
      </c>
      <c r="B63" s="13" t="str">
        <f>ConvertOsiris!I57</f>
        <v>Treatment.ActivityCode</v>
      </c>
      <c r="C63" s="14" t="str">
        <f>ConvertOsiris!J57</f>
        <v>Activity Code [C42]</v>
      </c>
      <c r="D63" s="14" t="str">
        <f>ConvertOsiris!K57</f>
        <v>CCAM code of the medical act
_x000D_ConceptualDomain: CCAM
_x000D_optional</v>
      </c>
      <c r="E63" s="14" t="str">
        <f>ConvertOsiris!L57</f>
        <v>0</v>
      </c>
      <c r="F63" s="13" t="s">
        <v>9</v>
      </c>
      <c r="G63" s="13" t="str">
        <f>ConvertOsiris!M57</f>
        <v>string</v>
      </c>
      <c r="H63" s="31"/>
      <c r="I63" s="30" t="str">
        <f t="shared" si="0"/>
        <v>* Treatment.ActivityCode 0..* string ##34#Activity Code [C42]##34# ##334#CCAM code of the medical act
_x000D_ConceptualDomain: CCAM
_x000D_optional##334#</v>
      </c>
    </row>
    <row r="64" spans="1:9" ht="44.25" x14ac:dyDescent="0.75">
      <c r="A64" s="13">
        <v>57</v>
      </c>
      <c r="B64" s="13" t="str">
        <f>ConvertOsiris!I58</f>
        <v>Treatment.StartDate</v>
      </c>
      <c r="C64" s="14" t="str">
        <f>ConvertOsiris!J58</f>
        <v>Start Date [C43]</v>
      </c>
      <c r="D64" s="14" t="str">
        <f>ConvertOsiris!K58</f>
        <v>Date of treatment start
_x000D_mandatory if ObjectClass is set</v>
      </c>
      <c r="E64" s="14" t="str">
        <f>ConvertOsiris!L58</f>
        <v>0</v>
      </c>
      <c r="F64" s="13" t="s">
        <v>9</v>
      </c>
      <c r="G64" s="13" t="str">
        <f>ConvertOsiris!M58</f>
        <v>date</v>
      </c>
      <c r="H64" s="31"/>
      <c r="I64" s="30" t="str">
        <f t="shared" si="0"/>
        <v>* Treatment.StartDate 0..* date ##34#Start Date [C43]##34# ##334#Date of treatment start
_x000D_mandatory if ObjectClass is set##334#</v>
      </c>
    </row>
    <row r="65" spans="1:9" ht="44.25" x14ac:dyDescent="0.75">
      <c r="A65" s="13">
        <v>58</v>
      </c>
      <c r="B65" s="13" t="str">
        <f>ConvertOsiris!I59</f>
        <v>Treatment.EndDate</v>
      </c>
      <c r="C65" s="14" t="str">
        <f>ConvertOsiris!J59</f>
        <v>End Date [C44]</v>
      </c>
      <c r="D65" s="14" t="str">
        <f>ConvertOsiris!K59</f>
        <v>Date of treatment end
_x000D_mandatory if ObjectClass is set</v>
      </c>
      <c r="E65" s="14" t="str">
        <f>ConvertOsiris!L59</f>
        <v>0</v>
      </c>
      <c r="F65" s="13" t="s">
        <v>9</v>
      </c>
      <c r="G65" s="13" t="str">
        <f>ConvertOsiris!M59</f>
        <v>date</v>
      </c>
      <c r="H65" s="31"/>
      <c r="I65" s="30" t="str">
        <f t="shared" si="0"/>
        <v>* Treatment.EndDate 0..* date ##34#End Date [C44]##34# ##334#Date of treatment end
_x000D_mandatory if ObjectClass is set##334#</v>
      </c>
    </row>
    <row r="66" spans="1:9" ht="59" x14ac:dyDescent="0.75">
      <c r="A66" s="13">
        <v>59</v>
      </c>
      <c r="B66" s="13" t="str">
        <f>ConvertOsiris!I60</f>
        <v>Treatment.ClinicalTrialContext</v>
      </c>
      <c r="C66" s="14" t="str">
        <f>ConvertOsiris!J60</f>
        <v>Clinical Trial Context [C45]</v>
      </c>
      <c r="D66" s="14" t="str">
        <f>ConvertOsiris!K60</f>
        <v>Treatment performed in a clinical study setting
_x000D_ConceptualDomain: OSIRIS:Boolean
_x000D_optional</v>
      </c>
      <c r="E66" s="14" t="str">
        <f>ConvertOsiris!L60</f>
        <v>0</v>
      </c>
      <c r="F66" s="13" t="s">
        <v>9</v>
      </c>
      <c r="G66" s="13" t="str">
        <f>ConvertOsiris!M60</f>
        <v>string</v>
      </c>
      <c r="H66" s="31"/>
      <c r="I66" s="30" t="str">
        <f t="shared" si="0"/>
        <v>* Treatment.ClinicalTrialContext 0..* string ##34#Clinical Trial Context [C45]##34# ##334#Treatment performed in a clinical study setting
_x000D_ConceptualDomain: OSIRIS:Boolean
_x000D_optional##334#</v>
      </c>
    </row>
    <row r="67" spans="1:9" ht="44.25" x14ac:dyDescent="0.75">
      <c r="A67" s="13">
        <v>60</v>
      </c>
      <c r="B67" s="13" t="str">
        <f>ConvertOsiris!I61</f>
        <v>Treatment.ClinicalTrialName</v>
      </c>
      <c r="C67" s="14" t="str">
        <f>ConvertOsiris!J61</f>
        <v>Clinical Trial Name [C75]</v>
      </c>
      <c r="D67" s="14" t="str">
        <f>ConvertOsiris!K61</f>
        <v>Name of the clinical study
_x000D_optional, mandatory if ClinicalTrialContext is 'Yes'</v>
      </c>
      <c r="E67" s="14" t="str">
        <f>ConvertOsiris!L61</f>
        <v>0</v>
      </c>
      <c r="F67" s="13" t="s">
        <v>9</v>
      </c>
      <c r="G67" s="13" t="str">
        <f>ConvertOsiris!M61</f>
        <v>string</v>
      </c>
      <c r="H67" s="31"/>
      <c r="I67" s="30" t="str">
        <f t="shared" si="0"/>
        <v>* Treatment.ClinicalTrialName 0..* string ##34#Clinical Trial Name [C75]##34# ##334#Name of the clinical study
_x000D_optional, mandatory if ClinicalTrialContext is 'Yes'##334#</v>
      </c>
    </row>
    <row r="68" spans="1:9" ht="44.25" x14ac:dyDescent="0.75">
      <c r="A68" s="13">
        <v>61</v>
      </c>
      <c r="B68" s="13" t="str">
        <f>ConvertOsiris!I62</f>
        <v>Treatment.ClinicalTrialId</v>
      </c>
      <c r="C68" s="14" t="str">
        <f>ConvertOsiris!J62</f>
        <v>Clinical Trial Id [C76]</v>
      </c>
      <c r="D68" s="14" t="str">
        <f>ConvertOsiris!K62</f>
        <v>NCT identifier of the clinical study
_x000D_optional, mandatory if ClinicalTrialContext is 'Yes'</v>
      </c>
      <c r="E68" s="14" t="str">
        <f>ConvertOsiris!L62</f>
        <v>0</v>
      </c>
      <c r="F68" s="13" t="s">
        <v>9</v>
      </c>
      <c r="G68" s="13" t="str">
        <f>ConvertOsiris!M62</f>
        <v>string</v>
      </c>
      <c r="H68" s="31"/>
      <c r="I68" s="30" t="str">
        <f t="shared" si="0"/>
        <v>* Treatment.ClinicalTrialId 0..* string ##34#Clinical Trial Id [C76]##34# ##334#NCT identifier of the clinical study
_x000D_optional, mandatory if ClinicalTrialContext is 'Yes'##334#</v>
      </c>
    </row>
    <row r="69" spans="1:9" ht="59" x14ac:dyDescent="0.75">
      <c r="A69" s="13">
        <v>62</v>
      </c>
      <c r="B69" s="13" t="str">
        <f>ConvertOsiris!I63</f>
        <v>Treatment.SurgeryResectionQuality</v>
      </c>
      <c r="C69" s="14" t="str">
        <f>ConvertOsiris!J63</f>
        <v>Surgery Resection Quality [C46]</v>
      </c>
      <c r="D69" s="14" t="str">
        <f>ConvertOsiris!K63</f>
        <v>Quality of resection (anapath)
_x000D_ConceptualDomain: OSIRIS:SurgeryResectionQuality
_x000D_optional</v>
      </c>
      <c r="E69" s="14" t="str">
        <f>ConvertOsiris!L63</f>
        <v>0</v>
      </c>
      <c r="F69" s="13" t="s">
        <v>9</v>
      </c>
      <c r="G69" s="13" t="str">
        <f>ConvertOsiris!M63</f>
        <v>string</v>
      </c>
      <c r="H69" s="31"/>
      <c r="I69" s="30" t="str">
        <f t="shared" si="0"/>
        <v>* Treatment.SurgeryResectionQuality 0..* string ##34#Surgery Resection Quality [C46]##34# ##334#Quality of resection (anapath)
_x000D_ConceptualDomain: OSIRIS:SurgeryResectionQuality
_x000D_optional##334#</v>
      </c>
    </row>
    <row r="70" spans="1:9" ht="44.25" x14ac:dyDescent="0.75">
      <c r="A70" s="13">
        <v>63</v>
      </c>
      <c r="B70" s="13" t="str">
        <f>ConvertOsiris!I64</f>
        <v>Treatment.SurgeryNature</v>
      </c>
      <c r="C70" s="14" t="str">
        <f>ConvertOsiris!J64</f>
        <v>Surgery Nature [C47]</v>
      </c>
      <c r="D70" s="14" t="str">
        <f>ConvertOsiris!K64</f>
        <v>Nature of the surgery
_x000D_optional</v>
      </c>
      <c r="E70" s="14" t="str">
        <f>ConvertOsiris!L64</f>
        <v>0</v>
      </c>
      <c r="F70" s="13" t="s">
        <v>9</v>
      </c>
      <c r="G70" s="13" t="str">
        <f>ConvertOsiris!M64</f>
        <v>string</v>
      </c>
      <c r="H70" s="31"/>
      <c r="I70" s="30" t="str">
        <f t="shared" si="0"/>
        <v>* Treatment.SurgeryNature 0..* string ##34#Surgery Nature [C47]##34# ##334#Nature of the surgery
_x000D_optional##334#</v>
      </c>
    </row>
    <row r="71" spans="1:9" ht="29.5" x14ac:dyDescent="0.75">
      <c r="A71" s="13">
        <v>64</v>
      </c>
      <c r="B71" s="13" t="str">
        <f>ConvertOsiris!I65</f>
        <v>AdverseEvent</v>
      </c>
      <c r="C71" s="14" t="str">
        <f>ConvertOsiris!J65</f>
        <v>AdverseEvent</v>
      </c>
      <c r="D71" s="14" t="str">
        <f>ConvertOsiris!K65</f>
        <v>AdverseEvent</v>
      </c>
      <c r="E71" s="14">
        <f>ConvertOsiris!L65</f>
        <v>0</v>
      </c>
      <c r="F71" s="13" t="s">
        <v>9</v>
      </c>
      <c r="G71" s="13" t="str">
        <f>ConvertOsiris!M65</f>
        <v>BackboneElement</v>
      </c>
      <c r="H71" s="31"/>
      <c r="I71" s="30" t="str">
        <f t="shared" si="0"/>
        <v>* AdverseEvent 0..* BackboneElement ##34#AdverseEvent##34# ##334#AdverseEvent##334#</v>
      </c>
    </row>
    <row r="72" spans="1:9" ht="73.75" x14ac:dyDescent="0.75">
      <c r="A72" s="13">
        <v>65</v>
      </c>
      <c r="B72" s="13" t="str">
        <f>ConvertOsiris!I66</f>
        <v>AdverseEvent.Code</v>
      </c>
      <c r="C72" s="14" t="str">
        <f>ConvertOsiris!J66</f>
        <v>Code [C48]</v>
      </c>
      <c r="D72" s="14" t="str">
        <f>ConvertOsiris!K66</f>
        <v>International code of the adverse event occurring during treatment (excluding other cancer), only the first 4 letters.
_x000D_ConceptualDomain: MedDRA_CTCAE-v5.0
_x000D_mandatory if ObjectClass is set</v>
      </c>
      <c r="E72" s="14" t="str">
        <f>ConvertOsiris!L66</f>
        <v>0</v>
      </c>
      <c r="F72" s="13" t="s">
        <v>9</v>
      </c>
      <c r="G72" s="13" t="str">
        <f>ConvertOsiris!M66</f>
        <v>string</v>
      </c>
      <c r="H72" s="31"/>
      <c r="I72" s="30"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3">
        <v>66</v>
      </c>
      <c r="B73" s="13" t="str">
        <f>ConvertOsiris!I67</f>
        <v>AdverseEvent.Date</v>
      </c>
      <c r="C73" s="14" t="str">
        <f>ConvertOsiris!J67</f>
        <v>Date [C49]</v>
      </c>
      <c r="D73" s="14" t="str">
        <f>ConvertOsiris!K67</f>
        <v>Date of the diagnosis of the adverse event
_x000D_mandatory if ObjectClass is set</v>
      </c>
      <c r="E73" s="14" t="str">
        <f>ConvertOsiris!L67</f>
        <v>0</v>
      </c>
      <c r="F73" s="13" t="s">
        <v>9</v>
      </c>
      <c r="G73" s="13" t="str">
        <f>ConvertOsiris!M67</f>
        <v>date</v>
      </c>
      <c r="H73" s="31"/>
      <c r="I73" s="30" t="str">
        <f t="shared" si="1"/>
        <v>* AdverseEvent.Date 0..* date ##34#Date [C49]##34# ##334#Date of the diagnosis of the adverse event
_x000D_mandatory if ObjectClass is set##334#</v>
      </c>
    </row>
    <row r="74" spans="1:9" ht="44.25" x14ac:dyDescent="0.75">
      <c r="A74" s="13">
        <v>67</v>
      </c>
      <c r="B74" s="13" t="str">
        <f>ConvertOsiris!I68</f>
        <v>AdverseEvent.EndDate</v>
      </c>
      <c r="C74" s="14" t="str">
        <f>ConvertOsiris!J68</f>
        <v>End Date [C50]</v>
      </c>
      <c r="D74" s="14" t="str">
        <f>ConvertOsiris!K68</f>
        <v>End date of the adverse event (if known)
_x000D_optional</v>
      </c>
      <c r="E74" s="14" t="str">
        <f>ConvertOsiris!L68</f>
        <v>0</v>
      </c>
      <c r="F74" s="13" t="s">
        <v>9</v>
      </c>
      <c r="G74" s="13" t="str">
        <f>ConvertOsiris!M68</f>
        <v>date</v>
      </c>
      <c r="H74" s="31"/>
      <c r="I74" s="30" t="str">
        <f t="shared" si="1"/>
        <v>* AdverseEvent.EndDate 0..* date ##34#End Date [C50]##34# ##334#End date of the adverse event (if known)
_x000D_optional##334#</v>
      </c>
    </row>
    <row r="75" spans="1:9" ht="44.25" x14ac:dyDescent="0.75">
      <c r="A75" s="13">
        <v>68</v>
      </c>
      <c r="B75" s="13" t="str">
        <f>ConvertOsiris!I69</f>
        <v>AdverseEvent.Grade</v>
      </c>
      <c r="C75" s="14" t="str">
        <f>ConvertOsiris!J69</f>
        <v>Grade [C80]</v>
      </c>
      <c r="D75" s="14" t="str">
        <f>ConvertOsiris!K69</f>
        <v>Grade of the adverse event
_x000D_mandatory if ObjectClass is set</v>
      </c>
      <c r="E75" s="14" t="str">
        <f>ConvertOsiris!L69</f>
        <v>0</v>
      </c>
      <c r="F75" s="13" t="s">
        <v>9</v>
      </c>
      <c r="G75" s="13" t="str">
        <f>ConvertOsiris!M69</f>
        <v>string</v>
      </c>
      <c r="H75" s="31"/>
      <c r="I75" s="30" t="str">
        <f t="shared" si="1"/>
        <v>* AdverseEvent.Grade 0..* string ##34#Grade [C80]##34# ##334#Grade of the adverse event
_x000D_mandatory if ObjectClass is set##334#</v>
      </c>
    </row>
    <row r="76" spans="1:9" x14ac:dyDescent="0.75">
      <c r="A76" s="13">
        <v>69</v>
      </c>
      <c r="B76" s="13" t="str">
        <f>ConvertOsiris!I70</f>
        <v>Drug</v>
      </c>
      <c r="C76" s="14" t="str">
        <f>ConvertOsiris!J70</f>
        <v>Drug</v>
      </c>
      <c r="D76" s="14" t="str">
        <f>ConvertOsiris!K70</f>
        <v>Drug</v>
      </c>
      <c r="E76" s="14">
        <f>ConvertOsiris!L70</f>
        <v>0</v>
      </c>
      <c r="F76" s="13" t="s">
        <v>9</v>
      </c>
      <c r="G76" s="13" t="str">
        <f>ConvertOsiris!M70</f>
        <v>BackboneElement</v>
      </c>
      <c r="H76" s="31"/>
      <c r="I76" s="30" t="str">
        <f t="shared" si="1"/>
        <v>* Drug 0..* BackboneElement ##34#Drug##34# ##334#Drug##334#</v>
      </c>
    </row>
    <row r="77" spans="1:9" ht="59" x14ac:dyDescent="0.75">
      <c r="A77" s="13">
        <v>70</v>
      </c>
      <c r="B77" s="13" t="str">
        <f>ConvertOsiris!I71</f>
        <v>Drug.Code</v>
      </c>
      <c r="C77" s="14" t="str">
        <f>ConvertOsiris!J71</f>
        <v>Code [C51]</v>
      </c>
      <c r="D77" s="14" t="str">
        <f>ConvertOsiris!K71</f>
        <v>Therapeutic classification code (5th level if possible)
_x000D_ConceptualDomain: ATC
_x000D_mandatory if ObjectClass is set</v>
      </c>
      <c r="E77" s="14" t="str">
        <f>ConvertOsiris!L71</f>
        <v>0</v>
      </c>
      <c r="F77" s="13" t="s">
        <v>9</v>
      </c>
      <c r="G77" s="13" t="str">
        <f>ConvertOsiris!M71</f>
        <v>string</v>
      </c>
      <c r="H77" s="31"/>
      <c r="I77" s="30" t="str">
        <f t="shared" si="1"/>
        <v>* Drug.Code 0..* string ##34#Code [C51]##34# ##334#Therapeutic classification code (5th level if possible)
_x000D_ConceptualDomain: ATC
_x000D_mandatory if ObjectClass is set##334#</v>
      </c>
    </row>
    <row r="78" spans="1:9" ht="29.5" x14ac:dyDescent="0.75">
      <c r="A78" s="13">
        <v>71</v>
      </c>
      <c r="B78" s="13" t="str">
        <f>ConvertOsiris!I72</f>
        <v>Drug.Name</v>
      </c>
      <c r="C78" s="14" t="str">
        <f>ConvertOsiris!J72</f>
        <v>Name [C52]</v>
      </c>
      <c r="D78" s="14" t="str">
        <f>ConvertOsiris!K72</f>
        <v>Name of the molecule
_x000D_mandatory if ObjectClass is set</v>
      </c>
      <c r="E78" s="14" t="str">
        <f>ConvertOsiris!L72</f>
        <v>0</v>
      </c>
      <c r="F78" s="13" t="s">
        <v>9</v>
      </c>
      <c r="G78" s="13" t="str">
        <f>ConvertOsiris!M72</f>
        <v>string</v>
      </c>
      <c r="H78" s="31"/>
      <c r="I78" s="30" t="str">
        <f t="shared" si="1"/>
        <v>* Drug.Name 0..* string ##34#Name [C52]##34# ##334#Name of the molecule
_x000D_mandatory if ObjectClass is set##334#</v>
      </c>
    </row>
    <row r="79" spans="1:9" ht="29.5" x14ac:dyDescent="0.75">
      <c r="A79" s="13">
        <v>72</v>
      </c>
      <c r="B79" s="13" t="str">
        <f>ConvertOsiris!I73</f>
        <v>BiologicalSample</v>
      </c>
      <c r="C79" s="14" t="str">
        <f>ConvertOsiris!J73</f>
        <v>BiologicalSample</v>
      </c>
      <c r="D79" s="14" t="str">
        <f>ConvertOsiris!K73</f>
        <v>BiologicalSample</v>
      </c>
      <c r="E79" s="14">
        <f>ConvertOsiris!L73</f>
        <v>0</v>
      </c>
      <c r="F79" s="13" t="s">
        <v>9</v>
      </c>
      <c r="G79" s="13" t="str">
        <f>ConvertOsiris!M73</f>
        <v>BackboneElement</v>
      </c>
      <c r="H79" s="31"/>
      <c r="I79" s="30" t="str">
        <f t="shared" si="1"/>
        <v>* BiologicalSample 0..* BackboneElement ##34#BiologicalSample##34# ##334#BiologicalSample##334#</v>
      </c>
    </row>
    <row r="80" spans="1:9" ht="44.25" x14ac:dyDescent="0.75">
      <c r="A80" s="13">
        <v>73</v>
      </c>
      <c r="B80" s="13" t="str">
        <f>ConvertOsiris!I74</f>
        <v>BiologicalSample.ExternalAccession</v>
      </c>
      <c r="C80" s="14" t="str">
        <f>ConvertOsiris!J74</f>
        <v>Sample External Accession [C53]</v>
      </c>
      <c r="D80" s="14" t="str">
        <f>ConvertOsiris!K74</f>
        <v>Unique identifier of the sample
_x000D_mandatory if ObjectClass is set</v>
      </c>
      <c r="E80" s="14" t="str">
        <f>ConvertOsiris!L74</f>
        <v>0</v>
      </c>
      <c r="F80" s="13" t="s">
        <v>9</v>
      </c>
      <c r="G80" s="13" t="str">
        <f>ConvertOsiris!M74</f>
        <v>string</v>
      </c>
      <c r="H80" s="31"/>
      <c r="I80" s="30" t="str">
        <f t="shared" si="1"/>
        <v>* BiologicalSample.ExternalAccession 0..* string ##34#Sample External Accession [C53]##34# ##334#Unique identifier of the sample
_x000D_mandatory if ObjectClass is set##334#</v>
      </c>
    </row>
    <row r="81" spans="1:9" ht="59" x14ac:dyDescent="0.75">
      <c r="A81" s="13">
        <v>74</v>
      </c>
      <c r="B81" s="13" t="str">
        <f>ConvertOsiris!I75</f>
        <v>BiologicalSample.ParentExternalAccession</v>
      </c>
      <c r="C81" s="14" t="str">
        <f>ConvertOsiris!J75</f>
        <v>Parent sample External Accession [C54]</v>
      </c>
      <c r="D81" s="14" t="str">
        <f>ConvertOsiris!K75</f>
        <v>Unique identifier of the parent sample (if there is one, example histo#)
_x000D_optional</v>
      </c>
      <c r="E81" s="14" t="str">
        <f>ConvertOsiris!L75</f>
        <v>0</v>
      </c>
      <c r="F81" s="13" t="s">
        <v>9</v>
      </c>
      <c r="G81" s="13" t="str">
        <f>ConvertOsiris!M75</f>
        <v>string</v>
      </c>
      <c r="H81" s="31"/>
      <c r="I81" s="30" t="str">
        <f t="shared" si="1"/>
        <v>* BiologicalSample.ParentExternalAccession 0..* string ##34#Parent sample External Accession [C54]##34# ##334#Unique identifier of the parent sample (if there is one, example histo#)
_x000D_optional##334#</v>
      </c>
    </row>
    <row r="82" spans="1:9" ht="44.25" x14ac:dyDescent="0.75">
      <c r="A82" s="13">
        <v>75</v>
      </c>
      <c r="B82" s="13" t="str">
        <f>ConvertOsiris!I76</f>
        <v>BiologicalSample.CollectDate</v>
      </c>
      <c r="C82" s="14" t="str">
        <f>ConvertOsiris!J76</f>
        <v>Collect Date [C56]</v>
      </c>
      <c r="D82" s="14" t="str">
        <f>ConvertOsiris!K76</f>
        <v>Date of sampling
_x000D_mandatory if ObjectClass is set</v>
      </c>
      <c r="E82" s="14" t="str">
        <f>ConvertOsiris!L76</f>
        <v>0</v>
      </c>
      <c r="F82" s="13" t="s">
        <v>9</v>
      </c>
      <c r="G82" s="13" t="str">
        <f>ConvertOsiris!M76</f>
        <v>date</v>
      </c>
      <c r="H82" s="31"/>
      <c r="I82" s="30" t="str">
        <f t="shared" si="1"/>
        <v>* BiologicalSample.CollectDate 0..* date ##34#Collect Date [C56]##34# ##334#Date of sampling
_x000D_mandatory if ObjectClass is set##334#</v>
      </c>
    </row>
    <row r="83" spans="1:9" ht="59" x14ac:dyDescent="0.75">
      <c r="A83" s="13">
        <v>76</v>
      </c>
      <c r="B83" s="13" t="str">
        <f>ConvertOsiris!I77</f>
        <v>BiologicalSample.TopographyCode</v>
      </c>
      <c r="C83" s="14" t="str">
        <f>ConvertOsiris!J77</f>
        <v>Topography Code [C57]</v>
      </c>
      <c r="D83" s="14" t="str">
        <f>ConvertOsiris!K77</f>
        <v>Code of tumor localization
_x000D_ConceptualDomain: ICDO3:Topography
_x000D_mandatory if ObjectClass is set</v>
      </c>
      <c r="E83" s="14" t="str">
        <f>ConvertOsiris!L77</f>
        <v>0</v>
      </c>
      <c r="F83" s="13" t="s">
        <v>9</v>
      </c>
      <c r="G83" s="13" t="str">
        <f>ConvertOsiris!M77</f>
        <v>string</v>
      </c>
      <c r="H83" s="31"/>
      <c r="I83" s="30" t="str">
        <f t="shared" si="1"/>
        <v>* BiologicalSample.TopographyCode 0..* string ##34#Topography Code [C57]##34# ##334#Code of tumor localization
_x000D_ConceptualDomain: ICDO3:Topography
_x000D_mandatory if ObjectClass is set##334#</v>
      </c>
    </row>
    <row r="84" spans="1:9" ht="59" x14ac:dyDescent="0.75">
      <c r="A84" s="13">
        <v>77</v>
      </c>
      <c r="B84" s="13" t="str">
        <f>ConvertOsiris!I78</f>
        <v>BiologicalSample.Nature</v>
      </c>
      <c r="C84" s="14" t="str">
        <f>ConvertOsiris!J78</f>
        <v>Nature [C58]</v>
      </c>
      <c r="D84" s="14" t="str">
        <f>ConvertOsiris!K78</f>
        <v>Nature of the sample
_x000D_ConceptualDomain: OSIRIS:SampleNature
_x000D_mandatory if ObjectClass is set</v>
      </c>
      <c r="E84" s="14" t="str">
        <f>ConvertOsiris!L78</f>
        <v>0</v>
      </c>
      <c r="F84" s="13" t="s">
        <v>9</v>
      </c>
      <c r="G84" s="13" t="str">
        <f>ConvertOsiris!M78</f>
        <v>string</v>
      </c>
      <c r="H84" s="31"/>
      <c r="I84" s="30" t="str">
        <f t="shared" si="1"/>
        <v>* BiologicalSample.Nature 0..* string ##34#Nature [C58]##34# ##334#Nature of the sample
_x000D_ConceptualDomain: OSIRIS:SampleNature
_x000D_mandatory if ObjectClass is set##334#</v>
      </c>
    </row>
    <row r="85" spans="1:9" ht="59" x14ac:dyDescent="0.75">
      <c r="A85" s="13">
        <v>78</v>
      </c>
      <c r="B85" s="13" t="str">
        <f>ConvertOsiris!I79</f>
        <v>BiologicalSample.Origin</v>
      </c>
      <c r="C85" s="14" t="str">
        <f>ConvertOsiris!J79</f>
        <v>Origin [C59]</v>
      </c>
      <c r="D85" s="14" t="str">
        <f>ConvertOsiris!K79</f>
        <v>Nature of the original sample (Healthy or Tumoral)
_x000D_ConceptualDomain: OSIRIS:SampleOrigin
_x000D_mandatory if ObjectClass is set</v>
      </c>
      <c r="E85" s="14" t="str">
        <f>ConvertOsiris!L79</f>
        <v>0</v>
      </c>
      <c r="F85" s="13" t="s">
        <v>9</v>
      </c>
      <c r="G85" s="13" t="str">
        <f>ConvertOsiris!M79</f>
        <v>string</v>
      </c>
      <c r="H85" s="31"/>
      <c r="I85" s="30" t="str">
        <f t="shared" si="1"/>
        <v>* BiologicalSample.Origin 0..* string ##34#Origin [C59]##34# ##334#Nature of the original sample (Healthy or Tumoral)
_x000D_ConceptualDomain: OSIRIS:SampleOrigin
_x000D_mandatory if ObjectClass is set##334#</v>
      </c>
    </row>
    <row r="86" spans="1:9" ht="59" x14ac:dyDescent="0.75">
      <c r="A86" s="13">
        <v>79</v>
      </c>
      <c r="B86" s="13" t="str">
        <f>ConvertOsiris!I80</f>
        <v>BiologicalSample.StorageTemperature</v>
      </c>
      <c r="C86" s="14" t="str">
        <f>ConvertOsiris!J80</f>
        <v>Storage Temperature [C60]</v>
      </c>
      <c r="D86" s="14" t="str">
        <f>ConvertOsiris!K80</f>
        <v>Mode of preservation
_x000D_ConceptualDomain: OSIRIS:StorageTemperature
_x000D_optional</v>
      </c>
      <c r="E86" s="14" t="str">
        <f>ConvertOsiris!L80</f>
        <v>0</v>
      </c>
      <c r="F86" s="13" t="s">
        <v>9</v>
      </c>
      <c r="G86" s="13" t="str">
        <f>ConvertOsiris!M80</f>
        <v>string</v>
      </c>
      <c r="H86" s="31"/>
      <c r="I86" s="30" t="str">
        <f t="shared" si="1"/>
        <v>* BiologicalSample.StorageTemperature 0..* string ##34#Storage Temperature [C60]##34# ##334#Mode of preservation
_x000D_ConceptualDomain: OSIRIS:StorageTemperature
_x000D_optional##334#</v>
      </c>
    </row>
    <row r="87" spans="1:9" ht="44.25" x14ac:dyDescent="0.75">
      <c r="A87" s="13">
        <v>80</v>
      </c>
      <c r="B87" s="13" t="str">
        <f>ConvertOsiris!I81</f>
        <v>BiologicalSample.TumorCellularity</v>
      </c>
      <c r="C87" s="14" t="str">
        <f>ConvertOsiris!J81</f>
        <v>Tumor Cellularity [C61]</v>
      </c>
      <c r="D87" s="14" t="str">
        <f>ConvertOsiris!K81</f>
        <v>Percentage of tumor cells quantified in the sample
_x000D_optional</v>
      </c>
      <c r="E87" s="14" t="str">
        <f>ConvertOsiris!L81</f>
        <v>0</v>
      </c>
      <c r="F87" s="13" t="s">
        <v>9</v>
      </c>
      <c r="G87" s="13" t="str">
        <f>ConvertOsiris!M81</f>
        <v>integer</v>
      </c>
      <c r="H87" s="31"/>
      <c r="I87" s="30" t="str">
        <f t="shared" si="1"/>
        <v>* BiologicalSample.TumorCellularity 0..* integer ##34#Tumor Cellularity [C61]##34# ##334#Percentage of tumor cells quantified in the sample
_x000D_optional##334#</v>
      </c>
    </row>
    <row r="88" spans="1:9" ht="29.5" x14ac:dyDescent="0.75">
      <c r="A88" s="13">
        <v>81</v>
      </c>
      <c r="B88" s="13" t="str">
        <f>ConvertOsiris!I82</f>
        <v>Technology</v>
      </c>
      <c r="C88" s="14" t="str">
        <f>ConvertOsiris!J82</f>
        <v>Technology</v>
      </c>
      <c r="D88" s="14" t="str">
        <f>ConvertOsiris!K82</f>
        <v>Technology</v>
      </c>
      <c r="E88" s="14">
        <f>ConvertOsiris!L82</f>
        <v>1</v>
      </c>
      <c r="F88" s="13" t="s">
        <v>9</v>
      </c>
      <c r="G88" s="13" t="str">
        <f>ConvertOsiris!M82</f>
        <v>BackboneElement</v>
      </c>
      <c r="H88" s="31"/>
      <c r="I88" s="30" t="str">
        <f t="shared" si="1"/>
        <v>* Technology 1..* BackboneElement ##34#Technology##34# ##334#Technology##334#</v>
      </c>
    </row>
    <row r="89" spans="1:9" ht="59" x14ac:dyDescent="0.75">
      <c r="A89" s="13">
        <v>82</v>
      </c>
      <c r="B89" s="13" t="str">
        <f>ConvertOsiris!I83</f>
        <v>Technology.TechnicalProtocol</v>
      </c>
      <c r="C89" s="14" t="str">
        <f>ConvertOsiris!J83</f>
        <v>Technical Protocol [O6]</v>
      </c>
      <c r="D89" s="14" t="str">
        <f>ConvertOsiris!K83</f>
        <v>Protocol used for the experiment
_x000D_ConceptualDomain: OSIRIS:TechnicalProtocol
_x000D_mandatory</v>
      </c>
      <c r="E89" s="14" t="str">
        <f>ConvertOsiris!L83</f>
        <v>1</v>
      </c>
      <c r="F89" s="13" t="s">
        <v>9</v>
      </c>
      <c r="G89" s="13" t="str">
        <f>ConvertOsiris!M83</f>
        <v>string</v>
      </c>
      <c r="H89" s="31"/>
      <c r="I89" s="30" t="str">
        <f t="shared" si="1"/>
        <v>* Technology.TechnicalProtocol 1..* string ##34#Technical Protocol [O6]##34# ##334#Protocol used for the experiment
_x000D_ConceptualDomain: OSIRIS:TechnicalProtocol
_x000D_mandatory##334#</v>
      </c>
    </row>
    <row r="90" spans="1:9" ht="59" x14ac:dyDescent="0.75">
      <c r="A90" s="13">
        <v>83</v>
      </c>
      <c r="B90" s="13" t="str">
        <f>ConvertOsiris!I84</f>
        <v>Technology.PlatformName</v>
      </c>
      <c r="C90" s="14" t="str">
        <f>ConvertOsiris!J84</f>
        <v>Platform Name [O7]</v>
      </c>
      <c r="D90" s="14" t="str">
        <f>ConvertOsiris!K84</f>
        <v>Technological platform name (provider followed by the platform name)
_x000D_ConceptualDomain: OSIRIS:PlatformName
_x000D_mandatory</v>
      </c>
      <c r="E90" s="14" t="str">
        <f>ConvertOsiris!L84</f>
        <v>1</v>
      </c>
      <c r="F90" s="13" t="s">
        <v>9</v>
      </c>
      <c r="G90" s="13" t="str">
        <f>ConvertOsiris!M84</f>
        <v>string</v>
      </c>
      <c r="H90" s="31"/>
      <c r="I90" s="30" t="str">
        <f t="shared" si="1"/>
        <v>* Technology.PlatformName 1..* string ##34#Platform Name [O7]##34# ##334#Technological platform name (provider followed by the platform name)
_x000D_ConceptualDomain: OSIRIS:PlatformName
_x000D_mandatory##334#</v>
      </c>
    </row>
    <row r="91" spans="1:9" ht="44.25" x14ac:dyDescent="0.75">
      <c r="A91" s="13">
        <v>84</v>
      </c>
      <c r="B91" s="13" t="str">
        <f>ConvertOsiris!I85</f>
        <v>Technology.PlatformAccession</v>
      </c>
      <c r="C91" s="14" t="str">
        <f>ConvertOsiris!J85</f>
        <v>Platform Accession [O8]</v>
      </c>
      <c r="D91" s="14" t="str">
        <f>ConvertOsiris!K85</f>
        <v>GEO Identifier of the platform
_x000D_optional</v>
      </c>
      <c r="E91" s="14" t="str">
        <f>ConvertOsiris!L85</f>
        <v>0</v>
      </c>
      <c r="F91" s="13" t="s">
        <v>9</v>
      </c>
      <c r="G91" s="13" t="str">
        <f>ConvertOsiris!M85</f>
        <v>string</v>
      </c>
      <c r="H91" s="31"/>
      <c r="I91" s="30" t="str">
        <f t="shared" si="1"/>
        <v>* Technology.PlatformAccession 0..* string ##34#Platform Accession [O8]##34# ##334#GEO Identifier of the platform
_x000D_optional##334#</v>
      </c>
    </row>
    <row r="92" spans="1:9" ht="44.25" x14ac:dyDescent="0.75">
      <c r="A92" s="13">
        <v>85</v>
      </c>
      <c r="B92" s="13" t="str">
        <f>ConvertOsiris!I86</f>
        <v>Technology.DateOfExperiment</v>
      </c>
      <c r="C92" s="14" t="str">
        <f>ConvertOsiris!J86</f>
        <v>Date Of Experiment [O9]</v>
      </c>
      <c r="D92" s="14" t="str">
        <f>ConvertOsiris!K86</f>
        <v>Date when the experiment was performed
_x000D_optional</v>
      </c>
      <c r="E92" s="14" t="str">
        <f>ConvertOsiris!L86</f>
        <v>0</v>
      </c>
      <c r="F92" s="13" t="s">
        <v>9</v>
      </c>
      <c r="G92" s="13" t="str">
        <f>ConvertOsiris!M86</f>
        <v>date</v>
      </c>
      <c r="H92" s="31"/>
      <c r="I92" s="30" t="str">
        <f t="shared" si="1"/>
        <v>* Technology.DateOfExperiment 0..* date ##34#Date Of Experiment [O9]##34# ##334#Date when the experiment was performed
_x000D_optional##334#</v>
      </c>
    </row>
    <row r="93" spans="1:9" x14ac:dyDescent="0.75">
      <c r="A93" s="13">
        <v>86</v>
      </c>
      <c r="B93" s="13" t="str">
        <f>ConvertOsiris!I87</f>
        <v>Panel</v>
      </c>
      <c r="C93" s="14" t="str">
        <f>ConvertOsiris!J87</f>
        <v>Panel</v>
      </c>
      <c r="D93" s="14" t="str">
        <f>ConvertOsiris!K87</f>
        <v>Panel</v>
      </c>
      <c r="E93" s="14">
        <f>ConvertOsiris!L87</f>
        <v>0</v>
      </c>
      <c r="F93" s="13" t="s">
        <v>9</v>
      </c>
      <c r="G93" s="13" t="str">
        <f>ConvertOsiris!M87</f>
        <v>BackboneElement</v>
      </c>
      <c r="H93" s="31"/>
      <c r="I93" s="30" t="str">
        <f t="shared" si="1"/>
        <v>* Panel 0..* BackboneElement ##34#Panel##34# ##334#Panel##334#</v>
      </c>
    </row>
    <row r="94" spans="1:9" ht="59" x14ac:dyDescent="0.75">
      <c r="A94" s="13">
        <v>87</v>
      </c>
      <c r="B94" s="13" t="str">
        <f>ConvertOsiris!I88</f>
        <v>Panel.Name</v>
      </c>
      <c r="C94" s="14" t="str">
        <f>ConvertOsiris!J88</f>
        <v>Name [O10]</v>
      </c>
      <c r="D94" s="14" t="str">
        <f>ConvertOsiris!K88</f>
        <v>Name of the panel targeted by the experimental analysis (provider followed by the panel name)
_x000D_ConceptualDomain: OSIRIS:PanelName
_x000D_optional</v>
      </c>
      <c r="E94" s="14" t="str">
        <f>ConvertOsiris!L88</f>
        <v>0</v>
      </c>
      <c r="F94" s="13" t="s">
        <v>9</v>
      </c>
      <c r="G94" s="13" t="str">
        <f>ConvertOsiris!M88</f>
        <v>string</v>
      </c>
      <c r="H94" s="31"/>
      <c r="I94" s="30" t="str">
        <f t="shared" si="1"/>
        <v>* Panel.Name 0..* string ##34#Name [O10]##34# ##334#Name of the panel targeted by the experimental analysis (provider followed by the panel name)
_x000D_ConceptualDomain: OSIRIS:PanelName
_x000D_optional##334#</v>
      </c>
    </row>
    <row r="95" spans="1:9" ht="29.5" x14ac:dyDescent="0.75">
      <c r="A95" s="13">
        <v>88</v>
      </c>
      <c r="B95" s="13" t="str">
        <f>ConvertOsiris!I89</f>
        <v>AnalysisProcess</v>
      </c>
      <c r="C95" s="14" t="str">
        <f>ConvertOsiris!J89</f>
        <v>AnalysisProcess</v>
      </c>
      <c r="D95" s="14" t="str">
        <f>ConvertOsiris!K89</f>
        <v>AnalysisProcess</v>
      </c>
      <c r="E95" s="14">
        <f>ConvertOsiris!L89</f>
        <v>1</v>
      </c>
      <c r="F95" s="13" t="s">
        <v>9</v>
      </c>
      <c r="G95" s="13" t="str">
        <f>ConvertOsiris!M89</f>
        <v>BackboneElement</v>
      </c>
      <c r="H95" s="31"/>
      <c r="I95" s="30" t="str">
        <f t="shared" si="1"/>
        <v>* AnalysisProcess 1..* BackboneElement ##34#AnalysisProcess##34# ##334#AnalysisProcess##334#</v>
      </c>
    </row>
    <row r="96" spans="1:9" ht="59" x14ac:dyDescent="0.75">
      <c r="A96" s="13">
        <v>89</v>
      </c>
      <c r="B96" s="13" t="str">
        <f>ConvertOsiris!I90</f>
        <v>AnalysisProcess.AnalyticPipelineCode</v>
      </c>
      <c r="C96" s="14" t="str">
        <f>ConvertOsiris!J90</f>
        <v>Analytic Pipeline Code [O11]</v>
      </c>
      <c r="D96" s="14" t="str">
        <f>ConvertOsiris!K90</f>
        <v>Identifier of the pipeline used into the analysis (unique in the center)
_x000D_mandatory</v>
      </c>
      <c r="E96" s="14" t="str">
        <f>ConvertOsiris!L90</f>
        <v>1</v>
      </c>
      <c r="F96" s="13" t="s">
        <v>9</v>
      </c>
      <c r="G96" s="13" t="str">
        <f>ConvertOsiris!M90</f>
        <v>string</v>
      </c>
      <c r="H96" s="31"/>
      <c r="I96" s="30" t="str">
        <f t="shared" si="1"/>
        <v>* AnalysisProcess.AnalyticPipelineCode 1..* string ##34#Analytic Pipeline Code [O11]##34# ##334#Identifier of the pipeline used into the analysis (unique in the center)
_x000D_mandatory##334#</v>
      </c>
    </row>
    <row r="97" spans="1:9" ht="29.5" x14ac:dyDescent="0.75">
      <c r="A97" s="13">
        <v>90</v>
      </c>
      <c r="B97" s="13" t="str">
        <f>ConvertOsiris!I91</f>
        <v>OmicAnalysis</v>
      </c>
      <c r="C97" s="14" t="str">
        <f>ConvertOsiris!J91</f>
        <v>OmicAnalysis</v>
      </c>
      <c r="D97" s="14" t="str">
        <f>ConvertOsiris!K91</f>
        <v>OmicAnalysis</v>
      </c>
      <c r="E97" s="14">
        <f>ConvertOsiris!L91</f>
        <v>0</v>
      </c>
      <c r="F97" s="13" t="s">
        <v>9</v>
      </c>
      <c r="G97" s="13" t="str">
        <f>ConvertOsiris!M91</f>
        <v>BackboneElement</v>
      </c>
      <c r="H97" s="31"/>
      <c r="I97" s="30" t="str">
        <f t="shared" si="1"/>
        <v>* OmicAnalysis 0..* BackboneElement ##34#OmicAnalysis##34# ##334#OmicAnalysis##334#</v>
      </c>
    </row>
    <row r="98" spans="1:9" ht="44.25" x14ac:dyDescent="0.75">
      <c r="A98" s="13">
        <v>91</v>
      </c>
      <c r="B98" s="13" t="str">
        <f>ConvertOsiris!I92</f>
        <v>OmicAnalysis.AlgorithmicCellularity</v>
      </c>
      <c r="C98" s="14" t="str">
        <f>ConvertOsiris!J92</f>
        <v>Algorithmic Cellularity [O12]</v>
      </c>
      <c r="D98" s="14" t="str">
        <f>ConvertOsiris!K92</f>
        <v>Calculated percentage of tumor cells in sample
_x000D_optional</v>
      </c>
      <c r="E98" s="14" t="str">
        <f>ConvertOsiris!L92</f>
        <v>0</v>
      </c>
      <c r="F98" s="13" t="s">
        <v>9</v>
      </c>
      <c r="G98" s="13" t="str">
        <f>ConvertOsiris!M92</f>
        <v>integer</v>
      </c>
      <c r="H98" s="31"/>
      <c r="I98" s="30" t="str">
        <f t="shared" si="1"/>
        <v>* OmicAnalysis.AlgorithmicCellularity 0..* integer ##34#Algorithmic Cellularity [O12]##34# ##334#Calculated percentage of tumor cells in sample
_x000D_optional##334#</v>
      </c>
    </row>
    <row r="99" spans="1:9" ht="73.75" x14ac:dyDescent="0.75">
      <c r="A99" s="13">
        <v>92</v>
      </c>
      <c r="B99" s="13" t="str">
        <f>ConvertOsiris!I93</f>
        <v>OmicAnalysis.AlgorithmicPloidy</v>
      </c>
      <c r="C99" s="14" t="str">
        <f>ConvertOsiris!J93</f>
        <v>Algorithmic Ploidy [O13]</v>
      </c>
      <c r="D99" s="14" t="str">
        <f>ConvertOsiris!K93</f>
        <v>Calculated number of sets of chromosomes in a cell of the sample
_x000D_ConceptualDomain: OSIRIS:AlgorithmicPloidy
_x000D_optional</v>
      </c>
      <c r="E99" s="14" t="str">
        <f>ConvertOsiris!L93</f>
        <v>0</v>
      </c>
      <c r="F99" s="13" t="s">
        <v>9</v>
      </c>
      <c r="G99" s="13" t="str">
        <f>ConvertOsiris!M93</f>
        <v>string</v>
      </c>
      <c r="H99" s="31"/>
      <c r="I99" s="30"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3">
        <v>93</v>
      </c>
      <c r="B100" s="13" t="str">
        <f>ConvertOsiris!I94</f>
        <v>OmicAnalysis.NumberOfBreakPoints</v>
      </c>
      <c r="C100" s="14" t="str">
        <f>ConvertOsiris!J94</f>
        <v>Number Of Break Points [O14]</v>
      </c>
      <c r="D100" s="14" t="str">
        <f>ConvertOsiris!K94</f>
        <v>Calculated number of break points in genomic profile
_x000D_optional</v>
      </c>
      <c r="E100" s="14" t="str">
        <f>ConvertOsiris!L94</f>
        <v>0</v>
      </c>
      <c r="F100" s="13" t="s">
        <v>9</v>
      </c>
      <c r="G100" s="13" t="str">
        <f>ConvertOsiris!M94</f>
        <v>integer</v>
      </c>
      <c r="H100" s="31"/>
      <c r="I100" s="30" t="str">
        <f t="shared" si="1"/>
        <v>* OmicAnalysis.NumberOfBreakPoints 0..* integer ##34#Number Of Break Points [O14]##34# ##334#Calculated number of break points in genomic profile
_x000D_optional##334#</v>
      </c>
    </row>
    <row r="101" spans="1:9" ht="29.5" x14ac:dyDescent="0.75">
      <c r="A101" s="13">
        <v>94</v>
      </c>
      <c r="B101" s="13" t="str">
        <f>ConvertOsiris!I95</f>
        <v>AlterationOnSample</v>
      </c>
      <c r="C101" s="14" t="str">
        <f>ConvertOsiris!J95</f>
        <v>AlterationOnSample</v>
      </c>
      <c r="D101" s="14" t="str">
        <f>ConvertOsiris!K95</f>
        <v>AlterationOnSample</v>
      </c>
      <c r="E101" s="14">
        <f>ConvertOsiris!L95</f>
        <v>1</v>
      </c>
      <c r="F101" s="13" t="s">
        <v>9</v>
      </c>
      <c r="G101" s="13" t="str">
        <f>ConvertOsiris!M95</f>
        <v>BackboneElement</v>
      </c>
      <c r="H101" s="31"/>
      <c r="I101" s="30" t="str">
        <f t="shared" si="1"/>
        <v>* AlterationOnSample 1..* BackboneElement ##34#AlterationOnSample##34# ##334#AlterationOnSample##334#</v>
      </c>
    </row>
    <row r="102" spans="1:9" ht="73.75" x14ac:dyDescent="0.75">
      <c r="A102" s="13">
        <v>95</v>
      </c>
      <c r="B102" s="13" t="str">
        <f>ConvertOsiris!I96</f>
        <v>AlterationOnSample.AlterationType</v>
      </c>
      <c r="C102" s="14" t="str">
        <f>ConvertOsiris!J96</f>
        <v>Alteration Type [O15]</v>
      </c>
      <c r="D102" s="14" t="str">
        <f>ConvertOsiris!K96</f>
        <v>General type of the detected genetic alteration (high level type)
_x000D_ConceptualDomain: OSIRIS:AlterationType
_x000D_mandatory</v>
      </c>
      <c r="E102" s="14" t="str">
        <f>ConvertOsiris!L96</f>
        <v>1</v>
      </c>
      <c r="F102" s="13" t="s">
        <v>9</v>
      </c>
      <c r="G102" s="13" t="str">
        <f>ConvertOsiris!M96</f>
        <v>string</v>
      </c>
      <c r="H102" s="31"/>
      <c r="I102" s="30" t="str">
        <f t="shared" si="1"/>
        <v>* AlterationOnSample.AlterationType 1..* string ##34#Alteration Type [O15]##34# ##334#General type of the detected genetic alteration (high level type)
_x000D_ConceptualDomain: OSIRIS:AlterationType
_x000D_mandatory##334#</v>
      </c>
    </row>
    <row r="103" spans="1:9" ht="73.75" x14ac:dyDescent="0.75">
      <c r="A103" s="13">
        <v>96</v>
      </c>
      <c r="B103" s="13" t="str">
        <f>ConvertOsiris!I97</f>
        <v>AlterationOnSample.Pathogenicity</v>
      </c>
      <c r="C103" s="14" t="str">
        <f>ConvertOsiris!J97</f>
        <v>Pathogenicity [O81]</v>
      </c>
      <c r="D103" s="14" t="str">
        <f>ConvertOsiris!K97</f>
        <v>Conclusion of the biologist on the pathogenicity of the variant before the Molecular Tumor Board
_x000D_ConceptualDomain: OSIRIS:AlterationOnSample_Pathogenicity
_x000D_optional</v>
      </c>
      <c r="E103" s="14" t="str">
        <f>ConvertOsiris!L97</f>
        <v>0</v>
      </c>
      <c r="F103" s="13" t="s">
        <v>9</v>
      </c>
      <c r="G103" s="13" t="str">
        <f>ConvertOsiris!M97</f>
        <v>string</v>
      </c>
      <c r="H103" s="31"/>
      <c r="I103" s="30"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3">
        <v>97</v>
      </c>
      <c r="B104" s="13" t="str">
        <f>ConvertOsiris!I98</f>
        <v>AlterationOnSample.Actionability</v>
      </c>
      <c r="C104" s="14" t="str">
        <f>ConvertOsiris!J98</f>
        <v>Actionability [O82]</v>
      </c>
      <c r="D104" s="14" t="str">
        <f>ConvertOsiris!K98</f>
        <v>Conclusion of the clinicians wether the variant is actionable or not during the Molecular Tumor Board
_x000D_ConceptualDomain: OSIRIS:AlterationOnSample_Actionability
_x000D_optional</v>
      </c>
      <c r="E104" s="14" t="str">
        <f>ConvertOsiris!L98</f>
        <v>0</v>
      </c>
      <c r="F104" s="13" t="s">
        <v>9</v>
      </c>
      <c r="G104" s="13" t="str">
        <f>ConvertOsiris!M98</f>
        <v>string</v>
      </c>
      <c r="H104" s="31"/>
      <c r="I104" s="30"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3">
        <v>98</v>
      </c>
      <c r="B105" s="13" t="str">
        <f>ConvertOsiris!I99</f>
        <v>AlterationOnSample.ProposedForOrientation</v>
      </c>
      <c r="C105" s="14" t="str">
        <f>ConvertOsiris!J99</f>
        <v>Proposed For Orientation [O83]</v>
      </c>
      <c r="D105" s="14" t="str">
        <f>ConvertOsiris!K99</f>
        <v>Is the ClinicalTumorBoardConclusion used to orient the treatment decision ?
_x000D_ConceptualDomain: OSIRIS:Boolean
_x000D_optional</v>
      </c>
      <c r="E105" s="14" t="str">
        <f>ConvertOsiris!L99</f>
        <v>0</v>
      </c>
      <c r="F105" s="13" t="s">
        <v>9</v>
      </c>
      <c r="G105" s="13" t="str">
        <f>ConvertOsiris!M99</f>
        <v>string</v>
      </c>
      <c r="H105" s="31"/>
      <c r="I105" s="30"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3">
        <v>99</v>
      </c>
      <c r="B106" s="13" t="str">
        <f>ConvertOsiris!I100</f>
        <v>Validation</v>
      </c>
      <c r="C106" s="14" t="str">
        <f>ConvertOsiris!J100</f>
        <v>Validation</v>
      </c>
      <c r="D106" s="14" t="str">
        <f>ConvertOsiris!K100</f>
        <v>Validation</v>
      </c>
      <c r="E106" s="14">
        <f>ConvertOsiris!L100</f>
        <v>0</v>
      </c>
      <c r="F106" s="13" t="s">
        <v>9</v>
      </c>
      <c r="G106" s="13" t="str">
        <f>ConvertOsiris!M100</f>
        <v>BackboneElement</v>
      </c>
      <c r="H106" s="31"/>
      <c r="I106" s="30" t="str">
        <f t="shared" si="1"/>
        <v>* Validation 0..* BackboneElement ##34#Validation##34# ##334#Validation##334#</v>
      </c>
    </row>
    <row r="107" spans="1:9" ht="59" x14ac:dyDescent="0.75">
      <c r="A107" s="13">
        <v>100</v>
      </c>
      <c r="B107" s="13" t="str">
        <f>ConvertOsiris!I101</f>
        <v>Validation.Type</v>
      </c>
      <c r="C107" s="14" t="str">
        <f>ConvertOsiris!J101</f>
        <v>Type [O16]</v>
      </c>
      <c r="D107" s="14" t="str">
        <f>ConvertOsiris!K101</f>
        <v>Type of validation of the detected alteration
_x000D_ConceptualDomain: OSIRIS:ValidationType
_x000D_mandatory if ObjectClass is set</v>
      </c>
      <c r="E107" s="14" t="str">
        <f>ConvertOsiris!L101</f>
        <v>0</v>
      </c>
      <c r="F107" s="13" t="s">
        <v>9</v>
      </c>
      <c r="G107" s="13" t="str">
        <f>ConvertOsiris!M101</f>
        <v>string</v>
      </c>
      <c r="H107" s="31"/>
      <c r="I107" s="30" t="str">
        <f t="shared" si="1"/>
        <v>* Validation.Type 0..* string ##34#Type [O16]##34# ##334#Type of validation of the detected alteration
_x000D_ConceptualDomain: OSIRIS:ValidationType
_x000D_mandatory if ObjectClass is set##334#</v>
      </c>
    </row>
    <row r="108" spans="1:9" ht="44.25" x14ac:dyDescent="0.75">
      <c r="A108" s="13">
        <v>101</v>
      </c>
      <c r="B108" s="13" t="str">
        <f>ConvertOsiris!I102</f>
        <v>Validation.Method</v>
      </c>
      <c r="C108" s="14" t="str">
        <f>ConvertOsiris!J102</f>
        <v>Method [O17]</v>
      </c>
      <c r="D108" s="14" t="str">
        <f>ConvertOsiris!K102</f>
        <v>Validation method depending on the type of validation
_x000D_mandatory if ObjectClass is set</v>
      </c>
      <c r="E108" s="14" t="str">
        <f>ConvertOsiris!L102</f>
        <v>0</v>
      </c>
      <c r="F108" s="13" t="s">
        <v>9</v>
      </c>
      <c r="G108" s="13" t="str">
        <f>ConvertOsiris!M102</f>
        <v>string</v>
      </c>
      <c r="H108" s="31"/>
      <c r="I108" s="30" t="str">
        <f t="shared" si="1"/>
        <v>* Validation.Method 0..* string ##34#Method [O17]##34# ##334#Validation method depending on the type of validation
_x000D_mandatory if ObjectClass is set##334#</v>
      </c>
    </row>
    <row r="109" spans="1:9" ht="59" x14ac:dyDescent="0.75">
      <c r="A109" s="13">
        <v>102</v>
      </c>
      <c r="B109" s="13" t="str">
        <f>ConvertOsiris!I103</f>
        <v>Validation.Status</v>
      </c>
      <c r="C109" s="14" t="str">
        <f>ConvertOsiris!J103</f>
        <v>Status [O18]</v>
      </c>
      <c r="D109" s="14" t="str">
        <f>ConvertOsiris!K103</f>
        <v>Validation status of the detected alteration
_x000D_ConceptualDomain: OSIRIS:ValidationStatus
_x000D_mandatory if ObjectClass is set</v>
      </c>
      <c r="E109" s="14" t="str">
        <f>ConvertOsiris!L103</f>
        <v>0</v>
      </c>
      <c r="F109" s="13" t="s">
        <v>9</v>
      </c>
      <c r="G109" s="13" t="str">
        <f>ConvertOsiris!M103</f>
        <v>string</v>
      </c>
      <c r="H109" s="31"/>
      <c r="I109" s="30" t="str">
        <f t="shared" si="1"/>
        <v>* Validation.Status 0..* string ##34#Status [O18]##34# ##334#Validation status of the detected alteration
_x000D_ConceptualDomain: OSIRIS:ValidationStatus
_x000D_mandatory if ObjectClass is set##334#</v>
      </c>
    </row>
    <row r="110" spans="1:9" ht="29.5" x14ac:dyDescent="0.75">
      <c r="A110" s="13">
        <v>103</v>
      </c>
      <c r="B110" s="13" t="str">
        <f>ConvertOsiris!I104</f>
        <v>Alteration</v>
      </c>
      <c r="C110" s="14" t="str">
        <f>ConvertOsiris!J104</f>
        <v>Alteration</v>
      </c>
      <c r="D110" s="14" t="str">
        <f>ConvertOsiris!K104</f>
        <v>Alteration</v>
      </c>
      <c r="E110" s="14">
        <f>ConvertOsiris!L104</f>
        <v>1</v>
      </c>
      <c r="F110" s="13" t="s">
        <v>9</v>
      </c>
      <c r="G110" s="13" t="str">
        <f>ConvertOsiris!M104</f>
        <v>BackboneElement</v>
      </c>
      <c r="H110" s="31"/>
      <c r="I110" s="30" t="str">
        <f t="shared" si="1"/>
        <v>* Alteration 1..* BackboneElement ##34#Alteration##34# ##334#Alteration##334#</v>
      </c>
    </row>
    <row r="111" spans="1:9" ht="59" x14ac:dyDescent="0.75">
      <c r="A111" s="13">
        <v>104</v>
      </c>
      <c r="B111" s="13" t="str">
        <f>ConvertOsiris!I105</f>
        <v>Alteration.Chromosome</v>
      </c>
      <c r="C111" s="14" t="str">
        <f>ConvertOsiris!J105</f>
        <v>Chromosome [O19]</v>
      </c>
      <c r="D111" s="14" t="str">
        <f>ConvertOsiris!K105</f>
        <v>Chromosome containing the genetic finding
_x000D_ConceptualDomain: OSIRIS:Chromosome
_x000D_mandatory</v>
      </c>
      <c r="E111" s="14" t="str">
        <f>ConvertOsiris!L105</f>
        <v>1</v>
      </c>
      <c r="F111" s="13" t="s">
        <v>9</v>
      </c>
      <c r="G111" s="13" t="str">
        <f>ConvertOsiris!M105</f>
        <v>string</v>
      </c>
      <c r="H111" s="31"/>
      <c r="I111" s="30" t="str">
        <f t="shared" si="1"/>
        <v>* Alteration.Chromosome 1..* string ##34#Chromosome [O19]##34# ##334#Chromosome containing the genetic finding
_x000D_ConceptualDomain: OSIRIS:Chromosome
_x000D_mandatory##334#</v>
      </c>
    </row>
    <row r="112" spans="1:9" ht="59" x14ac:dyDescent="0.75">
      <c r="A112" s="13">
        <v>105</v>
      </c>
      <c r="B112" s="13" t="str">
        <f>ConvertOsiris!I106</f>
        <v>Alteration.GenomicStart</v>
      </c>
      <c r="C112" s="14" t="str">
        <f>ConvertOsiris!J106</f>
        <v>Genomic Start [O20]</v>
      </c>
      <c r="D112" s="14" t="str">
        <f>ConvertOsiris!K106</f>
        <v>Nucleotide location for start of genomic finding on the positive (+) genomics strand, 1-based
_x000D_mandatory</v>
      </c>
      <c r="E112" s="14" t="str">
        <f>ConvertOsiris!L106</f>
        <v>1</v>
      </c>
      <c r="F112" s="13" t="s">
        <v>9</v>
      </c>
      <c r="G112" s="13" t="str">
        <f>ConvertOsiris!M106</f>
        <v>integer</v>
      </c>
      <c r="H112" s="31"/>
      <c r="I112" s="30" t="str">
        <f t="shared" si="1"/>
        <v>* Alteration.GenomicStart 1..* integer ##34#Genomic Start [O20]##34# ##334#Nucleotide location for start of genomic finding on the positive (+) genomics strand, 1-based
_x000D_mandatory##334#</v>
      </c>
    </row>
    <row r="113" spans="1:9" ht="59" x14ac:dyDescent="0.75">
      <c r="A113" s="13">
        <v>106</v>
      </c>
      <c r="B113" s="13" t="str">
        <f>ConvertOsiris!I107</f>
        <v>Alteration.GenomicStop</v>
      </c>
      <c r="C113" s="14" t="str">
        <f>ConvertOsiris!J107</f>
        <v>Genomic Stop [O21]</v>
      </c>
      <c r="D113" s="14" t="str">
        <f>ConvertOsiris!K107</f>
        <v>Nucleotide location for end of genomic finding on the positive (+) genomic strand, 1-based
_x000D_mandatory</v>
      </c>
      <c r="E113" s="14" t="str">
        <f>ConvertOsiris!L107</f>
        <v>1</v>
      </c>
      <c r="F113" s="13" t="s">
        <v>9</v>
      </c>
      <c r="G113" s="13" t="str">
        <f>ConvertOsiris!M107</f>
        <v>integer</v>
      </c>
      <c r="H113" s="31"/>
      <c r="I113" s="30" t="str">
        <f t="shared" si="1"/>
        <v>* Alteration.GenomicStop 1..* integer ##34#Genomic Stop [O21]##34# ##334#Nucleotide location for end of genomic finding on the positive (+) genomic strand, 1-based
_x000D_mandatory##334#</v>
      </c>
    </row>
    <row r="114" spans="1:9" ht="59" x14ac:dyDescent="0.75">
      <c r="A114" s="13">
        <v>107</v>
      </c>
      <c r="B114" s="13" t="str">
        <f>ConvertOsiris!I108</f>
        <v>Alteration.GenomeBuild</v>
      </c>
      <c r="C114" s="14" t="str">
        <f>ConvertOsiris!J108</f>
        <v>Genome Build [O22]</v>
      </c>
      <c r="D114" s="14" t="str">
        <f>ConvertOsiris!K108</f>
        <v>Genome Build used for reference
_x000D_ConceptualDomain: FHIR:Sequence
_x000D_mandatory</v>
      </c>
      <c r="E114" s="14" t="str">
        <f>ConvertOsiris!L108</f>
        <v>1</v>
      </c>
      <c r="F114" s="13" t="s">
        <v>9</v>
      </c>
      <c r="G114" s="13" t="str">
        <f>ConvertOsiris!M108</f>
        <v>string</v>
      </c>
      <c r="H114" s="31"/>
      <c r="I114" s="30" t="str">
        <f t="shared" si="1"/>
        <v>* Alteration.GenomeBuild 1..* string ##34#Genome Build [O22]##34# ##334#Genome Build used for reference
_x000D_ConceptualDomain: FHIR:Sequence
_x000D_mandatory##334#</v>
      </c>
    </row>
    <row r="115" spans="1:9" ht="44.25" x14ac:dyDescent="0.75">
      <c r="A115" s="13">
        <v>108</v>
      </c>
      <c r="B115" s="13" t="str">
        <f>ConvertOsiris!I109</f>
        <v>Alteration.Cytoband</v>
      </c>
      <c r="C115" s="14" t="str">
        <f>ConvertOsiris!J109</f>
        <v>Cytoband [O23]</v>
      </c>
      <c r="D115" s="14" t="str">
        <f>ConvertOsiris!K109</f>
        <v>Cytogenetic location
_x000D_optional</v>
      </c>
      <c r="E115" s="14" t="str">
        <f>ConvertOsiris!L109</f>
        <v>0</v>
      </c>
      <c r="F115" s="13" t="s">
        <v>9</v>
      </c>
      <c r="G115" s="13" t="str">
        <f>ConvertOsiris!M109</f>
        <v>string</v>
      </c>
      <c r="H115" s="31"/>
      <c r="I115" s="30" t="str">
        <f t="shared" si="1"/>
        <v>* Alteration.Cytoband 0..* string ##34#Cytoband [O23]##34# ##334#Cytogenetic location
_x000D_optional##334#</v>
      </c>
    </row>
    <row r="116" spans="1:9" ht="29.5" x14ac:dyDescent="0.75">
      <c r="A116" s="13">
        <v>109</v>
      </c>
      <c r="B116" s="13" t="str">
        <f>ConvertOsiris!I110</f>
        <v>GenomeEntity</v>
      </c>
      <c r="C116" s="14" t="str">
        <f>ConvertOsiris!J110</f>
        <v>GenomeEntity</v>
      </c>
      <c r="D116" s="14" t="str">
        <f>ConvertOsiris!K110</f>
        <v>GenomeEntity</v>
      </c>
      <c r="E116" s="14">
        <f>ConvertOsiris!L110</f>
        <v>1</v>
      </c>
      <c r="F116" s="13" t="s">
        <v>9</v>
      </c>
      <c r="G116" s="13" t="str">
        <f>ConvertOsiris!M110</f>
        <v>BackboneElement</v>
      </c>
      <c r="H116" s="31"/>
      <c r="I116" s="30" t="str">
        <f t="shared" si="1"/>
        <v>* GenomeEntity 1..* BackboneElement ##34#GenomeEntity##34# ##334#GenomeEntity##334#</v>
      </c>
    </row>
    <row r="117" spans="1:9" ht="59" x14ac:dyDescent="0.75">
      <c r="A117" s="13">
        <v>110</v>
      </c>
      <c r="B117" s="13" t="str">
        <f>ConvertOsiris!I111</f>
        <v>GenomeEntity.Type</v>
      </c>
      <c r="C117" s="14" t="str">
        <f>ConvertOsiris!J111</f>
        <v>Type [O24]</v>
      </c>
      <c r="D117" s="14" t="str">
        <f>ConvertOsiris!K111</f>
        <v>Type of the genome entity. For eg: gene, mRNA, ncRNA...
_x000D_ConceptualDomain: OSIRIS:GenomeEntityType
_x000D_mandatory</v>
      </c>
      <c r="E117" s="14" t="str">
        <f>ConvertOsiris!L111</f>
        <v>1</v>
      </c>
      <c r="F117" s="13" t="s">
        <v>9</v>
      </c>
      <c r="G117" s="13" t="str">
        <f>ConvertOsiris!M111</f>
        <v>string</v>
      </c>
      <c r="H117" s="31"/>
      <c r="I117" s="30" t="str">
        <f t="shared" si="1"/>
        <v>* GenomeEntity.Type 1..* string ##34#Type [O24]##34# ##334#Type of the genome entity. For eg: gene, mRNA, ncRNA...
_x000D_ConceptualDomain: OSIRIS:GenomeEntityType
_x000D_mandatory##334#</v>
      </c>
    </row>
    <row r="118" spans="1:9" ht="59" x14ac:dyDescent="0.75">
      <c r="A118" s="13">
        <v>111</v>
      </c>
      <c r="B118" s="13" t="str">
        <f>ConvertOsiris!I112</f>
        <v>GenomeEntity.Database</v>
      </c>
      <c r="C118" s="14" t="str">
        <f>ConvertOsiris!J112</f>
        <v>Database [O25]</v>
      </c>
      <c r="D118" s="14" t="str">
        <f>ConvertOsiris!K112</f>
        <v>Database of the genome entity
_x000D_ConceptualDomain: OSIRIS:GenomeEntityDatabase
_x000D_mandatory</v>
      </c>
      <c r="E118" s="14" t="str">
        <f>ConvertOsiris!L112</f>
        <v>1</v>
      </c>
      <c r="F118" s="13" t="s">
        <v>9</v>
      </c>
      <c r="G118" s="13" t="str">
        <f>ConvertOsiris!M112</f>
        <v>string</v>
      </c>
      <c r="H118" s="31"/>
      <c r="I118" s="30" t="str">
        <f t="shared" si="1"/>
        <v>* GenomeEntity.Database 1..* string ##34#Database [O25]##34# ##334#Database of the genome entity
_x000D_ConceptualDomain: OSIRIS:GenomeEntityDatabase
_x000D_mandatory##334#</v>
      </c>
    </row>
    <row r="119" spans="1:9" ht="44.25" x14ac:dyDescent="0.75">
      <c r="A119" s="13">
        <v>112</v>
      </c>
      <c r="B119" s="13" t="str">
        <f>ConvertOsiris!I113</f>
        <v>GenomeEntity.Id</v>
      </c>
      <c r="C119" s="14" t="str">
        <f>ConvertOsiris!J113</f>
        <v>Id [O26]</v>
      </c>
      <c r="D119" s="14" t="str">
        <f>ConvertOsiris!K113</f>
        <v>Identifier of the genome entity in the genome entity database
_x000D_mandatory</v>
      </c>
      <c r="E119" s="14" t="str">
        <f>ConvertOsiris!L113</f>
        <v>1</v>
      </c>
      <c r="F119" s="13" t="s">
        <v>9</v>
      </c>
      <c r="G119" s="13" t="str">
        <f>ConvertOsiris!M113</f>
        <v>string</v>
      </c>
      <c r="H119" s="31"/>
      <c r="I119" s="30" t="str">
        <f t="shared" si="1"/>
        <v>* GenomeEntity.Id 1..* string ##34#Id [O26]##34# ##334#Identifier of the genome entity in the genome entity database
_x000D_mandatory##334#</v>
      </c>
    </row>
    <row r="120" spans="1:9" ht="44.25" x14ac:dyDescent="0.75">
      <c r="A120" s="13">
        <v>113</v>
      </c>
      <c r="B120" s="13" t="str">
        <f>ConvertOsiris!I114</f>
        <v>GenomeEntity.Symbol</v>
      </c>
      <c r="C120" s="14" t="str">
        <f>ConvertOsiris!J114</f>
        <v>Symbol [O27]</v>
      </c>
      <c r="D120" s="14" t="str">
        <f>ConvertOsiris!K114</f>
        <v>Hugo gene symbol
_x000D_mandatory if Gene</v>
      </c>
      <c r="E120" s="14" t="str">
        <f>ConvertOsiris!L114</f>
        <v>0</v>
      </c>
      <c r="F120" s="13" t="s">
        <v>9</v>
      </c>
      <c r="G120" s="13" t="str">
        <f>ConvertOsiris!M114</f>
        <v>string</v>
      </c>
      <c r="H120" s="31"/>
      <c r="I120" s="30" t="str">
        <f t="shared" si="1"/>
        <v>* GenomeEntity.Symbol 0..* string ##34#Symbol [O27]##34# ##334#Hugo gene symbol
_x000D_mandatory if Gene##334#</v>
      </c>
    </row>
    <row r="121" spans="1:9" x14ac:dyDescent="0.75">
      <c r="A121" s="13">
        <v>114</v>
      </c>
      <c r="B121" s="13" t="str">
        <f>ConvertOsiris!I115</f>
        <v>Fusion</v>
      </c>
      <c r="C121" s="14" t="str">
        <f>ConvertOsiris!J115</f>
        <v>Fusion</v>
      </c>
      <c r="D121" s="14" t="str">
        <f>ConvertOsiris!K115</f>
        <v>Fusion</v>
      </c>
      <c r="E121" s="14">
        <f>ConvertOsiris!L115</f>
        <v>1</v>
      </c>
      <c r="F121" s="13" t="s">
        <v>9</v>
      </c>
      <c r="G121" s="13" t="str">
        <f>ConvertOsiris!M115</f>
        <v>BackboneElement</v>
      </c>
      <c r="H121" s="31"/>
      <c r="I121" s="30" t="str">
        <f t="shared" si="1"/>
        <v>* Fusion 1..* BackboneElement ##34#Fusion##34# ##334#Fusion##334#</v>
      </c>
    </row>
    <row r="122" spans="1:9" ht="59" x14ac:dyDescent="0.75">
      <c r="A122" s="13">
        <v>115</v>
      </c>
      <c r="B122" s="13" t="str">
        <f>ConvertOsiris!I116</f>
        <v>Fusion.Type</v>
      </c>
      <c r="C122" s="14" t="str">
        <f>ConvertOsiris!J116</f>
        <v>Type [O28]</v>
      </c>
      <c r="D122" s="14" t="str">
        <f>ConvertOsiris!K116</f>
        <v>Type of the fusion event. For eg: translocation, readthrough
_x000D_ConceptualDomain: OSIRIS:FusionType
_x000D_optional</v>
      </c>
      <c r="E122" s="14" t="str">
        <f>ConvertOsiris!L116</f>
        <v>0</v>
      </c>
      <c r="F122" s="13" t="s">
        <v>9</v>
      </c>
      <c r="G122" s="13" t="str">
        <f>ConvertOsiris!M116</f>
        <v>string</v>
      </c>
      <c r="H122" s="31"/>
      <c r="I122" s="30" t="str">
        <f t="shared" si="1"/>
        <v>* Fusion.Type 0..* string ##34#Type [O28]##34# ##334#Type of the fusion event. For eg: translocation, readthrough
_x000D_ConceptualDomain: OSIRIS:FusionType
_x000D_optional##334#</v>
      </c>
    </row>
    <row r="123" spans="1:9" ht="44.25" x14ac:dyDescent="0.75">
      <c r="A123" s="13">
        <v>116</v>
      </c>
      <c r="B123" s="13" t="str">
        <f>ConvertOsiris!I117</f>
        <v>Fusion.Point5prime</v>
      </c>
      <c r="C123" s="14" t="str">
        <f>ConvertOsiris!J117</f>
        <v>Point 5 prime [O35]</v>
      </c>
      <c r="D123" s="14" t="str">
        <f>ConvertOsiris!K117</f>
        <v>Position of the fusion point on the 5 prime partner
_x000D_mandatory</v>
      </c>
      <c r="E123" s="14" t="str">
        <f>ConvertOsiris!L117</f>
        <v>1</v>
      </c>
      <c r="F123" s="13" t="s">
        <v>9</v>
      </c>
      <c r="G123" s="13" t="str">
        <f>ConvertOsiris!M117</f>
        <v>integer</v>
      </c>
      <c r="H123" s="31"/>
      <c r="I123" s="30" t="str">
        <f t="shared" si="1"/>
        <v>* Fusion.Point5prime 1..* integer ##34#Point 5 prime [O35]##34# ##334#Position of the fusion point on the 5 prime partner
_x000D_mandatory##334#</v>
      </c>
    </row>
    <row r="124" spans="1:9" ht="59" x14ac:dyDescent="0.75">
      <c r="A124" s="13">
        <v>117</v>
      </c>
      <c r="B124" s="13" t="str">
        <f>ConvertOsiris!I118</f>
        <v>Fusion.Chromosome5prime</v>
      </c>
      <c r="C124" s="14" t="str">
        <f>ConvertOsiris!J118</f>
        <v>Chromosome 5 prime [O97]</v>
      </c>
      <c r="D124" s="14" t="str">
        <f>ConvertOsiris!K118</f>
        <v>Chromosome 5 prime
_x000D_ConceptualDomain: OSIRIS:Chromosome
_x000D_mandatory</v>
      </c>
      <c r="E124" s="14" t="str">
        <f>ConvertOsiris!L118</f>
        <v>1</v>
      </c>
      <c r="F124" s="13" t="s">
        <v>9</v>
      </c>
      <c r="G124" s="13" t="str">
        <f>ConvertOsiris!M118</f>
        <v>string</v>
      </c>
      <c r="H124" s="31"/>
      <c r="I124" s="30" t="str">
        <f t="shared" si="1"/>
        <v>* Fusion.Chromosome5prime 1..* string ##34#Chromosome 5 prime [O97]##34# ##334#Chromosome 5 prime
_x000D_ConceptualDomain: OSIRIS:Chromosome
_x000D_mandatory##334#</v>
      </c>
    </row>
    <row r="125" spans="1:9" ht="44.25" x14ac:dyDescent="0.75">
      <c r="A125" s="13">
        <v>118</v>
      </c>
      <c r="B125" s="13" t="str">
        <f>ConvertOsiris!I119</f>
        <v>Fusion.Point3prime</v>
      </c>
      <c r="C125" s="14" t="str">
        <f>ConvertOsiris!J119</f>
        <v>Point 3 prime [O40]</v>
      </c>
      <c r="D125" s="14" t="str">
        <f>ConvertOsiris!K119</f>
        <v>Position of the fusion point on the 3 prime partner
_x000D_mandatory</v>
      </c>
      <c r="E125" s="14" t="str">
        <f>ConvertOsiris!L119</f>
        <v>1</v>
      </c>
      <c r="F125" s="13" t="s">
        <v>9</v>
      </c>
      <c r="G125" s="13" t="str">
        <f>ConvertOsiris!M119</f>
        <v>integer</v>
      </c>
      <c r="H125" s="31"/>
      <c r="I125" s="30" t="str">
        <f t="shared" si="1"/>
        <v>* Fusion.Point3prime 1..* integer ##34#Point 3 prime [O40]##34# ##334#Position of the fusion point on the 3 prime partner
_x000D_mandatory##334#</v>
      </c>
    </row>
    <row r="126" spans="1:9" ht="59" x14ac:dyDescent="0.75">
      <c r="A126" s="13">
        <v>119</v>
      </c>
      <c r="B126" s="13" t="str">
        <f>ConvertOsiris!I120</f>
        <v>Fusion.Chromosome3prime</v>
      </c>
      <c r="C126" s="14" t="str">
        <f>ConvertOsiris!J120</f>
        <v>Chromosome 3 prime [O98]</v>
      </c>
      <c r="D126" s="14" t="str">
        <f>ConvertOsiris!K120</f>
        <v>Chromosome 3 prime
_x000D_ConceptualDomain: OSIRIS:Chromosome
_x000D_mandatory</v>
      </c>
      <c r="E126" s="14" t="str">
        <f>ConvertOsiris!L120</f>
        <v>1</v>
      </c>
      <c r="F126" s="13" t="s">
        <v>9</v>
      </c>
      <c r="G126" s="13" t="str">
        <f>ConvertOsiris!M120</f>
        <v>string</v>
      </c>
      <c r="H126" s="31"/>
      <c r="I126" s="30" t="str">
        <f t="shared" si="1"/>
        <v>* Fusion.Chromosome3prime 1..* string ##34#Chromosome 3 prime [O98]##34# ##334#Chromosome 3 prime
_x000D_ConceptualDomain: OSIRIS:Chromosome
_x000D_mandatory##334#</v>
      </c>
    </row>
    <row r="127" spans="1:9" ht="59" x14ac:dyDescent="0.75">
      <c r="A127" s="13">
        <v>120</v>
      </c>
      <c r="B127" s="13" t="str">
        <f>ConvertOsiris!I121</f>
        <v>Fusion.InFrame</v>
      </c>
      <c r="C127" s="14" t="str">
        <f>ConvertOsiris!J121</f>
        <v>In Frame [O41]</v>
      </c>
      <c r="D127" s="14" t="str">
        <f>ConvertOsiris!K121</f>
        <v>Specify whether the fusion is in frame
_x000D_ConceptualDomain: OSIRIS:Boolean
_x000D_optional</v>
      </c>
      <c r="E127" s="14" t="str">
        <f>ConvertOsiris!L121</f>
        <v>0</v>
      </c>
      <c r="F127" s="13" t="s">
        <v>9</v>
      </c>
      <c r="G127" s="13" t="str">
        <f>ConvertOsiris!M121</f>
        <v>string</v>
      </c>
      <c r="H127" s="31"/>
      <c r="I127" s="30" t="str">
        <f t="shared" si="1"/>
        <v>* Fusion.InFrame 0..* string ##34#In Frame [O41]##34# ##334#Specify whether the fusion is in frame
_x000D_ConceptualDomain: OSIRIS:Boolean
_x000D_optional##334#</v>
      </c>
    </row>
    <row r="128" spans="1:9" ht="44.25" x14ac:dyDescent="0.75">
      <c r="A128" s="13">
        <v>121</v>
      </c>
      <c r="B128" s="13" t="str">
        <f>ConvertOsiris!I122</f>
        <v>Fusion.NbSpanningPair</v>
      </c>
      <c r="C128" s="14" t="str">
        <f>ConvertOsiris!J122</f>
        <v>Nb Spanning Pair [O44]</v>
      </c>
      <c r="D128" s="14" t="str">
        <f>ConvertOsiris!K122</f>
        <v>Number of reads pairs spanning the fusion
_x000D_mandatory</v>
      </c>
      <c r="E128" s="14" t="str">
        <f>ConvertOsiris!L122</f>
        <v>1</v>
      </c>
      <c r="F128" s="13" t="s">
        <v>9</v>
      </c>
      <c r="G128" s="13" t="str">
        <f>ConvertOsiris!M122</f>
        <v>integer</v>
      </c>
      <c r="H128" s="31"/>
      <c r="I128" s="30" t="str">
        <f t="shared" si="1"/>
        <v>* Fusion.NbSpanningPair 1..* integer ##34#Nb Spanning Pair [O44]##34# ##334#Number of reads pairs spanning the fusion
_x000D_mandatory##334#</v>
      </c>
    </row>
    <row r="129" spans="1:9" ht="44.25" x14ac:dyDescent="0.75">
      <c r="A129" s="13">
        <v>122</v>
      </c>
      <c r="B129" s="13" t="str">
        <f>ConvertOsiris!I123</f>
        <v>Fusion.NbSplitReads</v>
      </c>
      <c r="C129" s="14" t="str">
        <f>ConvertOsiris!J123</f>
        <v>Nb Split Reads [O46]</v>
      </c>
      <c r="D129" s="14" t="str">
        <f>ConvertOsiris!K123</f>
        <v>Number of reads containing the fusion point
_x000D_optional</v>
      </c>
      <c r="E129" s="14" t="str">
        <f>ConvertOsiris!L123</f>
        <v>0</v>
      </c>
      <c r="F129" s="13" t="s">
        <v>9</v>
      </c>
      <c r="G129" s="13" t="str">
        <f>ConvertOsiris!M123</f>
        <v>integer</v>
      </c>
      <c r="H129" s="31"/>
      <c r="I129" s="30" t="str">
        <f t="shared" si="1"/>
        <v>* Fusion.NbSplitReads 0..* integer ##34#Nb Split Reads [O46]##34# ##334#Number of reads containing the fusion point
_x000D_optional##334#</v>
      </c>
    </row>
    <row r="130" spans="1:9" x14ac:dyDescent="0.75">
      <c r="A130" s="13">
        <v>123</v>
      </c>
      <c r="B130" s="13" t="str">
        <f>ConvertOsiris!I124</f>
        <v>CNV</v>
      </c>
      <c r="C130" s="14" t="str">
        <f>ConvertOsiris!J124</f>
        <v>CNV</v>
      </c>
      <c r="D130" s="14" t="str">
        <f>ConvertOsiris!K124</f>
        <v>CNV</v>
      </c>
      <c r="E130" s="14">
        <f>ConvertOsiris!L124</f>
        <v>1</v>
      </c>
      <c r="F130" s="13" t="s">
        <v>9</v>
      </c>
      <c r="G130" s="13" t="str">
        <f>ConvertOsiris!M124</f>
        <v>BackboneElement</v>
      </c>
      <c r="H130" s="31"/>
      <c r="I130" s="30" t="str">
        <f t="shared" si="1"/>
        <v>* CNV 1..* BackboneElement ##34#CNV##34# ##334#CNV##334#</v>
      </c>
    </row>
    <row r="131" spans="1:9" ht="44.25" x14ac:dyDescent="0.75">
      <c r="A131" s="13">
        <v>124</v>
      </c>
      <c r="B131" s="13" t="str">
        <f>ConvertOsiris!I125</f>
        <v>CNV.SegmentIntensity</v>
      </c>
      <c r="C131" s="14" t="str">
        <f>ConvertOsiris!J125</f>
        <v>Segment Intensity [O47]</v>
      </c>
      <c r="D131" s="14" t="str">
        <f>ConvertOsiris!K125</f>
        <v>Intensity of the measured signal
_x000D_mandatory</v>
      </c>
      <c r="E131" s="14" t="str">
        <f>ConvertOsiris!L125</f>
        <v>1</v>
      </c>
      <c r="F131" s="13" t="s">
        <v>9</v>
      </c>
      <c r="G131" s="13" t="str">
        <f>ConvertOsiris!M125</f>
        <v>decimal</v>
      </c>
      <c r="H131" s="31"/>
      <c r="I131" s="30" t="str">
        <f t="shared" si="1"/>
        <v>* CNV.SegmentIntensity 1..* decimal ##34#Segment Intensity [O47]##34# ##334#Intensity of the measured signal
_x000D_mandatory##334#</v>
      </c>
    </row>
    <row r="132" spans="1:9" ht="59" x14ac:dyDescent="0.75">
      <c r="A132" s="13">
        <v>125</v>
      </c>
      <c r="B132" s="13" t="str">
        <f>ConvertOsiris!I126</f>
        <v>CNV.SegmentGenomicStatus</v>
      </c>
      <c r="C132" s="14" t="str">
        <f>ConvertOsiris!J126</f>
        <v>Segment Genomic Status [O49]</v>
      </c>
      <c r="D132" s="14" t="str">
        <f>ConvertOsiris!K126</f>
        <v>Copy number status
_x000D_ConceptualDomain: OSIRIS:SegmentGenomicStatus
_x000D_mandatory</v>
      </c>
      <c r="E132" s="14" t="str">
        <f>ConvertOsiris!L126</f>
        <v>1</v>
      </c>
      <c r="F132" s="13" t="s">
        <v>9</v>
      </c>
      <c r="G132" s="13" t="str">
        <f>ConvertOsiris!M126</f>
        <v>string</v>
      </c>
      <c r="H132" s="31"/>
      <c r="I132" s="30" t="str">
        <f t="shared" si="1"/>
        <v>* CNV.SegmentGenomicStatus 1..* string ##34#Segment Genomic Status [O49]##34# ##334#Copy number status
_x000D_ConceptualDomain: OSIRIS:SegmentGenomicStatus
_x000D_mandatory##334#</v>
      </c>
    </row>
    <row r="133" spans="1:9" ht="44.25" x14ac:dyDescent="0.75">
      <c r="A133" s="13">
        <v>126</v>
      </c>
      <c r="B133" s="13" t="str">
        <f>ConvertOsiris!I127</f>
        <v>CNV.CopyNumber</v>
      </c>
      <c r="C133" s="14" t="str">
        <f>ConvertOsiris!J127</f>
        <v>Copy Number [O50]</v>
      </c>
      <c r="D133" s="14" t="str">
        <f>ConvertOsiris!K127</f>
        <v>Estimated DNA copy number
_x000D_optional</v>
      </c>
      <c r="E133" s="14" t="str">
        <f>ConvertOsiris!L127</f>
        <v>0</v>
      </c>
      <c r="F133" s="13" t="s">
        <v>9</v>
      </c>
      <c r="G133" s="13" t="str">
        <f>ConvertOsiris!M127</f>
        <v>integer</v>
      </c>
      <c r="H133" s="31"/>
      <c r="I133" s="30" t="str">
        <f t="shared" si="1"/>
        <v>* CNV.CopyNumber 0..* integer ##34#Copy Number [O50]##34# ##334#Estimated DNA copy number
_x000D_optional##334#</v>
      </c>
    </row>
    <row r="134" spans="1:9" ht="73.75" x14ac:dyDescent="0.75">
      <c r="A134" s="13">
        <v>127</v>
      </c>
      <c r="B134" s="13" t="str">
        <f>ConvertOsiris!I128</f>
        <v>CNV.LOH</v>
      </c>
      <c r="C134" s="14" t="str">
        <f>ConvertOsiris!J128</f>
        <v>LOH [O51]</v>
      </c>
      <c r="D134" s="14" t="str">
        <f>ConvertOsiris!K128</f>
        <v>Is the segment located in a region of loss of heterozygosity ? (can be independant from copy number information
_x000D_ConceptualDomain: OSIRIS:Boolean
_x000D_optional</v>
      </c>
      <c r="E134" s="14" t="str">
        <f>ConvertOsiris!L128</f>
        <v>0</v>
      </c>
      <c r="F134" s="13" t="s">
        <v>9</v>
      </c>
      <c r="G134" s="13" t="str">
        <f>ConvertOsiris!M128</f>
        <v>string</v>
      </c>
      <c r="H134" s="31"/>
      <c r="I134" s="30" t="str">
        <f t="shared" si="1"/>
        <v>* CNV.LOH 0..* string ##34#LOH [O51]##34# ##334#Is the segment located in a region of loss of heterozygosity ? (can be independant from copy number information
_x000D_ConceptualDomain: OSIRIS:Boolean
_x000D_optional##334#</v>
      </c>
    </row>
    <row r="135" spans="1:9" ht="44.25" x14ac:dyDescent="0.75">
      <c r="A135" s="13">
        <v>128</v>
      </c>
      <c r="B135" s="13" t="str">
        <f>ConvertOsiris!I129</f>
        <v>CNV.SegmentSize</v>
      </c>
      <c r="C135" s="14" t="str">
        <f>ConvertOsiris!J129</f>
        <v>SegmentSize []</v>
      </c>
      <c r="D135" s="14" t="str">
        <f>ConvertOsiris!K129</f>
        <v>SegmentSize
_x000D_optional</v>
      </c>
      <c r="E135" s="14" t="str">
        <f>ConvertOsiris!L129</f>
        <v>0</v>
      </c>
      <c r="F135" s="13" t="s">
        <v>9</v>
      </c>
      <c r="G135" s="13" t="str">
        <f>ConvertOsiris!M129</f>
        <v>integer</v>
      </c>
      <c r="H135" s="31"/>
      <c r="I135" s="30" t="str">
        <f t="shared" si="1"/>
        <v>* CNV.SegmentSize 0..* integer ##34#SegmentSize []##34# ##334#SegmentSize
_x000D_optional##334#</v>
      </c>
    </row>
    <row r="136" spans="1:9" x14ac:dyDescent="0.75">
      <c r="A136" s="13">
        <v>129</v>
      </c>
      <c r="B136" s="13" t="str">
        <f>ConvertOsiris!I130</f>
        <v>Variant</v>
      </c>
      <c r="C136" s="14" t="str">
        <f>ConvertOsiris!J130</f>
        <v>Variant</v>
      </c>
      <c r="D136" s="14" t="str">
        <f>ConvertOsiris!K130</f>
        <v>Variant</v>
      </c>
      <c r="E136" s="14">
        <f>ConvertOsiris!L130</f>
        <v>1</v>
      </c>
      <c r="F136" s="13" t="s">
        <v>9</v>
      </c>
      <c r="G136" s="13" t="str">
        <f>ConvertOsiris!M130</f>
        <v>BackboneElement</v>
      </c>
      <c r="H136" s="31"/>
      <c r="I136" s="30" t="str">
        <f t="shared" ref="I136:I199" si="2">IF(B136=0,"//---- END",CONCATENATE("* ",B136, " ",E136,"..",F136," ",G136," ##34#",C136,"##34# ##334#",D136,"##334#"))</f>
        <v>* Variant 1..* BackboneElement ##34#Variant##34# ##334#Variant##334#</v>
      </c>
    </row>
    <row r="137" spans="1:9" ht="59" x14ac:dyDescent="0.75">
      <c r="A137" s="13">
        <v>130</v>
      </c>
      <c r="B137" s="13" t="str">
        <f>ConvertOsiris!I131</f>
        <v>Variant.ReferenceAllele</v>
      </c>
      <c r="C137" s="14" t="str">
        <f>ConvertOsiris!J131</f>
        <v>Reference Allele [O53]</v>
      </c>
      <c r="D137" s="14" t="str">
        <f>ConvertOsiris!K131</f>
        <v>Plus strand reference allele at this position. Include the sequence deleted for a deletion, or '-' for an insertion.
_x000D_mandatory</v>
      </c>
      <c r="E137" s="14" t="str">
        <f>ConvertOsiris!L131</f>
        <v>1</v>
      </c>
      <c r="F137" s="13" t="s">
        <v>9</v>
      </c>
      <c r="G137" s="13" t="str">
        <f>ConvertOsiris!M131</f>
        <v>string</v>
      </c>
      <c r="H137" s="31"/>
      <c r="I137" s="30" t="str">
        <f t="shared" si="2"/>
        <v>* Variant.ReferenceAllele 1..* string ##34#Reference Allele [O53]##34# ##334#Plus strand reference allele at this position. Include the sequence deleted for a deletion, or '-' for an insertion.
_x000D_mandatory##334#</v>
      </c>
    </row>
    <row r="138" spans="1:9" ht="59" x14ac:dyDescent="0.75">
      <c r="A138" s="13">
        <v>131</v>
      </c>
      <c r="B138" s="13" t="str">
        <f>ConvertOsiris!I132</f>
        <v>Variant.AlternativeAllele</v>
      </c>
      <c r="C138" s="14" t="str">
        <f>ConvertOsiris!J132</f>
        <v>Alternative Allele [O54]</v>
      </c>
      <c r="D138" s="14" t="str">
        <f>ConvertOsiris!K132</f>
        <v>Plus strand observed alternative allele at this position. Include the sequence inserted for a insertion, or '-' for a deletion.
_x000D_mandatory</v>
      </c>
      <c r="E138" s="14" t="str">
        <f>ConvertOsiris!L132</f>
        <v>1</v>
      </c>
      <c r="F138" s="13" t="s">
        <v>9</v>
      </c>
      <c r="G138" s="13" t="str">
        <f>ConvertOsiris!M132</f>
        <v>string</v>
      </c>
      <c r="H138" s="31"/>
      <c r="I138" s="30"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3">
        <v>132</v>
      </c>
      <c r="B139" s="13" t="str">
        <f>ConvertOsiris!I133</f>
        <v>Variant.DNASequenceVariationType</v>
      </c>
      <c r="C139" s="14" t="str">
        <f>ConvertOsiris!J133</f>
        <v>DNA Sequence Variation Type [O55]</v>
      </c>
      <c r="D139" s="14" t="str">
        <f>ConvertOsiris!K133</f>
        <v>Codified type of the DNA sequence variation
_x000D_ConceptualDomain: LOINC:48019-4
_x000D_mandatory</v>
      </c>
      <c r="E139" s="14" t="str">
        <f>ConvertOsiris!L133</f>
        <v>1</v>
      </c>
      <c r="F139" s="13" t="s">
        <v>9</v>
      </c>
      <c r="G139" s="13" t="str">
        <f>ConvertOsiris!M133</f>
        <v>string</v>
      </c>
      <c r="H139" s="31"/>
      <c r="I139" s="30" t="str">
        <f t="shared" si="2"/>
        <v>* Variant.DNASequenceVariationType 1..* string ##34#DNA Sequence Variation Type [O55]##34# ##334#Codified type of the DNA sequence variation
_x000D_ConceptualDomain: LOINC:48019-4
_x000D_mandatory##334#</v>
      </c>
    </row>
    <row r="140" spans="1:9" ht="29.5" x14ac:dyDescent="0.75">
      <c r="A140" s="13">
        <v>133</v>
      </c>
      <c r="B140" s="13" t="str">
        <f>ConvertOsiris!I134</f>
        <v>Annotation</v>
      </c>
      <c r="C140" s="14" t="str">
        <f>ConvertOsiris!J134</f>
        <v>Annotation</v>
      </c>
      <c r="D140" s="14" t="str">
        <f>ConvertOsiris!K134</f>
        <v>Annotation</v>
      </c>
      <c r="E140" s="14">
        <f>ConvertOsiris!L134</f>
        <v>0</v>
      </c>
      <c r="F140" s="13" t="s">
        <v>9</v>
      </c>
      <c r="G140" s="13" t="str">
        <f>ConvertOsiris!M134</f>
        <v>BackboneElement</v>
      </c>
      <c r="H140" s="31"/>
      <c r="I140" s="30" t="str">
        <f t="shared" si="2"/>
        <v>* Annotation 0..* BackboneElement ##34#Annotation##34# ##334#Annotation##334#</v>
      </c>
    </row>
    <row r="141" spans="1:9" ht="59" x14ac:dyDescent="0.75">
      <c r="A141" s="13">
        <v>134</v>
      </c>
      <c r="B141" s="13" t="str">
        <f>ConvertOsiris!I135</f>
        <v>Annotation.ReferenceType</v>
      </c>
      <c r="C141" s="14" t="str">
        <f>ConvertOsiris!J135</f>
        <v>Reference Type [O90]</v>
      </c>
      <c r="D141" s="14" t="str">
        <f>ConvertOsiris!K135</f>
        <v>Reference Type
_x000D_ConceptualDomain: OSIRIS:Annotation_ReferenceType
_x000D_mandatory if DNASequenceVariation is set</v>
      </c>
      <c r="E141" s="14" t="str">
        <f>ConvertOsiris!L135</f>
        <v>0</v>
      </c>
      <c r="F141" s="13" t="s">
        <v>9</v>
      </c>
      <c r="G141" s="13" t="str">
        <f>ConvertOsiris!M135</f>
        <v>string</v>
      </c>
      <c r="H141" s="31"/>
      <c r="I141" s="30" t="str">
        <f t="shared" si="2"/>
        <v>* Annotation.ReferenceType 0..* string ##34#Reference Type [O90]##34# ##334#Reference Type
_x000D_ConceptualDomain: OSIRIS:Annotation_ReferenceType
_x000D_mandatory if DNASequenceVariation is set##334#</v>
      </c>
    </row>
    <row r="142" spans="1:9" ht="59" x14ac:dyDescent="0.75">
      <c r="A142" s="13">
        <v>135</v>
      </c>
      <c r="B142" s="13" t="str">
        <f>ConvertOsiris!I136</f>
        <v>Annotation.ReferenceDatabase</v>
      </c>
      <c r="C142" s="14" t="str">
        <f>ConvertOsiris!J136</f>
        <v>Reference Database [O91]</v>
      </c>
      <c r="D142" s="14" t="str">
        <f>ConvertOsiris!K136</f>
        <v>Reference Database
_x000D_ConceptualDomain: OSIRIS:Annotation_ReferenceDatabase
_x000D_mandatory if DNASequenceVariation is set</v>
      </c>
      <c r="E142" s="14" t="str">
        <f>ConvertOsiris!L136</f>
        <v>0</v>
      </c>
      <c r="F142" s="13" t="s">
        <v>9</v>
      </c>
      <c r="G142" s="13" t="str">
        <f>ConvertOsiris!M136</f>
        <v>string</v>
      </c>
      <c r="H142" s="31"/>
      <c r="I142" s="30" t="str">
        <f t="shared" si="2"/>
        <v>* Annotation.ReferenceDatabase 0..* string ##34#Reference Database [O91]##34# ##334#Reference Database
_x000D_ConceptualDomain: OSIRIS:Annotation_ReferenceDatabase
_x000D_mandatory if DNASequenceVariation is set##334#</v>
      </c>
    </row>
    <row r="143" spans="1:9" ht="44.25" x14ac:dyDescent="0.75">
      <c r="A143" s="13">
        <v>136</v>
      </c>
      <c r="B143" s="13" t="str">
        <f>ConvertOsiris!I137</f>
        <v>Annotation.ReferenceValue</v>
      </c>
      <c r="C143" s="14" t="str">
        <f>ConvertOsiris!J137</f>
        <v>Reference Value [O92]</v>
      </c>
      <c r="D143" s="14" t="str">
        <f>ConvertOsiris!K137</f>
        <v>Reference Value
_x000D_optional</v>
      </c>
      <c r="E143" s="14" t="str">
        <f>ConvertOsiris!L137</f>
        <v>0</v>
      </c>
      <c r="F143" s="13" t="s">
        <v>9</v>
      </c>
      <c r="G143" s="13" t="str">
        <f>ConvertOsiris!M137</f>
        <v>string</v>
      </c>
      <c r="H143" s="31"/>
      <c r="I143" s="30" t="str">
        <f t="shared" si="2"/>
        <v>* Annotation.ReferenceValue 0..* string ##34#Reference Value [O92]##34# ##334#Reference Value
_x000D_optional##334#</v>
      </c>
    </row>
    <row r="144" spans="1:9" ht="73.75" x14ac:dyDescent="0.75">
      <c r="A144" s="13">
        <v>137</v>
      </c>
      <c r="B144" s="13" t="str">
        <f>ConvertOsiris!I138</f>
        <v>Annotation.MutationPredictionAlgorithm</v>
      </c>
      <c r="C144" s="14" t="str">
        <f>ConvertOsiris!J138</f>
        <v>Mutation Prediction Algorithm [O63]</v>
      </c>
      <c r="D144" s="14" t="str">
        <f>ConvertOsiris!K138</f>
        <v>Algorithm to predict the variation effect over the protein
_x000D_ConceptualDomain: OSIRIS:MutationPredictionAlgorithm
_x000D_optional</v>
      </c>
      <c r="E144" s="14" t="str">
        <f>ConvertOsiris!L138</f>
        <v>0</v>
      </c>
      <c r="F144" s="13" t="s">
        <v>9</v>
      </c>
      <c r="G144" s="13" t="str">
        <f>ConvertOsiris!M138</f>
        <v>string</v>
      </c>
      <c r="H144" s="31"/>
      <c r="I144" s="30"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3">
        <v>138</v>
      </c>
      <c r="B145" s="13" t="str">
        <f>ConvertOsiris!I139</f>
        <v>Annotation.MutationPredictionValue</v>
      </c>
      <c r="C145" s="14" t="str">
        <f>ConvertOsiris!J139</f>
        <v>Mutation Prediction Value [O64]</v>
      </c>
      <c r="D145" s="14" t="str">
        <f>ConvertOsiris!K139</f>
        <v>Prediction of the variation effect over the protein
_x000D_optional</v>
      </c>
      <c r="E145" s="14" t="str">
        <f>ConvertOsiris!L139</f>
        <v>0</v>
      </c>
      <c r="F145" s="13" t="s">
        <v>9</v>
      </c>
      <c r="G145" s="13" t="str">
        <f>ConvertOsiris!M139</f>
        <v>string</v>
      </c>
      <c r="H145" s="31"/>
      <c r="I145" s="30" t="str">
        <f t="shared" si="2"/>
        <v>* Annotation.MutationPredictionValue 0..* string ##34#Mutation Prediction Value [O64]##34# ##334#Prediction of the variation effect over the protein
_x000D_optional##334#</v>
      </c>
    </row>
    <row r="146" spans="1:9" ht="59" x14ac:dyDescent="0.75">
      <c r="A146" s="13">
        <v>139</v>
      </c>
      <c r="B146" s="13" t="str">
        <f>ConvertOsiris!I140</f>
        <v>Annotation.MutationPredictionScore</v>
      </c>
      <c r="C146" s="14" t="str">
        <f>ConvertOsiris!J140</f>
        <v>Mutation Prediction Score [O65]</v>
      </c>
      <c r="D146" s="14" t="str">
        <f>ConvertOsiris!K140</f>
        <v>Level of confidence of the prediction of the variation effect over the protein
_x000D_optional</v>
      </c>
      <c r="E146" s="14" t="str">
        <f>ConvertOsiris!L140</f>
        <v>0</v>
      </c>
      <c r="F146" s="13" t="s">
        <v>9</v>
      </c>
      <c r="G146" s="13" t="str">
        <f>ConvertOsiris!M140</f>
        <v>decimal</v>
      </c>
      <c r="H146" s="31"/>
      <c r="I146" s="30" t="str">
        <f t="shared" si="2"/>
        <v>* Annotation.MutationPredictionScore 0..* decimal ##34#Mutation Prediction Score [O65]##34# ##334#Level of confidence of the prediction of the variation effect over the protein
_x000D_optional##334#</v>
      </c>
    </row>
    <row r="147" spans="1:9" ht="44.25" x14ac:dyDescent="0.75">
      <c r="A147" s="13">
        <v>140</v>
      </c>
      <c r="B147" s="13" t="str">
        <f>ConvertOsiris!I141</f>
        <v>Annotation.PfamDomain</v>
      </c>
      <c r="C147" s="14" t="str">
        <f>ConvertOsiris!J141</f>
        <v>Pfam Domain [O58]</v>
      </c>
      <c r="D147" s="14" t="str">
        <f>ConvertOsiris!K141</f>
        <v>Pfams domains related to alteration position
_x000D_optional</v>
      </c>
      <c r="E147" s="14" t="str">
        <f>ConvertOsiris!L141</f>
        <v>0</v>
      </c>
      <c r="F147" s="13" t="s">
        <v>9</v>
      </c>
      <c r="G147" s="13" t="str">
        <f>ConvertOsiris!M141</f>
        <v>string</v>
      </c>
      <c r="H147" s="31"/>
      <c r="I147" s="30" t="str">
        <f t="shared" si="2"/>
        <v>* Annotation.PfamDomain 0..* string ##34#Pfam Domain [O58]##34# ##334#Pfams domains related to alteration position
_x000D_optional##334#</v>
      </c>
    </row>
    <row r="148" spans="1:9" ht="44.25" x14ac:dyDescent="0.75">
      <c r="A148" s="13">
        <v>141</v>
      </c>
      <c r="B148" s="13" t="str">
        <f>ConvertOsiris!I142</f>
        <v>Annotation.PfamId</v>
      </c>
      <c r="C148" s="14" t="str">
        <f>ConvertOsiris!J142</f>
        <v>Pfam Id [O59]</v>
      </c>
      <c r="D148" s="14" t="str">
        <f>ConvertOsiris!K142</f>
        <v>Identifier of Pfams domains related to alteration position
_x000D_optional</v>
      </c>
      <c r="E148" s="14" t="str">
        <f>ConvertOsiris!L142</f>
        <v>0</v>
      </c>
      <c r="F148" s="13" t="s">
        <v>9</v>
      </c>
      <c r="G148" s="13" t="str">
        <f>ConvertOsiris!M142</f>
        <v>string</v>
      </c>
      <c r="H148" s="31"/>
      <c r="I148" s="30" t="str">
        <f t="shared" si="2"/>
        <v>* Annotation.PfamId 0..* string ##34#Pfam Id [O59]##34# ##334#Identifier of Pfams domains related to alteration position
_x000D_optional##334#</v>
      </c>
    </row>
    <row r="149" spans="1:9" ht="59" x14ac:dyDescent="0.75">
      <c r="A149" s="13">
        <v>142</v>
      </c>
      <c r="B149" s="13" t="str">
        <f>ConvertOsiris!I143</f>
        <v>Annotation.DNARegionName</v>
      </c>
      <c r="C149" s="14" t="str">
        <f>ConvertOsiris!J143</f>
        <v>DNA Region Name [O66]</v>
      </c>
      <c r="D149" s="14" t="str">
        <f>ConvertOsiris!K143</f>
        <v>Human readable name for the region of interest related to the transcript (eg: exon1, intron1, UTR3')
_x000D_optional</v>
      </c>
      <c r="E149" s="14" t="str">
        <f>ConvertOsiris!L143</f>
        <v>0</v>
      </c>
      <c r="F149" s="13" t="s">
        <v>9</v>
      </c>
      <c r="G149" s="13" t="str">
        <f>ConvertOsiris!M143</f>
        <v>string</v>
      </c>
      <c r="H149" s="31"/>
      <c r="I149" s="30" t="str">
        <f t="shared" si="2"/>
        <v>* Annotation.DNARegionName 0..* string ##34#DNA Region Name [O66]##34# ##334#Human readable name for the region of interest related to the transcript (eg: exon1, intron1, UTR3')
_x000D_optional##334#</v>
      </c>
    </row>
    <row r="150" spans="1:9" ht="44.25" x14ac:dyDescent="0.75">
      <c r="A150" s="13">
        <v>143</v>
      </c>
      <c r="B150" s="13" t="str">
        <f>ConvertOsiris!I144</f>
        <v>Annotation.DNASequenceVariation</v>
      </c>
      <c r="C150" s="14" t="str">
        <f>ConvertOsiris!J144</f>
        <v>DNA Sequence Variation [O71]</v>
      </c>
      <c r="D150" s="14" t="str">
        <f>ConvertOsiris!K144</f>
        <v>HGVS nomenclature on the chosen transcript
_x000D_mandatory</v>
      </c>
      <c r="E150" s="14" t="str">
        <f>ConvertOsiris!L144</f>
        <v>1</v>
      </c>
      <c r="F150" s="13" t="s">
        <v>9</v>
      </c>
      <c r="G150" s="13" t="str">
        <f>ConvertOsiris!M144</f>
        <v>string</v>
      </c>
      <c r="H150" s="31"/>
      <c r="I150" s="30" t="str">
        <f t="shared" si="2"/>
        <v>* Annotation.DNASequenceVariation 1..* string ##34#DNA Sequence Variation [O71]##34# ##334#HGVS nomenclature on the chosen transcript
_x000D_mandatory##334#</v>
      </c>
    </row>
    <row r="151" spans="1:9" ht="44.25" x14ac:dyDescent="0.75">
      <c r="A151" s="13">
        <v>144</v>
      </c>
      <c r="B151" s="13" t="str">
        <f>ConvertOsiris!I145</f>
        <v>Annotation.AminoAcidChange</v>
      </c>
      <c r="C151" s="14" t="str">
        <f>ConvertOsiris!J145</f>
        <v>Amino Acid Change [O72]</v>
      </c>
      <c r="D151" s="14" t="str">
        <f>ConvertOsiris!K145</f>
        <v>HGVS nomenclature on the chosen protein transcript
_x000D_optional</v>
      </c>
      <c r="E151" s="14" t="str">
        <f>ConvertOsiris!L145</f>
        <v>0</v>
      </c>
      <c r="F151" s="13" t="s">
        <v>9</v>
      </c>
      <c r="G151" s="13" t="str">
        <f>ConvertOsiris!M145</f>
        <v>string</v>
      </c>
      <c r="H151" s="31"/>
      <c r="I151" s="30" t="str">
        <f t="shared" si="2"/>
        <v>* Annotation.AminoAcidChange 0..* string ##34#Amino Acid Change [O72]##34# ##334#HGVS nomenclature on the chosen protein transcript
_x000D_optional##334#</v>
      </c>
    </row>
    <row r="152" spans="1:9" ht="59" x14ac:dyDescent="0.75">
      <c r="A152" s="13">
        <v>145</v>
      </c>
      <c r="B152" s="13" t="str">
        <f>ConvertOsiris!I146</f>
        <v>Annotation.GenomicSequenceVariation</v>
      </c>
      <c r="C152" s="14" t="str">
        <f>ConvertOsiris!J146</f>
        <v>Genomic Sequence Variation [O73]</v>
      </c>
      <c r="D152" s="14" t="str">
        <f>ConvertOsiris!K146</f>
        <v>HGVS nomenclature on the given GenomeReferenceSequenceId.
_x000D_optional</v>
      </c>
      <c r="E152" s="14" t="str">
        <f>ConvertOsiris!L146</f>
        <v>0</v>
      </c>
      <c r="F152" s="13" t="s">
        <v>9</v>
      </c>
      <c r="G152" s="13" t="str">
        <f>ConvertOsiris!M146</f>
        <v>string</v>
      </c>
      <c r="H152" s="31"/>
      <c r="I152" s="30" t="str">
        <f t="shared" si="2"/>
        <v>* Annotation.GenomicSequenceVariation 0..* string ##34#Genomic Sequence Variation [O73]##34# ##334#HGVS nomenclature on the given GenomeReferenceSequenceId.
_x000D_optional##334#</v>
      </c>
    </row>
    <row r="153" spans="1:9" ht="59" x14ac:dyDescent="0.75">
      <c r="A153" s="13">
        <v>146</v>
      </c>
      <c r="B153" s="13" t="str">
        <f>ConvertOsiris!I147</f>
        <v>Annotation.RNASequenceVariation</v>
      </c>
      <c r="C153" s="14" t="str">
        <f>ConvertOsiris!J147</f>
        <v>RNA Sequence Variation [O74]</v>
      </c>
      <c r="D153" s="14" t="str">
        <f>ConvertOsiris!K147</f>
        <v>HGVS nomenclature on the given TranscriptReferenceSequenceId and experimentely observed on RNA.
_x000D_optional</v>
      </c>
      <c r="E153" s="14" t="str">
        <f>ConvertOsiris!L147</f>
        <v>0</v>
      </c>
      <c r="F153" s="13" t="s">
        <v>9</v>
      </c>
      <c r="G153" s="13" t="str">
        <f>ConvertOsiris!M147</f>
        <v>string</v>
      </c>
      <c r="H153" s="31"/>
      <c r="I153" s="30" t="str">
        <f t="shared" si="2"/>
        <v>* Annotation.RNASequenceVariation 0..* string ##34#RNA Sequence Variation [O74]##34# ##334#HGVS nomenclature on the given TranscriptReferenceSequenceId and experimentely observed on RNA.
_x000D_optional##334#</v>
      </c>
    </row>
    <row r="154" spans="1:9" ht="59" x14ac:dyDescent="0.75">
      <c r="A154" s="13">
        <v>147</v>
      </c>
      <c r="B154" s="13" t="str">
        <f>ConvertOsiris!I148</f>
        <v>Annotation.AminoAcidChangeType</v>
      </c>
      <c r="C154" s="14" t="str">
        <f>ConvertOsiris!J148</f>
        <v>Amino Acid Change Type [O75]</v>
      </c>
      <c r="D154" s="14" t="str">
        <f>ConvertOsiris!K148</f>
        <v>nomenclature of changes at protein-level
_x000D_ConceptualDomain: OSIRIS:AminoAcidChangeType
_x000D_optional</v>
      </c>
      <c r="E154" s="14" t="str">
        <f>ConvertOsiris!L148</f>
        <v>0</v>
      </c>
      <c r="F154" s="13" t="s">
        <v>9</v>
      </c>
      <c r="G154" s="13" t="str">
        <f>ConvertOsiris!M148</f>
        <v>string</v>
      </c>
      <c r="H154" s="31"/>
      <c r="I154" s="30" t="str">
        <f t="shared" si="2"/>
        <v>* Annotation.AminoAcidChangeType 0..* string ##34#Amino Acid Change Type [O75]##34# ##334#nomenclature of changes at protein-level
_x000D_ConceptualDomain: OSIRIS:AminoAcidChangeType
_x000D_optional##334#</v>
      </c>
    </row>
    <row r="155" spans="1:9" ht="59" x14ac:dyDescent="0.75">
      <c r="A155" s="13">
        <v>148</v>
      </c>
      <c r="B155" s="13" t="str">
        <f>ConvertOsiris!I149</f>
        <v>Annotation.FusionPrimeEnd</v>
      </c>
      <c r="C155" s="14" t="str">
        <f>ConvertOsiris!J149</f>
        <v>Fusion Prime End [O93]</v>
      </c>
      <c r="D155" s="14" t="str">
        <f>ConvertOsiris!K149</f>
        <v>Prime end of the fusion partner
_x000D_ConceptualDomain: OSIRIS:Annotation_FusionPrimeEnd
_x000D_optional</v>
      </c>
      <c r="E155" s="14" t="str">
        <f>ConvertOsiris!L149</f>
        <v>0</v>
      </c>
      <c r="F155" s="13" t="s">
        <v>9</v>
      </c>
      <c r="G155" s="13" t="str">
        <f>ConvertOsiris!M149</f>
        <v>string</v>
      </c>
      <c r="H155" s="31"/>
      <c r="I155" s="30" t="str">
        <f t="shared" si="2"/>
        <v>* Annotation.FusionPrimeEnd 0..* string ##34#Fusion Prime End [O93]##34# ##334#Prime end of the fusion partner
_x000D_ConceptualDomain: OSIRIS:Annotation_FusionPrimeEnd
_x000D_optional##334#</v>
      </c>
    </row>
    <row r="156" spans="1:9" ht="44.25" x14ac:dyDescent="0.75">
      <c r="A156" s="13">
        <v>149</v>
      </c>
      <c r="B156" s="13" t="str">
        <f>ConvertOsiris!I150</f>
        <v>Annotation.Strand</v>
      </c>
      <c r="C156" s="14" t="str">
        <f>ConvertOsiris!J150</f>
        <v>Strand [O94]</v>
      </c>
      <c r="D156" s="14" t="str">
        <f>ConvertOsiris!K150</f>
        <v>Strand
_x000D_ConceptualDomain: OSIRIS:Strand
_x000D_optional</v>
      </c>
      <c r="E156" s="14" t="str">
        <f>ConvertOsiris!L150</f>
        <v>0</v>
      </c>
      <c r="F156" s="13" t="s">
        <v>9</v>
      </c>
      <c r="G156" s="13" t="str">
        <f>ConvertOsiris!M150</f>
        <v>string</v>
      </c>
      <c r="H156" s="31"/>
      <c r="I156" s="30" t="str">
        <f t="shared" si="2"/>
        <v>* Annotation.Strand 0..* string ##34#Strand [O94]##34# ##334#Strand
_x000D_ConceptualDomain: OSIRIS:Strand
_x000D_optional##334#</v>
      </c>
    </row>
    <row r="157" spans="1:9" ht="59" x14ac:dyDescent="0.75">
      <c r="A157" s="13">
        <v>150</v>
      </c>
      <c r="B157" s="13" t="str">
        <f>ConvertOsiris!I151</f>
        <v>Annotation.OnSplicingSite</v>
      </c>
      <c r="C157" s="14" t="str">
        <f>ConvertOsiris!J151</f>
        <v>OnSplicingSite [O95]</v>
      </c>
      <c r="D157" s="14" t="str">
        <f>ConvertOsiris!K151</f>
        <v>Indicate wether the variant is on a splicing site
_x000D_ConceptualDomain: OSIRIS:Boolean
_x000D_optional</v>
      </c>
      <c r="E157" s="14" t="str">
        <f>ConvertOsiris!L151</f>
        <v>0</v>
      </c>
      <c r="F157" s="13" t="s">
        <v>9</v>
      </c>
      <c r="G157" s="13" t="str">
        <f>ConvertOsiris!M151</f>
        <v>string</v>
      </c>
      <c r="H157" s="31"/>
      <c r="I157" s="30" t="str">
        <f t="shared" si="2"/>
        <v>* Annotation.OnSplicingSite 0..* string ##34#OnSplicingSite [O95]##34# ##334#Indicate wether the variant is on a splicing site
_x000D_ConceptualDomain: OSIRIS:Boolean
_x000D_optional##334#</v>
      </c>
    </row>
    <row r="158" spans="1:9" ht="29.5" x14ac:dyDescent="0.75">
      <c r="A158" s="13">
        <v>151</v>
      </c>
      <c r="B158" s="13" t="str">
        <f>ConvertOsiris!I152</f>
        <v>VariantInSample</v>
      </c>
      <c r="C158" s="14" t="str">
        <f>ConvertOsiris!J152</f>
        <v>VariantInSample</v>
      </c>
      <c r="D158" s="14" t="str">
        <f>ConvertOsiris!K152</f>
        <v>VariantInSample</v>
      </c>
      <c r="E158" s="14">
        <f>ConvertOsiris!L152</f>
        <v>1</v>
      </c>
      <c r="F158" s="13" t="s">
        <v>9</v>
      </c>
      <c r="G158" s="13" t="str">
        <f>ConvertOsiris!M152</f>
        <v>BackboneElement</v>
      </c>
      <c r="H158" s="31"/>
      <c r="I158" s="30" t="str">
        <f t="shared" si="2"/>
        <v>* VariantInSample 1..* BackboneElement ##34#VariantInSample##34# ##334#VariantInSample##334#</v>
      </c>
    </row>
    <row r="159" spans="1:9" ht="59" x14ac:dyDescent="0.75">
      <c r="A159" s="13">
        <v>152</v>
      </c>
      <c r="B159" s="13" t="str">
        <f>ConvertOsiris!I153</f>
        <v>VariantInSample.PositionReadDepth</v>
      </c>
      <c r="C159" s="14" t="str">
        <f>ConvertOsiris!J153</f>
        <v>Position Read Depth [O76]</v>
      </c>
      <c r="D159" s="14" t="str">
        <f>ConvertOsiris!K153</f>
        <v>Total sequencing depth at the variant position observed in the specimen
_x000D_mandatory</v>
      </c>
      <c r="E159" s="14" t="str">
        <f>ConvertOsiris!L153</f>
        <v>1</v>
      </c>
      <c r="F159" s="13" t="s">
        <v>9</v>
      </c>
      <c r="G159" s="13" t="str">
        <f>ConvertOsiris!M153</f>
        <v>integer</v>
      </c>
      <c r="H159" s="31"/>
      <c r="I159" s="30" t="str">
        <f t="shared" si="2"/>
        <v>* VariantInSample.PositionReadDepth 1..* integer ##34#Position Read Depth [O76]##34# ##334#Total sequencing depth at the variant position observed in the specimen
_x000D_mandatory##334#</v>
      </c>
    </row>
    <row r="160" spans="1:9" ht="59" x14ac:dyDescent="0.75">
      <c r="A160" s="13">
        <v>153</v>
      </c>
      <c r="B160" s="13" t="str">
        <f>ConvertOsiris!I154</f>
        <v>VariantInSample.VariantReadDepth</v>
      </c>
      <c r="C160" s="14" t="str">
        <f>ConvertOsiris!J154</f>
        <v>Variant Read Depth [O77]</v>
      </c>
      <c r="D160" s="14" t="str">
        <f>ConvertOsiris!K154</f>
        <v>Sequencing depth of the alternative allele at the variant position observed in the specimen
_x000D_mandatory</v>
      </c>
      <c r="E160" s="14" t="str">
        <f>ConvertOsiris!L154</f>
        <v>1</v>
      </c>
      <c r="F160" s="13" t="s">
        <v>9</v>
      </c>
      <c r="G160" s="13" t="str">
        <f>ConvertOsiris!M154</f>
        <v>integer</v>
      </c>
      <c r="H160" s="31"/>
      <c r="I160" s="30" t="str">
        <f t="shared" si="2"/>
        <v>* VariantInSample.VariantReadDepth 1..* integer ##34#Variant Read Depth [O77]##34# ##334#Sequencing depth of the alternative allele at the variant position observed in the specimen
_x000D_mandatory##334#</v>
      </c>
    </row>
    <row r="161" spans="1:9" ht="59" x14ac:dyDescent="0.75">
      <c r="A161" s="13">
        <v>154</v>
      </c>
      <c r="B161" s="13" t="str">
        <f>ConvertOsiris!I155</f>
        <v>VariantInSample.StrandBias</v>
      </c>
      <c r="C161" s="14" t="str">
        <f>ConvertOsiris!J155</f>
        <v>Strand Bias [O78]</v>
      </c>
      <c r="D161" s="14" t="str">
        <f>ConvertOsiris!K155</f>
        <v>Indication of the existence of strand bias at the variant position
_x000D_ConceptualDomain: OSIRIS:Boolean
_x000D_optional</v>
      </c>
      <c r="E161" s="14" t="str">
        <f>ConvertOsiris!L155</f>
        <v>0</v>
      </c>
      <c r="F161" s="13" t="s">
        <v>9</v>
      </c>
      <c r="G161" s="13" t="str">
        <f>ConvertOsiris!M155</f>
        <v>string</v>
      </c>
      <c r="H161" s="31"/>
      <c r="I161" s="30" t="str">
        <f t="shared" si="2"/>
        <v>* VariantInSample.StrandBias 0..* string ##34#Strand Bias [O78]##34# ##334#Indication of the existence of strand bias at the variant position
_x000D_ConceptualDomain: OSIRIS:Boolean
_x000D_optional##334#</v>
      </c>
    </row>
    <row r="162" spans="1:9" ht="73.75" x14ac:dyDescent="0.75">
      <c r="A162" s="13">
        <v>155</v>
      </c>
      <c r="B162" s="13" t="str">
        <f>ConvertOsiris!I156</f>
        <v>VariantInSample.GenomicSourceClass</v>
      </c>
      <c r="C162" s="14" t="str">
        <f>ConvertOsiris!J156</f>
        <v>Genomic Source Class [O79]</v>
      </c>
      <c r="D162" s="14" t="str">
        <f>ConvertOsiris!K156</f>
        <v>Genomic class of the variant (eg: germline, somatic, and prenatal)
_x000D_ConceptualDomain: LOINC:LL378-1
_x000D_mandatory</v>
      </c>
      <c r="E162" s="14" t="str">
        <f>ConvertOsiris!L156</f>
        <v>1</v>
      </c>
      <c r="F162" s="13" t="s">
        <v>9</v>
      </c>
      <c r="G162" s="13" t="str">
        <f>ConvertOsiris!M156</f>
        <v>string</v>
      </c>
      <c r="H162" s="31"/>
      <c r="I162" s="30" t="str">
        <f t="shared" si="2"/>
        <v>* VariantInSample.GenomicSourceClass 1..* string ##34#Genomic Source Class [O79]##34# ##334#Genomic class of the variant (eg: germline, somatic, and prenatal)
_x000D_ConceptualDomain: LOINC:LL378-1
_x000D_mandatory##334#</v>
      </c>
    </row>
    <row r="163" spans="1:9" ht="59" x14ac:dyDescent="0.75">
      <c r="A163" s="13">
        <v>156</v>
      </c>
      <c r="B163" s="13" t="str">
        <f>ConvertOsiris!I157</f>
        <v>VariantInSample.AllelicState</v>
      </c>
      <c r="C163" s="14" t="str">
        <f>ConvertOsiris!J157</f>
        <v>Allelic State [O80]</v>
      </c>
      <c r="D163" s="14" t="str">
        <f>ConvertOsiris!K157</f>
        <v>Level of allelic occurrence of a DNA Sequence Variation
_x000D_ConceptualDomain: LOINC:LL381-5
_x000D_optional</v>
      </c>
      <c r="E163" s="14" t="str">
        <f>ConvertOsiris!L157</f>
        <v>0</v>
      </c>
      <c r="F163" s="13" t="s">
        <v>9</v>
      </c>
      <c r="G163" s="13" t="str">
        <f>ConvertOsiris!M157</f>
        <v>BackboneElement</v>
      </c>
      <c r="H163" s="31"/>
      <c r="I163" s="30" t="str">
        <f t="shared" si="2"/>
        <v>* VariantInSample.AllelicState 0..* BackboneElement ##34#Allelic State [O80]##34# ##334#Level of allelic occurrence of a DNA Sequence Variation
_x000D_ConceptualDomain: LOINC:LL381-5
_x000D_optional##334#</v>
      </c>
    </row>
    <row r="164" spans="1:9" ht="29.5" x14ac:dyDescent="0.75">
      <c r="A164" s="13">
        <v>157</v>
      </c>
      <c r="B164" s="13" t="str">
        <f>ConvertOsiris!I158</f>
        <v>GeneExpression</v>
      </c>
      <c r="C164" s="14" t="str">
        <f>ConvertOsiris!J158</f>
        <v>GeneExpression</v>
      </c>
      <c r="D164" s="14" t="str">
        <f>ConvertOsiris!K158</f>
        <v>GeneExpression</v>
      </c>
      <c r="E164" s="14">
        <f>ConvertOsiris!L158</f>
        <v>1</v>
      </c>
      <c r="F164" s="13" t="s">
        <v>9</v>
      </c>
      <c r="G164" s="13" t="str">
        <f>ConvertOsiris!M158</f>
        <v>BackboneElement</v>
      </c>
      <c r="H164" s="31"/>
      <c r="I164" s="30" t="str">
        <f t="shared" si="2"/>
        <v>* GeneExpression 1..* BackboneElement ##34#GeneExpression##34# ##334#GeneExpression##334#</v>
      </c>
    </row>
    <row r="165" spans="1:9" ht="73.75" x14ac:dyDescent="0.75">
      <c r="A165" s="13">
        <v>158</v>
      </c>
      <c r="B165" s="13" t="str">
        <f>ConvertOsiris!I159</f>
        <v>GeneExpression.DataType</v>
      </c>
      <c r="C165" s="14" t="str">
        <f>ConvertOsiris!J159</f>
        <v>Data Type [O84]</v>
      </c>
      <c r="D165" s="14" t="str">
        <f>ConvertOsiris!K159</f>
        <v>Type of the expression value corresponding to the level of data processing
_x000D_ConceptualDomain: OSIRIS:ExpressionDataType
_x000D_mandatory</v>
      </c>
      <c r="E165" s="14" t="str">
        <f>ConvertOsiris!L159</f>
        <v>1</v>
      </c>
      <c r="F165" s="13" t="s">
        <v>9</v>
      </c>
      <c r="G165" s="13" t="str">
        <f>ConvertOsiris!M159</f>
        <v>BackboneElement</v>
      </c>
      <c r="H165" s="31"/>
      <c r="I165" s="30"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3">
        <v>159</v>
      </c>
      <c r="B166" s="13" t="str">
        <f>ConvertOsiris!I160</f>
        <v>GeneExpression.Value</v>
      </c>
      <c r="C166" s="14" t="str">
        <f>ConvertOsiris!J160</f>
        <v>Value [O85]</v>
      </c>
      <c r="D166" s="14" t="str">
        <f>ConvertOsiris!K160</f>
        <v>Numerical value for expression
_x000D_mandatory</v>
      </c>
      <c r="E166" s="14" t="str">
        <f>ConvertOsiris!L160</f>
        <v>1</v>
      </c>
      <c r="F166" s="13" t="s">
        <v>9</v>
      </c>
      <c r="G166" s="13" t="str">
        <f>ConvertOsiris!M160</f>
        <v>BackboneElement</v>
      </c>
      <c r="H166" s="31"/>
      <c r="I166" s="30" t="str">
        <f t="shared" si="2"/>
        <v>* GeneExpression.Value 1..* BackboneElement ##34#Value [O85]##34# ##334#Numerical value for expression
_x000D_mandatory##334#</v>
      </c>
    </row>
    <row r="167" spans="1:9" ht="29.5" x14ac:dyDescent="0.75">
      <c r="A167" s="13">
        <v>160</v>
      </c>
      <c r="B167" s="13" t="str">
        <f>ConvertOsiris!I161</f>
        <v>Equipment</v>
      </c>
      <c r="C167" s="14" t="str">
        <f>ConvertOsiris!J161</f>
        <v>Equipment</v>
      </c>
      <c r="D167" s="14" t="str">
        <f>ConvertOsiris!K161</f>
        <v>Equipment</v>
      </c>
      <c r="E167" s="14">
        <f>ConvertOsiris!L161</f>
        <v>0</v>
      </c>
      <c r="F167" s="13" t="s">
        <v>9</v>
      </c>
      <c r="G167" s="13" t="str">
        <f>ConvertOsiris!M161</f>
        <v>BackboneElement</v>
      </c>
      <c r="H167" s="31"/>
      <c r="I167" s="30" t="str">
        <f t="shared" si="2"/>
        <v>* Equipment 0..* BackboneElement ##34#Equipment##34# ##334#Equipment##334#</v>
      </c>
    </row>
    <row r="168" spans="1:9" ht="59" x14ac:dyDescent="0.75">
      <c r="A168" s="13">
        <v>161</v>
      </c>
      <c r="B168" s="13" t="str">
        <f>ConvertOsiris!I162</f>
        <v>Equipment.ModelName</v>
      </c>
      <c r="C168" s="14" t="str">
        <f>ConvertOsiris!J162</f>
        <v>Manufacturer's model name [I1]</v>
      </c>
      <c r="D168" s="14" t="str">
        <f>ConvertOsiris!K162</f>
        <v>Manufacturer's model name
_x000D_ConceptualDomain: DICOM
_x000D_</v>
      </c>
      <c r="E168" s="14" t="str">
        <f>ConvertOsiris!L162</f>
        <v>0</v>
      </c>
      <c r="F168" s="13" t="s">
        <v>9</v>
      </c>
      <c r="G168" s="13" t="str">
        <f>ConvertOsiris!M162</f>
        <v>BackboneElement</v>
      </c>
      <c r="H168" s="31"/>
      <c r="I168" s="30" t="str">
        <f t="shared" si="2"/>
        <v>* Equipment.ModelName 0..* BackboneElement ##34#Manufacturer's model name [I1]##34# ##334#Manufacturer's model name
_x000D_ConceptualDomain: DICOM
_x000D_##334#</v>
      </c>
    </row>
    <row r="169" spans="1:9" ht="59" x14ac:dyDescent="0.75">
      <c r="A169" s="13">
        <v>162</v>
      </c>
      <c r="B169" s="13" t="str">
        <f>ConvertOsiris!I163</f>
        <v>Equipment.Manufacturer</v>
      </c>
      <c r="C169" s="14" t="str">
        <f>ConvertOsiris!J163</f>
        <v>Manufacturer's name [I2]</v>
      </c>
      <c r="D169" s="14" t="str">
        <f>ConvertOsiris!K163</f>
        <v>Manufacturer's name
_x000D_ConceptualDomain: DICOM
_x000D_</v>
      </c>
      <c r="E169" s="14" t="str">
        <f>ConvertOsiris!L163</f>
        <v>0</v>
      </c>
      <c r="F169" s="13" t="s">
        <v>9</v>
      </c>
      <c r="G169" s="13" t="str">
        <f>ConvertOsiris!M163</f>
        <v>BackboneElement</v>
      </c>
      <c r="H169" s="31"/>
      <c r="I169" s="30" t="str">
        <f t="shared" si="2"/>
        <v>* Equipment.Manufacturer 0..* BackboneElement ##34#Manufacturer's name [I2]##34# ##334#Manufacturer's name
_x000D_ConceptualDomain: DICOM
_x000D_##334#</v>
      </c>
    </row>
    <row r="170" spans="1:9" x14ac:dyDescent="0.75">
      <c r="A170" s="13">
        <v>163</v>
      </c>
      <c r="B170" s="13" t="str">
        <f>ConvertOsiris!I164</f>
        <v>Study</v>
      </c>
      <c r="C170" s="14" t="str">
        <f>ConvertOsiris!J164</f>
        <v>Study</v>
      </c>
      <c r="D170" s="14" t="str">
        <f>ConvertOsiris!K164</f>
        <v>Study</v>
      </c>
      <c r="E170" s="14">
        <f>ConvertOsiris!L164</f>
        <v>0</v>
      </c>
      <c r="F170" s="13" t="s">
        <v>9</v>
      </c>
      <c r="G170" s="13" t="str">
        <f>ConvertOsiris!M164</f>
        <v>BackboneElement</v>
      </c>
      <c r="H170" s="31"/>
      <c r="I170" s="30" t="str">
        <f t="shared" si="2"/>
        <v>* Study 0..* BackboneElement ##34#Study##34# ##334#Study##334#</v>
      </c>
    </row>
    <row r="171" spans="1:9" ht="59" x14ac:dyDescent="0.75">
      <c r="A171" s="13">
        <v>164</v>
      </c>
      <c r="B171" s="13" t="str">
        <f>ConvertOsiris!I165</f>
        <v>Study.StudyInstanceUID</v>
      </c>
      <c r="C171" s="14" t="str">
        <f>ConvertOsiris!J165</f>
        <v>Study Instance UID [I3]</v>
      </c>
      <c r="D171" s="14" t="str">
        <f>ConvertOsiris!K165</f>
        <v>Study Instance UID
_x000D_ConceptualDomain: DICOM
_x000D_</v>
      </c>
      <c r="E171" s="14" t="str">
        <f>ConvertOsiris!L165</f>
        <v>0</v>
      </c>
      <c r="F171" s="13" t="s">
        <v>9</v>
      </c>
      <c r="G171" s="13" t="str">
        <f>ConvertOsiris!M165</f>
        <v>BackboneElement</v>
      </c>
      <c r="H171" s="31"/>
      <c r="I171" s="30" t="str">
        <f t="shared" si="2"/>
        <v>* Study.StudyInstanceUID 0..* BackboneElement ##34#Study Instance UID [I3]##34# ##334#Study Instance UID
_x000D_ConceptualDomain: DICOM
_x000D_##334#</v>
      </c>
    </row>
    <row r="172" spans="1:9" ht="59" x14ac:dyDescent="0.75">
      <c r="A172" s="13">
        <v>165</v>
      </c>
      <c r="B172" s="13" t="str">
        <f>ConvertOsiris!I166</f>
        <v>Study.StudyDescription</v>
      </c>
      <c r="C172" s="14" t="str">
        <f>ConvertOsiris!J166</f>
        <v>Study description [I4]</v>
      </c>
      <c r="D172" s="14" t="str">
        <f>ConvertOsiris!K166</f>
        <v>Study description
_x000D_ConceptualDomain: DICOM
_x000D_</v>
      </c>
      <c r="E172" s="14" t="str">
        <f>ConvertOsiris!L166</f>
        <v>0</v>
      </c>
      <c r="F172" s="13" t="s">
        <v>9</v>
      </c>
      <c r="G172" s="13" t="str">
        <f>ConvertOsiris!M166</f>
        <v>BackboneElement</v>
      </c>
      <c r="H172" s="31"/>
      <c r="I172" s="30" t="str">
        <f t="shared" si="2"/>
        <v>* Study.StudyDescription 0..* BackboneElement ##34#Study description [I4]##34# ##334#Study description
_x000D_ConceptualDomain: DICOM
_x000D_##334#</v>
      </c>
    </row>
    <row r="173" spans="1:9" ht="59" x14ac:dyDescent="0.75">
      <c r="A173" s="13">
        <v>166</v>
      </c>
      <c r="B173" s="13" t="str">
        <f>ConvertOsiris!I167</f>
        <v>Study.AcquisitionDate</v>
      </c>
      <c r="C173" s="14" t="str">
        <f>ConvertOsiris!J167</f>
        <v>Acquisition date [I5]</v>
      </c>
      <c r="D173" s="14" t="str">
        <f>ConvertOsiris!K167</f>
        <v>Acquisition date
_x000D_ConceptualDomain: DICOM
_x000D_</v>
      </c>
      <c r="E173" s="14" t="str">
        <f>ConvertOsiris!L167</f>
        <v>0</v>
      </c>
      <c r="F173" s="13" t="s">
        <v>9</v>
      </c>
      <c r="G173" s="13" t="str">
        <f>ConvertOsiris!M167</f>
        <v>BackboneElement</v>
      </c>
      <c r="H173" s="31"/>
      <c r="I173" s="30" t="str">
        <f t="shared" si="2"/>
        <v>* Study.AcquisitionDate 0..* BackboneElement ##34#Acquisition date [I5]##34# ##334#Acquisition date
_x000D_ConceptualDomain: DICOM
_x000D_##334#</v>
      </c>
    </row>
    <row r="174" spans="1:9" ht="44.25" x14ac:dyDescent="0.75">
      <c r="A174" s="13">
        <v>167</v>
      </c>
      <c r="B174" s="13" t="str">
        <f>ConvertOsiris!I168</f>
        <v>Study.Location</v>
      </c>
      <c r="C174" s="14" t="str">
        <f>ConvertOsiris!J168</f>
        <v>Location [I6]</v>
      </c>
      <c r="D174" s="14" t="str">
        <f>ConvertOsiris!K168</f>
        <v>Location
_x000D_</v>
      </c>
      <c r="E174" s="14" t="str">
        <f>ConvertOsiris!L168</f>
        <v>0</v>
      </c>
      <c r="F174" s="13" t="s">
        <v>9</v>
      </c>
      <c r="G174" s="13" t="str">
        <f>ConvertOsiris!M168</f>
        <v>BackboneElement</v>
      </c>
      <c r="H174" s="31"/>
      <c r="I174" s="30" t="str">
        <f t="shared" si="2"/>
        <v>* Study.Location 0..* BackboneElement ##34#Location [I6]##34# ##334#Location
_x000D_##334#</v>
      </c>
    </row>
    <row r="175" spans="1:9" ht="59" x14ac:dyDescent="0.75">
      <c r="A175" s="13">
        <v>168</v>
      </c>
      <c r="B175" s="13" t="str">
        <f>ConvertOsiris!I169</f>
        <v>Study.InstitutionName</v>
      </c>
      <c r="C175" s="14" t="str">
        <f>ConvertOsiris!J169</f>
        <v>Institution's name [I7]</v>
      </c>
      <c r="D175" s="14" t="str">
        <f>ConvertOsiris!K169</f>
        <v>Institution's name
_x000D_ConceptualDomain: DICOM
_x000D_</v>
      </c>
      <c r="E175" s="14" t="str">
        <f>ConvertOsiris!L169</f>
        <v>0</v>
      </c>
      <c r="F175" s="13" t="s">
        <v>9</v>
      </c>
      <c r="G175" s="13" t="str">
        <f>ConvertOsiris!M169</f>
        <v>BackboneElement</v>
      </c>
      <c r="H175" s="31"/>
      <c r="I175" s="30" t="str">
        <f t="shared" si="2"/>
        <v>* Study.InstitutionName 0..* BackboneElement ##34#Institution's name [I7]##34# ##334#Institution's name
_x000D_ConceptualDomain: DICOM
_x000D_##334#</v>
      </c>
    </row>
    <row r="176" spans="1:9" ht="59" x14ac:dyDescent="0.75">
      <c r="A176" s="13">
        <v>169</v>
      </c>
      <c r="B176" s="13" t="str">
        <f>ConvertOsiris!I170</f>
        <v>Study.ModalitiesInStudy</v>
      </c>
      <c r="C176" s="14" t="str">
        <f>ConvertOsiris!J170</f>
        <v>Modalities in study [I8]</v>
      </c>
      <c r="D176" s="14" t="str">
        <f>ConvertOsiris!K170</f>
        <v>Modalities in study
_x000D_ConceptualDomain: DICOM
_x000D_</v>
      </c>
      <c r="E176" s="14" t="str">
        <f>ConvertOsiris!L170</f>
        <v>0</v>
      </c>
      <c r="F176" s="13" t="s">
        <v>9</v>
      </c>
      <c r="G176" s="13" t="str">
        <f>ConvertOsiris!M170</f>
        <v>BackboneElement</v>
      </c>
      <c r="H176" s="31"/>
      <c r="I176" s="30" t="str">
        <f t="shared" si="2"/>
        <v>* Study.ModalitiesInStudy 0..* BackboneElement ##34#Modalities in study [I8]##34# ##334#Modalities in study
_x000D_ConceptualDomain: DICOM
_x000D_##334#</v>
      </c>
    </row>
    <row r="177" spans="1:9" ht="59" x14ac:dyDescent="0.75">
      <c r="A177" s="13">
        <v>170</v>
      </c>
      <c r="B177" s="13" t="str">
        <f>ConvertOsiris!I171</f>
        <v>Study.NbStudyRelatedSeries</v>
      </c>
      <c r="C177" s="14" t="str">
        <f>ConvertOsiris!J171</f>
        <v>Number of Study Related Series [I9]</v>
      </c>
      <c r="D177" s="14" t="str">
        <f>ConvertOsiris!K171</f>
        <v>Number of Study Related Series
_x000D_ConceptualDomain: DICOM
_x000D_</v>
      </c>
      <c r="E177" s="14" t="str">
        <f>ConvertOsiris!L171</f>
        <v>0</v>
      </c>
      <c r="F177" s="13" t="s">
        <v>9</v>
      </c>
      <c r="G177" s="13" t="str">
        <f>ConvertOsiris!M171</f>
        <v>BackboneElement</v>
      </c>
      <c r="H177" s="31"/>
      <c r="I177" s="30" t="str">
        <f t="shared" si="2"/>
        <v>* Study.NbStudyRelatedSeries 0..* BackboneElement ##34#Number of Study Related Series [I9]##34# ##334#Number of Study Related Series
_x000D_ConceptualDomain: DICOM
_x000D_##334#</v>
      </c>
    </row>
    <row r="178" spans="1:9" x14ac:dyDescent="0.75">
      <c r="A178" s="13">
        <v>171</v>
      </c>
      <c r="B178" s="13" t="str">
        <f>ConvertOsiris!I172</f>
        <v>Series</v>
      </c>
      <c r="C178" s="14" t="str">
        <f>ConvertOsiris!J172</f>
        <v>Series</v>
      </c>
      <c r="D178" s="14" t="str">
        <f>ConvertOsiris!K172</f>
        <v>Series</v>
      </c>
      <c r="E178" s="14">
        <f>ConvertOsiris!L172</f>
        <v>0</v>
      </c>
      <c r="F178" s="13" t="s">
        <v>9</v>
      </c>
      <c r="G178" s="13" t="str">
        <f>ConvertOsiris!M172</f>
        <v>BackboneElement</v>
      </c>
      <c r="H178" s="31"/>
      <c r="I178" s="30" t="str">
        <f t="shared" si="2"/>
        <v>* Series 0..* BackboneElement ##34#Series##34# ##334#Series##334#</v>
      </c>
    </row>
    <row r="179" spans="1:9" ht="59" x14ac:dyDescent="0.75">
      <c r="A179" s="13">
        <v>172</v>
      </c>
      <c r="B179" s="13" t="str">
        <f>ConvertOsiris!I173</f>
        <v>Series.SeriesNumber</v>
      </c>
      <c r="C179" s="14" t="str">
        <f>ConvertOsiris!J173</f>
        <v>Series Number [I10]</v>
      </c>
      <c r="D179" s="14" t="str">
        <f>ConvertOsiris!K173</f>
        <v>Series Number
_x000D_ConceptualDomain: DICOM
_x000D_</v>
      </c>
      <c r="E179" s="14" t="str">
        <f>ConvertOsiris!L173</f>
        <v>0</v>
      </c>
      <c r="F179" s="13" t="s">
        <v>9</v>
      </c>
      <c r="G179" s="13" t="str">
        <f>ConvertOsiris!M173</f>
        <v>BackboneElement</v>
      </c>
      <c r="H179" s="31"/>
      <c r="I179" s="30" t="str">
        <f t="shared" si="2"/>
        <v>* Series.SeriesNumber 0..* BackboneElement ##34#Series Number [I10]##34# ##334#Series Number
_x000D_ConceptualDomain: DICOM
_x000D_##334#</v>
      </c>
    </row>
    <row r="180" spans="1:9" ht="59" x14ac:dyDescent="0.75">
      <c r="A180" s="13">
        <v>173</v>
      </c>
      <c r="B180" s="13" t="str">
        <f>ConvertOsiris!I174</f>
        <v>Series.SeriesInstanceUID</v>
      </c>
      <c r="C180" s="14" t="str">
        <f>ConvertOsiris!J174</f>
        <v>Series Instance UID [I11]</v>
      </c>
      <c r="D180" s="14" t="str">
        <f>ConvertOsiris!K174</f>
        <v>Series Instance UID
_x000D_ConceptualDomain: DICOM
_x000D_</v>
      </c>
      <c r="E180" s="14" t="str">
        <f>ConvertOsiris!L174</f>
        <v>0</v>
      </c>
      <c r="F180" s="13" t="s">
        <v>9</v>
      </c>
      <c r="G180" s="13" t="str">
        <f>ConvertOsiris!M174</f>
        <v>BackboneElement</v>
      </c>
      <c r="H180" s="31"/>
      <c r="I180" s="30" t="str">
        <f t="shared" si="2"/>
        <v>* Series.SeriesInstanceUID 0..* BackboneElement ##34#Series Instance UID [I11]##34# ##334#Series Instance UID
_x000D_ConceptualDomain: DICOM
_x000D_##334#</v>
      </c>
    </row>
    <row r="181" spans="1:9" ht="59" x14ac:dyDescent="0.75">
      <c r="A181" s="13">
        <v>174</v>
      </c>
      <c r="B181" s="13" t="str">
        <f>ConvertOsiris!I175</f>
        <v>Series.Modality</v>
      </c>
      <c r="C181" s="14" t="str">
        <f>ConvertOsiris!J175</f>
        <v>Modality [I12]</v>
      </c>
      <c r="D181" s="14" t="str">
        <f>ConvertOsiris!K175</f>
        <v>Modality
_x000D_ConceptualDomain: DICOM
_x000D_</v>
      </c>
      <c r="E181" s="14" t="str">
        <f>ConvertOsiris!L175</f>
        <v>0</v>
      </c>
      <c r="F181" s="13" t="s">
        <v>9</v>
      </c>
      <c r="G181" s="13" t="str">
        <f>ConvertOsiris!M175</f>
        <v>BackboneElement</v>
      </c>
      <c r="H181" s="31"/>
      <c r="I181" s="30" t="str">
        <f t="shared" si="2"/>
        <v>* Series.Modality 0..* BackboneElement ##34#Modality [I12]##34# ##334#Modality
_x000D_ConceptualDomain: DICOM
_x000D_##334#</v>
      </c>
    </row>
    <row r="182" spans="1:9" ht="59" x14ac:dyDescent="0.75">
      <c r="A182" s="13">
        <v>175</v>
      </c>
      <c r="B182" s="13" t="str">
        <f>ConvertOsiris!I176</f>
        <v>Series.Description</v>
      </c>
      <c r="C182" s="14" t="str">
        <f>ConvertOsiris!J176</f>
        <v>Description [I13]</v>
      </c>
      <c r="D182" s="14" t="str">
        <f>ConvertOsiris!K176</f>
        <v>Description
_x000D_ConceptualDomain: DICOM
_x000D_</v>
      </c>
      <c r="E182" s="14" t="str">
        <f>ConvertOsiris!L176</f>
        <v>0</v>
      </c>
      <c r="F182" s="13" t="s">
        <v>9</v>
      </c>
      <c r="G182" s="13" t="str">
        <f>ConvertOsiris!M176</f>
        <v>BackboneElement</v>
      </c>
      <c r="H182" s="31"/>
      <c r="I182" s="30" t="str">
        <f t="shared" si="2"/>
        <v>* Series.Description 0..* BackboneElement ##34#Description [I13]##34# ##334#Description
_x000D_ConceptualDomain: DICOM
_x000D_##334#</v>
      </c>
    </row>
    <row r="183" spans="1:9" ht="59" x14ac:dyDescent="0.75">
      <c r="A183" s="13">
        <v>176</v>
      </c>
      <c r="B183" s="13" t="str">
        <f>ConvertOsiris!I177</f>
        <v>Series.BodyPartExamined</v>
      </c>
      <c r="C183" s="14" t="str">
        <f>ConvertOsiris!J177</f>
        <v>Body Part Examined [I14]</v>
      </c>
      <c r="D183" s="14" t="str">
        <f>ConvertOsiris!K177</f>
        <v>Body Part Examined
_x000D_ConceptualDomain: DICOM
_x000D_</v>
      </c>
      <c r="E183" s="14" t="str">
        <f>ConvertOsiris!L177</f>
        <v>0</v>
      </c>
      <c r="F183" s="13" t="s">
        <v>9</v>
      </c>
      <c r="G183" s="13" t="str">
        <f>ConvertOsiris!M177</f>
        <v>BackboneElement</v>
      </c>
      <c r="H183" s="31"/>
      <c r="I183" s="30" t="str">
        <f t="shared" si="2"/>
        <v>* Series.BodyPartExamined 0..* BackboneElement ##34#Body Part Examined [I14]##34# ##334#Body Part Examined
_x000D_ConceptualDomain: DICOM
_x000D_##334#</v>
      </c>
    </row>
    <row r="184" spans="1:9" ht="59" x14ac:dyDescent="0.75">
      <c r="A184" s="13">
        <v>177</v>
      </c>
      <c r="B184" s="13" t="str">
        <f>ConvertOsiris!I178</f>
        <v>Series.NbSeriesRelatedInstances</v>
      </c>
      <c r="C184" s="14" t="str">
        <f>ConvertOsiris!J178</f>
        <v>Number of Series Related Instances [I15]</v>
      </c>
      <c r="D184" s="14" t="str">
        <f>ConvertOsiris!K178</f>
        <v>Number of Series Related Instances
_x000D_ConceptualDomain: DICOM
_x000D_</v>
      </c>
      <c r="E184" s="14" t="str">
        <f>ConvertOsiris!L178</f>
        <v>0</v>
      </c>
      <c r="F184" s="13" t="s">
        <v>9</v>
      </c>
      <c r="G184" s="13" t="str">
        <f>ConvertOsiris!M178</f>
        <v>BackboneElement</v>
      </c>
      <c r="H184" s="31"/>
      <c r="I184" s="30" t="str">
        <f t="shared" si="2"/>
        <v>* Series.NbSeriesRelatedInstances 0..* BackboneElement ##34#Number of Series Related Instances [I15]##34# ##334#Number of Series Related Instances
_x000D_ConceptualDomain: DICOM
_x000D_##334#</v>
      </c>
    </row>
    <row r="185" spans="1:9" ht="59" x14ac:dyDescent="0.75">
      <c r="A185" s="13">
        <v>178</v>
      </c>
      <c r="B185" s="13" t="str">
        <f>ConvertOsiris!I179</f>
        <v>Series.SoftwareVersion</v>
      </c>
      <c r="C185" s="14" t="str">
        <f>ConvertOsiris!J179</f>
        <v>Software's version [I16]</v>
      </c>
      <c r="D185" s="14" t="str">
        <f>ConvertOsiris!K179</f>
        <v>Software's version
_x000D_ConceptualDomain: DICOM
_x000D_</v>
      </c>
      <c r="E185" s="14" t="str">
        <f>ConvertOsiris!L179</f>
        <v>0</v>
      </c>
      <c r="F185" s="13" t="s">
        <v>9</v>
      </c>
      <c r="G185" s="13" t="str">
        <f>ConvertOsiris!M179</f>
        <v>BackboneElement</v>
      </c>
      <c r="H185" s="31"/>
      <c r="I185" s="30" t="str">
        <f t="shared" si="2"/>
        <v>* Series.SoftwareVersion 0..* BackboneElement ##34#Software's version [I16]##34# ##334#Software's version
_x000D_ConceptualDomain: DICOM
_x000D_##334#</v>
      </c>
    </row>
    <row r="186" spans="1:9" x14ac:dyDescent="0.75">
      <c r="A186" s="13">
        <v>179</v>
      </c>
      <c r="B186" s="13" t="str">
        <f>ConvertOsiris!I180</f>
        <v>Injection</v>
      </c>
      <c r="C186" s="14" t="str">
        <f>ConvertOsiris!J180</f>
        <v>Injection</v>
      </c>
      <c r="D186" s="14" t="str">
        <f>ConvertOsiris!K180</f>
        <v>Injection</v>
      </c>
      <c r="E186" s="14">
        <f>ConvertOsiris!L180</f>
        <v>0</v>
      </c>
      <c r="F186" s="13" t="s">
        <v>9</v>
      </c>
      <c r="G186" s="13" t="str">
        <f>ConvertOsiris!M180</f>
        <v>BackboneElement</v>
      </c>
      <c r="H186" s="31"/>
      <c r="I186" s="30" t="str">
        <f t="shared" si="2"/>
        <v>* Injection 0..* BackboneElement ##34#Injection##34# ##334#Injection##334#</v>
      </c>
    </row>
    <row r="187" spans="1:9" ht="59" x14ac:dyDescent="0.75">
      <c r="A187" s="13">
        <v>180</v>
      </c>
      <c r="B187" s="13" t="str">
        <f>ConvertOsiris!I181</f>
        <v>Injection.Radiopharmaceutical</v>
      </c>
      <c r="C187" s="14" t="str">
        <f>ConvertOsiris!J181</f>
        <v>Radiopharmaceutical [I17]</v>
      </c>
      <c r="D187" s="14" t="str">
        <f>ConvertOsiris!K181</f>
        <v>Radiopharmaceutical
_x000D_ConceptualDomain: DICOM
_x000D_</v>
      </c>
      <c r="E187" s="14" t="str">
        <f>ConvertOsiris!L181</f>
        <v>0</v>
      </c>
      <c r="F187" s="13" t="s">
        <v>9</v>
      </c>
      <c r="G187" s="13" t="str">
        <f>ConvertOsiris!M181</f>
        <v>BackboneElement</v>
      </c>
      <c r="H187" s="31"/>
      <c r="I187" s="30" t="str">
        <f t="shared" si="2"/>
        <v>* Injection.Radiopharmaceutical 0..* BackboneElement ##34#Radiopharmaceutical [I17]##34# ##334#Radiopharmaceutical
_x000D_ConceptualDomain: DICOM
_x000D_##334#</v>
      </c>
    </row>
    <row r="188" spans="1:9" ht="59" x14ac:dyDescent="0.75">
      <c r="A188" s="13">
        <v>181</v>
      </c>
      <c r="B188" s="13" t="str">
        <f>ConvertOsiris!I182</f>
        <v>Injection.ContrastBolusAgent</v>
      </c>
      <c r="C188" s="14" t="str">
        <f>ConvertOsiris!J182</f>
        <v>Contrast/bolus agent [I18]</v>
      </c>
      <c r="D188" s="14" t="str">
        <f>ConvertOsiris!K182</f>
        <v>Contrast/bolus agent
_x000D_ConceptualDomain: DICOM
_x000D_</v>
      </c>
      <c r="E188" s="14" t="str">
        <f>ConvertOsiris!L182</f>
        <v>0</v>
      </c>
      <c r="F188" s="13" t="s">
        <v>9</v>
      </c>
      <c r="G188" s="13" t="str">
        <f>ConvertOsiris!M182</f>
        <v>BackboneElement</v>
      </c>
      <c r="H188" s="31"/>
      <c r="I188" s="30" t="str">
        <f t="shared" si="2"/>
        <v>* Injection.ContrastBolusAgent 0..* BackboneElement ##34#Contrast/bolus agent [I18]##34# ##334#Contrast/bolus agent
_x000D_ConceptualDomain: DICOM
_x000D_##334#</v>
      </c>
    </row>
    <row r="189" spans="1:9" ht="59" x14ac:dyDescent="0.75">
      <c r="A189" s="13">
        <v>182</v>
      </c>
      <c r="B189" s="13" t="str">
        <f>ConvertOsiris!I183</f>
        <v>Injection.ContrastBolusStartTime</v>
      </c>
      <c r="C189" s="14" t="str">
        <f>ConvertOsiris!J183</f>
        <v>Contrast/bolus start time [I19]</v>
      </c>
      <c r="D189" s="14" t="str">
        <f>ConvertOsiris!K183</f>
        <v>Contrast/bolus start time
_x000D_ConceptualDomain: DICOM
_x000D_</v>
      </c>
      <c r="E189" s="14" t="str">
        <f>ConvertOsiris!L183</f>
        <v>0</v>
      </c>
      <c r="F189" s="13" t="s">
        <v>9</v>
      </c>
      <c r="G189" s="13" t="str">
        <f>ConvertOsiris!M183</f>
        <v>BackboneElement</v>
      </c>
      <c r="H189" s="31"/>
      <c r="I189" s="30" t="str">
        <f t="shared" si="2"/>
        <v>* Injection.ContrastBolusStartTime 0..* BackboneElement ##34#Contrast/bolus start time [I19]##34# ##334#Contrast/bolus start time
_x000D_ConceptualDomain: DICOM
_x000D_##334#</v>
      </c>
    </row>
    <row r="190" spans="1:9" ht="59" x14ac:dyDescent="0.75">
      <c r="A190" s="13">
        <v>183</v>
      </c>
      <c r="B190" s="13" t="str">
        <f>ConvertOsiris!I184</f>
        <v>Injection.ContrastBolusStopTime</v>
      </c>
      <c r="C190" s="14" t="str">
        <f>ConvertOsiris!J184</f>
        <v>Contrast/bolus stop time [I20]</v>
      </c>
      <c r="D190" s="14" t="str">
        <f>ConvertOsiris!K184</f>
        <v>Contrast/bolus stop time
_x000D_ConceptualDomain: DICOM
_x000D_</v>
      </c>
      <c r="E190" s="14" t="str">
        <f>ConvertOsiris!L184</f>
        <v>0</v>
      </c>
      <c r="F190" s="13" t="s">
        <v>9</v>
      </c>
      <c r="G190" s="13" t="str">
        <f>ConvertOsiris!M184</f>
        <v>BackboneElement</v>
      </c>
      <c r="H190" s="31"/>
      <c r="I190" s="30" t="str">
        <f t="shared" si="2"/>
        <v>* Injection.ContrastBolusStopTime 0..* BackboneElement ##34#Contrast/bolus stop time [I20]##34# ##334#Contrast/bolus stop time
_x000D_ConceptualDomain: DICOM
_x000D_##334#</v>
      </c>
    </row>
    <row r="191" spans="1:9" ht="73.75" x14ac:dyDescent="0.75">
      <c r="A191" s="13">
        <v>184</v>
      </c>
      <c r="B191" s="13" t="str">
        <f>ConvertOsiris!I185</f>
        <v>Injection.RadiopharmaceuticalStartTime</v>
      </c>
      <c r="C191" s="14" t="str">
        <f>ConvertOsiris!J185</f>
        <v>Radiopharmaceutical start time [I21]</v>
      </c>
      <c r="D191" s="14" t="str">
        <f>ConvertOsiris!K185</f>
        <v>Radiopharmaceutical start time
_x000D_ConceptualDomain: DICOM
_x000D_</v>
      </c>
      <c r="E191" s="14" t="str">
        <f>ConvertOsiris!L185</f>
        <v>0</v>
      </c>
      <c r="F191" s="13" t="s">
        <v>9</v>
      </c>
      <c r="G191" s="13" t="str">
        <f>ConvertOsiris!M185</f>
        <v>BackboneElement</v>
      </c>
      <c r="H191" s="31"/>
      <c r="I191" s="30" t="str">
        <f t="shared" si="2"/>
        <v>* Injection.RadiopharmaceuticalStartTime 0..* BackboneElement ##34#Radiopharmaceutical start time [I21]##34# ##334#Radiopharmaceutical start time
_x000D_ConceptualDomain: DICOM
_x000D_##334#</v>
      </c>
    </row>
    <row r="192" spans="1:9" ht="59" x14ac:dyDescent="0.75">
      <c r="A192" s="13">
        <v>185</v>
      </c>
      <c r="B192" s="13" t="str">
        <f>ConvertOsiris!I186</f>
        <v>Injection.RadionuclideTotalDose</v>
      </c>
      <c r="C192" s="14" t="str">
        <f>ConvertOsiris!J186</f>
        <v>Radionuclide total dose [I22]</v>
      </c>
      <c r="D192" s="14" t="str">
        <f>ConvertOsiris!K186</f>
        <v>Radionuclide total dose
_x000D_ConceptualDomain: DICOM
_x000D_</v>
      </c>
      <c r="E192" s="14" t="str">
        <f>ConvertOsiris!L186</f>
        <v>0</v>
      </c>
      <c r="F192" s="13" t="s">
        <v>9</v>
      </c>
      <c r="G192" s="13" t="str">
        <f>ConvertOsiris!M186</f>
        <v>BackboneElement</v>
      </c>
      <c r="H192" s="31"/>
      <c r="I192" s="30" t="str">
        <f t="shared" si="2"/>
        <v>* Injection.RadionuclideTotalDose 0..* BackboneElement ##34#Radionuclide total dose [I22]##34# ##334#Radionuclide total dose
_x000D_ConceptualDomain: DICOM
_x000D_##334#</v>
      </c>
    </row>
    <row r="193" spans="1:9" ht="29.5" x14ac:dyDescent="0.75">
      <c r="A193" s="13">
        <v>186</v>
      </c>
      <c r="B193" s="13" t="str">
        <f>ConvertOsiris!I187</f>
        <v>CommonImage</v>
      </c>
      <c r="C193" s="14" t="str">
        <f>ConvertOsiris!J187</f>
        <v>CommonImage</v>
      </c>
      <c r="D193" s="14" t="str">
        <f>ConvertOsiris!K187</f>
        <v>CommonImage</v>
      </c>
      <c r="E193" s="14">
        <f>ConvertOsiris!L187</f>
        <v>0</v>
      </c>
      <c r="F193" s="13" t="s">
        <v>9</v>
      </c>
      <c r="G193" s="13" t="str">
        <f>ConvertOsiris!M187</f>
        <v>BackboneElement</v>
      </c>
      <c r="H193" s="31"/>
      <c r="I193" s="30" t="str">
        <f t="shared" si="2"/>
        <v>* CommonImage 0..* BackboneElement ##34#CommonImage##34# ##334#CommonImage##334#</v>
      </c>
    </row>
    <row r="194" spans="1:9" ht="59" x14ac:dyDescent="0.75">
      <c r="A194" s="13">
        <v>187</v>
      </c>
      <c r="B194" s="13" t="str">
        <f>ConvertOsiris!I188</f>
        <v>CommonImage.SOPInstanceUID</v>
      </c>
      <c r="C194" s="14" t="str">
        <f>ConvertOsiris!J188</f>
        <v>SOP Instance UID [I23]</v>
      </c>
      <c r="D194" s="14" t="str">
        <f>ConvertOsiris!K188</f>
        <v>SOP Instance UID
_x000D_ConceptualDomain: DICOM
_x000D_</v>
      </c>
      <c r="E194" s="14" t="str">
        <f>ConvertOsiris!L188</f>
        <v>0</v>
      </c>
      <c r="F194" s="13" t="s">
        <v>9</v>
      </c>
      <c r="G194" s="13" t="str">
        <f>ConvertOsiris!M188</f>
        <v>BackboneElement</v>
      </c>
      <c r="H194" s="31"/>
      <c r="I194" s="30" t="str">
        <f t="shared" si="2"/>
        <v>* CommonImage.SOPInstanceUID 0..* BackboneElement ##34#SOP Instance UID [I23]##34# ##334#SOP Instance UID
_x000D_ConceptualDomain: DICOM
_x000D_##334#</v>
      </c>
    </row>
    <row r="195" spans="1:9" ht="59" x14ac:dyDescent="0.75">
      <c r="A195" s="13">
        <v>188</v>
      </c>
      <c r="B195" s="13" t="str">
        <f>ConvertOsiris!I189</f>
        <v>CommonImage.SliceThickness</v>
      </c>
      <c r="C195" s="14" t="str">
        <f>ConvertOsiris!J189</f>
        <v>Slice thickness [I24]</v>
      </c>
      <c r="D195" s="14" t="str">
        <f>ConvertOsiris!K189</f>
        <v>Slice thickness
_x000D_ConceptualDomain: DICOM
_x000D_</v>
      </c>
      <c r="E195" s="14" t="str">
        <f>ConvertOsiris!L189</f>
        <v>0</v>
      </c>
      <c r="F195" s="13" t="s">
        <v>9</v>
      </c>
      <c r="G195" s="13" t="str">
        <f>ConvertOsiris!M189</f>
        <v>BackboneElement</v>
      </c>
      <c r="H195" s="31"/>
      <c r="I195" s="30" t="str">
        <f t="shared" si="2"/>
        <v>* CommonImage.SliceThickness 0..* BackboneElement ##34#Slice thickness [I24]##34# ##334#Slice thickness
_x000D_ConceptualDomain: DICOM
_x000D_##334#</v>
      </c>
    </row>
    <row r="196" spans="1:9" ht="59" x14ac:dyDescent="0.75">
      <c r="A196" s="13">
        <v>189</v>
      </c>
      <c r="B196" s="13" t="str">
        <f>ConvertOsiris!I190</f>
        <v>CommonImage.PixelSpacing</v>
      </c>
      <c r="C196" s="14" t="str">
        <f>ConvertOsiris!J190</f>
        <v>Pixel spacing [I25]</v>
      </c>
      <c r="D196" s="14" t="str">
        <f>ConvertOsiris!K190</f>
        <v>Pixel spacing
_x000D_ConceptualDomain: DICOM
_x000D_</v>
      </c>
      <c r="E196" s="14" t="str">
        <f>ConvertOsiris!L190</f>
        <v>0</v>
      </c>
      <c r="F196" s="13" t="s">
        <v>9</v>
      </c>
      <c r="G196" s="13" t="str">
        <f>ConvertOsiris!M190</f>
        <v>BackboneElement</v>
      </c>
      <c r="H196" s="31"/>
      <c r="I196" s="30" t="str">
        <f t="shared" si="2"/>
        <v>* CommonImage.PixelSpacing 0..* BackboneElement ##34#Pixel spacing [I25]##34# ##334#Pixel spacing
_x000D_ConceptualDomain: DICOM
_x000D_##334#</v>
      </c>
    </row>
    <row r="197" spans="1:9" ht="44.25" x14ac:dyDescent="0.75">
      <c r="A197" s="13">
        <v>190</v>
      </c>
      <c r="B197" s="13" t="str">
        <f>ConvertOsiris!I191</f>
        <v>CommonImage.FieldOfView</v>
      </c>
      <c r="C197" s="14" t="str">
        <f>ConvertOsiris!J191</f>
        <v>Field of view [I26]</v>
      </c>
      <c r="D197" s="14" t="str">
        <f>ConvertOsiris!K191</f>
        <v>Field of view
_x000D_</v>
      </c>
      <c r="E197" s="14" t="str">
        <f>ConvertOsiris!L191</f>
        <v>0</v>
      </c>
      <c r="F197" s="13" t="s">
        <v>9</v>
      </c>
      <c r="G197" s="13" t="str">
        <f>ConvertOsiris!M191</f>
        <v>BackboneElement</v>
      </c>
      <c r="H197" s="31"/>
      <c r="I197" s="30" t="str">
        <f t="shared" si="2"/>
        <v>* CommonImage.FieldOfView 0..* BackboneElement ##34#Field of view [I26]##34# ##334#Field of view
_x000D_##334#</v>
      </c>
    </row>
    <row r="198" spans="1:9" ht="59" x14ac:dyDescent="0.75">
      <c r="A198" s="13">
        <v>191</v>
      </c>
      <c r="B198" s="13" t="str">
        <f>ConvertOsiris!I192</f>
        <v>CommonImage.Rows</v>
      </c>
      <c r="C198" s="14" t="str">
        <f>ConvertOsiris!J192</f>
        <v>rows [I27]</v>
      </c>
      <c r="D198" s="14" t="str">
        <f>ConvertOsiris!K192</f>
        <v>rows
_x000D_ConceptualDomain: DICOM
_x000D_</v>
      </c>
      <c r="E198" s="14" t="str">
        <f>ConvertOsiris!L192</f>
        <v>0</v>
      </c>
      <c r="F198" s="13" t="s">
        <v>9</v>
      </c>
      <c r="G198" s="13" t="str">
        <f>ConvertOsiris!M192</f>
        <v>BackboneElement</v>
      </c>
      <c r="H198" s="31"/>
      <c r="I198" s="30" t="str">
        <f t="shared" si="2"/>
        <v>* CommonImage.Rows 0..* BackboneElement ##34#rows [I27]##34# ##334#rows
_x000D_ConceptualDomain: DICOM
_x000D_##334#</v>
      </c>
    </row>
    <row r="199" spans="1:9" ht="59" x14ac:dyDescent="0.75">
      <c r="A199" s="13">
        <v>192</v>
      </c>
      <c r="B199" s="13" t="str">
        <f>ConvertOsiris!I193</f>
        <v>CommonImage.Columns</v>
      </c>
      <c r="C199" s="14" t="str">
        <f>ConvertOsiris!J193</f>
        <v>columns [I28]</v>
      </c>
      <c r="D199" s="14" t="str">
        <f>ConvertOsiris!K193</f>
        <v>columns
_x000D_ConceptualDomain: DICOM
_x000D_</v>
      </c>
      <c r="E199" s="14" t="str">
        <f>ConvertOsiris!L193</f>
        <v>0</v>
      </c>
      <c r="F199" s="13" t="s">
        <v>9</v>
      </c>
      <c r="G199" s="13" t="str">
        <f>ConvertOsiris!M193</f>
        <v>BackboneElement</v>
      </c>
      <c r="H199" s="31"/>
      <c r="I199" s="30" t="str">
        <f t="shared" si="2"/>
        <v>* CommonImage.Columns 0..* BackboneElement ##34#columns [I28]##34# ##334#columns
_x000D_ConceptualDomain: DICOM
_x000D_##334#</v>
      </c>
    </row>
    <row r="200" spans="1:9" ht="29.5" x14ac:dyDescent="0.75">
      <c r="A200" s="13">
        <v>193</v>
      </c>
      <c r="B200" s="13" t="str">
        <f>ConvertOsiris!I194</f>
        <v>MRImage</v>
      </c>
      <c r="C200" s="14" t="str">
        <f>ConvertOsiris!J194</f>
        <v>MRImage</v>
      </c>
      <c r="D200" s="14" t="str">
        <f>ConvertOsiris!K194</f>
        <v>MRImage</v>
      </c>
      <c r="E200" s="14">
        <f>ConvertOsiris!L194</f>
        <v>0</v>
      </c>
      <c r="F200" s="13" t="s">
        <v>9</v>
      </c>
      <c r="G200" s="13" t="str">
        <f>ConvertOsiris!M194</f>
        <v>BackboneElement</v>
      </c>
      <c r="H200" s="31"/>
      <c r="I200" s="30" t="str">
        <f t="shared" ref="I200:I262" si="3">IF(B200=0,"//---- END",CONCATENATE("* ",B200, " ",E200,"..",F200," ",G200," ##34#",C200,"##34# ##334#",D200,"##334#"))</f>
        <v>* MRImage 0..* BackboneElement ##34#MRImage##34# ##334#MRImage##334#</v>
      </c>
    </row>
    <row r="201" spans="1:9" ht="59" x14ac:dyDescent="0.75">
      <c r="A201" s="13">
        <v>194</v>
      </c>
      <c r="B201" s="13" t="str">
        <f>ConvertOsiris!I195</f>
        <v>MRImage.SequenceName</v>
      </c>
      <c r="C201" s="14" t="str">
        <f>ConvertOsiris!J195</f>
        <v>Sequence's name [I29]</v>
      </c>
      <c r="D201" s="14" t="str">
        <f>ConvertOsiris!K195</f>
        <v>Sequence's name
_x000D_ConceptualDomain: DICOM
_x000D_</v>
      </c>
      <c r="E201" s="14" t="str">
        <f>ConvertOsiris!L195</f>
        <v>0</v>
      </c>
      <c r="F201" s="13" t="s">
        <v>9</v>
      </c>
      <c r="G201" s="13" t="str">
        <f>ConvertOsiris!M195</f>
        <v>BackboneElement</v>
      </c>
      <c r="H201" s="31"/>
      <c r="I201" s="30" t="str">
        <f t="shared" si="3"/>
        <v>* MRImage.SequenceName 0..* BackboneElement ##34#Sequence's name [I29]##34# ##334#Sequence's name
_x000D_ConceptualDomain: DICOM
_x000D_##334#</v>
      </c>
    </row>
    <row r="202" spans="1:9" ht="59" x14ac:dyDescent="0.75">
      <c r="A202" s="13">
        <v>195</v>
      </c>
      <c r="B202" s="13" t="str">
        <f>ConvertOsiris!I196</f>
        <v>MRImage.MagneticFieldStrength</v>
      </c>
      <c r="C202" s="14" t="str">
        <f>ConvertOsiris!J196</f>
        <v>Magnetic field strength [I30]</v>
      </c>
      <c r="D202" s="14" t="str">
        <f>ConvertOsiris!K196</f>
        <v>Magnetic field strength
_x000D_ConceptualDomain: DICOM
_x000D_</v>
      </c>
      <c r="E202" s="14" t="str">
        <f>ConvertOsiris!L196</f>
        <v>0</v>
      </c>
      <c r="F202" s="13" t="s">
        <v>9</v>
      </c>
      <c r="G202" s="13" t="str">
        <f>ConvertOsiris!M196</f>
        <v>BackboneElement</v>
      </c>
      <c r="H202" s="31"/>
      <c r="I202" s="30" t="str">
        <f t="shared" si="3"/>
        <v>* MRImage.MagneticFieldStrength 0..* BackboneElement ##34#Magnetic field strength [I30]##34# ##334#Magnetic field strength
_x000D_ConceptualDomain: DICOM
_x000D_##334#</v>
      </c>
    </row>
    <row r="203" spans="1:9" ht="59" x14ac:dyDescent="0.75">
      <c r="A203" s="13">
        <v>196</v>
      </c>
      <c r="B203" s="13" t="str">
        <f>ConvertOsiris!I197</f>
        <v>MRImage.MRAcquisitionType</v>
      </c>
      <c r="C203" s="14" t="str">
        <f>ConvertOsiris!J197</f>
        <v>MR acquisition type [I31]</v>
      </c>
      <c r="D203" s="14" t="str">
        <f>ConvertOsiris!K197</f>
        <v>MR acquisition type
_x000D_ConceptualDomain: DICOM
_x000D_</v>
      </c>
      <c r="E203" s="14" t="str">
        <f>ConvertOsiris!L197</f>
        <v>0</v>
      </c>
      <c r="F203" s="13" t="s">
        <v>9</v>
      </c>
      <c r="G203" s="13" t="str">
        <f>ConvertOsiris!M197</f>
        <v>BackboneElement</v>
      </c>
      <c r="H203" s="31"/>
      <c r="I203" s="30" t="str">
        <f t="shared" si="3"/>
        <v>* MRImage.MRAcquisitionType 0..* BackboneElement ##34#MR acquisition type [I31]##34# ##334#MR acquisition type
_x000D_ConceptualDomain: DICOM
_x000D_##334#</v>
      </c>
    </row>
    <row r="204" spans="1:9" ht="59" x14ac:dyDescent="0.75">
      <c r="A204" s="13">
        <v>197</v>
      </c>
      <c r="B204" s="13" t="str">
        <f>ConvertOsiris!I198</f>
        <v>MRImage.RepetitionTime</v>
      </c>
      <c r="C204" s="14" t="str">
        <f>ConvertOsiris!J198</f>
        <v>Repetition time [I32]</v>
      </c>
      <c r="D204" s="14" t="str">
        <f>ConvertOsiris!K198</f>
        <v>Repetition time
_x000D_ConceptualDomain: DICOM
_x000D_</v>
      </c>
      <c r="E204" s="14" t="str">
        <f>ConvertOsiris!L198</f>
        <v>0</v>
      </c>
      <c r="F204" s="13" t="s">
        <v>9</v>
      </c>
      <c r="G204" s="13" t="str">
        <f>ConvertOsiris!M198</f>
        <v>BackboneElement</v>
      </c>
      <c r="H204" s="31"/>
      <c r="I204" s="30" t="str">
        <f t="shared" si="3"/>
        <v>* MRImage.RepetitionTime 0..* BackboneElement ##34#Repetition time [I32]##34# ##334#Repetition time
_x000D_ConceptualDomain: DICOM
_x000D_##334#</v>
      </c>
    </row>
    <row r="205" spans="1:9" ht="59" x14ac:dyDescent="0.75">
      <c r="A205" s="13">
        <v>198</v>
      </c>
      <c r="B205" s="13" t="str">
        <f>ConvertOsiris!I199</f>
        <v>MRImage.EchoTime</v>
      </c>
      <c r="C205" s="14" t="str">
        <f>ConvertOsiris!J199</f>
        <v>EchoTime [I33]</v>
      </c>
      <c r="D205" s="14" t="str">
        <f>ConvertOsiris!K199</f>
        <v>EchoTime
_x000D_ConceptualDomain: DICOM
_x000D_</v>
      </c>
      <c r="E205" s="14" t="str">
        <f>ConvertOsiris!L199</f>
        <v>0</v>
      </c>
      <c r="F205" s="13" t="s">
        <v>9</v>
      </c>
      <c r="G205" s="13" t="str">
        <f>ConvertOsiris!M199</f>
        <v>BackboneElement</v>
      </c>
      <c r="H205" s="31"/>
      <c r="I205" s="30" t="str">
        <f t="shared" si="3"/>
        <v>* MRImage.EchoTime 0..* BackboneElement ##34#EchoTime [I33]##34# ##334#EchoTime
_x000D_ConceptualDomain: DICOM
_x000D_##334#</v>
      </c>
    </row>
    <row r="206" spans="1:9" ht="59" x14ac:dyDescent="0.75">
      <c r="A206" s="13">
        <v>199</v>
      </c>
      <c r="B206" s="13" t="str">
        <f>ConvertOsiris!I200</f>
        <v>MRImage.ImagingFrequency</v>
      </c>
      <c r="C206" s="14" t="str">
        <f>ConvertOsiris!J200</f>
        <v>ImagingFrequency [I34]</v>
      </c>
      <c r="D206" s="14" t="str">
        <f>ConvertOsiris!K200</f>
        <v>ImagingFrequency
_x000D_ConceptualDomain: DICOM
_x000D_</v>
      </c>
      <c r="E206" s="14" t="str">
        <f>ConvertOsiris!L200</f>
        <v>0</v>
      </c>
      <c r="F206" s="13" t="s">
        <v>9</v>
      </c>
      <c r="G206" s="13" t="str">
        <f>ConvertOsiris!M200</f>
        <v>BackboneElement</v>
      </c>
      <c r="H206" s="31"/>
      <c r="I206" s="30" t="str">
        <f t="shared" si="3"/>
        <v>* MRImage.ImagingFrequency 0..* BackboneElement ##34#ImagingFrequency [I34]##34# ##334#ImagingFrequency
_x000D_ConceptualDomain: DICOM
_x000D_##334#</v>
      </c>
    </row>
    <row r="207" spans="1:9" ht="59" x14ac:dyDescent="0.75">
      <c r="A207" s="13">
        <v>200</v>
      </c>
      <c r="B207" s="13" t="str">
        <f>ConvertOsiris!I201</f>
        <v>MRImage.FlipAngle</v>
      </c>
      <c r="C207" s="14" t="str">
        <f>ConvertOsiris!J201</f>
        <v>FlipAngle [I35]</v>
      </c>
      <c r="D207" s="14" t="str">
        <f>ConvertOsiris!K201</f>
        <v>FlipAngle
_x000D_ConceptualDomain: DICOM
_x000D_</v>
      </c>
      <c r="E207" s="14" t="str">
        <f>ConvertOsiris!L201</f>
        <v>0</v>
      </c>
      <c r="F207" s="13" t="s">
        <v>9</v>
      </c>
      <c r="G207" s="13" t="str">
        <f>ConvertOsiris!M201</f>
        <v>BackboneElement</v>
      </c>
      <c r="H207" s="31"/>
      <c r="I207" s="30" t="str">
        <f t="shared" si="3"/>
        <v>* MRImage.FlipAngle 0..* BackboneElement ##34#FlipAngle [I35]##34# ##334#FlipAngle
_x000D_ConceptualDomain: DICOM
_x000D_##334#</v>
      </c>
    </row>
    <row r="208" spans="1:9" ht="59" x14ac:dyDescent="0.75">
      <c r="A208" s="13">
        <v>201</v>
      </c>
      <c r="B208" s="13" t="str">
        <f>ConvertOsiris!I202</f>
        <v>MRImage.InversionTime</v>
      </c>
      <c r="C208" s="14" t="str">
        <f>ConvertOsiris!J202</f>
        <v>InversionTime [I36]</v>
      </c>
      <c r="D208" s="14" t="str">
        <f>ConvertOsiris!K202</f>
        <v>InversionTime
_x000D_ConceptualDomain: DICOM
_x000D_</v>
      </c>
      <c r="E208" s="14" t="str">
        <f>ConvertOsiris!L202</f>
        <v>0</v>
      </c>
      <c r="F208" s="13" t="s">
        <v>9</v>
      </c>
      <c r="G208" s="13" t="str">
        <f>ConvertOsiris!M202</f>
        <v>BackboneElement</v>
      </c>
      <c r="H208" s="31"/>
      <c r="I208" s="30" t="str">
        <f t="shared" si="3"/>
        <v>* MRImage.InversionTime 0..* BackboneElement ##34#InversionTime [I36]##34# ##334#InversionTime
_x000D_ConceptualDomain: DICOM
_x000D_##334#</v>
      </c>
    </row>
    <row r="209" spans="1:9" ht="59" x14ac:dyDescent="0.75">
      <c r="A209" s="13">
        <v>202</v>
      </c>
      <c r="B209" s="13" t="str">
        <f>ConvertOsiris!I203</f>
        <v>MRImage.ReceiveCoilName</v>
      </c>
      <c r="C209" s="14" t="str">
        <f>ConvertOsiris!J203</f>
        <v>ReceiveCoilName [I37]</v>
      </c>
      <c r="D209" s="14" t="str">
        <f>ConvertOsiris!K203</f>
        <v>ReceiveCoilName
_x000D_ConceptualDomain: DICOM
_x000D_</v>
      </c>
      <c r="E209" s="14" t="str">
        <f>ConvertOsiris!L203</f>
        <v>0</v>
      </c>
      <c r="F209" s="13" t="s">
        <v>9</v>
      </c>
      <c r="G209" s="13" t="str">
        <f>ConvertOsiris!M203</f>
        <v>BackboneElement</v>
      </c>
      <c r="H209" s="31"/>
      <c r="I209" s="30" t="str">
        <f t="shared" si="3"/>
        <v>* MRImage.ReceiveCoilName 0..* BackboneElement ##34#ReceiveCoilName [I37]##34# ##334#ReceiveCoilName
_x000D_ConceptualDomain: DICOM
_x000D_##334#</v>
      </c>
    </row>
    <row r="210" spans="1:9" x14ac:dyDescent="0.75">
      <c r="A210" s="13">
        <v>203</v>
      </c>
      <c r="B210" s="13" t="str">
        <f>ConvertOsiris!I204</f>
        <v>CTImage</v>
      </c>
      <c r="C210" s="14" t="str">
        <f>ConvertOsiris!J204</f>
        <v>CTImage</v>
      </c>
      <c r="D210" s="14" t="str">
        <f>ConvertOsiris!K204</f>
        <v>CTImage</v>
      </c>
      <c r="E210" s="14">
        <f>ConvertOsiris!L204</f>
        <v>0</v>
      </c>
      <c r="F210" s="13" t="s">
        <v>9</v>
      </c>
      <c r="G210" s="13" t="str">
        <f>ConvertOsiris!M204</f>
        <v>BackboneElement</v>
      </c>
      <c r="H210" s="31"/>
      <c r="I210" s="30" t="str">
        <f t="shared" si="3"/>
        <v>* CTImage 0..* BackboneElement ##34#CTImage##34# ##334#CTImage##334#</v>
      </c>
    </row>
    <row r="211" spans="1:9" ht="44.25" x14ac:dyDescent="0.75">
      <c r="A211" s="13">
        <v>204</v>
      </c>
      <c r="B211" s="13" t="str">
        <f>ConvertOsiris!I205</f>
        <v>CTImage.KVp</v>
      </c>
      <c r="C211" s="14" t="str">
        <f>ConvertOsiris!J205</f>
        <v>KVp [I38]</v>
      </c>
      <c r="D211" s="14" t="str">
        <f>ConvertOsiris!K205</f>
        <v>KVp
_x000D_ConceptualDomain: DICOM
_x000D_</v>
      </c>
      <c r="E211" s="14" t="str">
        <f>ConvertOsiris!L205</f>
        <v>0</v>
      </c>
      <c r="F211" s="13" t="s">
        <v>9</v>
      </c>
      <c r="G211" s="13" t="str">
        <f>ConvertOsiris!M205</f>
        <v>BackboneElement</v>
      </c>
      <c r="H211" s="31"/>
      <c r="I211" s="30" t="str">
        <f t="shared" si="3"/>
        <v>* CTImage.KVp 0..* BackboneElement ##34#KVp [I38]##34# ##334#KVp
_x000D_ConceptualDomain: DICOM
_x000D_##334#</v>
      </c>
    </row>
    <row r="212" spans="1:9" ht="59" x14ac:dyDescent="0.75">
      <c r="A212" s="13">
        <v>205</v>
      </c>
      <c r="B212" s="13" t="str">
        <f>ConvertOsiris!I206</f>
        <v>CTImage.XRayTubeCurrent</v>
      </c>
      <c r="C212" s="14" t="str">
        <f>ConvertOsiris!J206</f>
        <v>XRayTubeCurrent [I39]</v>
      </c>
      <c r="D212" s="14" t="str">
        <f>ConvertOsiris!K206</f>
        <v>XRayTubeCurrent
_x000D_ConceptualDomain: DICOM
_x000D_</v>
      </c>
      <c r="E212" s="14" t="str">
        <f>ConvertOsiris!L206</f>
        <v>0</v>
      </c>
      <c r="F212" s="13" t="s">
        <v>9</v>
      </c>
      <c r="G212" s="13" t="str">
        <f>ConvertOsiris!M206</f>
        <v>BackboneElement</v>
      </c>
      <c r="H212" s="31"/>
      <c r="I212" s="30" t="str">
        <f t="shared" si="3"/>
        <v>* CTImage.XRayTubeCurrent 0..* BackboneElement ##34#XRayTubeCurrent [I39]##34# ##334#XRayTubeCurrent
_x000D_ConceptualDomain: DICOM
_x000D_##334#</v>
      </c>
    </row>
    <row r="213" spans="1:9" ht="59" x14ac:dyDescent="0.75">
      <c r="A213" s="13">
        <v>206</v>
      </c>
      <c r="B213" s="13" t="str">
        <f>ConvertOsiris!I207</f>
        <v>CTImage.ExposureTime</v>
      </c>
      <c r="C213" s="14" t="str">
        <f>ConvertOsiris!J207</f>
        <v>ExposureTime [I40]</v>
      </c>
      <c r="D213" s="14" t="str">
        <f>ConvertOsiris!K207</f>
        <v>ExposureTime
_x000D_ConceptualDomain: DICOM
_x000D_</v>
      </c>
      <c r="E213" s="14" t="str">
        <f>ConvertOsiris!L207</f>
        <v>0</v>
      </c>
      <c r="F213" s="13" t="s">
        <v>9</v>
      </c>
      <c r="G213" s="13" t="str">
        <f>ConvertOsiris!M207</f>
        <v>BackboneElement</v>
      </c>
      <c r="H213" s="31"/>
      <c r="I213" s="30" t="str">
        <f t="shared" si="3"/>
        <v>* CTImage.ExposureTime 0..* BackboneElement ##34#ExposureTime [I40]##34# ##334#ExposureTime
_x000D_ConceptualDomain: DICOM
_x000D_##334#</v>
      </c>
    </row>
    <row r="214" spans="1:9" ht="59" x14ac:dyDescent="0.75">
      <c r="A214" s="13">
        <v>207</v>
      </c>
      <c r="B214" s="13" t="str">
        <f>ConvertOsiris!I208</f>
        <v>CTImage.SpiralPitchFactor</v>
      </c>
      <c r="C214" s="14" t="str">
        <f>ConvertOsiris!J208</f>
        <v>SpiralPitchFactor [I41]</v>
      </c>
      <c r="D214" s="14" t="str">
        <f>ConvertOsiris!K208</f>
        <v>SpiralPitchFactor
_x000D_ConceptualDomain: DICOM
_x000D_</v>
      </c>
      <c r="E214" s="14" t="str">
        <f>ConvertOsiris!L208</f>
        <v>0</v>
      </c>
      <c r="F214" s="13" t="s">
        <v>9</v>
      </c>
      <c r="G214" s="13" t="str">
        <f>ConvertOsiris!M208</f>
        <v>BackboneElement</v>
      </c>
      <c r="H214" s="31"/>
      <c r="I214" s="30" t="str">
        <f t="shared" si="3"/>
        <v>* CTImage.SpiralPitchFactor 0..* BackboneElement ##34#SpiralPitchFactor [I41]##34# ##334#SpiralPitchFactor
_x000D_ConceptualDomain: DICOM
_x000D_##334#</v>
      </c>
    </row>
    <row r="215" spans="1:9" ht="59" x14ac:dyDescent="0.75">
      <c r="A215" s="13">
        <v>208</v>
      </c>
      <c r="B215" s="13" t="str">
        <f>ConvertOsiris!I209</f>
        <v>CTImage.FilterType</v>
      </c>
      <c r="C215" s="14" t="str">
        <f>ConvertOsiris!J209</f>
        <v>FilterType [I42]</v>
      </c>
      <c r="D215" s="14" t="str">
        <f>ConvertOsiris!K209</f>
        <v>FilterType
_x000D_ConceptualDomain: DICOM
_x000D_</v>
      </c>
      <c r="E215" s="14" t="str">
        <f>ConvertOsiris!L209</f>
        <v>0</v>
      </c>
      <c r="F215" s="13" t="s">
        <v>9</v>
      </c>
      <c r="G215" s="13" t="str">
        <f>ConvertOsiris!M209</f>
        <v>BackboneElement</v>
      </c>
      <c r="H215" s="31"/>
      <c r="I215" s="30" t="str">
        <f t="shared" si="3"/>
        <v>* CTImage.FilterType 0..* BackboneElement ##34#FilterType [I42]##34# ##334#FilterType
_x000D_ConceptualDomain: DICOM
_x000D_##334#</v>
      </c>
    </row>
    <row r="216" spans="1:9" ht="59" x14ac:dyDescent="0.75">
      <c r="A216" s="13">
        <v>209</v>
      </c>
      <c r="B216" s="13" t="str">
        <f>ConvertOsiris!I210</f>
        <v>CTImage.ConvolutionKernel</v>
      </c>
      <c r="C216" s="14" t="str">
        <f>ConvertOsiris!J210</f>
        <v>ConvolutionKernel [I43]</v>
      </c>
      <c r="D216" s="14" t="str">
        <f>ConvertOsiris!K210</f>
        <v>ConvolutionKernel
_x000D_ConceptualDomain: DICOM
_x000D_</v>
      </c>
      <c r="E216" s="14" t="str">
        <f>ConvertOsiris!L210</f>
        <v>0</v>
      </c>
      <c r="F216" s="13" t="s">
        <v>9</v>
      </c>
      <c r="G216" s="13" t="str">
        <f>ConvertOsiris!M210</f>
        <v>BackboneElement</v>
      </c>
      <c r="H216" s="31"/>
      <c r="I216" s="30" t="str">
        <f t="shared" si="3"/>
        <v>* CTImage.ConvolutionKernel 0..* BackboneElement ##34#ConvolutionKernel [I43]##34# ##334#ConvolutionKernel
_x000D_ConceptualDomain: DICOM
_x000D_##334#</v>
      </c>
    </row>
    <row r="217" spans="1:9" x14ac:dyDescent="0.75">
      <c r="A217" s="13">
        <v>210</v>
      </c>
      <c r="B217" s="13" t="str">
        <f>ConvertOsiris!I211</f>
        <v>PTImage</v>
      </c>
      <c r="C217" s="14" t="str">
        <f>ConvertOsiris!J211</f>
        <v>PTImage</v>
      </c>
      <c r="D217" s="14" t="str">
        <f>ConvertOsiris!K211</f>
        <v>PTImage</v>
      </c>
      <c r="E217" s="14">
        <f>ConvertOsiris!L211</f>
        <v>0</v>
      </c>
      <c r="F217" s="13" t="s">
        <v>9</v>
      </c>
      <c r="G217" s="13" t="str">
        <f>ConvertOsiris!M211</f>
        <v>BackboneElement</v>
      </c>
      <c r="H217" s="31"/>
      <c r="I217" s="30" t="str">
        <f t="shared" si="3"/>
        <v>* PTImage 0..* BackboneElement ##34#PTImage##34# ##334#PTImage##334#</v>
      </c>
    </row>
    <row r="218" spans="1:9" ht="73.75" x14ac:dyDescent="0.75">
      <c r="A218" s="13">
        <v>211</v>
      </c>
      <c r="B218" s="13" t="str">
        <f>ConvertOsiris!I212</f>
        <v>PTImage.AttenuationCorrectionMethod</v>
      </c>
      <c r="C218" s="14" t="str">
        <f>ConvertOsiris!J212</f>
        <v>AttenuationCorrectionMethod [I44]</v>
      </c>
      <c r="D218" s="14" t="str">
        <f>ConvertOsiris!K212</f>
        <v>AttenuationCorrectionMethod
_x000D_ConceptualDomain: DICOM
_x000D_</v>
      </c>
      <c r="E218" s="14" t="str">
        <f>ConvertOsiris!L212</f>
        <v>0</v>
      </c>
      <c r="F218" s="13" t="s">
        <v>9</v>
      </c>
      <c r="G218" s="13" t="str">
        <f>ConvertOsiris!M212</f>
        <v>BackboneElement</v>
      </c>
      <c r="H218" s="31"/>
      <c r="I218" s="30" t="str">
        <f t="shared" si="3"/>
        <v>* PTImage.AttenuationCorrectionMethod 0..* BackboneElement ##34#AttenuationCorrectionMethod [I44]##34# ##334#AttenuationCorrectionMethod
_x000D_ConceptualDomain: DICOM
_x000D_##334#</v>
      </c>
    </row>
    <row r="219" spans="1:9" ht="59" x14ac:dyDescent="0.75">
      <c r="A219" s="13">
        <v>212</v>
      </c>
      <c r="B219" s="13" t="str">
        <f>ConvertOsiris!I213</f>
        <v>PTImage.ReconstructionMethod</v>
      </c>
      <c r="C219" s="14" t="str">
        <f>ConvertOsiris!J213</f>
        <v>ReconstructionMethod [I45]</v>
      </c>
      <c r="D219" s="14" t="str">
        <f>ConvertOsiris!K213</f>
        <v>ReconstructionMethod
_x000D_ConceptualDomain: DICOM
_x000D_</v>
      </c>
      <c r="E219" s="14" t="str">
        <f>ConvertOsiris!L213</f>
        <v>0</v>
      </c>
      <c r="F219" s="13" t="s">
        <v>9</v>
      </c>
      <c r="G219" s="13" t="str">
        <f>ConvertOsiris!M213</f>
        <v>BackboneElement</v>
      </c>
      <c r="H219" s="31"/>
      <c r="I219" s="30" t="str">
        <f t="shared" si="3"/>
        <v>* PTImage.ReconstructionMethod 0..* BackboneElement ##34#ReconstructionMethod [I45]##34# ##334#ReconstructionMethod
_x000D_ConceptualDomain: DICOM
_x000D_##334#</v>
      </c>
    </row>
    <row r="220" spans="1:9" ht="59" x14ac:dyDescent="0.75">
      <c r="A220" s="13">
        <v>213</v>
      </c>
      <c r="B220" s="13" t="str">
        <f>ConvertOsiris!I214</f>
        <v>PTImage.ScatterCorrectionMethod</v>
      </c>
      <c r="C220" s="14" t="str">
        <f>ConvertOsiris!J214</f>
        <v>ScatterCorrectionMethod [I46]</v>
      </c>
      <c r="D220" s="14" t="str">
        <f>ConvertOsiris!K214</f>
        <v>ScatterCorrectionMethod
_x000D_ConceptualDomain: DICOM
_x000D_</v>
      </c>
      <c r="E220" s="14" t="str">
        <f>ConvertOsiris!L214</f>
        <v>0</v>
      </c>
      <c r="F220" s="13" t="s">
        <v>9</v>
      </c>
      <c r="G220" s="13" t="str">
        <f>ConvertOsiris!M214</f>
        <v>BackboneElement</v>
      </c>
      <c r="H220" s="31"/>
      <c r="I220" s="30" t="str">
        <f t="shared" si="3"/>
        <v>* PTImage.ScatterCorrectionMethod 0..* BackboneElement ##34#ScatterCorrectionMethod [I46]##34# ##334#ScatterCorrectionMethod
_x000D_ConceptualDomain: DICOM
_x000D_##334#</v>
      </c>
    </row>
    <row r="221" spans="1:9" ht="29.5" x14ac:dyDescent="0.75">
      <c r="A221" s="13">
        <v>214</v>
      </c>
      <c r="B221" s="13" t="str">
        <f>ConvertOsiris!I215</f>
        <v>NMImage</v>
      </c>
      <c r="C221" s="14" t="str">
        <f>ConvertOsiris!J215</f>
        <v>NMImage</v>
      </c>
      <c r="D221" s="14" t="str">
        <f>ConvertOsiris!K215</f>
        <v>NMImage</v>
      </c>
      <c r="E221" s="14">
        <f>ConvertOsiris!L215</f>
        <v>0</v>
      </c>
      <c r="F221" s="13" t="s">
        <v>9</v>
      </c>
      <c r="G221" s="13" t="str">
        <f>ConvertOsiris!M215</f>
        <v>BackboneElement</v>
      </c>
      <c r="H221" s="31"/>
      <c r="I221" s="30" t="str">
        <f t="shared" si="3"/>
        <v>* NMImage 0..* BackboneElement ##34#NMImage##34# ##334#NMImage##334#</v>
      </c>
    </row>
    <row r="222" spans="1:9" ht="73.75" x14ac:dyDescent="0.75">
      <c r="A222" s="13">
        <v>215</v>
      </c>
      <c r="B222" s="13" t="str">
        <f>ConvertOsiris!I216</f>
        <v>NMImage.AttenuationCorrectionMethod</v>
      </c>
      <c r="C222" s="14" t="str">
        <f>ConvertOsiris!J216</f>
        <v>AttenuationCorrectionMethod [I47]</v>
      </c>
      <c r="D222" s="14" t="str">
        <f>ConvertOsiris!K216</f>
        <v>AttenuationCorrectionMethod
_x000D_ConceptualDomain: DICOM
_x000D_</v>
      </c>
      <c r="E222" s="14" t="str">
        <f>ConvertOsiris!L216</f>
        <v>0</v>
      </c>
      <c r="F222" s="13" t="s">
        <v>9</v>
      </c>
      <c r="G222" s="13" t="str">
        <f>ConvertOsiris!M216</f>
        <v>BackboneElement</v>
      </c>
      <c r="H222" s="31"/>
      <c r="I222" s="30" t="str">
        <f t="shared" si="3"/>
        <v>* NMImage.AttenuationCorrectionMethod 0..* BackboneElement ##34#AttenuationCorrectionMethod [I47]##34# ##334#AttenuationCorrectionMethod
_x000D_ConceptualDomain: DICOM
_x000D_##334#</v>
      </c>
    </row>
    <row r="223" spans="1:9" ht="59" x14ac:dyDescent="0.75">
      <c r="A223" s="13">
        <v>216</v>
      </c>
      <c r="B223" s="13" t="str">
        <f>ConvertOsiris!I217</f>
        <v>NMImage.ReconstructionMethod</v>
      </c>
      <c r="C223" s="14" t="str">
        <f>ConvertOsiris!J217</f>
        <v>ReconstructionMethod [I48]</v>
      </c>
      <c r="D223" s="14" t="str">
        <f>ConvertOsiris!K217</f>
        <v>ReconstructionMethod
_x000D_ConceptualDomain: DICOM
_x000D_</v>
      </c>
      <c r="E223" s="14" t="str">
        <f>ConvertOsiris!L217</f>
        <v>0</v>
      </c>
      <c r="F223" s="13" t="s">
        <v>9</v>
      </c>
      <c r="G223" s="13" t="str">
        <f>ConvertOsiris!M217</f>
        <v>BackboneElement</v>
      </c>
      <c r="H223" s="31"/>
      <c r="I223" s="30" t="str">
        <f t="shared" si="3"/>
        <v>* NMImage.ReconstructionMethod 0..* BackboneElement ##34#ReconstructionMethod [I48]##34# ##334#ReconstructionMethod
_x000D_ConceptualDomain: DICOM
_x000D_##334#</v>
      </c>
    </row>
    <row r="224" spans="1:9" ht="59" x14ac:dyDescent="0.75">
      <c r="A224" s="13">
        <v>217</v>
      </c>
      <c r="B224" s="13" t="str">
        <f>ConvertOsiris!I218</f>
        <v>NMImage.ScatterCorrectionMethod</v>
      </c>
      <c r="C224" s="14" t="str">
        <f>ConvertOsiris!J218</f>
        <v>ScatterCorrectionMethod [I49]</v>
      </c>
      <c r="D224" s="14" t="str">
        <f>ConvertOsiris!K218</f>
        <v>ScatterCorrectionMethod
_x000D_ConceptualDomain: DICOM
_x000D_</v>
      </c>
      <c r="E224" s="14" t="str">
        <f>ConvertOsiris!L218</f>
        <v>0</v>
      </c>
      <c r="F224" s="13" t="s">
        <v>9</v>
      </c>
      <c r="G224" s="13" t="str">
        <f>ConvertOsiris!M218</f>
        <v>BackboneElement</v>
      </c>
      <c r="H224" s="31"/>
      <c r="I224" s="30" t="str">
        <f t="shared" si="3"/>
        <v>* NMImage.ScatterCorrectionMethod 0..* BackboneElement ##34#ScatterCorrectionMethod [I49]##34# ##334#ScatterCorrectionMethod
_x000D_ConceptualDomain: DICOM
_x000D_##334#</v>
      </c>
    </row>
    <row r="225" spans="1:9" ht="29.5" x14ac:dyDescent="0.75">
      <c r="A225" s="13">
        <v>218</v>
      </c>
      <c r="B225" s="13" t="str">
        <f>ConvertOsiris!I219</f>
        <v>DXImage</v>
      </c>
      <c r="C225" s="14" t="str">
        <f>ConvertOsiris!J219</f>
        <v>DXImage</v>
      </c>
      <c r="D225" s="14" t="str">
        <f>ConvertOsiris!K219</f>
        <v>DXImage</v>
      </c>
      <c r="E225" s="14">
        <f>ConvertOsiris!L219</f>
        <v>0</v>
      </c>
      <c r="F225" s="13" t="s">
        <v>9</v>
      </c>
      <c r="G225" s="13" t="str">
        <f>ConvertOsiris!M219</f>
        <v>BackboneElement</v>
      </c>
      <c r="H225" s="31"/>
      <c r="I225" s="30" t="str">
        <f t="shared" si="3"/>
        <v>* DXImage 0..* BackboneElement ##34#DXImage##34# ##334#DXImage##334#</v>
      </c>
    </row>
    <row r="226" spans="1:9" ht="59" x14ac:dyDescent="0.75">
      <c r="A226" s="13">
        <v>219</v>
      </c>
      <c r="B226" s="13" t="str">
        <f>ConvertOsiris!I220</f>
        <v>DXImage.ImageLaterality</v>
      </c>
      <c r="C226" s="14" t="str">
        <f>ConvertOsiris!J220</f>
        <v>ImageLaterality [I50]</v>
      </c>
      <c r="D226" s="14" t="str">
        <f>ConvertOsiris!K220</f>
        <v>ImageLaterality
_x000D_ConceptualDomain: DICOM
_x000D_</v>
      </c>
      <c r="E226" s="14" t="str">
        <f>ConvertOsiris!L220</f>
        <v>0</v>
      </c>
      <c r="F226" s="13" t="s">
        <v>9</v>
      </c>
      <c r="G226" s="13" t="str">
        <f>ConvertOsiris!M220</f>
        <v>BackboneElement</v>
      </c>
      <c r="H226" s="31"/>
      <c r="I226" s="30" t="str">
        <f t="shared" si="3"/>
        <v>* DXImage.ImageLaterality 0..* BackboneElement ##34#ImageLaterality [I50]##34# ##334#ImageLaterality
_x000D_ConceptualDomain: DICOM
_x000D_##334#</v>
      </c>
    </row>
    <row r="227" spans="1:9" ht="59" x14ac:dyDescent="0.75">
      <c r="A227" s="13">
        <v>220</v>
      </c>
      <c r="B227" s="13" t="str">
        <f>ConvertOsiris!I221</f>
        <v>DXImage.PatientOrientation</v>
      </c>
      <c r="C227" s="14" t="str">
        <f>ConvertOsiris!J221</f>
        <v>PatientOrientation [I51]</v>
      </c>
      <c r="D227" s="14" t="str">
        <f>ConvertOsiris!K221</f>
        <v>PatientOrientation
_x000D_ConceptualDomain: DICOM
_x000D_</v>
      </c>
      <c r="E227" s="14" t="str">
        <f>ConvertOsiris!L221</f>
        <v>0</v>
      </c>
      <c r="F227" s="13" t="s">
        <v>9</v>
      </c>
      <c r="G227" s="13" t="str">
        <f>ConvertOsiris!M221</f>
        <v>BackboneElement</v>
      </c>
      <c r="H227" s="31"/>
      <c r="I227" s="30" t="str">
        <f t="shared" si="3"/>
        <v>* DXImage.PatientOrientation 0..* BackboneElement ##34#PatientOrientation [I51]##34# ##334#PatientOrientation
_x000D_ConceptualDomain: DICOM
_x000D_##334#</v>
      </c>
    </row>
    <row r="228" spans="1:9" ht="73.75" x14ac:dyDescent="0.75">
      <c r="A228" s="13">
        <v>221</v>
      </c>
      <c r="B228" s="13" t="str">
        <f>ConvertOsiris!I222</f>
        <v>DXImage.AnatomicRegionSequenceCodeMeaning</v>
      </c>
      <c r="C228" s="14" t="str">
        <f>ConvertOsiris!J222</f>
        <v>AnatomicRegionSequenceCodeMeaning [I52]</v>
      </c>
      <c r="D228" s="14" t="str">
        <f>ConvertOsiris!K222</f>
        <v>AnatomicRegionSequenceCodeMeaning
_x000D_ConceptualDomain: DICOM
_x000D_</v>
      </c>
      <c r="E228" s="14" t="str">
        <f>ConvertOsiris!L222</f>
        <v>0</v>
      </c>
      <c r="F228" s="13" t="s">
        <v>9</v>
      </c>
      <c r="G228" s="13" t="str">
        <f>ConvertOsiris!M222</f>
        <v>BackboneElement</v>
      </c>
      <c r="H228" s="31"/>
      <c r="I228" s="30" t="str">
        <f t="shared" si="3"/>
        <v>* DXImage.AnatomicRegionSequenceCodeMeaning 0..* BackboneElement ##34#AnatomicRegionSequenceCodeMeaning [I52]##34# ##334#AnatomicRegionSequenceCodeMeaning
_x000D_ConceptualDomain: DICOM
_x000D_##334#</v>
      </c>
    </row>
    <row r="229" spans="1:9" ht="73.75" x14ac:dyDescent="0.75">
      <c r="A229" s="13">
        <v>222</v>
      </c>
      <c r="B229" s="13" t="str">
        <f>ConvertOsiris!I223</f>
        <v>DXImage.AnatomicRegionSequenceCodeValue</v>
      </c>
      <c r="C229" s="14" t="str">
        <f>ConvertOsiris!J223</f>
        <v>Anatomic Region SequenceCodeValue [I53]</v>
      </c>
      <c r="D229" s="14" t="str">
        <f>ConvertOsiris!K223</f>
        <v>Anatomic Region SequenceCodeValue
_x000D_ConceptualDomain: DICOM
_x000D_</v>
      </c>
      <c r="E229" s="14" t="str">
        <f>ConvertOsiris!L223</f>
        <v>0</v>
      </c>
      <c r="F229" s="13" t="s">
        <v>9</v>
      </c>
      <c r="G229" s="13" t="str">
        <f>ConvertOsiris!M223</f>
        <v>BackboneElement</v>
      </c>
      <c r="H229" s="31"/>
      <c r="I229" s="30" t="str">
        <f t="shared" si="3"/>
        <v>* DXImage.AnatomicRegionSequenceCodeValue 0..* BackboneElement ##34#Anatomic Region SequenceCodeValue [I53]##34# ##334#Anatomic Region SequenceCodeValue
_x000D_ConceptualDomain: DICOM
_x000D_##334#</v>
      </c>
    </row>
    <row r="230" spans="1:9" ht="44.25" x14ac:dyDescent="0.75">
      <c r="A230" s="13">
        <v>223</v>
      </c>
      <c r="B230" s="13" t="str">
        <f>ConvertOsiris!I224</f>
        <v>DXImage.KVP</v>
      </c>
      <c r="C230" s="14" t="str">
        <f>ConvertOsiris!J224</f>
        <v>KVP [I54]</v>
      </c>
      <c r="D230" s="14" t="str">
        <f>ConvertOsiris!K224</f>
        <v>KVP
_x000D_ConceptualDomain: DICOM
_x000D_</v>
      </c>
      <c r="E230" s="14" t="str">
        <f>ConvertOsiris!L224</f>
        <v>0</v>
      </c>
      <c r="F230" s="13" t="s">
        <v>9</v>
      </c>
      <c r="G230" s="13" t="str">
        <f>ConvertOsiris!M224</f>
        <v>BackboneElement</v>
      </c>
      <c r="H230" s="31"/>
      <c r="I230" s="30" t="str">
        <f t="shared" si="3"/>
        <v>* DXImage.KVP 0..* BackboneElement ##34#KVP [I54]##34# ##334#KVP
_x000D_ConceptualDomain: DICOM
_x000D_##334#</v>
      </c>
    </row>
    <row r="231" spans="1:9" ht="59" x14ac:dyDescent="0.75">
      <c r="A231" s="13">
        <v>224</v>
      </c>
      <c r="B231" s="13" t="str">
        <f>ConvertOsiris!I225</f>
        <v>DXImage.Exposure</v>
      </c>
      <c r="C231" s="14" t="str">
        <f>ConvertOsiris!J225</f>
        <v>Exposure [I55]</v>
      </c>
      <c r="D231" s="14" t="str">
        <f>ConvertOsiris!K225</f>
        <v>Exposure
_x000D_ConceptualDomain: DICOM
_x000D_</v>
      </c>
      <c r="E231" s="14" t="str">
        <f>ConvertOsiris!L225</f>
        <v>0</v>
      </c>
      <c r="F231" s="13" t="s">
        <v>9</v>
      </c>
      <c r="G231" s="13" t="str">
        <f>ConvertOsiris!M225</f>
        <v>BackboneElement</v>
      </c>
      <c r="H231" s="31"/>
      <c r="I231" s="30" t="str">
        <f t="shared" si="3"/>
        <v>* DXImage.Exposure 0..* BackboneElement ##34#Exposure [I55]##34# ##334#Exposure
_x000D_ConceptualDomain: DICOM
_x000D_##334#</v>
      </c>
    </row>
    <row r="232" spans="1:9" ht="59" x14ac:dyDescent="0.75">
      <c r="A232" s="13">
        <v>225</v>
      </c>
      <c r="B232" s="13" t="str">
        <f>ConvertOsiris!I226</f>
        <v>DXImage.ExposureTime</v>
      </c>
      <c r="C232" s="14" t="str">
        <f>ConvertOsiris!J226</f>
        <v>ExposureTime [I56]</v>
      </c>
      <c r="D232" s="14" t="str">
        <f>ConvertOsiris!K226</f>
        <v>ExposureTime
_x000D_ConceptualDomain: DICOM
_x000D_</v>
      </c>
      <c r="E232" s="14" t="str">
        <f>ConvertOsiris!L226</f>
        <v>0</v>
      </c>
      <c r="F232" s="13" t="s">
        <v>9</v>
      </c>
      <c r="G232" s="13" t="str">
        <f>ConvertOsiris!M226</f>
        <v>BackboneElement</v>
      </c>
      <c r="H232" s="31"/>
      <c r="I232" s="30" t="str">
        <f t="shared" si="3"/>
        <v>* DXImage.ExposureTime 0..* BackboneElement ##34#ExposureTime [I56]##34# ##334#ExposureTime
_x000D_ConceptualDomain: DICOM
_x000D_##334#</v>
      </c>
    </row>
    <row r="233" spans="1:9" ht="59" x14ac:dyDescent="0.75">
      <c r="A233" s="13">
        <v>226</v>
      </c>
      <c r="B233" s="13" t="str">
        <f>ConvertOsiris!I227</f>
        <v>DXImage.ContrastBolusAgent</v>
      </c>
      <c r="C233" s="14" t="str">
        <f>ConvertOsiris!J227</f>
        <v>ContrastBolusAgent [I57]</v>
      </c>
      <c r="D233" s="14" t="str">
        <f>ConvertOsiris!K227</f>
        <v>ContrastBolusAgent
_x000D_ConceptualDomain: DICOM
_x000D_</v>
      </c>
      <c r="E233" s="14" t="str">
        <f>ConvertOsiris!L227</f>
        <v>0</v>
      </c>
      <c r="F233" s="13" t="s">
        <v>9</v>
      </c>
      <c r="G233" s="13" t="str">
        <f>ConvertOsiris!M227</f>
        <v>BackboneElement</v>
      </c>
      <c r="H233" s="31"/>
      <c r="I233" s="30" t="str">
        <f t="shared" si="3"/>
        <v>* DXImage.ContrastBolusAgent 0..* BackboneElement ##34#ContrastBolusAgent [I57]##34# ##334#ContrastBolusAgent
_x000D_ConceptualDomain: DICOM
_x000D_##334#</v>
      </c>
    </row>
    <row r="234" spans="1:9" ht="29.5" x14ac:dyDescent="0.75">
      <c r="A234" s="13">
        <v>227</v>
      </c>
      <c r="B234" s="13" t="str">
        <f>ConvertOsiris!I228</f>
        <v>ROISegmentation</v>
      </c>
      <c r="C234" s="14" t="str">
        <f>ConvertOsiris!J228</f>
        <v>ROISegmentation</v>
      </c>
      <c r="D234" s="14" t="str">
        <f>ConvertOsiris!K228</f>
        <v>ROISegmentation</v>
      </c>
      <c r="E234" s="14">
        <f>ConvertOsiris!L228</f>
        <v>0</v>
      </c>
      <c r="F234" s="13" t="s">
        <v>9</v>
      </c>
      <c r="G234" s="13" t="str">
        <f>ConvertOsiris!M228</f>
        <v>BackboneElement</v>
      </c>
      <c r="H234" s="31"/>
      <c r="I234" s="30" t="str">
        <f t="shared" si="3"/>
        <v>* ROISegmentation 0..* BackboneElement ##34#ROISegmentation##34# ##334#ROISegmentation##334#</v>
      </c>
    </row>
    <row r="235" spans="1:9" ht="73.75" x14ac:dyDescent="0.75">
      <c r="A235" s="13">
        <v>228</v>
      </c>
      <c r="B235" s="13" t="str">
        <f>ConvertOsiris!I229</f>
        <v>ROISegmentation.ReferencedSOPInstanceUID</v>
      </c>
      <c r="C235" s="14" t="str">
        <f>ConvertOsiris!J229</f>
        <v>ReferencedSOPInstanceUID [I58]</v>
      </c>
      <c r="D235" s="14" t="str">
        <f>ConvertOsiris!K229</f>
        <v>ReferencedSOPInstanceUID
_x000D_ConceptualDomain: DICOM
_x000D_</v>
      </c>
      <c r="E235" s="14" t="str">
        <f>ConvertOsiris!L229</f>
        <v>0</v>
      </c>
      <c r="F235" s="13" t="s">
        <v>9</v>
      </c>
      <c r="G235" s="13" t="str">
        <f>ConvertOsiris!M229</f>
        <v>BackboneElement</v>
      </c>
      <c r="H235" s="31"/>
      <c r="I235" s="30" t="str">
        <f t="shared" si="3"/>
        <v>* ROISegmentation.ReferencedSOPInstanceUID 0..* BackboneElement ##34#ReferencedSOPInstanceUID [I58]##34# ##334#ReferencedSOPInstanceUID
_x000D_ConceptualDomain: DICOM
_x000D_##334#</v>
      </c>
    </row>
    <row r="236" spans="1:9" ht="59" x14ac:dyDescent="0.75">
      <c r="A236" s="13">
        <v>229</v>
      </c>
      <c r="B236" s="13" t="str">
        <f>ConvertOsiris!I230</f>
        <v>ROISegmentation.ROINumber</v>
      </c>
      <c r="C236" s="14" t="str">
        <f>ConvertOsiris!J230</f>
        <v>ROINumber [I59]</v>
      </c>
      <c r="D236" s="14" t="str">
        <f>ConvertOsiris!K230</f>
        <v>ROINumber
_x000D_ConceptualDomain: DICOM
_x000D_</v>
      </c>
      <c r="E236" s="14" t="str">
        <f>ConvertOsiris!L230</f>
        <v>0</v>
      </c>
      <c r="F236" s="13" t="s">
        <v>9</v>
      </c>
      <c r="G236" s="13" t="str">
        <f>ConvertOsiris!M230</f>
        <v>BackboneElement</v>
      </c>
      <c r="H236" s="31"/>
      <c r="I236" s="30" t="str">
        <f t="shared" si="3"/>
        <v>* ROISegmentation.ROINumber 0..* BackboneElement ##34#ROINumber [I59]##34# ##334#ROINumber
_x000D_ConceptualDomain: DICOM
_x000D_##334#</v>
      </c>
    </row>
    <row r="237" spans="1:9" ht="59" x14ac:dyDescent="0.75">
      <c r="A237" s="13">
        <v>230</v>
      </c>
      <c r="B237" s="13" t="str">
        <f>ConvertOsiris!I231</f>
        <v>ROISegmentation.ROIName</v>
      </c>
      <c r="C237" s="14" t="str">
        <f>ConvertOsiris!J231</f>
        <v>ROIName [I60]</v>
      </c>
      <c r="D237" s="14" t="str">
        <f>ConvertOsiris!K231</f>
        <v>ROIName
_x000D_ConceptualDomain: DICOM
_x000D_</v>
      </c>
      <c r="E237" s="14" t="str">
        <f>ConvertOsiris!L231</f>
        <v>0</v>
      </c>
      <c r="F237" s="13" t="s">
        <v>9</v>
      </c>
      <c r="G237" s="13" t="str">
        <f>ConvertOsiris!M231</f>
        <v>BackboneElement</v>
      </c>
      <c r="H237" s="31"/>
      <c r="I237" s="30" t="str">
        <f t="shared" si="3"/>
        <v>* ROISegmentation.ROIName 0..* BackboneElement ##34#ROIName [I60]##34# ##334#ROIName
_x000D_ConceptualDomain: DICOM
_x000D_##334#</v>
      </c>
    </row>
    <row r="238" spans="1:9" ht="59" x14ac:dyDescent="0.75">
      <c r="A238" s="13">
        <v>231</v>
      </c>
      <c r="B238" s="13" t="str">
        <f>ConvertOsiris!I232</f>
        <v>ROISegmentation.ROIDescription</v>
      </c>
      <c r="C238" s="14" t="str">
        <f>ConvertOsiris!J232</f>
        <v>ROIDescription [I61]</v>
      </c>
      <c r="D238" s="14" t="str">
        <f>ConvertOsiris!K232</f>
        <v>ROIDescription
_x000D_ConceptualDomain: DICOM
_x000D_</v>
      </c>
      <c r="E238" s="14" t="str">
        <f>ConvertOsiris!L232</f>
        <v>0</v>
      </c>
      <c r="F238" s="13" t="s">
        <v>9</v>
      </c>
      <c r="G238" s="13" t="str">
        <f>ConvertOsiris!M232</f>
        <v>BackboneElement</v>
      </c>
      <c r="H238" s="31"/>
      <c r="I238" s="30" t="str">
        <f t="shared" si="3"/>
        <v>* ROISegmentation.ROIDescription 0..* BackboneElement ##34#ROIDescription [I61]##34# ##334#ROIDescription
_x000D_ConceptualDomain: DICOM
_x000D_##334#</v>
      </c>
    </row>
    <row r="239" spans="1:9" ht="44.25" x14ac:dyDescent="0.75">
      <c r="A239" s="13">
        <v>232</v>
      </c>
      <c r="B239" s="13" t="str">
        <f>ConvertOsiris!I233</f>
        <v>ROISegmentation.ROIType</v>
      </c>
      <c r="C239" s="14" t="str">
        <f>ConvertOsiris!J233</f>
        <v>ROIType [I62]</v>
      </c>
      <c r="D239" s="14" t="str">
        <f>ConvertOsiris!K233</f>
        <v>ROIType
_x000D_</v>
      </c>
      <c r="E239" s="14" t="str">
        <f>ConvertOsiris!L233</f>
        <v>0</v>
      </c>
      <c r="F239" s="13" t="s">
        <v>9</v>
      </c>
      <c r="G239" s="13" t="str">
        <f>ConvertOsiris!M233</f>
        <v>BackboneElement</v>
      </c>
      <c r="H239" s="31"/>
      <c r="I239" s="30" t="str">
        <f t="shared" si="3"/>
        <v>* ROISegmentation.ROIType 0..* BackboneElement ##34#ROIType [I62]##34# ##334#ROIType
_x000D_##334#</v>
      </c>
    </row>
    <row r="240" spans="1:9" ht="44.25" x14ac:dyDescent="0.75">
      <c r="A240" s="13">
        <v>233</v>
      </c>
      <c r="B240" s="13" t="str">
        <f>ConvertOsiris!I234</f>
        <v>ROISegmentation.ROIFilename</v>
      </c>
      <c r="C240" s="14" t="str">
        <f>ConvertOsiris!J234</f>
        <v>ROIFilename [I63]</v>
      </c>
      <c r="D240" s="14" t="str">
        <f>ConvertOsiris!K234</f>
        <v>ROIFilename
_x000D_</v>
      </c>
      <c r="E240" s="14" t="str">
        <f>ConvertOsiris!L234</f>
        <v>0</v>
      </c>
      <c r="F240" s="13" t="s">
        <v>9</v>
      </c>
      <c r="G240" s="13" t="str">
        <f>ConvertOsiris!M234</f>
        <v>BackboneElement</v>
      </c>
      <c r="H240" s="31"/>
      <c r="I240" s="30" t="str">
        <f t="shared" si="3"/>
        <v>* ROISegmentation.ROIFilename 0..* BackboneElement ##34#ROIFilename [I63]##34# ##334#ROIFilename
_x000D_##334#</v>
      </c>
    </row>
    <row r="241" spans="1:9" ht="29.5" x14ac:dyDescent="0.75">
      <c r="A241" s="13">
        <v>234</v>
      </c>
      <c r="B241" s="13" t="str">
        <f>ConvertOsiris!I235</f>
        <v>RadiomicsCriteria</v>
      </c>
      <c r="C241" s="14" t="str">
        <f>ConvertOsiris!J235</f>
        <v>RadiomicsCriteria</v>
      </c>
      <c r="D241" s="14" t="str">
        <f>ConvertOsiris!K235</f>
        <v>RadiomicsCriteria</v>
      </c>
      <c r="E241" s="14">
        <f>ConvertOsiris!L235</f>
        <v>0</v>
      </c>
      <c r="F241" s="13" t="s">
        <v>9</v>
      </c>
      <c r="G241" s="13" t="str">
        <f>ConvertOsiris!M235</f>
        <v>BackboneElement</v>
      </c>
      <c r="H241" s="31"/>
      <c r="I241" s="30" t="str">
        <f t="shared" si="3"/>
        <v>* RadiomicsCriteria 0..* BackboneElement ##34#RadiomicsCriteria##34# ##334#RadiomicsCriteria##334#</v>
      </c>
    </row>
    <row r="242" spans="1:9" ht="59" x14ac:dyDescent="0.75">
      <c r="A242" s="13">
        <v>235</v>
      </c>
      <c r="B242" s="13" t="str">
        <f>ConvertOsiris!I236</f>
        <v>RadiomicsCriteria.SoftwareName</v>
      </c>
      <c r="C242" s="14" t="str">
        <f>ConvertOsiris!J236</f>
        <v>SoftwareName [I64]</v>
      </c>
      <c r="D242" s="14" t="str">
        <f>ConvertOsiris!K236</f>
        <v>SoftwareName
_x000D_ConceptualDomain: IBSI?
_x000D_</v>
      </c>
      <c r="E242" s="14" t="str">
        <f>ConvertOsiris!L236</f>
        <v>0</v>
      </c>
      <c r="F242" s="13" t="s">
        <v>9</v>
      </c>
      <c r="G242" s="13" t="str">
        <f>ConvertOsiris!M236</f>
        <v>BackboneElement</v>
      </c>
      <c r="H242" s="31"/>
      <c r="I242" s="30" t="str">
        <f t="shared" si="3"/>
        <v>* RadiomicsCriteria.SoftwareName 0..* BackboneElement ##34#SoftwareName [I64]##34# ##334#SoftwareName
_x000D_ConceptualDomain: IBSI?
_x000D_##334#</v>
      </c>
    </row>
    <row r="243" spans="1:9" ht="59" x14ac:dyDescent="0.75">
      <c r="A243" s="13">
        <v>236</v>
      </c>
      <c r="B243" s="13" t="str">
        <f>ConvertOsiris!I237</f>
        <v>RadiomicsCriteria.SoftwareVersion</v>
      </c>
      <c r="C243" s="14" t="str">
        <f>ConvertOsiris!J237</f>
        <v>SoftwareVersion [I65]</v>
      </c>
      <c r="D243" s="14" t="str">
        <f>ConvertOsiris!K237</f>
        <v>SoftwareVersion
_x000D_ConceptualDomain: IBSI?
_x000D_</v>
      </c>
      <c r="E243" s="14" t="str">
        <f>ConvertOsiris!L237</f>
        <v>0</v>
      </c>
      <c r="F243" s="13" t="s">
        <v>9</v>
      </c>
      <c r="G243" s="13" t="str">
        <f>ConvertOsiris!M237</f>
        <v>BackboneElement</v>
      </c>
      <c r="H243" s="31"/>
      <c r="I243" s="30" t="str">
        <f t="shared" si="3"/>
        <v>* RadiomicsCriteria.SoftwareVersion 0..* BackboneElement ##34#SoftwareVersion [I65]##34# ##334#SoftwareVersion
_x000D_ConceptualDomain: IBSI?
_x000D_##334#</v>
      </c>
    </row>
    <row r="244" spans="1:9" ht="59" x14ac:dyDescent="0.75">
      <c r="A244" s="13">
        <v>237</v>
      </c>
      <c r="B244" s="13" t="str">
        <f>ConvertOsiris!I238</f>
        <v>RadiomicsCriteria.Method</v>
      </c>
      <c r="C244" s="14" t="str">
        <f>ConvertOsiris!J238</f>
        <v>Method [I66]</v>
      </c>
      <c r="D244" s="14" t="str">
        <f>ConvertOsiris!K238</f>
        <v>Method
_x000D_ConceptualDomain: IBSI?
_x000D_</v>
      </c>
      <c r="E244" s="14" t="str">
        <f>ConvertOsiris!L238</f>
        <v>0</v>
      </c>
      <c r="F244" s="13" t="s">
        <v>9</v>
      </c>
      <c r="G244" s="13" t="str">
        <f>ConvertOsiris!M238</f>
        <v>BackboneElement</v>
      </c>
      <c r="H244" s="31"/>
      <c r="I244" s="30" t="str">
        <f t="shared" si="3"/>
        <v>* RadiomicsCriteria.Method 0..* BackboneElement ##34#Method [I66]##34# ##334#Method
_x000D_ConceptualDomain: IBSI?
_x000D_##334#</v>
      </c>
    </row>
    <row r="245" spans="1:9" ht="59" x14ac:dyDescent="0.75">
      <c r="A245" s="13">
        <v>238</v>
      </c>
      <c r="B245" s="13" t="str">
        <f>ConvertOsiris!I239</f>
        <v>RadiomicsCriteria.UsedImageFilter</v>
      </c>
      <c r="C245" s="14" t="str">
        <f>ConvertOsiris!J239</f>
        <v>UsedImageFilter [I67]</v>
      </c>
      <c r="D245" s="14" t="str">
        <f>ConvertOsiris!K239</f>
        <v>UsedImageFilter
_x000D_ConceptualDomain: IBSI?
_x000D_</v>
      </c>
      <c r="E245" s="14" t="str">
        <f>ConvertOsiris!L239</f>
        <v>0</v>
      </c>
      <c r="F245" s="13" t="s">
        <v>9</v>
      </c>
      <c r="G245" s="13" t="str">
        <f>ConvertOsiris!M239</f>
        <v>BackboneElement</v>
      </c>
      <c r="H245" s="31"/>
      <c r="I245" s="30" t="str">
        <f t="shared" si="3"/>
        <v>* RadiomicsCriteria.UsedImageFilter 0..* BackboneElement ##34#UsedImageFilter [I67]##34# ##334#UsedImageFilter
_x000D_ConceptualDomain: IBSI?
_x000D_##334#</v>
      </c>
    </row>
    <row r="246" spans="1:9" ht="59" x14ac:dyDescent="0.75">
      <c r="A246" s="13">
        <v>239</v>
      </c>
      <c r="B246" s="13" t="str">
        <f>ConvertOsiris!I240</f>
        <v>RadiomicsCriteria.DistanceWeighting</v>
      </c>
      <c r="C246" s="14" t="str">
        <f>ConvertOsiris!J240</f>
        <v>DistanceWeighting [I68]</v>
      </c>
      <c r="D246" s="14" t="str">
        <f>ConvertOsiris!K240</f>
        <v>DistanceWeighting
_x000D_ConceptualDomain: IBSI?
_x000D_</v>
      </c>
      <c r="E246" s="14" t="str">
        <f>ConvertOsiris!L240</f>
        <v>0</v>
      </c>
      <c r="F246" s="13" t="s">
        <v>9</v>
      </c>
      <c r="G246" s="13" t="str">
        <f>ConvertOsiris!M240</f>
        <v>BackboneElement</v>
      </c>
      <c r="H246" s="31"/>
      <c r="I246" s="30" t="str">
        <f t="shared" si="3"/>
        <v>* RadiomicsCriteria.DistanceWeighting 0..* BackboneElement ##34#DistanceWeighting [I68]##34# ##334#DistanceWeighting
_x000D_ConceptualDomain: IBSI?
_x000D_##334#</v>
      </c>
    </row>
    <row r="247" spans="1:9" ht="59" x14ac:dyDescent="0.75">
      <c r="A247" s="13">
        <v>240</v>
      </c>
      <c r="B247" s="13" t="str">
        <f>ConvertOsiris!I241</f>
        <v>RadiomicsCriteria.NumberOfGreyLevels</v>
      </c>
      <c r="C247" s="14" t="str">
        <f>ConvertOsiris!J241</f>
        <v>NumberOfGreyLevels [I69]</v>
      </c>
      <c r="D247" s="14" t="str">
        <f>ConvertOsiris!K241</f>
        <v>NumberOfGreyLevels
_x000D_ConceptualDomain: IBSI?
_x000D_</v>
      </c>
      <c r="E247" s="14" t="str">
        <f>ConvertOsiris!L241</f>
        <v>0</v>
      </c>
      <c r="F247" s="13" t="s">
        <v>9</v>
      </c>
      <c r="G247" s="13" t="str">
        <f>ConvertOsiris!M241</f>
        <v>BackboneElement</v>
      </c>
      <c r="H247" s="31"/>
      <c r="I247" s="30" t="str">
        <f t="shared" si="3"/>
        <v>* RadiomicsCriteria.NumberOfGreyLevels 0..* BackboneElement ##34#NumberOfGreyLevels [I69]##34# ##334#NumberOfGreyLevels
_x000D_ConceptualDomain: IBSI?
_x000D_##334#</v>
      </c>
    </row>
    <row r="248" spans="1:9" ht="59" x14ac:dyDescent="0.75">
      <c r="A248" s="13">
        <v>241</v>
      </c>
      <c r="B248" s="13" t="str">
        <f>ConvertOsiris!I242</f>
        <v>RadiomicsCriteria.BinSize</v>
      </c>
      <c r="C248" s="14" t="str">
        <f>ConvertOsiris!J242</f>
        <v>BinSize [I70]</v>
      </c>
      <c r="D248" s="14" t="str">
        <f>ConvertOsiris!K242</f>
        <v>BinSize
_x000D_ConceptualDomain: IBSI?
_x000D_</v>
      </c>
      <c r="E248" s="14" t="str">
        <f>ConvertOsiris!L242</f>
        <v>0</v>
      </c>
      <c r="F248" s="13" t="s">
        <v>9</v>
      </c>
      <c r="G248" s="13" t="str">
        <f>ConvertOsiris!M242</f>
        <v>BackboneElement</v>
      </c>
      <c r="H248" s="31"/>
      <c r="I248" s="30" t="str">
        <f t="shared" si="3"/>
        <v>* RadiomicsCriteria.BinSize 0..* BackboneElement ##34#BinSize [I70]##34# ##334#BinSize
_x000D_ConceptualDomain: IBSI?
_x000D_##334#</v>
      </c>
    </row>
    <row r="249" spans="1:9" ht="59" x14ac:dyDescent="0.75">
      <c r="A249" s="13">
        <v>242</v>
      </c>
      <c r="B249" s="13" t="str">
        <f>ConvertOsiris!I243</f>
        <v>RadiomicsCriteria.IntensityResampling</v>
      </c>
      <c r="C249" s="14" t="str">
        <f>ConvertOsiris!J243</f>
        <v>IntensityResampling [I71]</v>
      </c>
      <c r="D249" s="14" t="str">
        <f>ConvertOsiris!K243</f>
        <v>IntensityResampling
_x000D_ConceptualDomain: IBSI?
_x000D_</v>
      </c>
      <c r="E249" s="14" t="str">
        <f>ConvertOsiris!L243</f>
        <v>0</v>
      </c>
      <c r="F249" s="13" t="s">
        <v>9</v>
      </c>
      <c r="G249" s="13" t="str">
        <f>ConvertOsiris!M243</f>
        <v>BackboneElement</v>
      </c>
      <c r="H249" s="31"/>
      <c r="I249" s="30" t="str">
        <f t="shared" si="3"/>
        <v>* RadiomicsCriteria.IntensityResampling 0..* BackboneElement ##34#IntensityResampling [I71]##34# ##334#IntensityResampling
_x000D_ConceptualDomain: IBSI?
_x000D_##334#</v>
      </c>
    </row>
    <row r="250" spans="1:9" ht="59" x14ac:dyDescent="0.75">
      <c r="A250" s="13">
        <v>243</v>
      </c>
      <c r="B250" s="13" t="str">
        <f>ConvertOsiris!I244</f>
        <v>RadiomicsCriteria.LowestIntensity</v>
      </c>
      <c r="C250" s="14" t="str">
        <f>ConvertOsiris!J244</f>
        <v>LowestIntensity [I72]</v>
      </c>
      <c r="D250" s="14" t="str">
        <f>ConvertOsiris!K244</f>
        <v>LowestIntensity
_x000D_ConceptualDomain: IBSI?
_x000D_</v>
      </c>
      <c r="E250" s="14" t="str">
        <f>ConvertOsiris!L244</f>
        <v>0</v>
      </c>
      <c r="F250" s="13" t="s">
        <v>9</v>
      </c>
      <c r="G250" s="13" t="str">
        <f>ConvertOsiris!M244</f>
        <v>BackboneElement</v>
      </c>
      <c r="H250" s="31"/>
      <c r="I250" s="30" t="str">
        <f t="shared" si="3"/>
        <v>* RadiomicsCriteria.LowestIntensity 0..* BackboneElement ##34#LowestIntensity [I72]##34# ##334#LowestIntensity
_x000D_ConceptualDomain: IBSI?
_x000D_##334#</v>
      </c>
    </row>
    <row r="251" spans="1:9" ht="73.75" x14ac:dyDescent="0.75">
      <c r="A251" s="13">
        <v>244</v>
      </c>
      <c r="B251" s="13" t="str">
        <f>ConvertOsiris!I245</f>
        <v>RadiomicsCriteria.BoundsRangeOfValueAfterDiscretisation</v>
      </c>
      <c r="C251" s="14" t="str">
        <f>ConvertOsiris!J245</f>
        <v>BoundsRangeOfValueAfterDiscretisation [I73]</v>
      </c>
      <c r="D251" s="14" t="str">
        <f>ConvertOsiris!K245</f>
        <v>BoundsRangeOfValueAfterDiscretisation
_x000D_ConceptualDomain: IBSI?
_x000D_</v>
      </c>
      <c r="E251" s="14" t="str">
        <f>ConvertOsiris!L245</f>
        <v>0</v>
      </c>
      <c r="F251" s="13" t="s">
        <v>9</v>
      </c>
      <c r="G251" s="13" t="str">
        <f>ConvertOsiris!M245</f>
        <v>BackboneElement</v>
      </c>
      <c r="H251" s="31"/>
      <c r="I251" s="30" t="str">
        <f t="shared" si="3"/>
        <v>* RadiomicsCriteria.BoundsRangeOfValueAfterDiscretisation 0..* BackboneElement ##34#BoundsRangeOfValueAfterDiscretisation [I73]##34# ##334#BoundsRangeOfValueAfterDiscretisation
_x000D_ConceptualDomain: IBSI?
_x000D_##334#</v>
      </c>
    </row>
    <row r="252" spans="1:9" ht="59" x14ac:dyDescent="0.75">
      <c r="A252" s="13">
        <v>245</v>
      </c>
      <c r="B252" s="13" t="str">
        <f>ConvertOsiris!I246</f>
        <v>RadiomicsCriteria.SpatialResamplingMethod</v>
      </c>
      <c r="C252" s="14" t="str">
        <f>ConvertOsiris!J246</f>
        <v>SpatialResamplingMethod [I74]</v>
      </c>
      <c r="D252" s="14" t="str">
        <f>ConvertOsiris!K246</f>
        <v>SpatialResamplingMethod
_x000D_ConceptualDomain: IBSI?
_x000D_</v>
      </c>
      <c r="E252" s="14" t="str">
        <f>ConvertOsiris!L246</f>
        <v>0</v>
      </c>
      <c r="F252" s="13" t="s">
        <v>9</v>
      </c>
      <c r="G252" s="13" t="str">
        <f>ConvertOsiris!M246</f>
        <v>BackboneElement</v>
      </c>
      <c r="H252" s="31"/>
      <c r="I252" s="30" t="str">
        <f t="shared" si="3"/>
        <v>* RadiomicsCriteria.SpatialResamplingMethod 0..* BackboneElement ##34#SpatialResamplingMethod [I74]##34# ##334#SpatialResamplingMethod
_x000D_ConceptualDomain: IBSI?
_x000D_##334#</v>
      </c>
    </row>
    <row r="253" spans="1:9" ht="59" x14ac:dyDescent="0.75">
      <c r="A253" s="13">
        <v>246</v>
      </c>
      <c r="B253" s="13" t="str">
        <f>ConvertOsiris!I247</f>
        <v>RadiomicsCriteria.SpatialResamplingValues</v>
      </c>
      <c r="C253" s="14" t="str">
        <f>ConvertOsiris!J247</f>
        <v>SpatialResamplingValues [I75]</v>
      </c>
      <c r="D253" s="14" t="str">
        <f>ConvertOsiris!K247</f>
        <v>SpatialResamplingValues
_x000D_ConceptualDomain: IBSI?
_x000D_</v>
      </c>
      <c r="E253" s="14" t="str">
        <f>ConvertOsiris!L247</f>
        <v>0</v>
      </c>
      <c r="F253" s="13" t="s">
        <v>9</v>
      </c>
      <c r="G253" s="13" t="str">
        <f>ConvertOsiris!M247</f>
        <v>BackboneElement</v>
      </c>
      <c r="H253" s="31"/>
      <c r="I253" s="30" t="str">
        <f t="shared" si="3"/>
        <v>* RadiomicsCriteria.SpatialResamplingValues 0..* BackboneElement ##34#SpatialResamplingValues [I75]##34# ##334#SpatialResamplingValues
_x000D_ConceptualDomain: IBSI?
_x000D_##334#</v>
      </c>
    </row>
    <row r="254" spans="1:9" ht="59" x14ac:dyDescent="0.75">
      <c r="A254" s="13">
        <v>247</v>
      </c>
      <c r="B254" s="13" t="str">
        <f>ConvertOsiris!I248</f>
        <v>RadiomicsCriteria.TextureMatrixAggregation</v>
      </c>
      <c r="C254" s="14" t="str">
        <f>ConvertOsiris!J248</f>
        <v>TextureMatrixAggregation [I76]</v>
      </c>
      <c r="D254" s="14" t="str">
        <f>ConvertOsiris!K248</f>
        <v>TextureMatrixAggregation
_x000D_ConceptualDomain: IBSI?
_x000D_</v>
      </c>
      <c r="E254" s="14" t="str">
        <f>ConvertOsiris!L248</f>
        <v>0</v>
      </c>
      <c r="F254" s="13" t="s">
        <v>9</v>
      </c>
      <c r="G254" s="13" t="str">
        <f>ConvertOsiris!M248</f>
        <v>BackboneElement</v>
      </c>
      <c r="H254" s="31"/>
      <c r="I254" s="30" t="str">
        <f t="shared" si="3"/>
        <v>* RadiomicsCriteria.TextureMatrixAggregation 0..* BackboneElement ##34#TextureMatrixAggregation [I76]##34# ##334#TextureMatrixAggregation
_x000D_ConceptualDomain: IBSI?
_x000D_##334#</v>
      </c>
    </row>
    <row r="255" spans="1:9" ht="29.5" x14ac:dyDescent="0.75">
      <c r="A255" s="13">
        <v>248</v>
      </c>
      <c r="B255" s="13" t="str">
        <f>ConvertOsiris!I249</f>
        <v>RadiomicsImageFilter</v>
      </c>
      <c r="C255" s="14" t="str">
        <f>ConvertOsiris!J249</f>
        <v>RadiomicsImageFilter</v>
      </c>
      <c r="D255" s="14" t="str">
        <f>ConvertOsiris!K249</f>
        <v>RadiomicsImageFilter</v>
      </c>
      <c r="E255" s="14">
        <f>ConvertOsiris!L249</f>
        <v>0</v>
      </c>
      <c r="F255" s="13" t="s">
        <v>9</v>
      </c>
      <c r="G255" s="13" t="str">
        <f>ConvertOsiris!M249</f>
        <v>BackboneElement</v>
      </c>
      <c r="H255" s="31"/>
      <c r="I255" s="30" t="str">
        <f t="shared" si="3"/>
        <v>* RadiomicsImageFilter 0..* BackboneElement ##34#RadiomicsImageFilter##34# ##334#RadiomicsImageFilter##334#</v>
      </c>
    </row>
    <row r="256" spans="1:9" ht="59" x14ac:dyDescent="0.75">
      <c r="A256" s="13">
        <v>249</v>
      </c>
      <c r="B256" s="13" t="str">
        <f>ConvertOsiris!I250</f>
        <v>RadiomicsImageFilter.SoftwareName</v>
      </c>
      <c r="C256" s="14" t="str">
        <f>ConvertOsiris!J250</f>
        <v>SoftwareName [I77]</v>
      </c>
      <c r="D256" s="14" t="str">
        <f>ConvertOsiris!K250</f>
        <v>SoftwareName
_x000D_ConceptualDomain: IBSI?
_x000D_</v>
      </c>
      <c r="E256" s="14" t="str">
        <f>ConvertOsiris!L250</f>
        <v>0</v>
      </c>
      <c r="F256" s="13" t="s">
        <v>9</v>
      </c>
      <c r="G256" s="13" t="str">
        <f>ConvertOsiris!M250</f>
        <v>BackboneElement</v>
      </c>
      <c r="H256" s="31"/>
      <c r="I256" s="30" t="str">
        <f t="shared" si="3"/>
        <v>* RadiomicsImageFilter.SoftwareName 0..* BackboneElement ##34#SoftwareName [I77]##34# ##334#SoftwareName
_x000D_ConceptualDomain: IBSI?
_x000D_##334#</v>
      </c>
    </row>
    <row r="257" spans="1:9" ht="59" x14ac:dyDescent="0.75">
      <c r="A257" s="13">
        <v>250</v>
      </c>
      <c r="B257" s="13" t="str">
        <f>ConvertOsiris!I251</f>
        <v>RadiomicsImageFilter.SoftwareVersion</v>
      </c>
      <c r="C257" s="14" t="str">
        <f>ConvertOsiris!J251</f>
        <v>SoftwareVersion [I78]</v>
      </c>
      <c r="D257" s="14" t="str">
        <f>ConvertOsiris!K251</f>
        <v>SoftwareVersion
_x000D_ConceptualDomain: IBSI?
_x000D_</v>
      </c>
      <c r="E257" s="14" t="str">
        <f>ConvertOsiris!L251</f>
        <v>0</v>
      </c>
      <c r="F257" s="13" t="s">
        <v>9</v>
      </c>
      <c r="G257" s="13" t="str">
        <f>ConvertOsiris!M251</f>
        <v>BackboneElement</v>
      </c>
      <c r="H257" s="31"/>
      <c r="I257" s="30" t="str">
        <f t="shared" si="3"/>
        <v>* RadiomicsImageFilter.SoftwareVersion 0..* BackboneElement ##34#SoftwareVersion [I78]##34# ##334#SoftwareVersion
_x000D_ConceptualDomain: IBSI?
_x000D_##334#</v>
      </c>
    </row>
    <row r="258" spans="1:9" ht="59" x14ac:dyDescent="0.75">
      <c r="A258" s="13">
        <v>251</v>
      </c>
      <c r="B258" s="13" t="str">
        <f>ConvertOsiris!I252</f>
        <v>RadiomicsImageFilter.FilterName</v>
      </c>
      <c r="C258" s="14" t="str">
        <f>ConvertOsiris!J252</f>
        <v>FilterName [I79]</v>
      </c>
      <c r="D258" s="14" t="str">
        <f>ConvertOsiris!K252</f>
        <v>FilterName
_x000D_ConceptualDomain: IBSI?
_x000D_</v>
      </c>
      <c r="E258" s="14" t="str">
        <f>ConvertOsiris!L252</f>
        <v>0</v>
      </c>
      <c r="F258" s="13" t="s">
        <v>9</v>
      </c>
      <c r="G258" s="13" t="str">
        <f>ConvertOsiris!M252</f>
        <v>BackboneElement</v>
      </c>
      <c r="H258" s="31"/>
      <c r="I258" s="30" t="str">
        <f t="shared" si="3"/>
        <v>* RadiomicsImageFilter.FilterName 0..* BackboneElement ##34#FilterName [I79]##34# ##334#FilterName
_x000D_ConceptualDomain: IBSI?
_x000D_##334#</v>
      </c>
    </row>
    <row r="259" spans="1:9" ht="59" x14ac:dyDescent="0.75">
      <c r="A259" s="13">
        <v>252</v>
      </c>
      <c r="B259" s="13" t="str">
        <f>ConvertOsiris!I253</f>
        <v>RadiomicsImageFilter.FilterType</v>
      </c>
      <c r="C259" s="14" t="str">
        <f>ConvertOsiris!J253</f>
        <v>FilterType [I80]</v>
      </c>
      <c r="D259" s="14" t="str">
        <f>ConvertOsiris!K253</f>
        <v>FilterType
_x000D_ConceptualDomain: IBSI?
_x000D_</v>
      </c>
      <c r="E259" s="14" t="str">
        <f>ConvertOsiris!L253</f>
        <v>0</v>
      </c>
      <c r="F259" s="13" t="s">
        <v>9</v>
      </c>
      <c r="G259" s="13" t="str">
        <f>ConvertOsiris!M253</f>
        <v>BackboneElement</v>
      </c>
      <c r="H259" s="31"/>
      <c r="I259" s="30" t="str">
        <f t="shared" si="3"/>
        <v>* RadiomicsImageFilter.FilterType 0..* BackboneElement ##34#FilterType [I80]##34# ##334#FilterType
_x000D_ConceptualDomain: IBSI?
_x000D_##334#</v>
      </c>
    </row>
    <row r="260" spans="1:9" ht="59" x14ac:dyDescent="0.75">
      <c r="A260" s="13">
        <v>253</v>
      </c>
      <c r="B260" s="13" t="str">
        <f>ConvertOsiris!I254</f>
        <v>RadiomicsImageFilter.FilterInterpolation</v>
      </c>
      <c r="C260" s="14" t="str">
        <f>ConvertOsiris!J254</f>
        <v>FilterInterpolation [I81]</v>
      </c>
      <c r="D260" s="14" t="str">
        <f>ConvertOsiris!K254</f>
        <v>FilterInterpolation
_x000D_ConceptualDomain: IBSI?
_x000D_</v>
      </c>
      <c r="E260" s="14" t="str">
        <f>ConvertOsiris!L254</f>
        <v>0</v>
      </c>
      <c r="F260" s="13" t="s">
        <v>9</v>
      </c>
      <c r="G260" s="13" t="str">
        <f>ConvertOsiris!M254</f>
        <v>BackboneElement</v>
      </c>
      <c r="H260" s="31"/>
      <c r="I260" s="30" t="str">
        <f t="shared" si="3"/>
        <v>* RadiomicsImageFilter.FilterInterpolation 0..* BackboneElement ##34#FilterInterpolation [I81]##34# ##334#FilterInterpolation
_x000D_ConceptualDomain: IBSI?
_x000D_##334#</v>
      </c>
    </row>
    <row r="261" spans="1:9" ht="59" x14ac:dyDescent="0.75">
      <c r="A261" s="13">
        <v>254</v>
      </c>
      <c r="B261" s="13" t="str">
        <f>ConvertOsiris!I255</f>
        <v>RadiomicsImageFilter.IntensityRounding</v>
      </c>
      <c r="C261" s="14" t="str">
        <f>ConvertOsiris!J255</f>
        <v>IntensityRounding [I82]</v>
      </c>
      <c r="D261" s="14" t="str">
        <f>ConvertOsiris!K255</f>
        <v>IntensityRounding
_x000D_ConceptualDomain: IBSI?
_x000D_</v>
      </c>
      <c r="E261" s="14" t="str">
        <f>ConvertOsiris!L255</f>
        <v>0</v>
      </c>
      <c r="F261" s="13" t="s">
        <v>9</v>
      </c>
      <c r="G261" s="13" t="str">
        <f>ConvertOsiris!M255</f>
        <v>BackboneElement</v>
      </c>
      <c r="H261" s="31"/>
      <c r="I261" s="30" t="str">
        <f t="shared" si="3"/>
        <v>* RadiomicsImageFilter.IntensityRounding 0..* BackboneElement ##34#IntensityRounding [I82]##34# ##334#IntensityRounding
_x000D_ConceptualDomain: IBSI?
_x000D_##334#</v>
      </c>
    </row>
    <row r="262" spans="1:9" ht="59" x14ac:dyDescent="0.75">
      <c r="A262" s="13">
        <v>255</v>
      </c>
      <c r="B262" s="13" t="str">
        <f>ConvertOsiris!I256</f>
        <v>RadiomicsImageFilter.BoundaryCondition</v>
      </c>
      <c r="C262" s="14" t="str">
        <f>ConvertOsiris!J256</f>
        <v>BoundaryCondition [I83]</v>
      </c>
      <c r="D262" s="14" t="str">
        <f>ConvertOsiris!K256</f>
        <v>BoundaryCondition
_x000D_ConceptualDomain: IBSI?
_x000D_</v>
      </c>
      <c r="E262" s="14" t="str">
        <f>ConvertOsiris!L256</f>
        <v>0</v>
      </c>
      <c r="F262" s="13" t="s">
        <v>9</v>
      </c>
      <c r="G262" s="13" t="str">
        <f>ConvertOsiris!M256</f>
        <v>BackboneElement</v>
      </c>
      <c r="H262" s="31"/>
      <c r="I262" s="30" t="str">
        <f t="shared" si="3"/>
        <v>* RadiomicsImageFilter.BoundaryCondition 0..* BackboneElement ##34#BoundaryCondition [I83]##34# ##334#BoundaryCondition
_x000D_ConceptualDomain: IBSI?
_x000D_##334#</v>
      </c>
    </row>
    <row r="263" spans="1:9" ht="29.5" x14ac:dyDescent="0.75">
      <c r="A263" s="13">
        <v>256</v>
      </c>
      <c r="B263" s="13" t="str">
        <f>ConvertOsiris!I257</f>
        <v>RadiomicsFeature</v>
      </c>
      <c r="C263" s="14" t="str">
        <f>ConvertOsiris!J257</f>
        <v>RadiomicsFeature</v>
      </c>
      <c r="D263" s="14" t="str">
        <f>ConvertOsiris!K257</f>
        <v>RadiomicsFeature</v>
      </c>
      <c r="E263" s="14">
        <f>ConvertOsiris!L257</f>
        <v>0</v>
      </c>
      <c r="F263" s="13" t="s">
        <v>9</v>
      </c>
      <c r="G263" s="13" t="str">
        <f>ConvertOsiris!M257</f>
        <v>BackboneElement</v>
      </c>
      <c r="H263" s="31"/>
      <c r="I263" s="30" t="str">
        <f>IF(B263=0,"//---- END",CONCATENATE("* ",B263, " ",E263,"..",F263," ",G263," ##34#",C263,"##34# ##334#",D263,"##334#"))</f>
        <v>* RadiomicsFeature 0..* BackboneElement ##34#RadiomicsFeature##34# ##334#RadiomicsFeature##334#</v>
      </c>
    </row>
    <row r="264" spans="1:9" ht="44.25" x14ac:dyDescent="0.75">
      <c r="A264" s="13">
        <v>257</v>
      </c>
      <c r="B264" s="13" t="str">
        <f>ConvertOsiris!I258</f>
        <v>RadiomicsFeature.Id</v>
      </c>
      <c r="C264" s="14" t="str">
        <f>ConvertOsiris!J258</f>
        <v>Id [I84]</v>
      </c>
      <c r="D264" s="14" t="str">
        <f>ConvertOsiris!K258</f>
        <v>Id
_x000D_ConceptualDomain: IBSI?
_x000D_</v>
      </c>
      <c r="E264" s="14" t="str">
        <f>ConvertOsiris!L258</f>
        <v>0</v>
      </c>
      <c r="F264" s="13" t="s">
        <v>9</v>
      </c>
      <c r="G264" s="13" t="str">
        <f>ConvertOsiris!M258</f>
        <v>BackboneElement</v>
      </c>
      <c r="H264" s="31"/>
      <c r="I264" s="30" t="str">
        <f t="shared" ref="I264:I270" si="4">IF(B264=0,"//---- END",CONCATENATE("* ",B264, " ",E264,"..",F264," ",G264," ##34#",C264,"##34# ##334#",D264,"##334#"))</f>
        <v>* RadiomicsFeature.Id 0..* BackboneElement ##34#Id [I84]##34# ##334#Id
_x000D_ConceptualDomain: IBSI?
_x000D_##334#</v>
      </c>
    </row>
    <row r="265" spans="1:9" ht="59" x14ac:dyDescent="0.75">
      <c r="A265" s="13">
        <v>258</v>
      </c>
      <c r="B265" s="13" t="str">
        <f>ConvertOsiris!I259</f>
        <v>RadiomicsFeature.Name</v>
      </c>
      <c r="C265" s="14" t="str">
        <f>ConvertOsiris!J259</f>
        <v>Name [I85]</v>
      </c>
      <c r="D265" s="14" t="str">
        <f>ConvertOsiris!K259</f>
        <v>Name
_x000D_ConceptualDomain: IBSI?
_x000D_</v>
      </c>
      <c r="E265" s="14" t="str">
        <f>ConvertOsiris!L259</f>
        <v>0</v>
      </c>
      <c r="F265" s="13" t="s">
        <v>9</v>
      </c>
      <c r="G265" s="13" t="str">
        <f>ConvertOsiris!M259</f>
        <v>BackboneElement</v>
      </c>
      <c r="H265" s="31"/>
      <c r="I265" s="30" t="str">
        <f t="shared" si="4"/>
        <v>* RadiomicsFeature.Name 0..* BackboneElement ##34#Name [I85]##34# ##334#Name
_x000D_ConceptualDomain: IBSI?
_x000D_##334#</v>
      </c>
    </row>
    <row r="266" spans="1:9" ht="59" x14ac:dyDescent="0.75">
      <c r="A266" s="13">
        <v>259</v>
      </c>
      <c r="B266" s="13" t="str">
        <f>ConvertOsiris!I260</f>
        <v>RadiomicsFeature.Value</v>
      </c>
      <c r="C266" s="14" t="str">
        <f>ConvertOsiris!J260</f>
        <v>Value [I86]</v>
      </c>
      <c r="D266" s="14" t="str">
        <f>ConvertOsiris!K260</f>
        <v>Value
_x000D_ConceptualDomain: IBSI?
_x000D_</v>
      </c>
      <c r="E266" s="14" t="str">
        <f>ConvertOsiris!L260</f>
        <v>0</v>
      </c>
      <c r="F266" s="13" t="s">
        <v>9</v>
      </c>
      <c r="G266" s="13" t="str">
        <f>ConvertOsiris!M260</f>
        <v>BackboneElement</v>
      </c>
      <c r="H266" s="31"/>
      <c r="I266" s="30" t="str">
        <f t="shared" si="4"/>
        <v>* RadiomicsFeature.Value 0..* BackboneElement ##34#Value [I86]##34# ##334#Value
_x000D_ConceptualDomain: IBSI?
_x000D_##334#</v>
      </c>
    </row>
    <row r="267" spans="1:9" x14ac:dyDescent="0.75">
      <c r="A267" s="13">
        <v>260</v>
      </c>
      <c r="B267" s="13">
        <f>ConvertOsiris!I261</f>
        <v>0</v>
      </c>
      <c r="C267" s="14">
        <f>ConvertOsiris!J261</f>
        <v>0</v>
      </c>
      <c r="D267" s="14">
        <f>ConvertOsiris!K261</f>
        <v>0</v>
      </c>
      <c r="E267" s="14">
        <f>ConvertOsiris!L261</f>
        <v>0</v>
      </c>
      <c r="F267" s="13" t="s">
        <v>9</v>
      </c>
      <c r="G267" s="13">
        <f>ConvertOsiris!M261</f>
        <v>0</v>
      </c>
      <c r="H267" s="31"/>
      <c r="I267" s="30" t="str">
        <f t="shared" si="4"/>
        <v>//---- END</v>
      </c>
    </row>
    <row r="268" spans="1:9" x14ac:dyDescent="0.75">
      <c r="A268" s="13">
        <v>261</v>
      </c>
      <c r="B268" s="13">
        <f>ConvertOsiris!I262</f>
        <v>0</v>
      </c>
      <c r="C268" s="14">
        <f>ConvertOsiris!J262</f>
        <v>0</v>
      </c>
      <c r="D268" s="14">
        <f>ConvertOsiris!K262</f>
        <v>0</v>
      </c>
      <c r="E268" s="14">
        <f>ConvertOsiris!L262</f>
        <v>0</v>
      </c>
      <c r="F268" s="13" t="s">
        <v>9</v>
      </c>
      <c r="G268" s="13">
        <f>ConvertOsiris!M262</f>
        <v>0</v>
      </c>
      <c r="H268" s="31"/>
      <c r="I268" s="30" t="str">
        <f t="shared" si="4"/>
        <v>//---- END</v>
      </c>
    </row>
    <row r="269" spans="1:9" x14ac:dyDescent="0.75">
      <c r="A269" s="13">
        <v>262</v>
      </c>
      <c r="B269" s="13">
        <f>ConvertOsiris!I263</f>
        <v>0</v>
      </c>
      <c r="C269" s="14">
        <f>ConvertOsiris!J263</f>
        <v>0</v>
      </c>
      <c r="D269" s="14">
        <f>ConvertOsiris!K263</f>
        <v>0</v>
      </c>
      <c r="E269" s="14">
        <f>ConvertOsiris!L263</f>
        <v>0</v>
      </c>
      <c r="F269" s="13" t="s">
        <v>9</v>
      </c>
      <c r="G269" s="13">
        <f>ConvertOsiris!M263</f>
        <v>0</v>
      </c>
      <c r="H269" s="31"/>
      <c r="I269" s="30" t="str">
        <f t="shared" si="4"/>
        <v>//---- END</v>
      </c>
    </row>
    <row r="270" spans="1:9" x14ac:dyDescent="0.75">
      <c r="A270" s="13">
        <v>263</v>
      </c>
      <c r="B270" s="13">
        <f>ConvertOsiris!I264</f>
        <v>0</v>
      </c>
      <c r="C270" s="14">
        <f>ConvertOsiris!J264</f>
        <v>0</v>
      </c>
      <c r="D270" s="14">
        <f>ConvertOsiris!K264</f>
        <v>0</v>
      </c>
      <c r="E270" s="14">
        <f>ConvertOsiris!L264</f>
        <v>0</v>
      </c>
      <c r="F270" s="13" t="s">
        <v>9</v>
      </c>
      <c r="G270" s="13">
        <f>ConvertOsiris!M264</f>
        <v>0</v>
      </c>
      <c r="H270" s="31"/>
      <c r="I270" s="30" t="str">
        <f t="shared" si="4"/>
        <v>//---- END</v>
      </c>
    </row>
    <row r="271" spans="1:9" x14ac:dyDescent="0.75">
      <c r="B271" s="13"/>
      <c r="C271" s="14"/>
      <c r="D271" s="14"/>
      <c r="E271" s="14"/>
      <c r="F271" s="13"/>
      <c r="G271" s="13"/>
      <c r="H271" s="31"/>
      <c r="I271" s="30"/>
    </row>
    <row r="272" spans="1:9" x14ac:dyDescent="0.75">
      <c r="B272" s="13"/>
      <c r="C272" s="14"/>
      <c r="D272" s="14"/>
      <c r="E272" s="14"/>
      <c r="F272" s="13"/>
      <c r="G272" s="13"/>
      <c r="H272" s="31"/>
      <c r="I272" s="30"/>
    </row>
    <row r="273" spans="9:9" x14ac:dyDescent="0.75">
      <c r="I273" s="30"/>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1" max="1" width="8.7265625" style="11"/>
    <col min="2" max="2" width="31.6796875" style="11" bestFit="1" customWidth="1"/>
    <col min="3" max="3" width="76.40625" style="12" customWidth="1"/>
    <col min="4" max="4" width="8.04296875" style="11" customWidth="1"/>
    <col min="5" max="5" width="101.2265625" style="12" customWidth="1"/>
    <col min="6" max="6" width="10.76953125" style="11" customWidth="1"/>
    <col min="7" max="7" width="45.26953125" style="11" customWidth="1"/>
    <col min="8" max="16384" width="8.7265625" style="11"/>
  </cols>
  <sheetData>
    <row r="1" spans="1:15" x14ac:dyDescent="0.75">
      <c r="B1" s="15"/>
      <c r="C1" s="2"/>
      <c r="E1" s="20" t="s">
        <v>21</v>
      </c>
      <c r="H1" s="7"/>
      <c r="I1" s="7"/>
      <c r="J1" s="7"/>
      <c r="K1" s="7"/>
      <c r="L1" s="7"/>
      <c r="M1" s="7"/>
      <c r="N1" s="7"/>
      <c r="O1" s="7"/>
    </row>
    <row r="2" spans="1:15" x14ac:dyDescent="0.75">
      <c r="B2" s="15"/>
      <c r="C2" s="2"/>
      <c r="E2" s="27" t="s">
        <v>22</v>
      </c>
      <c r="H2" s="7"/>
      <c r="I2" s="7"/>
      <c r="J2" s="7"/>
      <c r="K2" s="7"/>
      <c r="L2" s="7"/>
      <c r="M2" s="7"/>
      <c r="N2" s="7"/>
      <c r="O2" s="7"/>
    </row>
    <row r="3" spans="1:15" ht="15.5" thickBot="1" x14ac:dyDescent="0.9">
      <c r="B3" s="15"/>
      <c r="C3" s="2"/>
      <c r="E3" s="27" t="str">
        <f>E1</f>
        <v>// -------------------------------------------------------------------------------</v>
      </c>
      <c r="H3" s="7"/>
      <c r="I3" s="7"/>
      <c r="J3" s="7"/>
      <c r="K3" s="7"/>
      <c r="L3" s="7"/>
      <c r="M3" s="7"/>
      <c r="N3" s="7"/>
      <c r="O3" s="7"/>
    </row>
    <row r="4" spans="1:15" ht="15.5" thickBot="1" x14ac:dyDescent="0.9">
      <c r="B4" s="10" t="s">
        <v>18</v>
      </c>
      <c r="C4" s="34" t="s">
        <v>1469</v>
      </c>
      <c r="E4" s="24" t="str">
        <f>CONCATENATE("Mapping: ",C4)</f>
        <v>Mapping: xxxxxxxxx</v>
      </c>
      <c r="H4" s="7"/>
      <c r="I4" s="7"/>
      <c r="J4" s="7"/>
      <c r="K4" s="7"/>
      <c r="L4" s="7"/>
      <c r="M4" s="7"/>
      <c r="N4" s="7"/>
      <c r="O4" s="7"/>
    </row>
    <row r="5" spans="1:15" ht="15.5" thickBot="1" x14ac:dyDescent="0.9">
      <c r="B5" s="10" t="s">
        <v>17</v>
      </c>
      <c r="C5" s="16" t="s">
        <v>14</v>
      </c>
      <c r="E5" s="25" t="str">
        <f>CONCATENATE("Id: ",C5)</f>
        <v>Id: fhir</v>
      </c>
      <c r="H5" s="7"/>
      <c r="I5" s="7"/>
      <c r="J5" s="7"/>
      <c r="K5" s="7"/>
      <c r="L5" s="7"/>
      <c r="M5" s="7"/>
      <c r="N5" s="7"/>
      <c r="O5" s="7"/>
    </row>
    <row r="6" spans="1:15" ht="15.5" thickBot="1" x14ac:dyDescent="0.9">
      <c r="B6" s="10" t="s">
        <v>11</v>
      </c>
      <c r="C6" s="7" t="s">
        <v>168</v>
      </c>
      <c r="E6" s="25" t="str">
        <f>CONCATENATE("Title: ##34#",C6,"##34#")</f>
        <v>Title: ##34#Idea4RC Subject model to FHIR R4 Map##34#</v>
      </c>
      <c r="H6" s="7"/>
      <c r="I6" s="7"/>
      <c r="J6" s="7"/>
      <c r="K6" s="7"/>
      <c r="L6" s="7"/>
      <c r="M6" s="7"/>
      <c r="N6" s="7"/>
      <c r="O6" s="7"/>
    </row>
    <row r="7" spans="1:15" ht="15.5" thickBot="1" x14ac:dyDescent="0.9">
      <c r="B7" s="10" t="s">
        <v>19</v>
      </c>
      <c r="C7" s="8" t="str">
        <f>B9</f>
        <v>Osiris</v>
      </c>
      <c r="E7" s="25" t="str">
        <f>CONCATENATE("Source: ",C7)</f>
        <v>Source: Osiris</v>
      </c>
      <c r="H7" s="7"/>
      <c r="I7" s="7"/>
      <c r="J7" s="7"/>
      <c r="K7" s="7"/>
      <c r="L7" s="7"/>
      <c r="M7" s="7"/>
      <c r="N7" s="7"/>
      <c r="O7" s="7"/>
    </row>
    <row r="8" spans="1:15" ht="15.5" thickBot="1" x14ac:dyDescent="0.9">
      <c r="B8" s="23" t="s">
        <v>16</v>
      </c>
      <c r="C8" s="11" t="s">
        <v>13</v>
      </c>
      <c r="E8" s="26" t="str">
        <f>CONCATENATE("Target: ##34#",C8,"##34#")</f>
        <v>Target: ##34#hl7.org/fhir/r4##34#</v>
      </c>
      <c r="H8" s="7"/>
      <c r="I8" s="7"/>
      <c r="J8" s="7"/>
      <c r="K8" s="7"/>
      <c r="L8" s="7"/>
      <c r="M8" s="7"/>
      <c r="N8" s="7"/>
      <c r="O8" s="7"/>
    </row>
    <row r="9" spans="1:15" x14ac:dyDescent="0.75">
      <c r="A9" s="13"/>
      <c r="B9" s="6" t="str">
        <f>Osiris!B5</f>
        <v>Osiris</v>
      </c>
      <c r="C9" s="6"/>
      <c r="E9" s="33" t="str">
        <f>CONCATENATE("* -&gt; ##34#",C9,"##34#")</f>
        <v>* -&gt; ##34###34#</v>
      </c>
      <c r="H9" s="7"/>
      <c r="I9" s="7"/>
      <c r="J9" s="7"/>
      <c r="K9" s="7"/>
      <c r="L9" s="7"/>
      <c r="M9" s="7"/>
      <c r="N9" s="7"/>
      <c r="O9" s="7"/>
    </row>
    <row r="10" spans="1:15" x14ac:dyDescent="0.75">
      <c r="A10" s="13"/>
      <c r="B10" s="13" t="str">
        <f>Osiris!B8</f>
        <v>Patient</v>
      </c>
      <c r="C10" s="13" t="s">
        <v>169</v>
      </c>
      <c r="E10" s="14" t="str">
        <f t="shared" ref="E10:E25" si="0">IF(B10=0,"*  -&gt; ##34###34#",CONCATENATE("* ",B10," -&gt; ##34#",C10,"##34#"))</f>
        <v>* Patient -&gt; ##34#.birthDate##34#</v>
      </c>
      <c r="H10" s="7"/>
      <c r="I10" s="7"/>
      <c r="J10" s="7"/>
      <c r="K10" s="7"/>
      <c r="L10" s="7"/>
      <c r="M10" s="7"/>
      <c r="N10" s="7"/>
      <c r="O10" s="7"/>
    </row>
    <row r="11" spans="1:15" x14ac:dyDescent="0.75">
      <c r="A11" s="13"/>
      <c r="B11" s="13" t="str">
        <f>Osiris!B9</f>
        <v>Patient.Id</v>
      </c>
      <c r="C11" s="13" t="s">
        <v>169</v>
      </c>
      <c r="E11" s="14" t="str">
        <f t="shared" si="0"/>
        <v>* Patient.Id -&gt; ##34#.birthDate##34#</v>
      </c>
      <c r="H11" s="7"/>
      <c r="I11" s="7"/>
      <c r="J11" s="7"/>
      <c r="K11" s="7"/>
      <c r="L11" s="7"/>
      <c r="M11" s="7"/>
      <c r="N11" s="7"/>
      <c r="O11" s="7"/>
    </row>
    <row r="12" spans="1:15" x14ac:dyDescent="0.75">
      <c r="A12" s="13"/>
      <c r="B12" s="13" t="str">
        <f>Osiris!B10</f>
        <v>Patient.Gender</v>
      </c>
      <c r="C12" s="13" t="s">
        <v>170</v>
      </c>
      <c r="E12" s="14" t="str">
        <f t="shared" si="0"/>
        <v>* Patient.Gender -&gt; ##34#.birthDate.extension('data-absent-reason').where(valueCode = 'unknown')##34#</v>
      </c>
      <c r="H12" s="7"/>
      <c r="I12" s="7"/>
      <c r="J12" s="7"/>
      <c r="K12" s="7"/>
      <c r="L12" s="7"/>
      <c r="M12" s="7"/>
      <c r="N12" s="7"/>
      <c r="O12" s="7"/>
    </row>
    <row r="13" spans="1:15" x14ac:dyDescent="0.75">
      <c r="A13" s="13"/>
      <c r="B13" s="13" t="str">
        <f>Osiris!B11</f>
        <v>Patient.Ethnicity</v>
      </c>
      <c r="C13" s="13" t="s">
        <v>171</v>
      </c>
      <c r="E13" s="14" t="str">
        <f t="shared" si="0"/>
        <v>* Patient.Ethnicity -&gt; ##34#.maritalStatus##34#</v>
      </c>
      <c r="H13" s="7"/>
      <c r="I13" s="7"/>
      <c r="J13" s="7"/>
      <c r="K13" s="7"/>
      <c r="L13" s="7"/>
      <c r="M13" s="7"/>
      <c r="N13" s="7"/>
      <c r="O13" s="7"/>
    </row>
    <row r="14" spans="1:15" x14ac:dyDescent="0.75">
      <c r="A14" s="13"/>
      <c r="B14" s="13" t="str">
        <f>Osiris!$B$12</f>
        <v>Patient.BirthDate</v>
      </c>
      <c r="C14" s="13" t="s">
        <v>172</v>
      </c>
      <c r="E14" s="14" t="str">
        <f t="shared" si="0"/>
        <v>* Patient.BirthDate -&gt; ##34#.gender##34#</v>
      </c>
      <c r="H14" s="7"/>
      <c r="I14" s="7"/>
      <c r="J14" s="7"/>
      <c r="K14" s="7"/>
      <c r="L14" s="7"/>
      <c r="M14" s="7"/>
      <c r="N14" s="7"/>
      <c r="O14" s="7"/>
    </row>
    <row r="15" spans="1:15" x14ac:dyDescent="0.75">
      <c r="A15" s="13"/>
      <c r="B15" s="13" t="str">
        <f>Osiris!$B$12</f>
        <v>Patient.BirthDate</v>
      </c>
      <c r="C15" s="13" t="s">
        <v>173</v>
      </c>
      <c r="E15" s="14" t="str">
        <f t="shared" si="0"/>
        <v>* Patient.BirthDate -&gt; ##34#.extension('individual-recordedSexOrGender').value##34#</v>
      </c>
      <c r="H15" s="7"/>
      <c r="I15" s="7"/>
      <c r="J15" s="7"/>
      <c r="K15" s="7"/>
      <c r="L15" s="7"/>
      <c r="M15" s="7"/>
      <c r="N15" s="7"/>
      <c r="O15" s="7"/>
    </row>
    <row r="16" spans="1:15" x14ac:dyDescent="0.75">
      <c r="A16" s="13"/>
      <c r="B16" s="13" t="str">
        <f>Osiris!$B$12</f>
        <v>Patient.BirthDate</v>
      </c>
      <c r="C16" s="13" t="s">
        <v>174</v>
      </c>
      <c r="E16" s="14" t="str">
        <f t="shared" si="0"/>
        <v>* Patient.BirthDate -&gt; ##34#.extension('patient-sexForClinicalUse').value##34#</v>
      </c>
      <c r="H16" s="7"/>
      <c r="I16" s="7"/>
      <c r="J16" s="7"/>
      <c r="K16" s="7"/>
      <c r="L16" s="7"/>
      <c r="M16" s="7"/>
      <c r="N16" s="7"/>
      <c r="O16" s="7"/>
    </row>
    <row r="17" spans="1:5" x14ac:dyDescent="0.75">
      <c r="A17" s="13"/>
      <c r="B17" s="13" t="str">
        <f>Osiris!B13</f>
        <v>Patient.DeathDate</v>
      </c>
      <c r="C17" s="13" t="s">
        <v>23</v>
      </c>
      <c r="E17" s="14" t="str">
        <f t="shared" si="0"/>
        <v>* Patient.DeathDate -&gt; ##34#to be mapped##34#</v>
      </c>
    </row>
    <row r="18" spans="1:5" x14ac:dyDescent="0.75">
      <c r="A18" s="13"/>
      <c r="B18" s="13" t="str">
        <f>Osiris!B14</f>
        <v>Patient.ProviderCenterId</v>
      </c>
      <c r="C18" s="13" t="s">
        <v>175</v>
      </c>
      <c r="E18" s="14" t="str">
        <f t="shared" si="0"/>
        <v>* Patient.ProviderCenterId -&gt; ##34#.address.country##34#</v>
      </c>
    </row>
    <row r="19" spans="1:5" x14ac:dyDescent="0.75">
      <c r="A19" s="13"/>
      <c r="B19" s="13" t="str">
        <f>Osiris!B15</f>
        <v>Patient.OriginCenterId</v>
      </c>
      <c r="C19" s="14"/>
      <c r="E19" s="14" t="str">
        <f t="shared" si="0"/>
        <v>* Patient.OriginCenterId -&gt; ##34###34#</v>
      </c>
    </row>
    <row r="20" spans="1:5" x14ac:dyDescent="0.75">
      <c r="A20" s="13"/>
      <c r="B20" s="13" t="str">
        <f>Osiris!B16</f>
        <v>Patient.CauseOfDeath</v>
      </c>
      <c r="C20" s="14"/>
      <c r="E20" s="14" t="str">
        <f t="shared" si="0"/>
        <v>* Patient.CauseOfDeath -&gt; ##34###34#</v>
      </c>
    </row>
    <row r="21" spans="1:5" x14ac:dyDescent="0.75">
      <c r="B21" s="13" t="str">
        <f>Osiris!B17</f>
        <v>Patient.LastNewsDate</v>
      </c>
      <c r="C21" s="14"/>
      <c r="E21" s="14" t="str">
        <f t="shared" si="0"/>
        <v>* Patient.LastNewsDate -&gt; ##34###34#</v>
      </c>
    </row>
    <row r="22" spans="1:5" x14ac:dyDescent="0.75">
      <c r="B22" s="13" t="str">
        <f>Osiris!B18</f>
        <v>Patient.LastNewsStatus</v>
      </c>
      <c r="C22" s="14"/>
      <c r="E22" s="14" t="str">
        <f t="shared" si="0"/>
        <v>* Patient.LastNewsStatus -&gt; ##34###34#</v>
      </c>
    </row>
    <row r="23" spans="1:5" x14ac:dyDescent="0.75">
      <c r="B23" s="13" t="str">
        <f>Osiris!B19</f>
        <v>Consent</v>
      </c>
      <c r="C23" s="14"/>
      <c r="E23" s="14" t="str">
        <f t="shared" si="0"/>
        <v>* Consent -&gt; ##34###34#</v>
      </c>
    </row>
    <row r="24" spans="1:5" x14ac:dyDescent="0.75">
      <c r="B24" s="13" t="str">
        <f>Osiris!B20</f>
        <v>Consent.Date</v>
      </c>
      <c r="C24" s="14"/>
      <c r="E24" s="14" t="str">
        <f t="shared" si="0"/>
        <v>* Consent.Date -&gt; ##34###34#</v>
      </c>
    </row>
    <row r="25" spans="1:5" x14ac:dyDescent="0.75">
      <c r="B25" s="13" t="str">
        <f>Osiris!B21</f>
        <v>Consent.GeneticAnalysisAuthorization</v>
      </c>
      <c r="C25" s="14"/>
      <c r="E25" s="14" t="str">
        <f t="shared" si="0"/>
        <v>* Consent.GeneticAnalysisAuthorization -&gt; ##34###34#</v>
      </c>
    </row>
    <row r="26" spans="1:5" x14ac:dyDescent="0.75">
      <c r="B26" s="13" t="str">
        <f>Osiris!B22</f>
        <v>RelatedPathology</v>
      </c>
      <c r="C26" s="14"/>
      <c r="E26" s="14"/>
    </row>
    <row r="27" spans="1:5" x14ac:dyDescent="0.75">
      <c r="B27" s="13" t="str">
        <f>Osiris!B23</f>
        <v>RelatedPathology.PathologyCode</v>
      </c>
      <c r="C27" s="14"/>
      <c r="E27" s="14"/>
    </row>
    <row r="28" spans="1:5" x14ac:dyDescent="0.75">
      <c r="B28" s="13" t="str">
        <f>Osiris!B24</f>
        <v>RelatedPathology.DiagnosisDate</v>
      </c>
      <c r="E28" s="14"/>
    </row>
    <row r="29" spans="1:5" x14ac:dyDescent="0.75">
      <c r="B29" s="13" t="str">
        <f>Osiris!B25</f>
        <v>RelatedPathology.PathologyEndDate</v>
      </c>
      <c r="C29" s="14"/>
      <c r="E29" s="14"/>
    </row>
    <row r="30" spans="1:5" x14ac:dyDescent="0.75">
      <c r="B30" s="13" t="str">
        <f>Osiris!B26</f>
        <v>FamilyCancerHistory</v>
      </c>
      <c r="E30" s="14"/>
    </row>
    <row r="31" spans="1:5" x14ac:dyDescent="0.75">
      <c r="B31" s="13" t="str">
        <f>Osiris!B27</f>
        <v>FamilyCancerHistory.TopographyCode</v>
      </c>
      <c r="E31" s="14"/>
    </row>
    <row r="32" spans="1:5" x14ac:dyDescent="0.75">
      <c r="B32" s="13" t="str">
        <f>Osiris!B28</f>
        <v>FamilyCancerHistory.Parentage</v>
      </c>
      <c r="E32" s="14"/>
    </row>
    <row r="33" spans="2:2" x14ac:dyDescent="0.75">
      <c r="B33" s="13" t="str">
        <f>Osiris!B29</f>
        <v>TumorPathologyEvent</v>
      </c>
    </row>
    <row r="34" spans="2:2" x14ac:dyDescent="0.75">
      <c r="B34" s="13"/>
    </row>
    <row r="35" spans="2:2" x14ac:dyDescent="0.75">
      <c r="B35" s="13"/>
    </row>
    <row r="36" spans="2:2" x14ac:dyDescent="0.75">
      <c r="B36" s="13"/>
    </row>
    <row r="37" spans="2:2" x14ac:dyDescent="0.75">
      <c r="B37" s="13"/>
    </row>
    <row r="38" spans="2:2" x14ac:dyDescent="0.75">
      <c r="B38" s="13"/>
    </row>
    <row r="39" spans="2:2" x14ac:dyDescent="0.75">
      <c r="B39" s="13"/>
    </row>
    <row r="40" spans="2:2" x14ac:dyDescent="0.75">
      <c r="B40" s="13"/>
    </row>
    <row r="41" spans="2:2" x14ac:dyDescent="0.75">
      <c r="B41" s="13"/>
    </row>
    <row r="42" spans="2:2" x14ac:dyDescent="0.75">
      <c r="B42" s="13"/>
    </row>
    <row r="43" spans="2:2" x14ac:dyDescent="0.75">
      <c r="B43" s="13"/>
    </row>
    <row r="44" spans="2:2" x14ac:dyDescent="0.75">
      <c r="B44"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1" max="2" width="8.7265625" style="11"/>
    <col min="3" max="3" width="108.2265625" style="14" customWidth="1"/>
    <col min="4" max="6" width="8.7265625" style="11"/>
    <col min="7" max="7" width="29.54296875" style="11" customWidth="1"/>
    <col min="8" max="8" width="54.90625" style="11" customWidth="1"/>
    <col min="9" max="16384" width="8.7265625" style="11"/>
  </cols>
  <sheetData>
    <row r="1" spans="3:7" ht="15.5" thickBot="1" x14ac:dyDescent="0.9">
      <c r="C1" s="28" t="str">
        <f>Osiris!I1</f>
        <v>// -------------------------------------------------------------------------------</v>
      </c>
    </row>
    <row r="2" spans="3:7" ht="16.75" thickBot="1" x14ac:dyDescent="0.9">
      <c r="C2" s="29" t="str">
        <f>Osiris!I2</f>
        <v>//  Logical Model</v>
      </c>
      <c r="G2" s="35" t="s">
        <v>1411</v>
      </c>
    </row>
    <row r="3" spans="3:7" x14ac:dyDescent="0.75">
      <c r="C3" s="29" t="str">
        <f>Osiris!I3</f>
        <v>// -------------------------------------------------------------------------------</v>
      </c>
    </row>
    <row r="4" spans="3:7" x14ac:dyDescent="0.75">
      <c r="C4" s="21" t="str">
        <f>Osiris!I4</f>
        <v>Logical: Osiris</v>
      </c>
    </row>
    <row r="5" spans="3:7" x14ac:dyDescent="0.75">
      <c r="C5" s="21" t="str">
        <f>Osiris!I5</f>
        <v>Id: Osiris</v>
      </c>
    </row>
    <row r="6" spans="3:7" x14ac:dyDescent="0.75">
      <c r="C6" s="21" t="str">
        <f>Osiris!I6</f>
        <v>Title: ##34#Osiris Model##34#</v>
      </c>
    </row>
    <row r="7" spans="3:7" x14ac:dyDescent="0.75">
      <c r="C7" s="21" t="str">
        <f>Osiris!I7</f>
        <v>Description:  ##334#Osiris Data Element Concept##334#</v>
      </c>
    </row>
    <row r="8" spans="3:7" x14ac:dyDescent="0.75">
      <c r="C8" s="14" t="str">
        <f>IF(Osiris!I8="//---- END","//---- END",Osiris!I8)</f>
        <v>* Patient 1..* BackboneElement ##34#Patient##34# ##334#Patient##334#</v>
      </c>
    </row>
    <row r="9" spans="3:7" ht="29.5" x14ac:dyDescent="0.75">
      <c r="C9" s="14" t="str">
        <f>IF(Osiris!I9="//---- END","//---- END",Osiris!I9)</f>
        <v>* Patient.Id 1..* string ##34#Patient Id [C1]##34# ##334#Patient ID in the center providing the information
_x000D_mandatory##334#</v>
      </c>
    </row>
    <row r="10" spans="3:7" ht="44.25" x14ac:dyDescent="0.75">
      <c r="C10" s="14" t="str">
        <f>IF(Osiris!I10="//---- END","//---- END",Osiris!I10)</f>
        <v>* Patient.Gender 1..* string ##34#Gender [C2]##34# ##334#Gender of the patient
_x000D_ConceptualDomain: FHIR:AdministrativeGender
_x000D_mandatory##334#</v>
      </c>
      <c r="G10" s="84"/>
    </row>
    <row r="11" spans="3:7" ht="44.25" x14ac:dyDescent="0.75">
      <c r="C11" s="14" t="str">
        <f>IF(Osiris!I11="//---- END","//---- END",Osiris!I11)</f>
        <v>* Patient.Ethnicity 0..* string ##34#Ethnicity [C3]##34# ##334#Ethnicity of the patient
_x000D_ConceptualDomain: FHIR:Race
_x000D_optional##334#</v>
      </c>
    </row>
    <row r="12" spans="3:7" ht="29.5" x14ac:dyDescent="0.75">
      <c r="C12" s="14" t="str">
        <f>IF(Osiris!I12="//---- END","//---- END",Osiris!I12)</f>
        <v>* Patient.BirthDate 1..* date ##34#Birth Date [C4]##34# ##334#Date of birth of the patient
_x000D_mandatory##334#</v>
      </c>
    </row>
    <row r="13" spans="3:7" ht="29.5" x14ac:dyDescent="0.75">
      <c r="C13" s="14" t="str">
        <f>IF(Osiris!I13="//---- END","//---- END",Osiris!I13)</f>
        <v>* Patient.DeathDate 0..* date ##34#Death Date [C5]##34# ##334#Date of death of the patient
_x000D_optional##334#</v>
      </c>
    </row>
    <row r="14" spans="3:7" ht="44.25" x14ac:dyDescent="0.75">
      <c r="C14" s="14" t="str">
        <f>IF(Osiris!I14="//---- END","//---- END",Osiris!I14)</f>
        <v>* Patient.ProviderCenterId 1..* string ##34#Provider  Center  Id [C6]##34# ##334#Center ID of the center providing the information
_x000D_mandatory##334#</v>
      </c>
    </row>
    <row r="15" spans="3:7" ht="29.5" x14ac:dyDescent="0.75">
      <c r="C15" s="14" t="str">
        <f>IF(Osiris!I15="//---- END","//---- END",Osiris!I15)</f>
        <v>* Patient.OriginCenterId 1..* string ##34#Origin  Center  Id [C71]##34# ##334#Center ID of the center of origin of the patient
_x000D_mandatory##334#</v>
      </c>
    </row>
    <row r="16" spans="3:7" ht="44.25" x14ac:dyDescent="0.75">
      <c r="C16" s="14" t="str">
        <f>IF(Osiris!I16="//---- END","//---- END",Osiris!I16)</f>
        <v>* Patient.CauseOfDeath 0..* string ##34#Cause of death [C7]##34# ##334#Description of the cause of death of the patient 
_x000D_ConceptualDomain: UMLS:C0007465
_x000D_mandatory if DeathDate is set##334#</v>
      </c>
    </row>
    <row r="17" spans="3:3" ht="44.25" x14ac:dyDescent="0.75">
      <c r="C17" s="14" t="str">
        <f>IF(Osiris!I17="//---- END","//---- END",Osiris!I17)</f>
        <v>* Patient.LastNewsDate 1..* date ##34#Last News Date [C8]##34# ##334#Date of last news (= date of last patient visit if there is no other information available) (day is set to the 15th)
_x000D_mandatory##334#</v>
      </c>
    </row>
    <row r="18" spans="3:3" ht="59" x14ac:dyDescent="0.75">
      <c r="C18" s="14"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4" t="str">
        <f>IF(Osiris!I19="//---- END","//---- END",Osiris!I19)</f>
        <v>* Consent 1..* BackboneElement ##34#Consent##34# ##334#Consent##334#</v>
      </c>
    </row>
    <row r="20" spans="3:3" ht="29.5" x14ac:dyDescent="0.75">
      <c r="C20" s="14" t="str">
        <f>IF(Osiris!I20="//---- END","//---- END",Osiris!I20)</f>
        <v>* Consent.Date 1..* date ##34#Date [C72]##34# ##334#Date of consent signature
_x000D_mandatory##334#</v>
      </c>
    </row>
    <row r="21" spans="3:3" ht="59" x14ac:dyDescent="0.75">
      <c r="C21" s="14" t="str">
        <f>IF(Osiris!I21="//---- END","//---- END",Osiris!I21)</f>
        <v>* Consent.GeneticAnalysisAuthorization 1..* string ##34#Genetic Analysis Authorization [C79]##34# ##334#Consent for genetic analysis
_x000D_ConceptualDomain: OSIRIS:Boolean
_x000D_mandatory##334#</v>
      </c>
    </row>
    <row r="22" spans="3:3" x14ac:dyDescent="0.75">
      <c r="C22" s="14" t="str">
        <f>IF(Osiris!I22="//---- END","//---- END",Osiris!I22)</f>
        <v>* RelatedPathology 0..* BackboneElement ##34#RelatedPathology##34# ##334#RelatedPathology##334#</v>
      </c>
    </row>
    <row r="23" spans="3:3" ht="59" x14ac:dyDescent="0.75">
      <c r="C23" s="14"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4" t="str">
        <f>IF(Osiris!I24="//---- END","//---- END",Osiris!I24)</f>
        <v>* RelatedPathology.DiagnosisDate 0..* date ##34#Diagnosis Date [C14]##34# ##334#Date of diagnosis for the related disease.
_x000D_mandatory if ObjectClass is set##334#</v>
      </c>
    </row>
    <row r="25" spans="3:3" ht="44.25" x14ac:dyDescent="0.75">
      <c r="C25" s="14" t="str">
        <f>IF(Osiris!I25="//---- END","//---- END",Osiris!I25)</f>
        <v>* RelatedPathology.PathologyEndDate 0..* date ##34#Pathology End Date [C15]##34# ##334#Date of the end of the related disease (if occuring and known)
_x000D_optional##334#</v>
      </c>
    </row>
    <row r="26" spans="3:3" x14ac:dyDescent="0.75">
      <c r="C26" s="14" t="str">
        <f>IF(Osiris!I26="//---- END","//---- END",Osiris!I26)</f>
        <v>* FamilyCancerHistory 0..* BackboneElement ##34#FamilyCancerHistory##34# ##334#FamilyCancerHistory##334#</v>
      </c>
    </row>
    <row r="27" spans="3:3" ht="59" x14ac:dyDescent="0.75">
      <c r="C27" s="14"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4" t="str">
        <f>IF(Osiris!I28="//---- END","//---- END",Osiris!I28)</f>
        <v>* FamilyCancerHistory.Parentage 0..* string ##34#Parentage [C77]##34# ##334#Family relationship
_x000D_ConceptualDomain: OSIRIS:FamilyCancerHistoryParentage
_x000D_mandatory if ObjectClass is set##334#</v>
      </c>
    </row>
    <row r="29" spans="3:3" x14ac:dyDescent="0.75">
      <c r="C29" s="14" t="str">
        <f>IF(Osiris!I29="//---- END","//---- END",Osiris!I29)</f>
        <v>* TumorPathologyEvent 1..* BackboneElement ##34#TumorPathologyEvent##34# ##334#TumorPathologyEvent##334#</v>
      </c>
    </row>
    <row r="30" spans="3:3" ht="59" x14ac:dyDescent="0.75">
      <c r="C30" s="14"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4" t="str">
        <f>IF(Osiris!I31="//---- END","//---- END",Osiris!I31)</f>
        <v>* TumorPathologyEvent.StartDate 1..* date ##34#Start Date [C21]##34# ##334#Date of start of cancer event or disease
_x000D_mandatory##334#</v>
      </c>
    </row>
    <row r="32" spans="3:3" ht="29.5" x14ac:dyDescent="0.75">
      <c r="C32" s="14" t="str">
        <f>IF(Osiris!I32="//---- END","//---- END",Osiris!I32)</f>
        <v>* TumorPathologyEvent.EndDate 0..* date ##34#End Date [C82]##34# ##334#Date of end of cancer event or disease
_x000D_optional##334#</v>
      </c>
    </row>
    <row r="33" spans="3:3" ht="59" x14ac:dyDescent="0.75">
      <c r="C33" s="14"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4" t="str">
        <f>IF(Osiris!I34="//---- END","//---- END",Osiris!I34)</f>
        <v>* TumorPathologyEvent.G8 0..* integer ##34#G8 score [C23]##34# ##334#Tool for the evaluation of the general condition of the patient
_x000D_optional##334#</v>
      </c>
    </row>
    <row r="35" spans="3:3" ht="59" x14ac:dyDescent="0.75">
      <c r="C35" s="14"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4"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4" t="str">
        <f>IF(Osiris!I37="//---- END","//---- END",Osiris!I37)</f>
        <v>* TumorPathologyEvent.StadeType 0..* string ##34#Stade Type [C31]##34# ##334#List of stage scales
_x000D_ConceptualDomain: OSIRIS:StadeType
_x000D_optional, mandatory if StadeValue is set##334#</v>
      </c>
    </row>
    <row r="38" spans="3:3" ht="44.25" x14ac:dyDescent="0.75">
      <c r="C38" s="14" t="str">
        <f>IF(Osiris!I38="//---- END","//---- END",Osiris!I38)</f>
        <v>* TumorPathologyEvent.StadeValue 0..* string ##34#Stade Value [C32]##34# ##334#Stage value
_x000D_ConceptualDomain: OSIRIS:StadeValue
_x000D_optional, mandatory if StadeType is set##334#</v>
      </c>
    </row>
    <row r="39" spans="3:3" ht="29.5" x14ac:dyDescent="0.75">
      <c r="C39" s="14" t="str">
        <f>IF(Osiris!I39="//---- END","//---- END",Osiris!I39)</f>
        <v>* TumorPathologyEvent.DiagnosisDate 1..* date ##34#Diagnosis Date [C33]##34# ##334#Date of diagnosis of the tumor event
_x000D_mandatory##334#</v>
      </c>
    </row>
    <row r="40" spans="3:3" ht="59" x14ac:dyDescent="0.75">
      <c r="C40" s="14" t="str">
        <f>IF(Osiris!I40="//---- END","//---- END",Osiris!I40)</f>
        <v>* TumorPathologyEvent.TopographyCode 1..* string ##34#Topography Code [C34]##34# ##334#Localisation of the primary tumor
_x000D_ConceptualDomain: ICDO3:Topography
_x000D_mandatory##334#</v>
      </c>
    </row>
    <row r="41" spans="3:3" ht="59" x14ac:dyDescent="0.75">
      <c r="C41" s="14"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4" t="str">
        <f>IF(Osiris!I42="//---- END","//---- END",Osiris!I42)</f>
        <v>* TumorPathologyEvent.Laterality 0..* string ##34#Laterality [C36]##34# ##334#Laterality of location (if it exists)
_x000D_ConceptualDomain: OSIRIS:Laterality
_x000D_optional##334#</v>
      </c>
    </row>
    <row r="43" spans="3:3" x14ac:dyDescent="0.75">
      <c r="C43" s="14" t="str">
        <f>IF(Osiris!I43="//---- END","//---- END",Osiris!I43)</f>
        <v>* TNM 0..* BackboneElement ##34#TNM##34# ##334#TNM##334#</v>
      </c>
    </row>
    <row r="44" spans="3:3" ht="44.25" x14ac:dyDescent="0.75">
      <c r="C44" s="14"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4" t="str">
        <f>IF(Osiris!I45="//---- END","//---- END",Osiris!I45)</f>
        <v>* TNM.N 0..* string ##34#N [C84]##34# ##334#Propagation at the ganglion level
_x000D_ConceptualDomain: OSIRIS:N_TNM
_x000D_optional, mandatory if either T, M or TNMType is set##334#</v>
      </c>
    </row>
    <row r="46" spans="3:3" ht="44.25" x14ac:dyDescent="0.75">
      <c r="C46" s="14" t="str">
        <f>IF(Osiris!I46="//---- END","//---- END",Osiris!I46)</f>
        <v>* TNM.M 0..* string ##34#M [C85]##34# ##334#Remote propagation, presence of metastases
_x000D_ConceptualDomain: OSIRIS:M_TNM
_x000D_optional, mandatory if either T, N or TNMType is set##334#</v>
      </c>
    </row>
    <row r="47" spans="3:3" ht="44.25" x14ac:dyDescent="0.75">
      <c r="C47" s="14" t="str">
        <f>IF(Osiris!I47="//---- END","//---- END",Osiris!I47)</f>
        <v>* TNM.Version 0..* string ##34#TNM Version [C86]##34# ##334#TNM classification version
_x000D_ConceptualDomain: OSIRIS:TNMVersion
_x000D_optional##334#</v>
      </c>
    </row>
    <row r="48" spans="3:3" ht="44.25" x14ac:dyDescent="0.75">
      <c r="C48" s="14" t="str">
        <f>IF(Osiris!I48="//---- END","//---- END",Osiris!I48)</f>
        <v>* TNM.Type 0..* string ##34#TNM Type [C87]##34# ##334#c, p, r,...
_x000D_ConceptualDomain: OSIRIS:TNMType
_x000D_optional, mandatory if either T, N or M is set##334#</v>
      </c>
    </row>
    <row r="49" spans="3:3" x14ac:dyDescent="0.75">
      <c r="C49" s="14" t="str">
        <f>IF(Osiris!I49="//---- END","//---- END",Osiris!I49)</f>
        <v>* Analysis 0..* BackboneElement ##34#Analysis##34# ##334#Analysis##334#</v>
      </c>
    </row>
    <row r="50" spans="3:3" ht="29.5" x14ac:dyDescent="0.75">
      <c r="C50" s="14" t="str">
        <f>IF(Osiris!I50="//---- END","//---- END",Osiris!I50)</f>
        <v>* Analysis.Code 0..* string ##34#Code [C70]##34# ##334#Code of analysis
_x000D_optional##334#</v>
      </c>
    </row>
    <row r="51" spans="3:3" ht="44.25" x14ac:dyDescent="0.75">
      <c r="C51" s="14" t="str">
        <f>IF(Osiris!I51="//---- END","//---- END",Osiris!I51)</f>
        <v>* Analysis.Type 0..* string ##34#Type [C37]##34# ##334#Type of analysis
_x000D_ConceptualDomain: OSIRIS:AnalysisType
_x000D_mandatory if ObjectClass is set##334#</v>
      </c>
    </row>
    <row r="52" spans="3:3" ht="29.5" x14ac:dyDescent="0.75">
      <c r="C52" s="14" t="str">
        <f>IF(Osiris!I52="//---- END","//---- END",Osiris!I52)</f>
        <v>* Analysis.Date 0..* date ##34#Date [C38]##34# ##334#Date of analysis
_x000D_mandatory if ObjectClass is set##334#</v>
      </c>
    </row>
    <row r="53" spans="3:3" x14ac:dyDescent="0.75">
      <c r="C53" s="14" t="str">
        <f>IF(Osiris!I53="//---- END","//---- END",Osiris!I53)</f>
        <v>* ResponseEvaluation 0..* BackboneElement ##34#ResponseEvaluation##34# ##334#ResponseEvaluation##334#</v>
      </c>
    </row>
    <row r="54" spans="3:3" ht="29.5" x14ac:dyDescent="0.75">
      <c r="C54" s="14" t="str">
        <f>IF(Osiris!I54="//---- END","//---- END",Osiris!I54)</f>
        <v>* ResponseEvaluation.Date 0..* date ##34#Date [C78]##34# ##334#Date of assessment of treatment response
_x000D_mandatory if ObjectClass is set##334#</v>
      </c>
    </row>
    <row r="55" spans="3:3" ht="44.25" x14ac:dyDescent="0.75">
      <c r="C55" s="14" t="str">
        <f>IF(Osiris!I55="//---- END","//---- END",Osiris!I55)</f>
        <v>* ResponseEvaluation.Status 0..* string ##34#Status [C73]##34# ##334#Assessment of treatment response
_x000D_ConceptualDomain: OSIRIS:RECIST
_x000D_mandatory if ObjectClass is set##334#</v>
      </c>
    </row>
    <row r="56" spans="3:3" x14ac:dyDescent="0.75">
      <c r="C56" s="14" t="str">
        <f>IF(Osiris!I56="//---- END","//---- END",Osiris!I56)</f>
        <v>* Biomarker 0..* BackboneElement ##34#Biomarker##34# ##334#Biomarker##334#</v>
      </c>
    </row>
    <row r="57" spans="3:3" ht="44.25" x14ac:dyDescent="0.75">
      <c r="C57" s="14" t="str">
        <f>IF(Osiris!I57="//---- END","//---- END",Osiris!I57)</f>
        <v>* Biomarker.Code 0..* string ##34#Code [C39]##34# ##334#Biomarker name
_x000D_ConceptualDomain: OSIRIS:BiomarkerCode
_x000D_mandatory if ObjectClass is set##334#</v>
      </c>
    </row>
    <row r="58" spans="3:3" ht="29.5" x14ac:dyDescent="0.75">
      <c r="C58" s="14" t="str">
        <f>IF(Osiris!I58="//---- END","//---- END",Osiris!I58)</f>
        <v>* Biomarker.Value 0..* string ##34#Value [C40]##34# ##334#Biomarker value
_x000D_mandatory if ObjectClass is set##334#</v>
      </c>
    </row>
    <row r="59" spans="3:3" ht="29.5" x14ac:dyDescent="0.75">
      <c r="C59" s="14" t="str">
        <f>IF(Osiris!I59="//---- END","//---- END",Osiris!I59)</f>
        <v>* Biomarker.Unit 0..* string ##34#Unit [C81]##34# ##334#Biomarker unit
_x000D_optional##334#</v>
      </c>
    </row>
    <row r="60" spans="3:3" x14ac:dyDescent="0.75">
      <c r="C60" s="14" t="str">
        <f>IF(Osiris!I60="//---- END","//---- END",Osiris!I60)</f>
        <v>* Treatment 0..* BackboneElement ##34#Treatment##34# ##334#Treatment##334#</v>
      </c>
    </row>
    <row r="61" spans="3:3" ht="44.25" x14ac:dyDescent="0.75">
      <c r="C61" s="14" t="str">
        <f>IF(Osiris!I61="//---- END","//---- END",Osiris!I61)</f>
        <v>* Treatment.Type 0..* string ##34#Type [C41]##34# ##334#Type of treatment
_x000D_ConceptualDomain: OSIRIS:TreatmentType
_x000D_mandatory if ObjectClass is set##334#</v>
      </c>
    </row>
    <row r="62" spans="3:3" ht="29.5" x14ac:dyDescent="0.75">
      <c r="C62" s="14" t="str">
        <f>IF(Osiris!I62="//---- END","//---- END",Osiris!I62)</f>
        <v>* Treatment.LineNumber 0..* string ##34#Line Number [C74]##34# ##334#Line of treatment
_x000D_optional##334#</v>
      </c>
    </row>
    <row r="63" spans="3:3" ht="44.25" x14ac:dyDescent="0.75">
      <c r="C63" s="14" t="str">
        <f>IF(Osiris!I63="//---- END","//---- END",Osiris!I63)</f>
        <v>* Treatment.ActivityCode 0..* string ##34#Activity Code [C42]##34# ##334#CCAM code of the medical act
_x000D_ConceptualDomain: CCAM
_x000D_optional##334#</v>
      </c>
    </row>
    <row r="64" spans="3:3" ht="29.5" x14ac:dyDescent="0.75">
      <c r="C64" s="14" t="str">
        <f>IF(Osiris!I64="//---- END","//---- END",Osiris!I64)</f>
        <v>* Treatment.StartDate 0..* date ##34#Start Date [C43]##34# ##334#Date of treatment start
_x000D_mandatory if ObjectClass is set##334#</v>
      </c>
    </row>
    <row r="65" spans="3:3" ht="29.5" x14ac:dyDescent="0.75">
      <c r="C65" s="14" t="str">
        <f>IF(Osiris!I65="//---- END","//---- END",Osiris!I65)</f>
        <v>* Treatment.EndDate 0..* date ##34#End Date [C44]##34# ##334#Date of treatment end
_x000D_mandatory if ObjectClass is set##334#</v>
      </c>
    </row>
    <row r="66" spans="3:3" ht="59" x14ac:dyDescent="0.75">
      <c r="C66" s="14" t="str">
        <f>IF(Osiris!I66="//---- END","//---- END",Osiris!I66)</f>
        <v>* Treatment.ClinicalTrialContext 0..* string ##34#Clinical Trial Context [C45]##34# ##334#Treatment performed in a clinical study setting
_x000D_ConceptualDomain: OSIRIS:Boolean
_x000D_optional##334#</v>
      </c>
    </row>
    <row r="67" spans="3:3" ht="29.5" x14ac:dyDescent="0.75">
      <c r="C67" s="14" t="str">
        <f>IF(Osiris!I67="//---- END","//---- END",Osiris!I67)</f>
        <v>* Treatment.ClinicalTrialName 0..* string ##34#Clinical Trial Name [C75]##34# ##334#Name of the clinical study
_x000D_optional, mandatory if ClinicalTrialContext is 'Yes'##334#</v>
      </c>
    </row>
    <row r="68" spans="3:3" ht="29.5" x14ac:dyDescent="0.75">
      <c r="C68" s="14" t="str">
        <f>IF(Osiris!I68="//---- END","//---- END",Osiris!I68)</f>
        <v>* Treatment.ClinicalTrialId 0..* string ##34#Clinical Trial Id [C76]##34# ##334#NCT identifier of the clinical study
_x000D_optional, mandatory if ClinicalTrialContext is 'Yes'##334#</v>
      </c>
    </row>
    <row r="69" spans="3:3" ht="59" x14ac:dyDescent="0.75">
      <c r="C69" s="14" t="str">
        <f>IF(Osiris!I69="//---- END","//---- END",Osiris!I69)</f>
        <v>* Treatment.SurgeryResectionQuality 0..* string ##34#Surgery Resection Quality [C46]##34# ##334#Quality of resection (anapath)
_x000D_ConceptualDomain: OSIRIS:SurgeryResectionQuality
_x000D_optional##334#</v>
      </c>
    </row>
    <row r="70" spans="3:3" ht="29.5" x14ac:dyDescent="0.75">
      <c r="C70" s="14" t="str">
        <f>IF(Osiris!I70="//---- END","//---- END",Osiris!I70)</f>
        <v>* Treatment.SurgeryNature 0..* string ##34#Surgery Nature [C47]##34# ##334#Nature of the surgery
_x000D_optional##334#</v>
      </c>
    </row>
    <row r="71" spans="3:3" x14ac:dyDescent="0.75">
      <c r="C71" s="14" t="str">
        <f>IF(Osiris!I71="//---- END","//---- END",Osiris!I71)</f>
        <v>* AdverseEvent 0..* BackboneElement ##34#AdverseEvent##34# ##334#AdverseEvent##334#</v>
      </c>
    </row>
    <row r="72" spans="3:3" ht="59" x14ac:dyDescent="0.75">
      <c r="C72" s="14"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4" t="str">
        <f>IF(Osiris!I73="//---- END","//---- END",Osiris!I73)</f>
        <v>* AdverseEvent.Date 0..* date ##34#Date [C49]##34# ##334#Date of the diagnosis of the adverse event
_x000D_mandatory if ObjectClass is set##334#</v>
      </c>
    </row>
    <row r="74" spans="3:3" ht="29.5" x14ac:dyDescent="0.75">
      <c r="C74" s="14" t="str">
        <f>IF(Osiris!I74="//---- END","//---- END",Osiris!I74)</f>
        <v>* AdverseEvent.EndDate 0..* date ##34#End Date [C50]##34# ##334#End date of the adverse event (if known)
_x000D_optional##334#</v>
      </c>
    </row>
    <row r="75" spans="3:3" ht="29.5" x14ac:dyDescent="0.75">
      <c r="C75" s="14" t="str">
        <f>IF(Osiris!I75="//---- END","//---- END",Osiris!I75)</f>
        <v>* AdverseEvent.Grade 0..* string ##34#Grade [C80]##34# ##334#Grade of the adverse event
_x000D_mandatory if ObjectClass is set##334#</v>
      </c>
    </row>
    <row r="76" spans="3:3" x14ac:dyDescent="0.75">
      <c r="C76" s="14" t="str">
        <f>IF(Osiris!I76="//---- END","//---- END",Osiris!I76)</f>
        <v>* Drug 0..* BackboneElement ##34#Drug##34# ##334#Drug##334#</v>
      </c>
    </row>
    <row r="77" spans="3:3" ht="44.25" x14ac:dyDescent="0.75">
      <c r="C77" s="14" t="str">
        <f>IF(Osiris!I77="//---- END","//---- END",Osiris!I77)</f>
        <v>* Drug.Code 0..* string ##34#Code [C51]##34# ##334#Therapeutic classification code (5th level if possible)
_x000D_ConceptualDomain: ATC
_x000D_mandatory if ObjectClass is set##334#</v>
      </c>
    </row>
    <row r="78" spans="3:3" ht="29.5" x14ac:dyDescent="0.75">
      <c r="C78" s="14" t="str">
        <f>IF(Osiris!I78="//---- END","//---- END",Osiris!I78)</f>
        <v>* Drug.Name 0..* string ##34#Name [C52]##34# ##334#Name of the molecule
_x000D_mandatory if ObjectClass is set##334#</v>
      </c>
    </row>
    <row r="79" spans="3:3" x14ac:dyDescent="0.75">
      <c r="C79" s="14" t="str">
        <f>IF(Osiris!I79="//---- END","//---- END",Osiris!I79)</f>
        <v>* BiologicalSample 0..* BackboneElement ##34#BiologicalSample##34# ##334#BiologicalSample##334#</v>
      </c>
    </row>
    <row r="80" spans="3:3" ht="44.25" x14ac:dyDescent="0.75">
      <c r="C80" s="14" t="str">
        <f>IF(Osiris!I80="//---- END","//---- END",Osiris!I80)</f>
        <v>* BiologicalSample.ExternalAccession 0..* string ##34#Sample External Accession [C53]##34# ##334#Unique identifier of the sample
_x000D_mandatory if ObjectClass is set##334#</v>
      </c>
    </row>
    <row r="81" spans="3:3" ht="44.25" x14ac:dyDescent="0.75">
      <c r="C81" s="14" t="str">
        <f>IF(Osiris!I81="//---- END","//---- END",Osiris!I81)</f>
        <v>* BiologicalSample.ParentExternalAccession 0..* string ##34#Parent sample External Accession [C54]##34# ##334#Unique identifier of the parent sample (if there is one, example histo#)
_x000D_optional##334#</v>
      </c>
    </row>
    <row r="82" spans="3:3" ht="29.5" x14ac:dyDescent="0.75">
      <c r="C82" s="14" t="str">
        <f>IF(Osiris!I82="//---- END","//---- END",Osiris!I82)</f>
        <v>* BiologicalSample.CollectDate 0..* date ##34#Collect Date [C56]##34# ##334#Date of sampling
_x000D_mandatory if ObjectClass is set##334#</v>
      </c>
    </row>
    <row r="83" spans="3:3" ht="44.25" x14ac:dyDescent="0.75">
      <c r="C83" s="14" t="str">
        <f>IF(Osiris!I83="//---- END","//---- END",Osiris!I83)</f>
        <v>* BiologicalSample.TopographyCode 0..* string ##34#Topography Code [C57]##34# ##334#Code of tumor localization
_x000D_ConceptualDomain: ICDO3:Topography
_x000D_mandatory if ObjectClass is set##334#</v>
      </c>
    </row>
    <row r="84" spans="3:3" ht="44.25" x14ac:dyDescent="0.75">
      <c r="C84" s="14" t="str">
        <f>IF(Osiris!I84="//---- END","//---- END",Osiris!I84)</f>
        <v>* BiologicalSample.Nature 0..* string ##34#Nature [C58]##34# ##334#Nature of the sample
_x000D_ConceptualDomain: OSIRIS:SampleNature
_x000D_mandatory if ObjectClass is set##334#</v>
      </c>
    </row>
    <row r="85" spans="3:3" ht="44.25" x14ac:dyDescent="0.75">
      <c r="C85" s="14"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4" t="str">
        <f>IF(Osiris!I86="//---- END","//---- END",Osiris!I86)</f>
        <v>* BiologicalSample.StorageTemperature 0..* string ##34#Storage Temperature [C60]##34# ##334#Mode of preservation
_x000D_ConceptualDomain: OSIRIS:StorageTemperature
_x000D_optional##334#</v>
      </c>
    </row>
    <row r="87" spans="3:3" ht="44.25" x14ac:dyDescent="0.75">
      <c r="C87" s="14" t="str">
        <f>IF(Osiris!I87="//---- END","//---- END",Osiris!I87)</f>
        <v>* BiologicalSample.TumorCellularity 0..* integer ##34#Tumor Cellularity [C61]##34# ##334#Percentage of tumor cells quantified in the sample
_x000D_optional##334#</v>
      </c>
    </row>
    <row r="88" spans="3:3" x14ac:dyDescent="0.75">
      <c r="C88" s="14" t="str">
        <f>IF(Osiris!I88="//---- END","//---- END",Osiris!I88)</f>
        <v>* Technology 1..* BackboneElement ##34#Technology##34# ##334#Technology##334#</v>
      </c>
    </row>
    <row r="89" spans="3:3" ht="44.25" x14ac:dyDescent="0.75">
      <c r="C89" s="14" t="str">
        <f>IF(Osiris!I89="//---- END","//---- END",Osiris!I89)</f>
        <v>* Technology.TechnicalProtocol 1..* string ##34#Technical Protocol [O6]##34# ##334#Protocol used for the experiment
_x000D_ConceptualDomain: OSIRIS:TechnicalProtocol
_x000D_mandatory##334#</v>
      </c>
    </row>
    <row r="90" spans="3:3" ht="59" x14ac:dyDescent="0.75">
      <c r="C90" s="14"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4" t="str">
        <f>IF(Osiris!I91="//---- END","//---- END",Osiris!I91)</f>
        <v>* Technology.PlatformAccession 0..* string ##34#Platform Accession [O8]##34# ##334#GEO Identifier of the platform
_x000D_optional##334#</v>
      </c>
    </row>
    <row r="92" spans="3:3" ht="44.25" x14ac:dyDescent="0.75">
      <c r="C92" s="14" t="str">
        <f>IF(Osiris!I92="//---- END","//---- END",Osiris!I92)</f>
        <v>* Technology.DateOfExperiment 0..* date ##34#Date Of Experiment [O9]##34# ##334#Date when the experiment was performed
_x000D_optional##334#</v>
      </c>
    </row>
    <row r="93" spans="3:3" x14ac:dyDescent="0.75">
      <c r="C93" s="14" t="str">
        <f>IF(Osiris!I93="//---- END","//---- END",Osiris!I93)</f>
        <v>* Panel 0..* BackboneElement ##34#Panel##34# ##334#Panel##334#</v>
      </c>
    </row>
    <row r="94" spans="3:3" ht="59" x14ac:dyDescent="0.75">
      <c r="C94" s="14" t="str">
        <f>IF(Osiris!I94="//---- END","//---- END",Osiris!I94)</f>
        <v>* Panel.Name 0..* string ##34#Name [O10]##34# ##334#Name of the panel targeted by the experimental analysis (provider followed by the panel name)
_x000D_ConceptualDomain: OSIRIS:PanelName
_x000D_optional##334#</v>
      </c>
    </row>
    <row r="95" spans="3:3" x14ac:dyDescent="0.75">
      <c r="C95" s="14" t="str">
        <f>IF(Osiris!I95="//---- END","//---- END",Osiris!I95)</f>
        <v>* AnalysisProcess 1..* BackboneElement ##34#AnalysisProcess##34# ##334#AnalysisProcess##334#</v>
      </c>
    </row>
    <row r="96" spans="3:3" ht="44.25" x14ac:dyDescent="0.75">
      <c r="C96" s="14" t="str">
        <f>IF(Osiris!I96="//---- END","//---- END",Osiris!I96)</f>
        <v>* AnalysisProcess.AnalyticPipelineCode 1..* string ##34#Analytic Pipeline Code [O11]##34# ##334#Identifier of the pipeline used into the analysis (unique in the center)
_x000D_mandatory##334#</v>
      </c>
    </row>
    <row r="97" spans="3:3" x14ac:dyDescent="0.75">
      <c r="C97" s="14" t="str">
        <f>IF(Osiris!I97="//---- END","//---- END",Osiris!I97)</f>
        <v>* OmicAnalysis 0..* BackboneElement ##34#OmicAnalysis##34# ##334#OmicAnalysis##334#</v>
      </c>
    </row>
    <row r="98" spans="3:3" ht="44.25" x14ac:dyDescent="0.75">
      <c r="C98" s="14" t="str">
        <f>IF(Osiris!I98="//---- END","//---- END",Osiris!I98)</f>
        <v>* OmicAnalysis.AlgorithmicCellularity 0..* integer ##34#Algorithmic Cellularity [O12]##34# ##334#Calculated percentage of tumor cells in sample
_x000D_optional##334#</v>
      </c>
    </row>
    <row r="99" spans="3:3" ht="59" x14ac:dyDescent="0.75">
      <c r="C99" s="14"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4" t="str">
        <f>IF(Osiris!I100="//---- END","//---- END",Osiris!I100)</f>
        <v>* OmicAnalysis.NumberOfBreakPoints 0..* integer ##34#Number Of Break Points [O14]##34# ##334#Calculated number of break points in genomic profile
_x000D_optional##334#</v>
      </c>
    </row>
    <row r="101" spans="3:3" x14ac:dyDescent="0.75">
      <c r="C101" s="14" t="str">
        <f>IF(Osiris!I101="//---- END","//---- END",Osiris!I101)</f>
        <v>* AlterationOnSample 1..* BackboneElement ##34#AlterationOnSample##34# ##334#AlterationOnSample##334#</v>
      </c>
    </row>
    <row r="102" spans="3:3" ht="59" x14ac:dyDescent="0.75">
      <c r="C102" s="14"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4"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4"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4"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4" t="str">
        <f>IF(Osiris!I106="//---- END","//---- END",Osiris!I106)</f>
        <v>* Validation 0..* BackboneElement ##34#Validation##34# ##334#Validation##334#</v>
      </c>
    </row>
    <row r="107" spans="3:3" ht="44.25" x14ac:dyDescent="0.75">
      <c r="C107" s="14" t="str">
        <f>IF(Osiris!I107="//---- END","//---- END",Osiris!I107)</f>
        <v>* Validation.Type 0..* string ##34#Type [O16]##34# ##334#Type of validation of the detected alteration
_x000D_ConceptualDomain: OSIRIS:ValidationType
_x000D_mandatory if ObjectClass is set##334#</v>
      </c>
    </row>
    <row r="108" spans="3:3" ht="29.5" x14ac:dyDescent="0.75">
      <c r="C108" s="14" t="str">
        <f>IF(Osiris!I108="//---- END","//---- END",Osiris!I108)</f>
        <v>* Validation.Method 0..* string ##34#Method [O17]##34# ##334#Validation method depending on the type of validation
_x000D_mandatory if ObjectClass is set##334#</v>
      </c>
    </row>
    <row r="109" spans="3:3" ht="44.25" x14ac:dyDescent="0.75">
      <c r="C109" s="14" t="str">
        <f>IF(Osiris!I109="//---- END","//---- END",Osiris!I109)</f>
        <v>* Validation.Status 0..* string ##34#Status [O18]##34# ##334#Validation status of the detected alteration
_x000D_ConceptualDomain: OSIRIS:ValidationStatus
_x000D_mandatory if ObjectClass is set##334#</v>
      </c>
    </row>
    <row r="110" spans="3:3" x14ac:dyDescent="0.75">
      <c r="C110" s="14" t="str">
        <f>IF(Osiris!I110="//---- END","//---- END",Osiris!I110)</f>
        <v>* Alteration 1..* BackboneElement ##34#Alteration##34# ##334#Alteration##334#</v>
      </c>
    </row>
    <row r="111" spans="3:3" ht="44.25" x14ac:dyDescent="0.75">
      <c r="C111" s="14" t="str">
        <f>IF(Osiris!I111="//---- END","//---- END",Osiris!I111)</f>
        <v>* Alteration.Chromosome 1..* string ##34#Chromosome [O19]##34# ##334#Chromosome containing the genetic finding
_x000D_ConceptualDomain: OSIRIS:Chromosome
_x000D_mandatory##334#</v>
      </c>
    </row>
    <row r="112" spans="3:3" ht="44.25" x14ac:dyDescent="0.75">
      <c r="C112" s="14" t="str">
        <f>IF(Osiris!I112="//---- END","//---- END",Osiris!I112)</f>
        <v>* Alteration.GenomicStart 1..* integer ##34#Genomic Start [O20]##34# ##334#Nucleotide location for start of genomic finding on the positive (+) genomics strand, 1-based
_x000D_mandatory##334#</v>
      </c>
    </row>
    <row r="113" spans="3:3" ht="44.25" x14ac:dyDescent="0.75">
      <c r="C113" s="14" t="str">
        <f>IF(Osiris!I113="//---- END","//---- END",Osiris!I113)</f>
        <v>* Alteration.GenomicStop 1..* integer ##34#Genomic Stop [O21]##34# ##334#Nucleotide location for end of genomic finding on the positive (+) genomic strand, 1-based
_x000D_mandatory##334#</v>
      </c>
    </row>
    <row r="114" spans="3:3" ht="44.25" x14ac:dyDescent="0.75">
      <c r="C114" s="14" t="str">
        <f>IF(Osiris!I114="//---- END","//---- END",Osiris!I114)</f>
        <v>* Alteration.GenomeBuild 1..* string ##34#Genome Build [O22]##34# ##334#Genome Build used for reference
_x000D_ConceptualDomain: FHIR:Sequence
_x000D_mandatory##334#</v>
      </c>
    </row>
    <row r="115" spans="3:3" ht="29.5" x14ac:dyDescent="0.75">
      <c r="C115" s="14" t="str">
        <f>IF(Osiris!I115="//---- END","//---- END",Osiris!I115)</f>
        <v>* Alteration.Cytoband 0..* string ##34#Cytoband [O23]##34# ##334#Cytogenetic location
_x000D_optional##334#</v>
      </c>
    </row>
    <row r="116" spans="3:3" x14ac:dyDescent="0.75">
      <c r="C116" s="14" t="str">
        <f>IF(Osiris!I116="//---- END","//---- END",Osiris!I116)</f>
        <v>* GenomeEntity 1..* BackboneElement ##34#GenomeEntity##34# ##334#GenomeEntity##334#</v>
      </c>
    </row>
    <row r="117" spans="3:3" ht="44.25" x14ac:dyDescent="0.75">
      <c r="C117" s="14" t="str">
        <f>IF(Osiris!I117="//---- END","//---- END",Osiris!I117)</f>
        <v>* GenomeEntity.Type 1..* string ##34#Type [O24]##34# ##334#Type of the genome entity. For eg: gene, mRNA, ncRNA...
_x000D_ConceptualDomain: OSIRIS:GenomeEntityType
_x000D_mandatory##334#</v>
      </c>
    </row>
    <row r="118" spans="3:3" ht="44.25" x14ac:dyDescent="0.75">
      <c r="C118" s="14" t="str">
        <f>IF(Osiris!I118="//---- END","//---- END",Osiris!I118)</f>
        <v>* GenomeEntity.Database 1..* string ##34#Database [O25]##34# ##334#Database of the genome entity
_x000D_ConceptualDomain: OSIRIS:GenomeEntityDatabase
_x000D_mandatory##334#</v>
      </c>
    </row>
    <row r="119" spans="3:3" ht="29.5" x14ac:dyDescent="0.75">
      <c r="C119" s="14" t="str">
        <f>IF(Osiris!I119="//---- END","//---- END",Osiris!I119)</f>
        <v>* GenomeEntity.Id 1..* string ##34#Id [O26]##34# ##334#Identifier of the genome entity in the genome entity database
_x000D_mandatory##334#</v>
      </c>
    </row>
    <row r="120" spans="3:3" ht="29.5" x14ac:dyDescent="0.75">
      <c r="C120" s="14" t="str">
        <f>IF(Osiris!I120="//---- END","//---- END",Osiris!I120)</f>
        <v>* GenomeEntity.Symbol 0..* string ##34#Symbol [O27]##34# ##334#Hugo gene symbol
_x000D_mandatory if Gene##334#</v>
      </c>
    </row>
    <row r="121" spans="3:3" x14ac:dyDescent="0.75">
      <c r="C121" s="14" t="str">
        <f>IF(Osiris!I121="//---- END","//---- END",Osiris!I121)</f>
        <v>* Fusion 1..* BackboneElement ##34#Fusion##34# ##334#Fusion##334#</v>
      </c>
    </row>
    <row r="122" spans="3:3" ht="44.25" x14ac:dyDescent="0.75">
      <c r="C122" s="14" t="str">
        <f>IF(Osiris!I122="//---- END","//---- END",Osiris!I122)</f>
        <v>* Fusion.Type 0..* string ##34#Type [O28]##34# ##334#Type of the fusion event. For eg: translocation, readthrough
_x000D_ConceptualDomain: OSIRIS:FusionType
_x000D_optional##334#</v>
      </c>
    </row>
    <row r="123" spans="3:3" ht="29.5" x14ac:dyDescent="0.75">
      <c r="C123" s="14" t="str">
        <f>IF(Osiris!I123="//---- END","//---- END",Osiris!I123)</f>
        <v>* Fusion.Point5prime 1..* integer ##34#Point 5 prime [O35]##34# ##334#Position of the fusion point on the 5 prime partner
_x000D_mandatory##334#</v>
      </c>
    </row>
    <row r="124" spans="3:3" ht="44.25" x14ac:dyDescent="0.75">
      <c r="C124" s="14" t="str">
        <f>IF(Osiris!I124="//---- END","//---- END",Osiris!I124)</f>
        <v>* Fusion.Chromosome5prime 1..* string ##34#Chromosome 5 prime [O97]##34# ##334#Chromosome 5 prime
_x000D_ConceptualDomain: OSIRIS:Chromosome
_x000D_mandatory##334#</v>
      </c>
    </row>
    <row r="125" spans="3:3" ht="29.5" x14ac:dyDescent="0.75">
      <c r="C125" s="14" t="str">
        <f>IF(Osiris!I125="//---- END","//---- END",Osiris!I125)</f>
        <v>* Fusion.Point3prime 1..* integer ##34#Point 3 prime [O40]##34# ##334#Position of the fusion point on the 3 prime partner
_x000D_mandatory##334#</v>
      </c>
    </row>
    <row r="126" spans="3:3" ht="44.25" x14ac:dyDescent="0.75">
      <c r="C126" s="14" t="str">
        <f>IF(Osiris!I126="//---- END","//---- END",Osiris!I126)</f>
        <v>* Fusion.Chromosome3prime 1..* string ##34#Chromosome 3 prime [O98]##34# ##334#Chromosome 3 prime
_x000D_ConceptualDomain: OSIRIS:Chromosome
_x000D_mandatory##334#</v>
      </c>
    </row>
    <row r="127" spans="3:3" ht="44.25" x14ac:dyDescent="0.75">
      <c r="C127" s="14" t="str">
        <f>IF(Osiris!I127="//---- END","//---- END",Osiris!I127)</f>
        <v>* Fusion.InFrame 0..* string ##34#In Frame [O41]##34# ##334#Specify whether the fusion is in frame
_x000D_ConceptualDomain: OSIRIS:Boolean
_x000D_optional##334#</v>
      </c>
    </row>
    <row r="128" spans="3:3" ht="29.5" x14ac:dyDescent="0.75">
      <c r="C128" s="14" t="str">
        <f>IF(Osiris!I128="//---- END","//---- END",Osiris!I128)</f>
        <v>* Fusion.NbSpanningPair 1..* integer ##34#Nb Spanning Pair [O44]##34# ##334#Number of reads pairs spanning the fusion
_x000D_mandatory##334#</v>
      </c>
    </row>
    <row r="129" spans="3:3" ht="29.5" x14ac:dyDescent="0.75">
      <c r="C129" s="14" t="str">
        <f>IF(Osiris!I129="//---- END","//---- END",Osiris!I129)</f>
        <v>* Fusion.NbSplitReads 0..* integer ##34#Nb Split Reads [O46]##34# ##334#Number of reads containing the fusion point
_x000D_optional##334#</v>
      </c>
    </row>
    <row r="130" spans="3:3" x14ac:dyDescent="0.75">
      <c r="C130" s="14" t="str">
        <f>IF(Osiris!I130="//---- END","//---- END",Osiris!I130)</f>
        <v>* CNV 1..* BackboneElement ##34#CNV##34# ##334#CNV##334#</v>
      </c>
    </row>
    <row r="131" spans="3:3" ht="29.5" x14ac:dyDescent="0.75">
      <c r="C131" s="14" t="str">
        <f>IF(Osiris!I131="//---- END","//---- END",Osiris!I131)</f>
        <v>* CNV.SegmentIntensity 1..* decimal ##34#Segment Intensity [O47]##34# ##334#Intensity of the measured signal
_x000D_mandatory##334#</v>
      </c>
    </row>
    <row r="132" spans="3:3" ht="44.25" x14ac:dyDescent="0.75">
      <c r="C132" s="14" t="str">
        <f>IF(Osiris!I132="//---- END","//---- END",Osiris!I132)</f>
        <v>* CNV.SegmentGenomicStatus 1..* string ##34#Segment Genomic Status [O49]##34# ##334#Copy number status
_x000D_ConceptualDomain: OSIRIS:SegmentGenomicStatus
_x000D_mandatory##334#</v>
      </c>
    </row>
    <row r="133" spans="3:3" ht="29.5" x14ac:dyDescent="0.75">
      <c r="C133" s="14" t="str">
        <f>IF(Osiris!I133="//---- END","//---- END",Osiris!I133)</f>
        <v>* CNV.CopyNumber 0..* integer ##34#Copy Number [O50]##34# ##334#Estimated DNA copy number
_x000D_optional##334#</v>
      </c>
    </row>
    <row r="134" spans="3:3" ht="59" x14ac:dyDescent="0.75">
      <c r="C134" s="14"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4" t="str">
        <f>IF(Osiris!I135="//---- END","//---- END",Osiris!I135)</f>
        <v>* CNV.SegmentSize 0..* integer ##34#SegmentSize []##34# ##334#SegmentSize
_x000D_optional##334#</v>
      </c>
    </row>
    <row r="136" spans="3:3" x14ac:dyDescent="0.75">
      <c r="C136" s="14" t="str">
        <f>IF(Osiris!I136="//---- END","//---- END",Osiris!I136)</f>
        <v>* Variant 1..* BackboneElement ##34#Variant##34# ##334#Variant##334#</v>
      </c>
    </row>
    <row r="137" spans="3:3" ht="44.25" x14ac:dyDescent="0.75">
      <c r="C137" s="14"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4"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4" t="str">
        <f>IF(Osiris!I139="//---- END","//---- END",Osiris!I139)</f>
        <v>* Variant.DNASequenceVariationType 1..* string ##34#DNA Sequence Variation Type [O55]##34# ##334#Codified type of the DNA sequence variation
_x000D_ConceptualDomain: LOINC:48019-4
_x000D_mandatory##334#</v>
      </c>
    </row>
    <row r="140" spans="3:3" x14ac:dyDescent="0.75">
      <c r="C140" s="14" t="str">
        <f>IF(Osiris!I140="//---- END","//---- END",Osiris!I140)</f>
        <v>* Annotation 0..* BackboneElement ##34#Annotation##34# ##334#Annotation##334#</v>
      </c>
    </row>
    <row r="141" spans="3:3" ht="44.25" x14ac:dyDescent="0.75">
      <c r="C141" s="14"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4"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4" t="str">
        <f>IF(Osiris!I143="//---- END","//---- END",Osiris!I143)</f>
        <v>* Annotation.ReferenceValue 0..* string ##34#Reference Value [O92]##34# ##334#Reference Value
_x000D_optional##334#</v>
      </c>
    </row>
    <row r="144" spans="3:3" ht="59" x14ac:dyDescent="0.75">
      <c r="C144" s="14"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4" t="str">
        <f>IF(Osiris!I145="//---- END","//---- END",Osiris!I145)</f>
        <v>* Annotation.MutationPredictionValue 0..* string ##34#Mutation Prediction Value [O64]##34# ##334#Prediction of the variation effect over the protein
_x000D_optional##334#</v>
      </c>
    </row>
    <row r="146" spans="3:3" ht="44.25" x14ac:dyDescent="0.75">
      <c r="C146" s="14" t="str">
        <f>IF(Osiris!I146="//---- END","//---- END",Osiris!I146)</f>
        <v>* Annotation.MutationPredictionScore 0..* decimal ##34#Mutation Prediction Score [O65]##34# ##334#Level of confidence of the prediction of the variation effect over the protein
_x000D_optional##334#</v>
      </c>
    </row>
    <row r="147" spans="3:3" ht="29.5" x14ac:dyDescent="0.75">
      <c r="C147" s="14" t="str">
        <f>IF(Osiris!I147="//---- END","//---- END",Osiris!I147)</f>
        <v>* Annotation.PfamDomain 0..* string ##34#Pfam Domain [O58]##34# ##334#Pfams domains related to alteration position
_x000D_optional##334#</v>
      </c>
    </row>
    <row r="148" spans="3:3" ht="29.5" x14ac:dyDescent="0.75">
      <c r="C148" s="14" t="str">
        <f>IF(Osiris!I148="//---- END","//---- END",Osiris!I148)</f>
        <v>* Annotation.PfamId 0..* string ##34#Pfam Id [O59]##34# ##334#Identifier of Pfams domains related to alteration position
_x000D_optional##334#</v>
      </c>
    </row>
    <row r="149" spans="3:3" ht="44.25" x14ac:dyDescent="0.75">
      <c r="C149" s="14" t="str">
        <f>IF(Osiris!I149="//---- END","//---- END",Osiris!I149)</f>
        <v>* Annotation.DNARegionName 0..* string ##34#DNA Region Name [O66]##34# ##334#Human readable name for the region of interest related to the transcript (eg: exon1, intron1, UTR3')
_x000D_optional##334#</v>
      </c>
    </row>
    <row r="150" spans="3:3" ht="44.25" x14ac:dyDescent="0.75">
      <c r="C150" s="14" t="str">
        <f>IF(Osiris!I150="//---- END","//---- END",Osiris!I150)</f>
        <v>* Annotation.DNASequenceVariation 1..* string ##34#DNA Sequence Variation [O71]##34# ##334#HGVS nomenclature on the chosen transcript
_x000D_mandatory##334#</v>
      </c>
    </row>
    <row r="151" spans="3:3" ht="44.25" x14ac:dyDescent="0.75">
      <c r="C151" s="14" t="str">
        <f>IF(Osiris!I151="//---- END","//---- END",Osiris!I151)</f>
        <v>* Annotation.AminoAcidChange 0..* string ##34#Amino Acid Change [O72]##34# ##334#HGVS nomenclature on the chosen protein transcript
_x000D_optional##334#</v>
      </c>
    </row>
    <row r="152" spans="3:3" ht="44.25" x14ac:dyDescent="0.75">
      <c r="C152" s="14" t="str">
        <f>IF(Osiris!I152="//---- END","//---- END",Osiris!I152)</f>
        <v>* Annotation.GenomicSequenceVariation 0..* string ##34#Genomic Sequence Variation [O73]##34# ##334#HGVS nomenclature on the given GenomeReferenceSequenceId.
_x000D_optional##334#</v>
      </c>
    </row>
    <row r="153" spans="3:3" ht="44.25" x14ac:dyDescent="0.75">
      <c r="C153" s="14"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4"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4" t="str">
        <f>IF(Osiris!I155="//---- END","//---- END",Osiris!I155)</f>
        <v>* Annotation.FusionPrimeEnd 0..* string ##34#Fusion Prime End [O93]##34# ##334#Prime end of the fusion partner
_x000D_ConceptualDomain: OSIRIS:Annotation_FusionPrimeEnd
_x000D_optional##334#</v>
      </c>
    </row>
    <row r="156" spans="3:3" ht="44.25" x14ac:dyDescent="0.75">
      <c r="C156" s="14" t="str">
        <f>IF(Osiris!I156="//---- END","//---- END",Osiris!I156)</f>
        <v>* Annotation.Strand 0..* string ##34#Strand [O94]##34# ##334#Strand
_x000D_ConceptualDomain: OSIRIS:Strand
_x000D_optional##334#</v>
      </c>
    </row>
    <row r="157" spans="3:3" ht="44.25" x14ac:dyDescent="0.75">
      <c r="C157" s="14" t="str">
        <f>IF(Osiris!I157="//---- END","//---- END",Osiris!I157)</f>
        <v>* Annotation.OnSplicingSite 0..* string ##34#OnSplicingSite [O95]##34# ##334#Indicate wether the variant is on a splicing site
_x000D_ConceptualDomain: OSIRIS:Boolean
_x000D_optional##334#</v>
      </c>
    </row>
    <row r="158" spans="3:3" x14ac:dyDescent="0.75">
      <c r="C158" s="14" t="str">
        <f>IF(Osiris!I158="//---- END","//---- END",Osiris!I158)</f>
        <v>* VariantInSample 1..* BackboneElement ##34#VariantInSample##34# ##334#VariantInSample##334#</v>
      </c>
    </row>
    <row r="159" spans="3:3" ht="44.25" x14ac:dyDescent="0.75">
      <c r="C159" s="14" t="str">
        <f>IF(Osiris!I159="//---- END","//---- END",Osiris!I159)</f>
        <v>* VariantInSample.PositionReadDepth 1..* integer ##34#Position Read Depth [O76]##34# ##334#Total sequencing depth at the variant position observed in the specimen
_x000D_mandatory##334#</v>
      </c>
    </row>
    <row r="160" spans="3:3" ht="44.25" x14ac:dyDescent="0.75">
      <c r="C160" s="14"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4"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4"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4" t="str">
        <f>IF(Osiris!I163="//---- END","//---- END",Osiris!I163)</f>
        <v>* VariantInSample.AllelicState 0..* BackboneElement ##34#Allelic State [O80]##34# ##334#Level of allelic occurrence of a DNA Sequence Variation
_x000D_ConceptualDomain: LOINC:LL381-5
_x000D_optional##334#</v>
      </c>
    </row>
    <row r="164" spans="3:3" x14ac:dyDescent="0.75">
      <c r="C164" s="14" t="str">
        <f>IF(Osiris!I164="//---- END","//---- END",Osiris!I164)</f>
        <v>* GeneExpression 1..* BackboneElement ##34#GeneExpression##34# ##334#GeneExpression##334#</v>
      </c>
    </row>
    <row r="165" spans="3:3" ht="59" x14ac:dyDescent="0.75">
      <c r="C165" s="14"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4" t="str">
        <f>IF(Osiris!I166="//---- END","//---- END",Osiris!I166)</f>
        <v>* GeneExpression.Value 1..* BackboneElement ##34#Value [O85]##34# ##334#Numerical value for expression
_x000D_mandatory##334#</v>
      </c>
    </row>
    <row r="167" spans="3:3" x14ac:dyDescent="0.75">
      <c r="C167" s="14" t="str">
        <f>IF(Osiris!I167="//---- END","//---- END",Osiris!I167)</f>
        <v>* Equipment 0..* BackboneElement ##34#Equipment##34# ##334#Equipment##334#</v>
      </c>
    </row>
    <row r="168" spans="3:3" ht="59" x14ac:dyDescent="0.75">
      <c r="C168" s="14" t="str">
        <f>IF(Osiris!I168="//---- END","//---- END",Osiris!I168)</f>
        <v>* Equipment.ModelName 0..* BackboneElement ##34#Manufacturer's model name [I1]##34# ##334#Manufacturer's model name
_x000D_ConceptualDomain: DICOM
_x000D_##334#</v>
      </c>
    </row>
    <row r="169" spans="3:3" ht="44.25" x14ac:dyDescent="0.75">
      <c r="C169" s="14" t="str">
        <f>IF(Osiris!I169="//---- END","//---- END",Osiris!I169)</f>
        <v>* Equipment.Manufacturer 0..* BackboneElement ##34#Manufacturer's name [I2]##34# ##334#Manufacturer's name
_x000D_ConceptualDomain: DICOM
_x000D_##334#</v>
      </c>
    </row>
    <row r="170" spans="3:3" x14ac:dyDescent="0.75">
      <c r="C170" s="14" t="str">
        <f>IF(Osiris!I170="//---- END","//---- END",Osiris!I170)</f>
        <v>* Study 0..* BackboneElement ##34#Study##34# ##334#Study##334#</v>
      </c>
    </row>
    <row r="171" spans="3:3" ht="44.25" x14ac:dyDescent="0.75">
      <c r="C171" s="14" t="str">
        <f>IF(Osiris!I171="//---- END","//---- END",Osiris!I171)</f>
        <v>* Study.StudyInstanceUID 0..* BackboneElement ##34#Study Instance UID [I3]##34# ##334#Study Instance UID
_x000D_ConceptualDomain: DICOM
_x000D_##334#</v>
      </c>
    </row>
    <row r="172" spans="3:3" ht="44.25" x14ac:dyDescent="0.75">
      <c r="C172" s="14" t="str">
        <f>IF(Osiris!I172="//---- END","//---- END",Osiris!I172)</f>
        <v>* Study.StudyDescription 0..* BackboneElement ##34#Study description [I4]##34# ##334#Study description
_x000D_ConceptualDomain: DICOM
_x000D_##334#</v>
      </c>
    </row>
    <row r="173" spans="3:3" ht="44.25" x14ac:dyDescent="0.75">
      <c r="C173" s="14" t="str">
        <f>IF(Osiris!I173="//---- END","//---- END",Osiris!I173)</f>
        <v>* Study.AcquisitionDate 0..* BackboneElement ##34#Acquisition date [I5]##34# ##334#Acquisition date
_x000D_ConceptualDomain: DICOM
_x000D_##334#</v>
      </c>
    </row>
    <row r="174" spans="3:3" ht="29.5" x14ac:dyDescent="0.75">
      <c r="C174" s="14" t="str">
        <f>IF(Osiris!I174="//---- END","//---- END",Osiris!I174)</f>
        <v>* Study.Location 0..* BackboneElement ##34#Location [I6]##34# ##334#Location
_x000D_##334#</v>
      </c>
    </row>
    <row r="175" spans="3:3" ht="44.25" x14ac:dyDescent="0.75">
      <c r="C175" s="14" t="str">
        <f>IF(Osiris!I175="//---- END","//---- END",Osiris!I175)</f>
        <v>* Study.InstitutionName 0..* BackboneElement ##34#Institution's name [I7]##34# ##334#Institution's name
_x000D_ConceptualDomain: DICOM
_x000D_##334#</v>
      </c>
    </row>
    <row r="176" spans="3:3" ht="44.25" x14ac:dyDescent="0.75">
      <c r="C176" s="14" t="str">
        <f>IF(Osiris!I176="//---- END","//---- END",Osiris!I176)</f>
        <v>* Study.ModalitiesInStudy 0..* BackboneElement ##34#Modalities in study [I8]##34# ##334#Modalities in study
_x000D_ConceptualDomain: DICOM
_x000D_##334#</v>
      </c>
    </row>
    <row r="177" spans="3:3" ht="59" x14ac:dyDescent="0.75">
      <c r="C177" s="14" t="str">
        <f>IF(Osiris!I177="//---- END","//---- END",Osiris!I177)</f>
        <v>* Study.NbStudyRelatedSeries 0..* BackboneElement ##34#Number of Study Related Series [I9]##34# ##334#Number of Study Related Series
_x000D_ConceptualDomain: DICOM
_x000D_##334#</v>
      </c>
    </row>
    <row r="178" spans="3:3" x14ac:dyDescent="0.75">
      <c r="C178" s="14" t="str">
        <f>IF(Osiris!I178="//---- END","//---- END",Osiris!I178)</f>
        <v>* Series 0..* BackboneElement ##34#Series##34# ##334#Series##334#</v>
      </c>
    </row>
    <row r="179" spans="3:3" ht="44.25" x14ac:dyDescent="0.75">
      <c r="C179" s="14" t="str">
        <f>IF(Osiris!I179="//---- END","//---- END",Osiris!I179)</f>
        <v>* Series.SeriesNumber 0..* BackboneElement ##34#Series Number [I10]##34# ##334#Series Number
_x000D_ConceptualDomain: DICOM
_x000D_##334#</v>
      </c>
    </row>
    <row r="180" spans="3:3" ht="44.25" x14ac:dyDescent="0.75">
      <c r="C180" s="14" t="str">
        <f>IF(Osiris!I180="//---- END","//---- END",Osiris!I180)</f>
        <v>* Series.SeriesInstanceUID 0..* BackboneElement ##34#Series Instance UID [I11]##34# ##334#Series Instance UID
_x000D_ConceptualDomain: DICOM
_x000D_##334#</v>
      </c>
    </row>
    <row r="181" spans="3:3" ht="44.25" x14ac:dyDescent="0.75">
      <c r="C181" s="14" t="str">
        <f>IF(Osiris!I181="//---- END","//---- END",Osiris!I181)</f>
        <v>* Series.Modality 0..* BackboneElement ##34#Modality [I12]##34# ##334#Modality
_x000D_ConceptualDomain: DICOM
_x000D_##334#</v>
      </c>
    </row>
    <row r="182" spans="3:3" ht="44.25" x14ac:dyDescent="0.75">
      <c r="C182" s="14" t="str">
        <f>IF(Osiris!I182="//---- END","//---- END",Osiris!I182)</f>
        <v>* Series.Description 0..* BackboneElement ##34#Description [I13]##34# ##334#Description
_x000D_ConceptualDomain: DICOM
_x000D_##334#</v>
      </c>
    </row>
    <row r="183" spans="3:3" ht="44.25" x14ac:dyDescent="0.75">
      <c r="C183" s="14" t="str">
        <f>IF(Osiris!I183="//---- END","//---- END",Osiris!I183)</f>
        <v>* Series.BodyPartExamined 0..* BackboneElement ##34#Body Part Examined [I14]##34# ##334#Body Part Examined
_x000D_ConceptualDomain: DICOM
_x000D_##334#</v>
      </c>
    </row>
    <row r="184" spans="3:3" ht="59" x14ac:dyDescent="0.75">
      <c r="C184" s="14" t="str">
        <f>IF(Osiris!I184="//---- END","//---- END",Osiris!I184)</f>
        <v>* Series.NbSeriesRelatedInstances 0..* BackboneElement ##34#Number of Series Related Instances [I15]##34# ##334#Number of Series Related Instances
_x000D_ConceptualDomain: DICOM
_x000D_##334#</v>
      </c>
    </row>
    <row r="185" spans="3:3" ht="44.25" x14ac:dyDescent="0.75">
      <c r="C185" s="14" t="str">
        <f>IF(Osiris!I185="//---- END","//---- END",Osiris!I185)</f>
        <v>* Series.SoftwareVersion 0..* BackboneElement ##34#Software's version [I16]##34# ##334#Software's version
_x000D_ConceptualDomain: DICOM
_x000D_##334#</v>
      </c>
    </row>
    <row r="186" spans="3:3" x14ac:dyDescent="0.75">
      <c r="C186" s="14" t="str">
        <f>IF(Osiris!I186="//---- END","//---- END",Osiris!I186)</f>
        <v>* Injection 0..* BackboneElement ##34#Injection##34# ##334#Injection##334#</v>
      </c>
    </row>
    <row r="187" spans="3:3" ht="44.25" x14ac:dyDescent="0.75">
      <c r="C187" s="14" t="str">
        <f>IF(Osiris!I187="//---- END","//---- END",Osiris!I187)</f>
        <v>* Injection.Radiopharmaceutical 0..* BackboneElement ##34#Radiopharmaceutical [I17]##34# ##334#Radiopharmaceutical
_x000D_ConceptualDomain: DICOM
_x000D_##334#</v>
      </c>
    </row>
    <row r="188" spans="3:3" ht="44.25" x14ac:dyDescent="0.75">
      <c r="C188" s="14" t="str">
        <f>IF(Osiris!I188="//---- END","//---- END",Osiris!I188)</f>
        <v>* Injection.ContrastBolusAgent 0..* BackboneElement ##34#Contrast/bolus agent [I18]##34# ##334#Contrast/bolus agent
_x000D_ConceptualDomain: DICOM
_x000D_##334#</v>
      </c>
    </row>
    <row r="189" spans="3:3" ht="59" x14ac:dyDescent="0.75">
      <c r="C189" s="14" t="str">
        <f>IF(Osiris!I189="//---- END","//---- END",Osiris!I189)</f>
        <v>* Injection.ContrastBolusStartTime 0..* BackboneElement ##34#Contrast/bolus start time [I19]##34# ##334#Contrast/bolus start time
_x000D_ConceptualDomain: DICOM
_x000D_##334#</v>
      </c>
    </row>
    <row r="190" spans="3:3" ht="59" x14ac:dyDescent="0.75">
      <c r="C190" s="14" t="str">
        <f>IF(Osiris!I190="//---- END","//---- END",Osiris!I190)</f>
        <v>* Injection.ContrastBolusStopTime 0..* BackboneElement ##34#Contrast/bolus stop time [I20]##34# ##334#Contrast/bolus stop time
_x000D_ConceptualDomain: DICOM
_x000D_##334#</v>
      </c>
    </row>
    <row r="191" spans="3:3" ht="59" x14ac:dyDescent="0.75">
      <c r="C191" s="14" t="str">
        <f>IF(Osiris!I191="//---- END","//---- END",Osiris!I191)</f>
        <v>* Injection.RadiopharmaceuticalStartTime 0..* BackboneElement ##34#Radiopharmaceutical start time [I21]##34# ##334#Radiopharmaceutical start time
_x000D_ConceptualDomain: DICOM
_x000D_##334#</v>
      </c>
    </row>
    <row r="192" spans="3:3" ht="59" x14ac:dyDescent="0.75">
      <c r="C192" s="14" t="str">
        <f>IF(Osiris!I192="//---- END","//---- END",Osiris!I192)</f>
        <v>* Injection.RadionuclideTotalDose 0..* BackboneElement ##34#Radionuclide total dose [I22]##34# ##334#Radionuclide total dose
_x000D_ConceptualDomain: DICOM
_x000D_##334#</v>
      </c>
    </row>
    <row r="193" spans="3:3" x14ac:dyDescent="0.75">
      <c r="C193" s="14" t="str">
        <f>IF(Osiris!I193="//---- END","//---- END",Osiris!I193)</f>
        <v>* CommonImage 0..* BackboneElement ##34#CommonImage##34# ##334#CommonImage##334#</v>
      </c>
    </row>
    <row r="194" spans="3:3" ht="44.25" x14ac:dyDescent="0.75">
      <c r="C194" s="14" t="str">
        <f>IF(Osiris!I194="//---- END","//---- END",Osiris!I194)</f>
        <v>* CommonImage.SOPInstanceUID 0..* BackboneElement ##34#SOP Instance UID [I23]##34# ##334#SOP Instance UID
_x000D_ConceptualDomain: DICOM
_x000D_##334#</v>
      </c>
    </row>
    <row r="195" spans="3:3" ht="44.25" x14ac:dyDescent="0.75">
      <c r="C195" s="14" t="str">
        <f>IF(Osiris!I195="//---- END","//---- END",Osiris!I195)</f>
        <v>* CommonImage.SliceThickness 0..* BackboneElement ##34#Slice thickness [I24]##34# ##334#Slice thickness
_x000D_ConceptualDomain: DICOM
_x000D_##334#</v>
      </c>
    </row>
    <row r="196" spans="3:3" ht="44.25" x14ac:dyDescent="0.75">
      <c r="C196" s="14" t="str">
        <f>IF(Osiris!I196="//---- END","//---- END",Osiris!I196)</f>
        <v>* CommonImage.PixelSpacing 0..* BackboneElement ##34#Pixel spacing [I25]##34# ##334#Pixel spacing
_x000D_ConceptualDomain: DICOM
_x000D_##334#</v>
      </c>
    </row>
    <row r="197" spans="3:3" ht="29.5" x14ac:dyDescent="0.75">
      <c r="C197" s="14" t="str">
        <f>IF(Osiris!I197="//---- END","//---- END",Osiris!I197)</f>
        <v>* CommonImage.FieldOfView 0..* BackboneElement ##34#Field of view [I26]##34# ##334#Field of view
_x000D_##334#</v>
      </c>
    </row>
    <row r="198" spans="3:3" ht="44.25" x14ac:dyDescent="0.75">
      <c r="C198" s="14" t="str">
        <f>IF(Osiris!I198="//---- END","//---- END",Osiris!I198)</f>
        <v>* CommonImage.Rows 0..* BackboneElement ##34#rows [I27]##34# ##334#rows
_x000D_ConceptualDomain: DICOM
_x000D_##334#</v>
      </c>
    </row>
    <row r="199" spans="3:3" ht="44.25" x14ac:dyDescent="0.75">
      <c r="C199" s="14" t="str">
        <f>IF(Osiris!I199="//---- END","//---- END",Osiris!I199)</f>
        <v>* CommonImage.Columns 0..* BackboneElement ##34#columns [I28]##34# ##334#columns
_x000D_ConceptualDomain: DICOM
_x000D_##334#</v>
      </c>
    </row>
    <row r="200" spans="3:3" x14ac:dyDescent="0.75">
      <c r="C200" s="14" t="str">
        <f>IF(Osiris!I200="//---- END","//---- END",Osiris!I200)</f>
        <v>* MRImage 0..* BackboneElement ##34#MRImage##34# ##334#MRImage##334#</v>
      </c>
    </row>
    <row r="201" spans="3:3" ht="44.25" x14ac:dyDescent="0.75">
      <c r="C201" s="14" t="str">
        <f>IF(Osiris!I201="//---- END","//---- END",Osiris!I201)</f>
        <v>* MRImage.SequenceName 0..* BackboneElement ##34#Sequence's name [I29]##34# ##334#Sequence's name
_x000D_ConceptualDomain: DICOM
_x000D_##334#</v>
      </c>
    </row>
    <row r="202" spans="3:3" ht="59" x14ac:dyDescent="0.75">
      <c r="C202" s="14" t="str">
        <f>IF(Osiris!I202="//---- END","//---- END",Osiris!I202)</f>
        <v>* MRImage.MagneticFieldStrength 0..* BackboneElement ##34#Magnetic field strength [I30]##34# ##334#Magnetic field strength
_x000D_ConceptualDomain: DICOM
_x000D_##334#</v>
      </c>
    </row>
    <row r="203" spans="3:3" ht="44.25" x14ac:dyDescent="0.75">
      <c r="C203" s="14" t="str">
        <f>IF(Osiris!I203="//---- END","//---- END",Osiris!I203)</f>
        <v>* MRImage.MRAcquisitionType 0..* BackboneElement ##34#MR acquisition type [I31]##34# ##334#MR acquisition type
_x000D_ConceptualDomain: DICOM
_x000D_##334#</v>
      </c>
    </row>
    <row r="204" spans="3:3" ht="44.25" x14ac:dyDescent="0.75">
      <c r="C204" s="14" t="str">
        <f>IF(Osiris!I204="//---- END","//---- END",Osiris!I204)</f>
        <v>* MRImage.RepetitionTime 0..* BackboneElement ##34#Repetition time [I32]##34# ##334#Repetition time
_x000D_ConceptualDomain: DICOM
_x000D_##334#</v>
      </c>
    </row>
    <row r="205" spans="3:3" ht="44.25" x14ac:dyDescent="0.75">
      <c r="C205" s="14" t="str">
        <f>IF(Osiris!I205="//---- END","//---- END",Osiris!I205)</f>
        <v>* MRImage.EchoTime 0..* BackboneElement ##34#EchoTime [I33]##34# ##334#EchoTime
_x000D_ConceptualDomain: DICOM
_x000D_##334#</v>
      </c>
    </row>
    <row r="206" spans="3:3" ht="44.25" x14ac:dyDescent="0.75">
      <c r="C206" s="14" t="str">
        <f>IF(Osiris!I206="//---- END","//---- END",Osiris!I206)</f>
        <v>* MRImage.ImagingFrequency 0..* BackboneElement ##34#ImagingFrequency [I34]##34# ##334#ImagingFrequency
_x000D_ConceptualDomain: DICOM
_x000D_##334#</v>
      </c>
    </row>
    <row r="207" spans="3:3" ht="44.25" x14ac:dyDescent="0.75">
      <c r="C207" s="14" t="str">
        <f>IF(Osiris!I207="//---- END","//---- END",Osiris!I207)</f>
        <v>* MRImage.FlipAngle 0..* BackboneElement ##34#FlipAngle [I35]##34# ##334#FlipAngle
_x000D_ConceptualDomain: DICOM
_x000D_##334#</v>
      </c>
    </row>
    <row r="208" spans="3:3" ht="44.25" x14ac:dyDescent="0.75">
      <c r="C208" s="14" t="str">
        <f>IF(Osiris!I208="//---- END","//---- END",Osiris!I208)</f>
        <v>* MRImage.InversionTime 0..* BackboneElement ##34#InversionTime [I36]##34# ##334#InversionTime
_x000D_ConceptualDomain: DICOM
_x000D_##334#</v>
      </c>
    </row>
    <row r="209" spans="3:3" ht="44.25" x14ac:dyDescent="0.75">
      <c r="C209" s="14" t="str">
        <f>IF(Osiris!I209="//---- END","//---- END",Osiris!I209)</f>
        <v>* MRImage.ReceiveCoilName 0..* BackboneElement ##34#ReceiveCoilName [I37]##34# ##334#ReceiveCoilName
_x000D_ConceptualDomain: DICOM
_x000D_##334#</v>
      </c>
    </row>
    <row r="210" spans="3:3" x14ac:dyDescent="0.75">
      <c r="C210" s="14" t="str">
        <f>IF(Osiris!I210="//---- END","//---- END",Osiris!I210)</f>
        <v>* CTImage 0..* BackboneElement ##34#CTImage##34# ##334#CTImage##334#</v>
      </c>
    </row>
    <row r="211" spans="3:3" ht="44.25" x14ac:dyDescent="0.75">
      <c r="C211" s="14" t="str">
        <f>IF(Osiris!I211="//---- END","//---- END",Osiris!I211)</f>
        <v>* CTImage.KVp 0..* BackboneElement ##34#KVp [I38]##34# ##334#KVp
_x000D_ConceptualDomain: DICOM
_x000D_##334#</v>
      </c>
    </row>
    <row r="212" spans="3:3" ht="44.25" x14ac:dyDescent="0.75">
      <c r="C212" s="14" t="str">
        <f>IF(Osiris!I212="//---- END","//---- END",Osiris!I212)</f>
        <v>* CTImage.XRayTubeCurrent 0..* BackboneElement ##34#XRayTubeCurrent [I39]##34# ##334#XRayTubeCurrent
_x000D_ConceptualDomain: DICOM
_x000D_##334#</v>
      </c>
    </row>
    <row r="213" spans="3:3" ht="44.25" x14ac:dyDescent="0.75">
      <c r="C213" s="14" t="str">
        <f>IF(Osiris!I213="//---- END","//---- END",Osiris!I213)</f>
        <v>* CTImage.ExposureTime 0..* BackboneElement ##34#ExposureTime [I40]##34# ##334#ExposureTime
_x000D_ConceptualDomain: DICOM
_x000D_##334#</v>
      </c>
    </row>
    <row r="214" spans="3:3" ht="44.25" x14ac:dyDescent="0.75">
      <c r="C214" s="14" t="str">
        <f>IF(Osiris!I214="//---- END","//---- END",Osiris!I214)</f>
        <v>* CTImage.SpiralPitchFactor 0..* BackboneElement ##34#SpiralPitchFactor [I41]##34# ##334#SpiralPitchFactor
_x000D_ConceptualDomain: DICOM
_x000D_##334#</v>
      </c>
    </row>
    <row r="215" spans="3:3" ht="44.25" x14ac:dyDescent="0.75">
      <c r="C215" s="14" t="str">
        <f>IF(Osiris!I215="//---- END","//---- END",Osiris!I215)</f>
        <v>* CTImage.FilterType 0..* BackboneElement ##34#FilterType [I42]##34# ##334#FilterType
_x000D_ConceptualDomain: DICOM
_x000D_##334#</v>
      </c>
    </row>
    <row r="216" spans="3:3" ht="44.25" x14ac:dyDescent="0.75">
      <c r="C216" s="14" t="str">
        <f>IF(Osiris!I216="//---- END","//---- END",Osiris!I216)</f>
        <v>* CTImage.ConvolutionKernel 0..* BackboneElement ##34#ConvolutionKernel [I43]##34# ##334#ConvolutionKernel
_x000D_ConceptualDomain: DICOM
_x000D_##334#</v>
      </c>
    </row>
    <row r="217" spans="3:3" x14ac:dyDescent="0.75">
      <c r="C217" s="14" t="str">
        <f>IF(Osiris!I217="//---- END","//---- END",Osiris!I217)</f>
        <v>* PTImage 0..* BackboneElement ##34#PTImage##34# ##334#PTImage##334#</v>
      </c>
    </row>
    <row r="218" spans="3:3" ht="59" x14ac:dyDescent="0.75">
      <c r="C218" s="14" t="str">
        <f>IF(Osiris!I218="//---- END","//---- END",Osiris!I218)</f>
        <v>* PTImage.AttenuationCorrectionMethod 0..* BackboneElement ##34#AttenuationCorrectionMethod [I44]##34# ##334#AttenuationCorrectionMethod
_x000D_ConceptualDomain: DICOM
_x000D_##334#</v>
      </c>
    </row>
    <row r="219" spans="3:3" ht="59" x14ac:dyDescent="0.75">
      <c r="C219" s="14" t="str">
        <f>IF(Osiris!I219="//---- END","//---- END",Osiris!I219)</f>
        <v>* PTImage.ReconstructionMethod 0..* BackboneElement ##34#ReconstructionMethod [I45]##34# ##334#ReconstructionMethod
_x000D_ConceptualDomain: DICOM
_x000D_##334#</v>
      </c>
    </row>
    <row r="220" spans="3:3" ht="59" x14ac:dyDescent="0.75">
      <c r="C220" s="14" t="str">
        <f>IF(Osiris!I220="//---- END","//---- END",Osiris!I220)</f>
        <v>* PTImage.ScatterCorrectionMethod 0..* BackboneElement ##34#ScatterCorrectionMethod [I46]##34# ##334#ScatterCorrectionMethod
_x000D_ConceptualDomain: DICOM
_x000D_##334#</v>
      </c>
    </row>
    <row r="221" spans="3:3" x14ac:dyDescent="0.75">
      <c r="C221" s="14" t="str">
        <f>IF(Osiris!I221="//---- END","//---- END",Osiris!I221)</f>
        <v>* NMImage 0..* BackboneElement ##34#NMImage##34# ##334#NMImage##334#</v>
      </c>
    </row>
    <row r="222" spans="3:3" ht="59" x14ac:dyDescent="0.75">
      <c r="C222" s="14" t="str">
        <f>IF(Osiris!I222="//---- END","//---- END",Osiris!I222)</f>
        <v>* NMImage.AttenuationCorrectionMethod 0..* BackboneElement ##34#AttenuationCorrectionMethod [I47]##34# ##334#AttenuationCorrectionMethod
_x000D_ConceptualDomain: DICOM
_x000D_##334#</v>
      </c>
    </row>
    <row r="223" spans="3:3" ht="59" x14ac:dyDescent="0.75">
      <c r="C223" s="14" t="str">
        <f>IF(Osiris!I223="//---- END","//---- END",Osiris!I223)</f>
        <v>* NMImage.ReconstructionMethod 0..* BackboneElement ##34#ReconstructionMethod [I48]##34# ##334#ReconstructionMethod
_x000D_ConceptualDomain: DICOM
_x000D_##334#</v>
      </c>
    </row>
    <row r="224" spans="3:3" ht="59" x14ac:dyDescent="0.75">
      <c r="C224" s="14" t="str">
        <f>IF(Osiris!I224="//---- END","//---- END",Osiris!I224)</f>
        <v>* NMImage.ScatterCorrectionMethod 0..* BackboneElement ##34#ScatterCorrectionMethod [I49]##34# ##334#ScatterCorrectionMethod
_x000D_ConceptualDomain: DICOM
_x000D_##334#</v>
      </c>
    </row>
    <row r="225" spans="3:3" x14ac:dyDescent="0.75">
      <c r="C225" s="14" t="str">
        <f>IF(Osiris!I225="//---- END","//---- END",Osiris!I225)</f>
        <v>* DXImage 0..* BackboneElement ##34#DXImage##34# ##334#DXImage##334#</v>
      </c>
    </row>
    <row r="226" spans="3:3" ht="44.25" x14ac:dyDescent="0.75">
      <c r="C226" s="14" t="str">
        <f>IF(Osiris!I226="//---- END","//---- END",Osiris!I226)</f>
        <v>* DXImage.ImageLaterality 0..* BackboneElement ##34#ImageLaterality [I50]##34# ##334#ImageLaterality
_x000D_ConceptualDomain: DICOM
_x000D_##334#</v>
      </c>
    </row>
    <row r="227" spans="3:3" ht="44.25" x14ac:dyDescent="0.75">
      <c r="C227" s="14" t="str">
        <f>IF(Osiris!I227="//---- END","//---- END",Osiris!I227)</f>
        <v>* DXImage.PatientOrientation 0..* BackboneElement ##34#PatientOrientation [I51]##34# ##334#PatientOrientation
_x000D_ConceptualDomain: DICOM
_x000D_##334#</v>
      </c>
    </row>
    <row r="228" spans="3:3" ht="59" x14ac:dyDescent="0.75">
      <c r="C228" s="14" t="str">
        <f>IF(Osiris!I228="//---- END","//---- END",Osiris!I228)</f>
        <v>* DXImage.AnatomicRegionSequenceCodeMeaning 0..* BackboneElement ##34#AnatomicRegionSequenceCodeMeaning [I52]##34# ##334#AnatomicRegionSequenceCodeMeaning
_x000D_ConceptualDomain: DICOM
_x000D_##334#</v>
      </c>
    </row>
    <row r="229" spans="3:3" ht="59" x14ac:dyDescent="0.75">
      <c r="C229" s="14" t="str">
        <f>IF(Osiris!I229="//---- END","//---- END",Osiris!I229)</f>
        <v>* DXImage.AnatomicRegionSequenceCodeValue 0..* BackboneElement ##34#Anatomic Region SequenceCodeValue [I53]##34# ##334#Anatomic Region SequenceCodeValue
_x000D_ConceptualDomain: DICOM
_x000D_##334#</v>
      </c>
    </row>
    <row r="230" spans="3:3" ht="44.25" x14ac:dyDescent="0.75">
      <c r="C230" s="14" t="str">
        <f>IF(Osiris!I230="//---- END","//---- END",Osiris!I230)</f>
        <v>* DXImage.KVP 0..* BackboneElement ##34#KVP [I54]##34# ##334#KVP
_x000D_ConceptualDomain: DICOM
_x000D_##334#</v>
      </c>
    </row>
    <row r="231" spans="3:3" ht="44.25" x14ac:dyDescent="0.75">
      <c r="C231" s="14" t="str">
        <f>IF(Osiris!I231="//---- END","//---- END",Osiris!I231)</f>
        <v>* DXImage.Exposure 0..* BackboneElement ##34#Exposure [I55]##34# ##334#Exposure
_x000D_ConceptualDomain: DICOM
_x000D_##334#</v>
      </c>
    </row>
    <row r="232" spans="3:3" ht="44.25" x14ac:dyDescent="0.75">
      <c r="C232" s="14" t="str">
        <f>IF(Osiris!I232="//---- END","//---- END",Osiris!I232)</f>
        <v>* DXImage.ExposureTime 0..* BackboneElement ##34#ExposureTime [I56]##34# ##334#ExposureTime
_x000D_ConceptualDomain: DICOM
_x000D_##334#</v>
      </c>
    </row>
    <row r="233" spans="3:3" ht="44.25" x14ac:dyDescent="0.75">
      <c r="C233" s="14" t="str">
        <f>IF(Osiris!I233="//---- END","//---- END",Osiris!I233)</f>
        <v>* DXImage.ContrastBolusAgent 0..* BackboneElement ##34#ContrastBolusAgent [I57]##34# ##334#ContrastBolusAgent
_x000D_ConceptualDomain: DICOM
_x000D_##334#</v>
      </c>
    </row>
    <row r="234" spans="3:3" x14ac:dyDescent="0.75">
      <c r="C234" s="14" t="str">
        <f>IF(Osiris!I234="//---- END","//---- END",Osiris!I234)</f>
        <v>* ROISegmentation 0..* BackboneElement ##34#ROISegmentation##34# ##334#ROISegmentation##334#</v>
      </c>
    </row>
    <row r="235" spans="3:3" ht="59" x14ac:dyDescent="0.75">
      <c r="C235" s="14" t="str">
        <f>IF(Osiris!I235="//---- END","//---- END",Osiris!I235)</f>
        <v>* ROISegmentation.ReferencedSOPInstanceUID 0..* BackboneElement ##34#ReferencedSOPInstanceUID [I58]##34# ##334#ReferencedSOPInstanceUID
_x000D_ConceptualDomain: DICOM
_x000D_##334#</v>
      </c>
    </row>
    <row r="236" spans="3:3" ht="44.25" x14ac:dyDescent="0.75">
      <c r="C236" s="14" t="str">
        <f>IF(Osiris!I236="//---- END","//---- END",Osiris!I236)</f>
        <v>* ROISegmentation.ROINumber 0..* BackboneElement ##34#ROINumber [I59]##34# ##334#ROINumber
_x000D_ConceptualDomain: DICOM
_x000D_##334#</v>
      </c>
    </row>
    <row r="237" spans="3:3" ht="44.25" x14ac:dyDescent="0.75">
      <c r="C237" s="14" t="str">
        <f>IF(Osiris!I237="//---- END","//---- END",Osiris!I237)</f>
        <v>* ROISegmentation.ROIName 0..* BackboneElement ##34#ROIName [I60]##34# ##334#ROIName
_x000D_ConceptualDomain: DICOM
_x000D_##334#</v>
      </c>
    </row>
    <row r="238" spans="3:3" ht="44.25" x14ac:dyDescent="0.75">
      <c r="C238" s="14" t="str">
        <f>IF(Osiris!I238="//---- END","//---- END",Osiris!I238)</f>
        <v>* ROISegmentation.ROIDescription 0..* BackboneElement ##34#ROIDescription [I61]##34# ##334#ROIDescription
_x000D_ConceptualDomain: DICOM
_x000D_##334#</v>
      </c>
    </row>
    <row r="239" spans="3:3" ht="29.5" x14ac:dyDescent="0.75">
      <c r="C239" s="14" t="str">
        <f>IF(Osiris!I239="//---- END","//---- END",Osiris!I239)</f>
        <v>* ROISegmentation.ROIType 0..* BackboneElement ##34#ROIType [I62]##34# ##334#ROIType
_x000D_##334#</v>
      </c>
    </row>
    <row r="240" spans="3:3" ht="29.5" x14ac:dyDescent="0.75">
      <c r="C240" s="14" t="str">
        <f>IF(Osiris!I240="//---- END","//---- END",Osiris!I240)</f>
        <v>* ROISegmentation.ROIFilename 0..* BackboneElement ##34#ROIFilename [I63]##34# ##334#ROIFilename
_x000D_##334#</v>
      </c>
    </row>
    <row r="241" spans="3:3" x14ac:dyDescent="0.75">
      <c r="C241" s="14" t="str">
        <f>IF(Osiris!I241="//---- END","//---- END",Osiris!I241)</f>
        <v>* RadiomicsCriteria 0..* BackboneElement ##34#RadiomicsCriteria##34# ##334#RadiomicsCriteria##334#</v>
      </c>
    </row>
    <row r="242" spans="3:3" ht="44.25" x14ac:dyDescent="0.75">
      <c r="C242" s="14" t="str">
        <f>IF(Osiris!I242="//---- END","//---- END",Osiris!I242)</f>
        <v>* RadiomicsCriteria.SoftwareName 0..* BackboneElement ##34#SoftwareName [I64]##34# ##334#SoftwareName
_x000D_ConceptualDomain: IBSI?
_x000D_##334#</v>
      </c>
    </row>
    <row r="243" spans="3:3" ht="44.25" x14ac:dyDescent="0.75">
      <c r="C243" s="14" t="str">
        <f>IF(Osiris!I243="//---- END","//---- END",Osiris!I243)</f>
        <v>* RadiomicsCriteria.SoftwareVersion 0..* BackboneElement ##34#SoftwareVersion [I65]##34# ##334#SoftwareVersion
_x000D_ConceptualDomain: IBSI?
_x000D_##334#</v>
      </c>
    </row>
    <row r="244" spans="3:3" ht="44.25" x14ac:dyDescent="0.75">
      <c r="C244" s="14" t="str">
        <f>IF(Osiris!I244="//---- END","//---- END",Osiris!I244)</f>
        <v>* RadiomicsCriteria.Method 0..* BackboneElement ##34#Method [I66]##34# ##334#Method
_x000D_ConceptualDomain: IBSI?
_x000D_##334#</v>
      </c>
    </row>
    <row r="245" spans="3:3" ht="44.25" x14ac:dyDescent="0.75">
      <c r="C245" s="14" t="str">
        <f>IF(Osiris!I245="//---- END","//---- END",Osiris!I245)</f>
        <v>* RadiomicsCriteria.UsedImageFilter 0..* BackboneElement ##34#UsedImageFilter [I67]##34# ##334#UsedImageFilter
_x000D_ConceptualDomain: IBSI?
_x000D_##334#</v>
      </c>
    </row>
    <row r="246" spans="3:3" ht="44.25" x14ac:dyDescent="0.75">
      <c r="C246" s="14" t="str">
        <f>IF(Osiris!I246="//---- END","//---- END",Osiris!I246)</f>
        <v>* RadiomicsCriteria.DistanceWeighting 0..* BackboneElement ##34#DistanceWeighting [I68]##34# ##334#DistanceWeighting
_x000D_ConceptualDomain: IBSI?
_x000D_##334#</v>
      </c>
    </row>
    <row r="247" spans="3:3" ht="59" x14ac:dyDescent="0.75">
      <c r="C247" s="14" t="str">
        <f>IF(Osiris!I247="//---- END","//---- END",Osiris!I247)</f>
        <v>* RadiomicsCriteria.NumberOfGreyLevels 0..* BackboneElement ##34#NumberOfGreyLevels [I69]##34# ##334#NumberOfGreyLevels
_x000D_ConceptualDomain: IBSI?
_x000D_##334#</v>
      </c>
    </row>
    <row r="248" spans="3:3" ht="44.25" x14ac:dyDescent="0.75">
      <c r="C248" s="14" t="str">
        <f>IF(Osiris!I248="//---- END","//---- END",Osiris!I248)</f>
        <v>* RadiomicsCriteria.BinSize 0..* BackboneElement ##34#BinSize [I70]##34# ##334#BinSize
_x000D_ConceptualDomain: IBSI?
_x000D_##334#</v>
      </c>
    </row>
    <row r="249" spans="3:3" ht="59" x14ac:dyDescent="0.75">
      <c r="C249" s="14" t="str">
        <f>IF(Osiris!I249="//---- END","//---- END",Osiris!I249)</f>
        <v>* RadiomicsCriteria.IntensityResampling 0..* BackboneElement ##34#IntensityResampling [I71]##34# ##334#IntensityResampling
_x000D_ConceptualDomain: IBSI?
_x000D_##334#</v>
      </c>
    </row>
    <row r="250" spans="3:3" ht="44.25" x14ac:dyDescent="0.75">
      <c r="C250" s="14" t="str">
        <f>IF(Osiris!I250="//---- END","//---- END",Osiris!I250)</f>
        <v>* RadiomicsCriteria.LowestIntensity 0..* BackboneElement ##34#LowestIntensity [I72]##34# ##334#LowestIntensity
_x000D_ConceptualDomain: IBSI?
_x000D_##334#</v>
      </c>
    </row>
    <row r="251" spans="3:3" ht="59" x14ac:dyDescent="0.75">
      <c r="C251" s="14"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4" t="str">
        <f>IF(Osiris!I252="//---- END","//---- END",Osiris!I252)</f>
        <v>* RadiomicsCriteria.SpatialResamplingMethod 0..* BackboneElement ##34#SpatialResamplingMethod [I74]##34# ##334#SpatialResamplingMethod
_x000D_ConceptualDomain: IBSI?
_x000D_##334#</v>
      </c>
    </row>
    <row r="253" spans="3:3" ht="59" x14ac:dyDescent="0.75">
      <c r="C253" s="14" t="str">
        <f>IF(Osiris!I253="//---- END","//---- END",Osiris!I253)</f>
        <v>* RadiomicsCriteria.SpatialResamplingValues 0..* BackboneElement ##34#SpatialResamplingValues [I75]##34# ##334#SpatialResamplingValues
_x000D_ConceptualDomain: IBSI?
_x000D_##334#</v>
      </c>
    </row>
    <row r="254" spans="3:3" ht="59" x14ac:dyDescent="0.75">
      <c r="C254" s="14" t="str">
        <f>IF(Osiris!I254="//---- END","//---- END",Osiris!I254)</f>
        <v>* RadiomicsCriteria.TextureMatrixAggregation 0..* BackboneElement ##34#TextureMatrixAggregation [I76]##34# ##334#TextureMatrixAggregation
_x000D_ConceptualDomain: IBSI?
_x000D_##334#</v>
      </c>
    </row>
    <row r="255" spans="3:3" x14ac:dyDescent="0.75">
      <c r="C255" s="14" t="str">
        <f>IF(Osiris!I255="//---- END","//---- END",Osiris!I255)</f>
        <v>* RadiomicsImageFilter 0..* BackboneElement ##34#RadiomicsImageFilter##34# ##334#RadiomicsImageFilter##334#</v>
      </c>
    </row>
    <row r="256" spans="3:3" ht="44.25" x14ac:dyDescent="0.75">
      <c r="C256" s="14" t="str">
        <f>IF(Osiris!I256="//---- END","//---- END",Osiris!I256)</f>
        <v>* RadiomicsImageFilter.SoftwareName 0..* BackboneElement ##34#SoftwareName [I77]##34# ##334#SoftwareName
_x000D_ConceptualDomain: IBSI?
_x000D_##334#</v>
      </c>
    </row>
    <row r="257" spans="3:3" ht="44.25" x14ac:dyDescent="0.75">
      <c r="C257" s="14" t="str">
        <f>IF(Osiris!I257="//---- END","//---- END",Osiris!I257)</f>
        <v>* RadiomicsImageFilter.SoftwareVersion 0..* BackboneElement ##34#SoftwareVersion [I78]##34# ##334#SoftwareVersion
_x000D_ConceptualDomain: IBSI?
_x000D_##334#</v>
      </c>
    </row>
    <row r="258" spans="3:3" ht="44.25" x14ac:dyDescent="0.75">
      <c r="C258" s="14" t="str">
        <f>IF(Osiris!I258="//---- END","//---- END",Osiris!I258)</f>
        <v>* RadiomicsImageFilter.FilterName 0..* BackboneElement ##34#FilterName [I79]##34# ##334#FilterName
_x000D_ConceptualDomain: IBSI?
_x000D_##334#</v>
      </c>
    </row>
    <row r="259" spans="3:3" ht="44.25" x14ac:dyDescent="0.75">
      <c r="C259" s="14" t="str">
        <f>IF(Osiris!I259="//---- END","//---- END",Osiris!I259)</f>
        <v>* RadiomicsImageFilter.FilterType 0..* BackboneElement ##34#FilterType [I80]##34# ##334#FilterType
_x000D_ConceptualDomain: IBSI?
_x000D_##334#</v>
      </c>
    </row>
    <row r="260" spans="3:3" ht="44.25" x14ac:dyDescent="0.75">
      <c r="C260" s="14" t="str">
        <f>IF(Osiris!I260="//---- END","//---- END",Osiris!I260)</f>
        <v>* RadiomicsImageFilter.FilterInterpolation 0..* BackboneElement ##34#FilterInterpolation [I81]##34# ##334#FilterInterpolation
_x000D_ConceptualDomain: IBSI?
_x000D_##334#</v>
      </c>
    </row>
    <row r="261" spans="3:3" ht="44.25" x14ac:dyDescent="0.75">
      <c r="C261" s="14" t="str">
        <f>IF(Osiris!I261="//---- END","//---- END",Osiris!I261)</f>
        <v>* RadiomicsImageFilter.IntensityRounding 0..* BackboneElement ##34#IntensityRounding [I82]##34# ##334#IntensityRounding
_x000D_ConceptualDomain: IBSI?
_x000D_##334#</v>
      </c>
    </row>
    <row r="262" spans="3:3" ht="59" x14ac:dyDescent="0.75">
      <c r="C262" s="14" t="str">
        <f>IF(Osiris!I262="//---- END","//---- END",Osiris!I262)</f>
        <v>* RadiomicsImageFilter.BoundaryCondition 0..* BackboneElement ##34#BoundaryCondition [I83]##34# ##334#BoundaryCondition
_x000D_ConceptualDomain: IBSI?
_x000D_##334#</v>
      </c>
    </row>
    <row r="263" spans="3:3" x14ac:dyDescent="0.75">
      <c r="C263" s="14" t="str">
        <f>IF(Osiris!I263="//---- END","//---- END",Osiris!I263)</f>
        <v>* RadiomicsFeature 0..* BackboneElement ##34#RadiomicsFeature##34# ##334#RadiomicsFeature##334#</v>
      </c>
    </row>
    <row r="264" spans="3:3" ht="44.25" x14ac:dyDescent="0.75">
      <c r="C264" s="14" t="str">
        <f>IF(Osiris!I264="//---- END","//---- END",Osiris!I264)</f>
        <v>* RadiomicsFeature.Id 0..* BackboneElement ##34#Id [I84]##34# ##334#Id
_x000D_ConceptualDomain: IBSI?
_x000D_##334#</v>
      </c>
    </row>
    <row r="265" spans="3:3" ht="44.25" x14ac:dyDescent="0.75">
      <c r="C265" s="14" t="str">
        <f>IF(Osiris!I265="//---- END","//---- END",Osiris!I265)</f>
        <v>* RadiomicsFeature.Name 0..* BackboneElement ##34#Name [I85]##34# ##334#Name
_x000D_ConceptualDomain: IBSI?
_x000D_##334#</v>
      </c>
    </row>
    <row r="266" spans="3:3" ht="44.25" x14ac:dyDescent="0.75">
      <c r="C266" s="14" t="str">
        <f>IF(Osiris!I266="//---- END","//---- END",Osiris!I266)</f>
        <v>* RadiomicsFeature.Value 0..* BackboneElement ##34#Value [I86]##34# ##334#Value
_x000D_ConceptualDomain: IBSI?
_x000D_##334#</v>
      </c>
    </row>
    <row r="267" spans="3:3" x14ac:dyDescent="0.75">
      <c r="C267" s="14" t="str">
        <f>IF(Osiris!I267="//---- END","//---- END",Osiris!I267)</f>
        <v>//---- END</v>
      </c>
    </row>
    <row r="268" spans="3:3" x14ac:dyDescent="0.75">
      <c r="C268" s="14" t="str">
        <f>IF(Osiris!I268="//---- END","//---- END",Osiris!I268)</f>
        <v>//---- END</v>
      </c>
    </row>
    <row r="269" spans="3:3" x14ac:dyDescent="0.75">
      <c r="C269" s="14" t="str">
        <f>IF(Osiris!I269="//---- END","//---- END",Osiris!I269)</f>
        <v>//---- END</v>
      </c>
    </row>
    <row r="270" spans="3:3" x14ac:dyDescent="0.75">
      <c r="C270" s="14"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1" max="2" width="8.7265625" style="11"/>
    <col min="3" max="3" width="108.2265625" style="14" customWidth="1"/>
    <col min="4" max="6" width="8.7265625" style="11"/>
    <col min="7" max="7" width="29.54296875" style="11" customWidth="1"/>
    <col min="8" max="8" width="54.90625" style="11" customWidth="1"/>
    <col min="9" max="16384" width="8.7265625" style="11"/>
  </cols>
  <sheetData>
    <row r="1" spans="3:7" ht="15.5" thickBot="1" x14ac:dyDescent="0.9">
      <c r="C1" s="28" t="str">
        <f>Osiris!I1</f>
        <v>// -------------------------------------------------------------------------------</v>
      </c>
    </row>
    <row r="2" spans="3:7" ht="16.75" thickBot="1" x14ac:dyDescent="0.9">
      <c r="C2" s="29" t="str">
        <f>Osiris!I2</f>
        <v>//  Logical Model</v>
      </c>
      <c r="G2" s="35" t="s">
        <v>1470</v>
      </c>
    </row>
    <row r="3" spans="3:7" x14ac:dyDescent="0.75">
      <c r="C3" s="29" t="str">
        <f>Osiris!I3</f>
        <v>// -------------------------------------------------------------------------------</v>
      </c>
    </row>
    <row r="4" spans="3:7" x14ac:dyDescent="0.75">
      <c r="C4" s="21" t="str">
        <f>Osiris!I4</f>
        <v>Logical: Osiris</v>
      </c>
    </row>
    <row r="5" spans="3:7" x14ac:dyDescent="0.75">
      <c r="C5" s="21" t="str">
        <f>Osiris!I5</f>
        <v>Id: Osiris</v>
      </c>
    </row>
    <row r="6" spans="3:7" x14ac:dyDescent="0.75">
      <c r="C6" s="21" t="str">
        <f>Osiris!I6</f>
        <v>Title: ##34#Osiris Model##34#</v>
      </c>
    </row>
    <row r="7" spans="3:7" x14ac:dyDescent="0.75">
      <c r="C7" s="21" t="str">
        <f>Osiris!I7</f>
        <v>Description:  ##334#Osiris Data Element Concept##334#</v>
      </c>
    </row>
    <row r="8" spans="3:7" x14ac:dyDescent="0.75">
      <c r="C8" s="14" t="str">
        <f>IF(Osiris!I8="*  ..  ##34###34# ##334###334#","//--- END",Osiris!I8)</f>
        <v>* Patient 1..* BackboneElement ##34#Patient##34# ##334#Patient##334#</v>
      </c>
    </row>
    <row r="9" spans="3:7" ht="29.5" x14ac:dyDescent="0.75">
      <c r="C9" s="14" t="str">
        <f>IF(Osiris!I9="*  ..  ##34###34# ##334###334#","//--- END",Osiris!I9)</f>
        <v>* Patient.Id 1..* string ##34#Patient Id [C1]##34# ##334#Patient ID in the center providing the information
_x000D_mandatory##334#</v>
      </c>
    </row>
    <row r="10" spans="3:7" ht="44.25" x14ac:dyDescent="0.75">
      <c r="C10" s="14" t="str">
        <f>IF(Osiris!I10="*  ..  ##34###34# ##334###334#","//--- END",Osiris!I10)</f>
        <v>* Patient.Gender 1..* string ##34#Gender [C2]##34# ##334#Gender of the patient
_x000D_ConceptualDomain: FHIR:AdministrativeGender
_x000D_mandatory##334#</v>
      </c>
    </row>
    <row r="11" spans="3:7" ht="44.25" x14ac:dyDescent="0.75">
      <c r="C11" s="14" t="str">
        <f>IF(Osiris!I11="*  ..  ##34###34# ##334###334#","//--- END",Osiris!I11)</f>
        <v>* Patient.Ethnicity 0..* string ##34#Ethnicity [C3]##34# ##334#Ethnicity of the patient
_x000D_ConceptualDomain: FHIR:Race
_x000D_optional##334#</v>
      </c>
    </row>
    <row r="12" spans="3:7" ht="29.5" x14ac:dyDescent="0.75">
      <c r="C12" s="14" t="str">
        <f>IF(Osiris!I12="*  ..  ##34###34# ##334###334#","//--- END",Osiris!I12)</f>
        <v>* Patient.BirthDate 1..* date ##34#Birth Date [C4]##34# ##334#Date of birth of the patient
_x000D_mandatory##334#</v>
      </c>
    </row>
    <row r="13" spans="3:7" ht="29.5" x14ac:dyDescent="0.75">
      <c r="C13" s="14" t="str">
        <f>IF(Osiris!I13="*  ..  ##34###34# ##334###334#","//--- END",Osiris!I13)</f>
        <v>* Patient.DeathDate 0..* date ##34#Death Date [C5]##34# ##334#Date of death of the patient
_x000D_optional##334#</v>
      </c>
    </row>
    <row r="14" spans="3:7" ht="44.25" x14ac:dyDescent="0.75">
      <c r="C14" s="14" t="str">
        <f>IF(Osiris!I14="*  ..  ##34###34# ##334###334#","//--- END",Osiris!I14)</f>
        <v>* Patient.ProviderCenterId 1..* string ##34#Provider  Center  Id [C6]##34# ##334#Center ID of the center providing the information
_x000D_mandatory##334#</v>
      </c>
    </row>
    <row r="15" spans="3:7" ht="29.5" x14ac:dyDescent="0.75">
      <c r="C15" s="14" t="str">
        <f>IF(Osiris!I15="*  ..  ##34###34# ##334###334#","//--- END",Osiris!I15)</f>
        <v>* Patient.OriginCenterId 1..* string ##34#Origin  Center  Id [C71]##34# ##334#Center ID of the center of origin of the patient
_x000D_mandatory##334#</v>
      </c>
    </row>
    <row r="16" spans="3:7" ht="44.25" x14ac:dyDescent="0.75">
      <c r="C16" s="14"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4"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8" t="str">
        <f>'Osiris-Map'!E1</f>
        <v>// -------------------------------------------------------------------------------</v>
      </c>
    </row>
    <row r="31" spans="3:3" x14ac:dyDescent="0.75">
      <c r="C31" s="29" t="str">
        <f>'Osiris-Map'!E2</f>
        <v>//  Map to FHIR R4</v>
      </c>
    </row>
    <row r="32" spans="3:3" x14ac:dyDescent="0.75">
      <c r="C32" s="29" t="str">
        <f>'Osiris-Map'!E3</f>
        <v>// -------------------------------------------------------------------------------</v>
      </c>
    </row>
    <row r="33" spans="3:3" x14ac:dyDescent="0.75">
      <c r="C33" s="14" t="str">
        <f>'Osiris-Map'!E4</f>
        <v>Mapping: xxxxxxxxx</v>
      </c>
    </row>
    <row r="34" spans="3:3" x14ac:dyDescent="0.75">
      <c r="C34" s="14" t="str">
        <f>'Osiris-Map'!E5</f>
        <v>Id: fhir</v>
      </c>
    </row>
    <row r="35" spans="3:3" x14ac:dyDescent="0.75">
      <c r="C35" s="14" t="str">
        <f>'Osiris-Map'!E6</f>
        <v>Title: ##34#Idea4RC Subject model to FHIR R4 Map##34#</v>
      </c>
    </row>
    <row r="36" spans="3:3" x14ac:dyDescent="0.75">
      <c r="C36" s="14" t="str">
        <f>'Osiris-Map'!E7</f>
        <v>Source: Osiris</v>
      </c>
    </row>
    <row r="37" spans="3:3" x14ac:dyDescent="0.75">
      <c r="C37" s="14" t="str">
        <f>'Osiris-Map'!E8</f>
        <v>Target: ##34#hl7.org/fhir/r4##34#</v>
      </c>
    </row>
    <row r="39" spans="3:3" x14ac:dyDescent="0.75">
      <c r="C39" s="4" t="str">
        <f>'Osiris-Map'!E9</f>
        <v>* -&gt; ##34###34#</v>
      </c>
    </row>
    <row r="40" spans="3:3" x14ac:dyDescent="0.75">
      <c r="C40" s="14" t="str">
        <f>IF('Osiris-Map'!E10="*  -&gt; ##34###34#","// --END",'Osiris-Map'!E10)</f>
        <v>* Patient -&gt; ##34#.birthDate##34#</v>
      </c>
    </row>
    <row r="41" spans="3:3" x14ac:dyDescent="0.75">
      <c r="C41" s="14" t="str">
        <f>IF('Osiris-Map'!E11="*  -&gt; ##34###34#","// --END",'Osiris-Map'!E11)</f>
        <v>* Patient.Id -&gt; ##34#.birthDate##34#</v>
      </c>
    </row>
    <row r="42" spans="3:3" x14ac:dyDescent="0.75">
      <c r="C42" s="14" t="str">
        <f>IF('Osiris-Map'!E12="*  -&gt; ##34###34#","// --END",'Osiris-Map'!E12)</f>
        <v>* Patient.Gender -&gt; ##34#.birthDate.extension('data-absent-reason').where(valueCode = 'unknown')##34#</v>
      </c>
    </row>
    <row r="43" spans="3:3" x14ac:dyDescent="0.75">
      <c r="C43" s="14" t="str">
        <f>IF('Osiris-Map'!E13="*  -&gt; ##34###34#","// --END",'Osiris-Map'!E13)</f>
        <v>* Patient.Ethnicity -&gt; ##34#.maritalStatus##34#</v>
      </c>
    </row>
    <row r="44" spans="3:3" x14ac:dyDescent="0.75">
      <c r="C44" s="14" t="str">
        <f>IF('Osiris-Map'!E14="*  -&gt; ##34###34#","// --END",'Osiris-Map'!E14)</f>
        <v>* Patient.BirthDate -&gt; ##34#.gender##34#</v>
      </c>
    </row>
    <row r="45" spans="3:3" x14ac:dyDescent="0.75">
      <c r="C45" s="14" t="str">
        <f>IF('Osiris-Map'!E15="*  -&gt; ##34###34#","// --END",'Osiris-Map'!E15)</f>
        <v>* Patient.BirthDate -&gt; ##34#.extension('individual-recordedSexOrGender').value##34#</v>
      </c>
    </row>
    <row r="46" spans="3:3" x14ac:dyDescent="0.75">
      <c r="C46" s="14" t="str">
        <f>IF('Osiris-Map'!E16="*  -&gt; ##34###34#","// --END",'Osiris-Map'!E16)</f>
        <v>* Patient.BirthDate -&gt; ##34#.extension('patient-sexForClinicalUse').value##34#</v>
      </c>
    </row>
    <row r="47" spans="3:3" x14ac:dyDescent="0.75">
      <c r="C47" s="14" t="str">
        <f>IF('Osiris-Map'!E17="*  -&gt; ##34###34#","// --END",'Osiris-Map'!E17)</f>
        <v>* Patient.DeathDate -&gt; ##34#to be mapped##34#</v>
      </c>
    </row>
    <row r="48" spans="3:3" x14ac:dyDescent="0.75">
      <c r="C48" s="14" t="str">
        <f>IF('Osiris-Map'!E18="*  -&gt; ##34###34#","// --END",'Osiris-Map'!E18)</f>
        <v>* Patient.ProviderCenterId -&gt; ##34#.address.country##34#</v>
      </c>
    </row>
    <row r="49" spans="3:3" x14ac:dyDescent="0.75">
      <c r="C49" s="14" t="str">
        <f>IF('Osiris-Map'!E19="*  -&gt; ##34###34#","// --END",'Osiris-Map'!E19)</f>
        <v>* Patient.OriginCenterId -&gt; ##34###34#</v>
      </c>
    </row>
    <row r="50" spans="3:3" x14ac:dyDescent="0.75">
      <c r="C50" s="14" t="str">
        <f>IF('Osiris-Map'!E20="*  -&gt; ##34###34#","// --END",'Osiris-Map'!E20)</f>
        <v>* Patient.CauseOfDeath -&gt; ##34###34#</v>
      </c>
    </row>
    <row r="51" spans="3:3" x14ac:dyDescent="0.75">
      <c r="C51" s="14"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1:Q184"/>
  <sheetViews>
    <sheetView topLeftCell="L1" workbookViewId="0">
      <selection activeCell="P3" sqref="P3:Q9"/>
    </sheetView>
  </sheetViews>
  <sheetFormatPr defaultRowHeight="14.75" x14ac:dyDescent="0.75"/>
  <cols>
    <col min="1" max="1" width="8.7265625" style="11"/>
    <col min="2" max="2" width="31.6796875" style="11" bestFit="1" customWidth="1"/>
    <col min="3" max="3" width="31.6796875" style="11" customWidth="1"/>
    <col min="4" max="4" width="41.6796875" style="12" customWidth="1"/>
    <col min="5" max="5" width="23.2265625" style="12" customWidth="1"/>
    <col min="6" max="6" width="29.1328125" style="11" customWidth="1"/>
    <col min="7" max="7" width="13.2265625" style="11" customWidth="1"/>
    <col min="8" max="8" width="46.76953125" style="12" bestFit="1" customWidth="1"/>
    <col min="9" max="9" width="44.953125" style="11" customWidth="1"/>
    <col min="10" max="12" width="29.1328125" style="11" customWidth="1"/>
    <col min="13" max="13" width="33.6796875" style="12" customWidth="1"/>
    <col min="14" max="16" width="28.90625" style="11" customWidth="1"/>
    <col min="17" max="17" width="72.81640625" style="11" customWidth="1"/>
    <col min="18" max="22" width="28.90625" style="11" customWidth="1"/>
    <col min="23" max="16384" width="8.7265625" style="11"/>
  </cols>
  <sheetData>
    <row r="1" spans="1:17" x14ac:dyDescent="0.75">
      <c r="B1" s="15"/>
      <c r="C1" s="15"/>
      <c r="D1" s="2"/>
      <c r="E1" s="2"/>
    </row>
    <row r="2" spans="1:17" x14ac:dyDescent="0.75">
      <c r="B2" s="15"/>
      <c r="C2" s="15"/>
      <c r="D2" s="2"/>
      <c r="E2" s="2"/>
    </row>
    <row r="3" spans="1:17" ht="45" thickBot="1" x14ac:dyDescent="0.9">
      <c r="B3" s="15"/>
      <c r="C3" s="15"/>
      <c r="D3" s="2"/>
      <c r="E3" s="2"/>
      <c r="H3" s="78" t="s">
        <v>1412</v>
      </c>
      <c r="I3" s="78" t="s">
        <v>1413</v>
      </c>
      <c r="J3" s="78" t="s">
        <v>1414</v>
      </c>
      <c r="K3" s="78" t="s">
        <v>1415</v>
      </c>
      <c r="L3" s="13" t="s">
        <v>1416</v>
      </c>
      <c r="N3" s="59" t="s">
        <v>1451</v>
      </c>
      <c r="O3" s="59">
        <v>5</v>
      </c>
    </row>
    <row r="4" spans="1:17" ht="15.5" thickBot="1" x14ac:dyDescent="0.9">
      <c r="B4" s="10" t="s">
        <v>18</v>
      </c>
      <c r="C4" s="34" t="s">
        <v>176</v>
      </c>
      <c r="E4" s="64"/>
      <c r="H4" s="14"/>
      <c r="I4" s="13"/>
      <c r="J4" s="13"/>
      <c r="K4" s="13"/>
      <c r="L4" s="13"/>
    </row>
    <row r="5" spans="1:17" ht="15.5" thickBot="1" x14ac:dyDescent="0.9">
      <c r="B5" s="10" t="s">
        <v>17</v>
      </c>
      <c r="C5" s="16" t="s">
        <v>14</v>
      </c>
      <c r="E5" s="65"/>
      <c r="H5" s="14"/>
      <c r="I5" s="13"/>
      <c r="J5" s="13"/>
      <c r="K5" s="13"/>
      <c r="L5" s="13"/>
    </row>
    <row r="6" spans="1:17" ht="15.5" thickBot="1" x14ac:dyDescent="0.9">
      <c r="B6" s="10" t="s">
        <v>11</v>
      </c>
      <c r="C6" s="7" t="s">
        <v>168</v>
      </c>
      <c r="E6" s="7"/>
      <c r="H6" s="21" t="s">
        <v>1454</v>
      </c>
      <c r="I6" s="79" t="s">
        <v>1455</v>
      </c>
      <c r="J6" s="21" t="s">
        <v>1452</v>
      </c>
      <c r="K6" s="79" t="s">
        <v>1453</v>
      </c>
      <c r="L6" s="73" t="s">
        <v>1447</v>
      </c>
    </row>
    <row r="7" spans="1:17" x14ac:dyDescent="0.75">
      <c r="B7" s="70" t="s">
        <v>19</v>
      </c>
      <c r="C7" s="66" t="str">
        <f>B9</f>
        <v>Osiris</v>
      </c>
      <c r="E7" s="66"/>
      <c r="H7" s="14"/>
      <c r="I7" s="13"/>
      <c r="J7" s="13"/>
      <c r="K7" s="13"/>
      <c r="L7" s="13"/>
    </row>
    <row r="8" spans="1:17" x14ac:dyDescent="0.75">
      <c r="B8" s="72" t="s">
        <v>16</v>
      </c>
      <c r="C8" s="13" t="s">
        <v>13</v>
      </c>
      <c r="D8" s="14"/>
      <c r="E8" s="13"/>
      <c r="F8" s="73" t="s">
        <v>1447</v>
      </c>
      <c r="G8" s="76"/>
      <c r="H8" s="14"/>
      <c r="I8" s="13"/>
      <c r="J8" s="73"/>
      <c r="K8" s="73"/>
      <c r="L8" s="73"/>
    </row>
    <row r="9" spans="1:17" x14ac:dyDescent="0.75">
      <c r="A9" s="69"/>
      <c r="B9" s="6" t="str">
        <f>Osiris!B5</f>
        <v>Osiris</v>
      </c>
      <c r="C9" s="13"/>
      <c r="D9" s="6"/>
      <c r="E9" s="6"/>
      <c r="F9" s="13"/>
      <c r="G9" s="15"/>
      <c r="H9" s="14"/>
      <c r="I9" s="13"/>
      <c r="J9" s="13"/>
      <c r="K9" s="13"/>
      <c r="L9" s="73"/>
    </row>
    <row r="10" spans="1:17" ht="44.25" x14ac:dyDescent="0.75">
      <c r="A10" s="69"/>
      <c r="B10" s="13" t="str">
        <f>Osiris!B8</f>
        <v>Patient</v>
      </c>
      <c r="C10" s="13" t="str">
        <f>Osiris!C8</f>
        <v>Patient</v>
      </c>
      <c r="D10" s="67" t="str">
        <f>Subject!B5</f>
        <v>Subject</v>
      </c>
      <c r="E10" s="67" t="str">
        <f>Subject!B6</f>
        <v>Subject of care</v>
      </c>
      <c r="F10" s="74" t="s">
        <v>1439</v>
      </c>
      <c r="G10" s="77"/>
      <c r="H10" s="14" t="str">
        <f>"* group[=].element[+].code = #"&amp;$B$9&amp;"."&amp;B10</f>
        <v>* group[=].element[+].code = #Osiris.Patient</v>
      </c>
      <c r="I10" s="14" t="str">
        <f>"* group[=].element[=].display = ##34#"&amp;C10&amp;"##34#"</f>
        <v>* group[=].element[=].display = ##34#Patient##34#</v>
      </c>
      <c r="J10" s="14" t="str">
        <f>IF(F10="unmatched","//-- unmatched","* group[=].element[=].target.code = #"&amp;D10)</f>
        <v>* group[=].element[=].target.code = #Subject</v>
      </c>
      <c r="K10" s="14" t="str">
        <f>IF(F10="unmatched","//-- unmatched","* group[=].element[=].target.display = ##34#"&amp;E10&amp;"##34#")</f>
        <v>* group[=].element[=].target.display = ##34#Subject of care##34#</v>
      </c>
      <c r="L10" s="14" t="str">
        <f>"* group[=].element[=].target.equivalence = #"&amp;F10</f>
        <v>* group[=].element[=].target.equivalence = #equivalent</v>
      </c>
      <c r="N10" s="13">
        <v>1</v>
      </c>
      <c r="O10" s="13">
        <f>IF(MOD(N10,$O$3)=0,N10/$O$3-1,INT(N10/$O$3))</f>
        <v>0</v>
      </c>
      <c r="P10" s="13">
        <f>IF(MOD(N10,$O$3)=0,$O$3,MOD(N10,$O$3))</f>
        <v>1</v>
      </c>
      <c r="Q10" s="14" t="str" cm="1">
        <f t="array" ref="Q10">INDEX('Osiris-ConceptMap'!$H$10:$L$264,O10+1,P10)</f>
        <v>* group[=].element[+].code = #Osiris.Patient</v>
      </c>
    </row>
    <row r="11" spans="1:17" ht="44.25" x14ac:dyDescent="0.75">
      <c r="A11" s="69"/>
      <c r="B11" s="13" t="str">
        <f>Osiris!B9</f>
        <v>Patient.Id</v>
      </c>
      <c r="C11" s="13" t="str">
        <f>Osiris!C9</f>
        <v>Patient Id [C1]</v>
      </c>
      <c r="D11" s="13"/>
      <c r="E11" s="13"/>
      <c r="F11" s="74" t="s">
        <v>1434</v>
      </c>
      <c r="G11" s="77"/>
      <c r="H11" s="14" t="str">
        <f t="shared" ref="H11:H20" si="0">"* group[=].element[+].code = #"&amp;$B$9&amp;"."&amp;B11</f>
        <v>* group[=].element[+].code = #Osiris.Patient.Id</v>
      </c>
      <c r="I11" s="14" t="str">
        <f t="shared" ref="I11:I20" si="1">"* group[=].element[=].display = ##34#"&amp;C11&amp;"##34#"</f>
        <v>* group[=].element[=].display = ##34#Patient Id [C1]##34#</v>
      </c>
      <c r="J11" s="14" t="str">
        <f t="shared" ref="J11:J20" si="2">IF(F11="unmatched","//-- unmatched","* group[=].element[=].target.code = #"&amp;D11)</f>
        <v>//-- unmatched</v>
      </c>
      <c r="K11" s="14" t="str">
        <f t="shared" ref="K11:K20" si="3">IF(F11="unmatched","//-- unmatched","* group[=].element[=].target.display = ##34#"&amp;E11&amp;"##34#")</f>
        <v>//-- unmatched</v>
      </c>
      <c r="L11" s="14" t="str">
        <f t="shared" ref="L11:L20" si="4">"* group[=].element[=].target.equivalence = #"&amp;F11</f>
        <v>* group[=].element[=].target.equivalence = #unmatched</v>
      </c>
      <c r="N11" s="13">
        <v>2</v>
      </c>
      <c r="O11" s="13">
        <f t="shared" ref="O11:O74" si="5">IF(MOD(N11,$O$3)=0,N11/$O$3-1,INT(N11/$O$3))</f>
        <v>0</v>
      </c>
      <c r="P11" s="13">
        <f t="shared" ref="P11:P74" si="6">IF(MOD(N11,$O$3)=0,$O$3,MOD(N11,$O$3))</f>
        <v>2</v>
      </c>
      <c r="Q11" s="14" t="str" cm="1">
        <f t="array" ref="Q11">INDEX('Osiris-ConceptMap'!$H$10:$L$264,O11+1,P11)</f>
        <v>* group[=].element[=].display = ##34#Patient##34#</v>
      </c>
    </row>
    <row r="12" spans="1:17" ht="44.25" x14ac:dyDescent="0.75">
      <c r="A12" s="69"/>
      <c r="B12" s="13" t="str">
        <f>Osiris!B10</f>
        <v>Patient.Gender</v>
      </c>
      <c r="C12" s="13" t="str">
        <f>Osiris!C10</f>
        <v>Gender [C2]</v>
      </c>
      <c r="D12" s="13" t="str">
        <f>$D$10&amp;"."&amp;Subject!B12</f>
        <v>Subject.sexOrGender</v>
      </c>
      <c r="E12" s="13" t="str">
        <f>Subject!C12</f>
        <v>Gender/Sex</v>
      </c>
      <c r="F12" s="74" t="s">
        <v>1441</v>
      </c>
      <c r="G12" s="77"/>
      <c r="H12" s="14" t="str">
        <f t="shared" si="0"/>
        <v>* group[=].element[+].code = #Osiris.Patient.Gender</v>
      </c>
      <c r="I12" s="14" t="str">
        <f t="shared" si="1"/>
        <v>* group[=].element[=].display = ##34#Gender [C2]##34#</v>
      </c>
      <c r="J12" s="14" t="str">
        <f t="shared" si="2"/>
        <v>* group[=].element[=].target.code = #Subject.sexOrGender</v>
      </c>
      <c r="K12" s="14" t="str">
        <f t="shared" si="3"/>
        <v>* group[=].element[=].target.display = ##34#Gender/Sex##34#</v>
      </c>
      <c r="L12" s="14" t="str">
        <f t="shared" si="4"/>
        <v>* group[=].element[=].target.equivalence = #wider</v>
      </c>
      <c r="N12" s="13">
        <v>3</v>
      </c>
      <c r="O12" s="13">
        <f t="shared" si="5"/>
        <v>0</v>
      </c>
      <c r="P12" s="13">
        <f t="shared" si="6"/>
        <v>3</v>
      </c>
      <c r="Q12" s="14" t="str" cm="1">
        <f t="array" ref="Q12">INDEX('Osiris-ConceptMap'!$H$10:$L$264,O12+1,P12)</f>
        <v>* group[=].element[=].target.code = #Subject</v>
      </c>
    </row>
    <row r="13" spans="1:17" ht="44.25" x14ac:dyDescent="0.75">
      <c r="A13" s="69"/>
      <c r="B13" s="13" t="str">
        <f>Osiris!B11</f>
        <v>Patient.Ethnicity</v>
      </c>
      <c r="C13" s="13" t="str">
        <f>Osiris!C11</f>
        <v>Ethnicity [C3]</v>
      </c>
      <c r="D13" s="13" t="str">
        <f>$D$10&amp;"."&amp;Subject!B13</f>
        <v>Subject.race</v>
      </c>
      <c r="E13" s="13" t="str">
        <f>Subject!C13</f>
        <v>Race</v>
      </c>
      <c r="F13" s="74" t="s">
        <v>1417</v>
      </c>
      <c r="G13" s="77"/>
      <c r="H13" s="14" t="str">
        <f t="shared" si="0"/>
        <v>* group[=].element[+].code = #Osiris.Patient.Ethnicity</v>
      </c>
      <c r="I13" s="14" t="str">
        <f t="shared" si="1"/>
        <v>* group[=].element[=].display = ##34#Ethnicity [C3]##34#</v>
      </c>
      <c r="J13" s="14" t="str">
        <f t="shared" si="2"/>
        <v>* group[=].element[=].target.code = #Subject.race</v>
      </c>
      <c r="K13" s="14" t="str">
        <f t="shared" si="3"/>
        <v>* group[=].element[=].target.display = ##34#Race##34#</v>
      </c>
      <c r="L13" s="14" t="str">
        <f t="shared" si="4"/>
        <v>* group[=].element[=].target.equivalence = #relatedto</v>
      </c>
      <c r="N13" s="13">
        <v>4</v>
      </c>
      <c r="O13" s="13">
        <f t="shared" si="5"/>
        <v>0</v>
      </c>
      <c r="P13" s="13">
        <f t="shared" si="6"/>
        <v>4</v>
      </c>
      <c r="Q13" s="14" t="str" cm="1">
        <f t="array" ref="Q13">INDEX('Osiris-ConceptMap'!$H$10:$L$264,O13+1,P13)</f>
        <v>* group[=].element[=].target.display = ##34#Subject of care##34#</v>
      </c>
    </row>
    <row r="14" spans="1:17" ht="44.25" x14ac:dyDescent="0.75">
      <c r="A14" s="69"/>
      <c r="B14" s="13" t="str">
        <f>Osiris!$B$12</f>
        <v>Patient.BirthDate</v>
      </c>
      <c r="C14" s="13" t="str">
        <f>Osiris!C12</f>
        <v>Birth Date [C4]</v>
      </c>
      <c r="D14" s="13" t="str">
        <f>$D$10&amp;"."&amp;Subject!B9</f>
        <v>Subject.dateOfBirth.date</v>
      </c>
      <c r="E14" s="13" t="str">
        <f>Subject!C9</f>
        <v>Date of birth</v>
      </c>
      <c r="F14" s="74" t="s">
        <v>1439</v>
      </c>
      <c r="G14" s="77"/>
      <c r="H14" s="14" t="str">
        <f t="shared" si="0"/>
        <v>* group[=].element[+].code = #Osiris.Patient.BirthDate</v>
      </c>
      <c r="I14" s="14" t="str">
        <f t="shared" si="1"/>
        <v>* group[=].element[=].display = ##34#Birth Date [C4]##34#</v>
      </c>
      <c r="J14" s="14" t="str">
        <f t="shared" si="2"/>
        <v>* group[=].element[=].target.code = #Subject.dateOfBirth.date</v>
      </c>
      <c r="K14" s="14" t="str">
        <f t="shared" si="3"/>
        <v>* group[=].element[=].target.display = ##34#Date of birth##34#</v>
      </c>
      <c r="L14" s="14" t="str">
        <f t="shared" si="4"/>
        <v>* group[=].element[=].target.equivalence = #equivalent</v>
      </c>
      <c r="N14" s="13">
        <v>5</v>
      </c>
      <c r="O14" s="13">
        <f t="shared" si="5"/>
        <v>0</v>
      </c>
      <c r="P14" s="13">
        <f t="shared" si="6"/>
        <v>5</v>
      </c>
      <c r="Q14" s="14" t="str" cm="1">
        <f t="array" ref="Q14">INDEX('Osiris-ConceptMap'!$H$10:$L$264,O14+1,P14)</f>
        <v>* group[=].element[=].target.equivalence = #equivalent</v>
      </c>
    </row>
    <row r="15" spans="1:17" ht="44.25" x14ac:dyDescent="0.75">
      <c r="A15" s="69"/>
      <c r="B15" s="13" t="str">
        <f>Osiris!B13</f>
        <v>Patient.DeathDate</v>
      </c>
      <c r="C15" s="13" t="str">
        <f>Osiris!C13</f>
        <v>Death Date [C5]</v>
      </c>
      <c r="D15" s="13"/>
      <c r="E15" s="13"/>
      <c r="F15" s="74" t="s">
        <v>1434</v>
      </c>
      <c r="G15" s="77"/>
      <c r="H15" s="14" t="str">
        <f t="shared" si="0"/>
        <v>* group[=].element[+].code = #Osiris.Patient.DeathDate</v>
      </c>
      <c r="I15" s="14" t="str">
        <f t="shared" si="1"/>
        <v>* group[=].element[=].display = ##34#Death Date [C5]##34#</v>
      </c>
      <c r="J15" s="14" t="str">
        <f t="shared" si="2"/>
        <v>//-- unmatched</v>
      </c>
      <c r="K15" s="14" t="str">
        <f t="shared" si="3"/>
        <v>//-- unmatched</v>
      </c>
      <c r="L15" s="14" t="str">
        <f t="shared" si="4"/>
        <v>* group[=].element[=].target.equivalence = #unmatched</v>
      </c>
      <c r="N15" s="13">
        <v>6</v>
      </c>
      <c r="O15" s="13">
        <f t="shared" si="5"/>
        <v>1</v>
      </c>
      <c r="P15" s="13">
        <f t="shared" si="6"/>
        <v>1</v>
      </c>
      <c r="Q15" s="14" t="str" cm="1">
        <f t="array" ref="Q15">INDEX('Osiris-ConceptMap'!$H$10:$L$264,O15+1,P15)</f>
        <v>* group[=].element[+].code = #Osiris.Patient.Id</v>
      </c>
    </row>
    <row r="16" spans="1:17" ht="44.25" x14ac:dyDescent="0.75">
      <c r="A16" s="69"/>
      <c r="B16" s="13" t="str">
        <f>Osiris!B14</f>
        <v>Patient.ProviderCenterId</v>
      </c>
      <c r="C16" s="13" t="str">
        <f>Osiris!C14</f>
        <v>Provider  Center  Id [C6]</v>
      </c>
      <c r="D16" s="13"/>
      <c r="E16" s="13"/>
      <c r="F16" s="74" t="s">
        <v>1434</v>
      </c>
      <c r="G16" s="77"/>
      <c r="H16" s="14" t="str">
        <f t="shared" si="0"/>
        <v>* group[=].element[+].code = #Osiris.Patient.ProviderCenterId</v>
      </c>
      <c r="I16" s="14" t="str">
        <f t="shared" si="1"/>
        <v>* group[=].element[=].display = ##34#Provider  Center  Id [C6]##34#</v>
      </c>
      <c r="J16" s="14" t="str">
        <f t="shared" si="2"/>
        <v>//-- unmatched</v>
      </c>
      <c r="K16" s="14" t="str">
        <f t="shared" si="3"/>
        <v>//-- unmatched</v>
      </c>
      <c r="L16" s="14" t="str">
        <f t="shared" si="4"/>
        <v>* group[=].element[=].target.equivalence = #unmatched</v>
      </c>
      <c r="N16" s="13">
        <v>7</v>
      </c>
      <c r="O16" s="13">
        <f t="shared" si="5"/>
        <v>1</v>
      </c>
      <c r="P16" s="13">
        <f t="shared" si="6"/>
        <v>2</v>
      </c>
      <c r="Q16" s="14" t="str" cm="1">
        <f t="array" ref="Q16">INDEX('Osiris-ConceptMap'!$H$10:$L$264,O16+1,P16)</f>
        <v>* group[=].element[=].display = ##34#Patient Id [C1]##34#</v>
      </c>
    </row>
    <row r="17" spans="1:17" ht="44.25" x14ac:dyDescent="0.75">
      <c r="A17" s="69"/>
      <c r="B17" s="13" t="str">
        <f>Osiris!B15</f>
        <v>Patient.OriginCenterId</v>
      </c>
      <c r="C17" s="13" t="str">
        <f>Osiris!C15</f>
        <v>Origin  Center  Id [C71]</v>
      </c>
      <c r="D17" s="13"/>
      <c r="E17" s="14"/>
      <c r="F17" s="74" t="s">
        <v>1434</v>
      </c>
      <c r="G17" s="77"/>
      <c r="H17" s="14" t="str">
        <f t="shared" si="0"/>
        <v>* group[=].element[+].code = #Osiris.Patient.OriginCenterId</v>
      </c>
      <c r="I17" s="14" t="str">
        <f t="shared" si="1"/>
        <v>* group[=].element[=].display = ##34#Origin  Center  Id [C71]##34#</v>
      </c>
      <c r="J17" s="14" t="str">
        <f t="shared" si="2"/>
        <v>//-- unmatched</v>
      </c>
      <c r="K17" s="14" t="str">
        <f t="shared" si="3"/>
        <v>//-- unmatched</v>
      </c>
      <c r="L17" s="14" t="str">
        <f t="shared" si="4"/>
        <v>* group[=].element[=].target.equivalence = #unmatched</v>
      </c>
      <c r="N17" s="13">
        <v>8</v>
      </c>
      <c r="O17" s="13">
        <f t="shared" si="5"/>
        <v>1</v>
      </c>
      <c r="P17" s="13">
        <f t="shared" si="6"/>
        <v>3</v>
      </c>
      <c r="Q17" s="14" t="str" cm="1">
        <f t="array" ref="Q17">INDEX('Osiris-ConceptMap'!$H$10:$L$264,O17+1,P17)</f>
        <v>//-- unmatched</v>
      </c>
    </row>
    <row r="18" spans="1:17" ht="44.25" x14ac:dyDescent="0.75">
      <c r="A18" s="69"/>
      <c r="B18" s="13" t="str">
        <f>Osiris!B16</f>
        <v>Patient.CauseOfDeath</v>
      </c>
      <c r="C18" s="13" t="str">
        <f>Osiris!C16</f>
        <v>Cause of death [C7]</v>
      </c>
      <c r="D18" s="13"/>
      <c r="E18" s="14"/>
      <c r="F18" s="74" t="s">
        <v>1434</v>
      </c>
      <c r="G18" s="77"/>
      <c r="H18" s="14" t="str">
        <f t="shared" si="0"/>
        <v>* group[=].element[+].code = #Osiris.Patient.CauseOfDeath</v>
      </c>
      <c r="I18" s="14" t="str">
        <f t="shared" si="1"/>
        <v>* group[=].element[=].display = ##34#Cause of death [C7]##34#</v>
      </c>
      <c r="J18" s="14" t="str">
        <f t="shared" si="2"/>
        <v>//-- unmatched</v>
      </c>
      <c r="K18" s="14" t="str">
        <f t="shared" si="3"/>
        <v>//-- unmatched</v>
      </c>
      <c r="L18" s="14" t="str">
        <f t="shared" si="4"/>
        <v>* group[=].element[=].target.equivalence = #unmatched</v>
      </c>
      <c r="N18" s="13">
        <v>9</v>
      </c>
      <c r="O18" s="13">
        <f t="shared" si="5"/>
        <v>1</v>
      </c>
      <c r="P18" s="13">
        <f t="shared" si="6"/>
        <v>4</v>
      </c>
      <c r="Q18" s="14" t="str" cm="1">
        <f t="array" ref="Q18">INDEX('Osiris-ConceptMap'!$H$10:$L$264,O18+1,P18)</f>
        <v>//-- unmatched</v>
      </c>
    </row>
    <row r="19" spans="1:17" ht="44.25" x14ac:dyDescent="0.75">
      <c r="B19" s="13" t="str">
        <f>Osiris!B17</f>
        <v>Patient.LastNewsDate</v>
      </c>
      <c r="C19" s="13" t="str">
        <f>Osiris!C17</f>
        <v>Last News Date [C8]</v>
      </c>
      <c r="D19" s="13"/>
      <c r="E19" s="14"/>
      <c r="F19" s="74" t="s">
        <v>1434</v>
      </c>
      <c r="G19" s="77"/>
      <c r="H19" s="14" t="str">
        <f t="shared" si="0"/>
        <v>* group[=].element[+].code = #Osiris.Patient.LastNewsDate</v>
      </c>
      <c r="I19" s="14" t="str">
        <f t="shared" si="1"/>
        <v>* group[=].element[=].display = ##34#Last News Date [C8]##34#</v>
      </c>
      <c r="J19" s="14" t="str">
        <f t="shared" si="2"/>
        <v>//-- unmatched</v>
      </c>
      <c r="K19" s="14" t="str">
        <f t="shared" si="3"/>
        <v>//-- unmatched</v>
      </c>
      <c r="L19" s="14" t="str">
        <f t="shared" si="4"/>
        <v>* group[=].element[=].target.equivalence = #unmatched</v>
      </c>
      <c r="N19" s="13">
        <v>10</v>
      </c>
      <c r="O19" s="13">
        <f t="shared" si="5"/>
        <v>1</v>
      </c>
      <c r="P19" s="13">
        <f t="shared" si="6"/>
        <v>5</v>
      </c>
      <c r="Q19" s="14" t="str" cm="1">
        <f t="array" ref="Q19">INDEX('Osiris-ConceptMap'!$H$10:$L$264,O19+1,P19)</f>
        <v>* group[=].element[=].target.equivalence = #unmatched</v>
      </c>
    </row>
    <row r="20" spans="1:17" ht="44.25" x14ac:dyDescent="0.75">
      <c r="B20" s="13" t="str">
        <f>Osiris!B18</f>
        <v>Patient.LastNewsStatus</v>
      </c>
      <c r="C20" s="13" t="str">
        <f>Osiris!C18</f>
        <v>Last News Status [C9]</v>
      </c>
      <c r="D20" s="13"/>
      <c r="E20" s="14"/>
      <c r="F20" s="74" t="s">
        <v>1434</v>
      </c>
      <c r="G20" s="77"/>
      <c r="H20" s="14" t="str">
        <f t="shared" si="0"/>
        <v>* group[=].element[+].code = #Osiris.Patient.LastNewsStatus</v>
      </c>
      <c r="I20" s="14" t="str">
        <f t="shared" si="1"/>
        <v>* group[=].element[=].display = ##34#Last News Status [C9]##34#</v>
      </c>
      <c r="J20" s="14" t="str">
        <f t="shared" si="2"/>
        <v>//-- unmatched</v>
      </c>
      <c r="K20" s="14" t="str">
        <f t="shared" si="3"/>
        <v>//-- unmatched</v>
      </c>
      <c r="L20" s="14" t="str">
        <f t="shared" si="4"/>
        <v>* group[=].element[=].target.equivalence = #unmatched</v>
      </c>
      <c r="N20" s="13">
        <v>11</v>
      </c>
      <c r="O20" s="13">
        <f t="shared" si="5"/>
        <v>2</v>
      </c>
      <c r="P20" s="13">
        <f t="shared" si="6"/>
        <v>1</v>
      </c>
      <c r="Q20" s="14" t="str" cm="1">
        <f t="array" ref="Q20">INDEX('Osiris-ConceptMap'!$H$10:$L$264,O20+1,P20)</f>
        <v>* group[=].element[+].code = #Osiris.Patient.Gender</v>
      </c>
    </row>
    <row r="21" spans="1:17" x14ac:dyDescent="0.75">
      <c r="B21" s="13"/>
      <c r="C21" s="13"/>
      <c r="D21" s="13"/>
      <c r="E21" s="14"/>
      <c r="F21" s="74"/>
      <c r="G21" s="77"/>
      <c r="J21" s="77"/>
      <c r="K21" s="77"/>
      <c r="L21" s="76"/>
      <c r="N21" s="13">
        <v>12</v>
      </c>
      <c r="O21" s="13">
        <f t="shared" si="5"/>
        <v>2</v>
      </c>
      <c r="P21" s="13">
        <f t="shared" si="6"/>
        <v>2</v>
      </c>
      <c r="Q21" s="14" t="str" cm="1">
        <f t="array" ref="Q21">INDEX('Osiris-ConceptMap'!$H$10:$L$264,O21+1,P21)</f>
        <v>* group[=].element[=].display = ##34#Gender [C2]##34#</v>
      </c>
    </row>
    <row r="22" spans="1:17" x14ac:dyDescent="0.75">
      <c r="B22" s="13"/>
      <c r="C22" s="13"/>
      <c r="D22" s="13"/>
      <c r="E22" s="14"/>
      <c r="F22" s="74"/>
      <c r="G22" s="77"/>
      <c r="J22" s="77"/>
      <c r="K22" s="77"/>
      <c r="L22" s="76"/>
      <c r="N22" s="13">
        <v>13</v>
      </c>
      <c r="O22" s="13">
        <f t="shared" si="5"/>
        <v>2</v>
      </c>
      <c r="P22" s="13">
        <f t="shared" si="6"/>
        <v>3</v>
      </c>
      <c r="Q22" s="14" t="str" cm="1">
        <f t="array" ref="Q22">INDEX('Osiris-ConceptMap'!$H$10:$L$264,O22+1,P22)</f>
        <v>* group[=].element[=].target.code = #Subject.sexOrGender</v>
      </c>
    </row>
    <row r="23" spans="1:17" x14ac:dyDescent="0.75">
      <c r="B23" s="13"/>
      <c r="C23" s="13"/>
      <c r="D23" s="13"/>
      <c r="E23" s="14"/>
      <c r="F23" s="74"/>
      <c r="G23" s="77"/>
      <c r="J23" s="77"/>
      <c r="K23" s="77"/>
      <c r="L23" s="76"/>
      <c r="N23" s="13">
        <v>14</v>
      </c>
      <c r="O23" s="13">
        <f t="shared" si="5"/>
        <v>2</v>
      </c>
      <c r="P23" s="13">
        <f t="shared" si="6"/>
        <v>4</v>
      </c>
      <c r="Q23" s="14" t="str" cm="1">
        <f t="array" ref="Q23">INDEX('Osiris-ConceptMap'!$H$10:$L$264,O23+1,P23)</f>
        <v>* group[=].element[=].target.display = ##34#Gender/Sex##34#</v>
      </c>
    </row>
    <row r="24" spans="1:17" x14ac:dyDescent="0.75">
      <c r="B24" s="13"/>
      <c r="C24" s="13"/>
      <c r="D24" s="13"/>
      <c r="E24" s="14"/>
      <c r="F24" s="74"/>
      <c r="G24" s="77"/>
      <c r="J24" s="77"/>
      <c r="K24" s="77"/>
      <c r="L24" s="76"/>
      <c r="N24" s="13">
        <v>15</v>
      </c>
      <c r="O24" s="13">
        <f t="shared" si="5"/>
        <v>2</v>
      </c>
      <c r="P24" s="13">
        <f t="shared" si="6"/>
        <v>5</v>
      </c>
      <c r="Q24" s="14" t="str" cm="1">
        <f t="array" ref="Q24">INDEX('Osiris-ConceptMap'!$H$10:$L$264,O24+1,P24)</f>
        <v>* group[=].element[=].target.equivalence = #wider</v>
      </c>
    </row>
    <row r="25" spans="1:17" x14ac:dyDescent="0.75">
      <c r="B25" s="13"/>
      <c r="C25" s="13"/>
      <c r="D25" s="13"/>
      <c r="E25" s="14"/>
      <c r="F25" s="74"/>
      <c r="G25" s="77"/>
      <c r="J25" s="77"/>
      <c r="K25" s="77"/>
      <c r="L25" s="76"/>
      <c r="N25" s="13">
        <v>16</v>
      </c>
      <c r="O25" s="13">
        <f t="shared" si="5"/>
        <v>3</v>
      </c>
      <c r="P25" s="13">
        <f t="shared" si="6"/>
        <v>1</v>
      </c>
      <c r="Q25" s="14" t="str" cm="1">
        <f t="array" ref="Q25">INDEX('Osiris-ConceptMap'!$H$10:$L$264,O25+1,P25)</f>
        <v>* group[=].element[+].code = #Osiris.Patient.Ethnicity</v>
      </c>
    </row>
    <row r="26" spans="1:17" x14ac:dyDescent="0.75">
      <c r="B26" s="13"/>
      <c r="C26" s="13"/>
      <c r="D26" s="13"/>
      <c r="E26" s="14"/>
      <c r="F26" s="74"/>
      <c r="G26" s="77"/>
      <c r="J26" s="77"/>
      <c r="K26" s="77"/>
      <c r="L26" s="76"/>
      <c r="N26" s="13">
        <v>17</v>
      </c>
      <c r="O26" s="13">
        <f t="shared" si="5"/>
        <v>3</v>
      </c>
      <c r="P26" s="13">
        <f t="shared" si="6"/>
        <v>2</v>
      </c>
      <c r="Q26" s="14" t="str" cm="1">
        <f t="array" ref="Q26">INDEX('Osiris-ConceptMap'!$H$10:$L$264,O26+1,P26)</f>
        <v>* group[=].element[=].display = ##34#Ethnicity [C3]##34#</v>
      </c>
    </row>
    <row r="27" spans="1:17" x14ac:dyDescent="0.75">
      <c r="B27" s="13"/>
      <c r="C27" s="13"/>
      <c r="D27" s="13"/>
      <c r="E27" s="14"/>
      <c r="F27" s="74"/>
      <c r="G27" s="77"/>
      <c r="J27" s="77"/>
      <c r="K27" s="77"/>
      <c r="L27" s="76"/>
      <c r="N27" s="13">
        <v>18</v>
      </c>
      <c r="O27" s="13">
        <f t="shared" si="5"/>
        <v>3</v>
      </c>
      <c r="P27" s="13">
        <f t="shared" si="6"/>
        <v>3</v>
      </c>
      <c r="Q27" s="14" t="str" cm="1">
        <f t="array" ref="Q27">INDEX('Osiris-ConceptMap'!$H$10:$L$264,O27+1,P27)</f>
        <v>* group[=].element[=].target.code = #Subject.race</v>
      </c>
    </row>
    <row r="28" spans="1:17" x14ac:dyDescent="0.75">
      <c r="B28" s="13"/>
      <c r="C28" s="13"/>
      <c r="D28" s="13"/>
      <c r="E28" s="14"/>
      <c r="F28" s="74"/>
      <c r="G28" s="77"/>
      <c r="J28" s="77"/>
      <c r="K28" s="77"/>
      <c r="L28" s="76"/>
      <c r="N28" s="13">
        <v>19</v>
      </c>
      <c r="O28" s="13">
        <f t="shared" si="5"/>
        <v>3</v>
      </c>
      <c r="P28" s="13">
        <f t="shared" si="6"/>
        <v>4</v>
      </c>
      <c r="Q28" s="14" t="str" cm="1">
        <f t="array" ref="Q28">INDEX('Osiris-ConceptMap'!$H$10:$L$264,O28+1,P28)</f>
        <v>* group[=].element[=].target.display = ##34#Race##34#</v>
      </c>
    </row>
    <row r="29" spans="1:17" x14ac:dyDescent="0.75">
      <c r="B29" s="13"/>
      <c r="C29" s="13"/>
      <c r="D29" s="13"/>
      <c r="E29" s="14"/>
      <c r="F29" s="74"/>
      <c r="G29" s="77"/>
      <c r="J29" s="77"/>
      <c r="K29" s="77"/>
      <c r="L29" s="76"/>
      <c r="N29" s="13">
        <v>20</v>
      </c>
      <c r="O29" s="13">
        <f t="shared" si="5"/>
        <v>3</v>
      </c>
      <c r="P29" s="13">
        <f t="shared" si="6"/>
        <v>5</v>
      </c>
      <c r="Q29" s="14" t="str" cm="1">
        <f t="array" ref="Q29">INDEX('Osiris-ConceptMap'!$H$10:$L$264,O29+1,P29)</f>
        <v>* group[=].element[=].target.equivalence = #relatedto</v>
      </c>
    </row>
    <row r="30" spans="1:17" x14ac:dyDescent="0.75">
      <c r="B30" s="13"/>
      <c r="C30" s="13"/>
      <c r="D30" s="13"/>
      <c r="E30" s="14"/>
      <c r="F30" s="74"/>
      <c r="G30" s="77"/>
      <c r="J30" s="77"/>
      <c r="K30" s="77"/>
      <c r="L30" s="76"/>
      <c r="N30" s="13">
        <v>21</v>
      </c>
      <c r="O30" s="13">
        <f t="shared" si="5"/>
        <v>4</v>
      </c>
      <c r="P30" s="13">
        <f t="shared" si="6"/>
        <v>1</v>
      </c>
      <c r="Q30" s="14" t="str" cm="1">
        <f t="array" ref="Q30">INDEX('Osiris-ConceptMap'!$H$10:$L$264,O30+1,P30)</f>
        <v>* group[=].element[+].code = #Osiris.Patient.BirthDate</v>
      </c>
    </row>
    <row r="31" spans="1:17" s="12" customFormat="1" x14ac:dyDescent="0.75">
      <c r="A31" s="11"/>
      <c r="B31" s="13"/>
      <c r="C31" s="13"/>
      <c r="D31" s="13"/>
      <c r="E31" s="14"/>
      <c r="F31" s="74"/>
      <c r="G31" s="77"/>
      <c r="I31" s="11"/>
      <c r="J31" s="77"/>
      <c r="K31" s="77"/>
      <c r="L31" s="76"/>
      <c r="N31" s="13">
        <v>22</v>
      </c>
      <c r="O31" s="13">
        <f t="shared" si="5"/>
        <v>4</v>
      </c>
      <c r="P31" s="13">
        <f t="shared" si="6"/>
        <v>2</v>
      </c>
      <c r="Q31" s="14" t="str" cm="1">
        <f t="array" ref="Q31">INDEX('Osiris-ConceptMap'!$H$10:$L$264,O31+1,P31)</f>
        <v>* group[=].element[=].display = ##34#Birth Date [C4]##34#</v>
      </c>
    </row>
    <row r="32" spans="1:17" s="12" customFormat="1" x14ac:dyDescent="0.75">
      <c r="A32" s="11"/>
      <c r="B32" s="71"/>
      <c r="C32" s="71"/>
      <c r="D32" s="71"/>
      <c r="F32" s="68"/>
      <c r="G32" s="68"/>
      <c r="I32" s="11"/>
      <c r="J32" s="68"/>
      <c r="K32" s="68"/>
      <c r="L32" s="76"/>
      <c r="N32" s="13">
        <v>23</v>
      </c>
      <c r="O32" s="13">
        <f t="shared" si="5"/>
        <v>4</v>
      </c>
      <c r="P32" s="13">
        <f t="shared" si="6"/>
        <v>3</v>
      </c>
      <c r="Q32" s="14" t="str" cm="1">
        <f t="array" ref="Q32">INDEX('Osiris-ConceptMap'!$H$10:$L$264,O32+1,P32)</f>
        <v>* group[=].element[=].target.code = #Subject.dateOfBirth.date</v>
      </c>
    </row>
    <row r="33" spans="1:17" s="12" customFormat="1" x14ac:dyDescent="0.75">
      <c r="A33" s="11"/>
      <c r="B33" s="13"/>
      <c r="C33" s="13"/>
      <c r="F33" s="68"/>
      <c r="G33" s="68"/>
      <c r="I33" s="11"/>
      <c r="J33" s="68"/>
      <c r="K33" s="68"/>
      <c r="L33" s="76"/>
      <c r="N33" s="13">
        <v>24</v>
      </c>
      <c r="O33" s="13">
        <f t="shared" si="5"/>
        <v>4</v>
      </c>
      <c r="P33" s="13">
        <f t="shared" si="6"/>
        <v>4</v>
      </c>
      <c r="Q33" s="14" t="str" cm="1">
        <f t="array" ref="Q33">INDEX('Osiris-ConceptMap'!$H$10:$L$264,O33+1,P33)</f>
        <v>* group[=].element[=].target.display = ##34#Date of birth##34#</v>
      </c>
    </row>
    <row r="34" spans="1:17" s="12" customFormat="1" x14ac:dyDescent="0.75">
      <c r="A34" s="11"/>
      <c r="B34" s="13"/>
      <c r="C34" s="15"/>
      <c r="F34" s="68"/>
      <c r="G34" s="68"/>
      <c r="I34" s="68"/>
      <c r="J34" s="68"/>
      <c r="K34" s="68"/>
      <c r="L34" s="76"/>
      <c r="N34" s="13">
        <v>25</v>
      </c>
      <c r="O34" s="13">
        <f t="shared" si="5"/>
        <v>4</v>
      </c>
      <c r="P34" s="13">
        <f t="shared" si="6"/>
        <v>5</v>
      </c>
      <c r="Q34" s="14" t="str" cm="1">
        <f t="array" ref="Q34">INDEX('Osiris-ConceptMap'!$H$10:$L$264,O34+1,P34)</f>
        <v>* group[=].element[=].target.equivalence = #equivalent</v>
      </c>
    </row>
    <row r="35" spans="1:17" s="12" customFormat="1" x14ac:dyDescent="0.75">
      <c r="A35" s="11"/>
      <c r="B35" s="13"/>
      <c r="C35" s="15"/>
      <c r="F35" s="68"/>
      <c r="G35" s="68"/>
      <c r="I35" s="68"/>
      <c r="J35" s="68"/>
      <c r="K35" s="68"/>
      <c r="L35" s="76"/>
      <c r="N35" s="13">
        <v>26</v>
      </c>
      <c r="O35" s="13">
        <f t="shared" si="5"/>
        <v>5</v>
      </c>
      <c r="P35" s="13">
        <f t="shared" si="6"/>
        <v>1</v>
      </c>
      <c r="Q35" s="14" t="str" cm="1">
        <f t="array" ref="Q35">INDEX('Osiris-ConceptMap'!$H$10:$L$264,O35+1,P35)</f>
        <v>* group[=].element[+].code = #Osiris.Patient.DeathDate</v>
      </c>
    </row>
    <row r="36" spans="1:17" s="12" customFormat="1" x14ac:dyDescent="0.75">
      <c r="A36" s="11"/>
      <c r="B36" s="13"/>
      <c r="C36" s="15"/>
      <c r="F36" s="68"/>
      <c r="G36" s="68"/>
      <c r="I36" s="68"/>
      <c r="J36" s="68"/>
      <c r="K36" s="68"/>
      <c r="L36" s="76"/>
      <c r="N36" s="13">
        <v>27</v>
      </c>
      <c r="O36" s="13">
        <f t="shared" si="5"/>
        <v>5</v>
      </c>
      <c r="P36" s="13">
        <f t="shared" si="6"/>
        <v>2</v>
      </c>
      <c r="Q36" s="14" t="str" cm="1">
        <f t="array" ref="Q36">INDEX('Osiris-ConceptMap'!$H$10:$L$264,O36+1,P36)</f>
        <v>* group[=].element[=].display = ##34#Death Date [C5]##34#</v>
      </c>
    </row>
    <row r="37" spans="1:17" s="12" customFormat="1" x14ac:dyDescent="0.75">
      <c r="A37" s="11"/>
      <c r="B37" s="13"/>
      <c r="C37" s="15"/>
      <c r="F37" s="68"/>
      <c r="G37" s="68"/>
      <c r="I37" s="68"/>
      <c r="J37" s="68"/>
      <c r="K37" s="68"/>
      <c r="L37" s="68"/>
      <c r="N37" s="13">
        <v>28</v>
      </c>
      <c r="O37" s="13">
        <f t="shared" si="5"/>
        <v>5</v>
      </c>
      <c r="P37" s="13">
        <f t="shared" si="6"/>
        <v>3</v>
      </c>
      <c r="Q37" s="14" t="str" cm="1">
        <f t="array" ref="Q37">INDEX('Osiris-ConceptMap'!$H$10:$L$264,O37+1,P37)</f>
        <v>//-- unmatched</v>
      </c>
    </row>
    <row r="38" spans="1:17" s="12" customFormat="1" x14ac:dyDescent="0.75">
      <c r="A38" s="11"/>
      <c r="B38" s="13"/>
      <c r="C38" s="15"/>
      <c r="F38" s="68"/>
      <c r="G38" s="68"/>
      <c r="I38" s="68"/>
      <c r="J38" s="68"/>
      <c r="K38" s="68"/>
      <c r="L38" s="68"/>
      <c r="N38" s="13">
        <v>29</v>
      </c>
      <c r="O38" s="13">
        <f t="shared" si="5"/>
        <v>5</v>
      </c>
      <c r="P38" s="13">
        <f t="shared" si="6"/>
        <v>4</v>
      </c>
      <c r="Q38" s="14" t="str" cm="1">
        <f t="array" ref="Q38">INDEX('Osiris-ConceptMap'!$H$10:$L$264,O38+1,P38)</f>
        <v>//-- unmatched</v>
      </c>
    </row>
    <row r="39" spans="1:17" s="12" customFormat="1" x14ac:dyDescent="0.75">
      <c r="A39" s="11"/>
      <c r="B39" s="13"/>
      <c r="C39" s="15"/>
      <c r="F39" s="68"/>
      <c r="G39" s="68"/>
      <c r="I39" s="68"/>
      <c r="J39" s="68"/>
      <c r="K39" s="68"/>
      <c r="L39" s="68"/>
      <c r="N39" s="13">
        <v>30</v>
      </c>
      <c r="O39" s="13">
        <f t="shared" si="5"/>
        <v>5</v>
      </c>
      <c r="P39" s="13">
        <f t="shared" si="6"/>
        <v>5</v>
      </c>
      <c r="Q39" s="14" t="str" cm="1">
        <f t="array" ref="Q39">INDEX('Osiris-ConceptMap'!$H$10:$L$264,O39+1,P39)</f>
        <v>* group[=].element[=].target.equivalence = #unmatched</v>
      </c>
    </row>
    <row r="40" spans="1:17" s="12" customFormat="1" x14ac:dyDescent="0.75">
      <c r="A40" s="11"/>
      <c r="B40" s="13"/>
      <c r="C40" s="15"/>
      <c r="F40" s="68"/>
      <c r="G40" s="68"/>
      <c r="I40" s="68"/>
      <c r="J40" s="68"/>
      <c r="K40" s="68"/>
      <c r="L40" s="68"/>
      <c r="N40" s="13">
        <v>31</v>
      </c>
      <c r="O40" s="13">
        <f t="shared" si="5"/>
        <v>6</v>
      </c>
      <c r="P40" s="13">
        <f t="shared" si="6"/>
        <v>1</v>
      </c>
      <c r="Q40" s="14" t="str" cm="1">
        <f t="array" ref="Q40">INDEX('Osiris-ConceptMap'!$H$10:$L$264,O40+1,P40)</f>
        <v>* group[=].element[+].code = #Osiris.Patient.ProviderCenterId</v>
      </c>
    </row>
    <row r="41" spans="1:17" s="12" customFormat="1" x14ac:dyDescent="0.75">
      <c r="A41" s="11"/>
      <c r="B41" s="13"/>
      <c r="C41" s="15"/>
      <c r="F41" s="68"/>
      <c r="G41" s="68"/>
      <c r="I41" s="68"/>
      <c r="J41" s="68"/>
      <c r="K41" s="68"/>
      <c r="L41" s="68"/>
      <c r="N41" s="13">
        <v>32</v>
      </c>
      <c r="O41" s="13">
        <f t="shared" si="5"/>
        <v>6</v>
      </c>
      <c r="P41" s="13">
        <f t="shared" si="6"/>
        <v>2</v>
      </c>
      <c r="Q41" s="14" t="str" cm="1">
        <f t="array" ref="Q41">INDEX('Osiris-ConceptMap'!$H$10:$L$264,O41+1,P41)</f>
        <v>* group[=].element[=].display = ##34#Provider  Center  Id [C6]##34#</v>
      </c>
    </row>
    <row r="42" spans="1:17" s="12" customFormat="1" x14ac:dyDescent="0.75">
      <c r="A42" s="11"/>
      <c r="B42" s="13"/>
      <c r="C42" s="15"/>
      <c r="F42" s="68"/>
      <c r="G42" s="68"/>
      <c r="I42" s="68"/>
      <c r="J42" s="68"/>
      <c r="K42" s="68"/>
      <c r="L42" s="68"/>
      <c r="N42" s="13">
        <v>33</v>
      </c>
      <c r="O42" s="13">
        <f t="shared" si="5"/>
        <v>6</v>
      </c>
      <c r="P42" s="13">
        <f t="shared" si="6"/>
        <v>3</v>
      </c>
      <c r="Q42" s="14" t="str" cm="1">
        <f t="array" ref="Q42">INDEX('Osiris-ConceptMap'!$H$10:$L$264,O42+1,P42)</f>
        <v>//-- unmatched</v>
      </c>
    </row>
    <row r="43" spans="1:17" x14ac:dyDescent="0.75">
      <c r="F43" s="68"/>
      <c r="G43" s="68"/>
      <c r="I43" s="68"/>
      <c r="J43" s="68"/>
      <c r="K43" s="68"/>
      <c r="L43" s="68"/>
      <c r="N43" s="13">
        <v>34</v>
      </c>
      <c r="O43" s="13">
        <f t="shared" si="5"/>
        <v>6</v>
      </c>
      <c r="P43" s="13">
        <f t="shared" si="6"/>
        <v>4</v>
      </c>
      <c r="Q43" s="14" t="str" cm="1">
        <f t="array" ref="Q43">INDEX('Osiris-ConceptMap'!$H$10:$L$264,O43+1,P43)</f>
        <v>//-- unmatched</v>
      </c>
    </row>
    <row r="44" spans="1:17" x14ac:dyDescent="0.75">
      <c r="F44" s="68"/>
      <c r="G44" s="68"/>
      <c r="I44" s="68"/>
      <c r="J44" s="68"/>
      <c r="K44" s="68"/>
      <c r="L44" s="68"/>
      <c r="N44" s="13">
        <v>35</v>
      </c>
      <c r="O44" s="13">
        <f t="shared" si="5"/>
        <v>6</v>
      </c>
      <c r="P44" s="13">
        <f t="shared" si="6"/>
        <v>5</v>
      </c>
      <c r="Q44" s="14" t="str" cm="1">
        <f t="array" ref="Q44">INDEX('Osiris-ConceptMap'!$H$10:$L$264,O44+1,P44)</f>
        <v>* group[=].element[=].target.equivalence = #unmatched</v>
      </c>
    </row>
    <row r="45" spans="1:17" x14ac:dyDescent="0.75">
      <c r="F45" s="68"/>
      <c r="G45" s="68"/>
      <c r="I45" s="68"/>
      <c r="J45" s="68"/>
      <c r="K45" s="68"/>
      <c r="L45" s="68"/>
      <c r="N45" s="13">
        <v>36</v>
      </c>
      <c r="O45" s="13">
        <f t="shared" si="5"/>
        <v>7</v>
      </c>
      <c r="P45" s="13">
        <f t="shared" si="6"/>
        <v>1</v>
      </c>
      <c r="Q45" s="14" t="str" cm="1">
        <f t="array" ref="Q45">INDEX('Osiris-ConceptMap'!$H$10:$L$264,O45+1,P45)</f>
        <v>* group[=].element[+].code = #Osiris.Patient.OriginCenterId</v>
      </c>
    </row>
    <row r="46" spans="1:17" x14ac:dyDescent="0.75">
      <c r="F46" s="68"/>
      <c r="G46" s="68"/>
      <c r="I46" s="68"/>
      <c r="J46" s="68"/>
      <c r="K46" s="68"/>
      <c r="L46" s="68"/>
      <c r="N46" s="13">
        <v>37</v>
      </c>
      <c r="O46" s="13">
        <f t="shared" si="5"/>
        <v>7</v>
      </c>
      <c r="P46" s="13">
        <f t="shared" si="6"/>
        <v>2</v>
      </c>
      <c r="Q46" s="14" t="str" cm="1">
        <f t="array" ref="Q46">INDEX('Osiris-ConceptMap'!$H$10:$L$264,O46+1,P46)</f>
        <v>* group[=].element[=].display = ##34#Origin  Center  Id [C71]##34#</v>
      </c>
    </row>
    <row r="47" spans="1:17" x14ac:dyDescent="0.75">
      <c r="B47" s="57" t="s">
        <v>1412</v>
      </c>
      <c r="C47" s="57" t="s">
        <v>1413</v>
      </c>
      <c r="D47" s="57" t="s">
        <v>1414</v>
      </c>
      <c r="E47" s="57" t="s">
        <v>1415</v>
      </c>
      <c r="N47" s="13">
        <v>38</v>
      </c>
      <c r="O47" s="13">
        <f t="shared" si="5"/>
        <v>7</v>
      </c>
      <c r="P47" s="13">
        <f t="shared" si="6"/>
        <v>3</v>
      </c>
      <c r="Q47" s="14" t="str" cm="1">
        <f t="array" ref="Q47">INDEX('Osiris-ConceptMap'!$H$10:$L$264,O47+1,P47)</f>
        <v>//-- unmatched</v>
      </c>
    </row>
    <row r="48" spans="1:17" x14ac:dyDescent="0.75">
      <c r="N48" s="13">
        <v>39</v>
      </c>
      <c r="O48" s="13">
        <f t="shared" si="5"/>
        <v>7</v>
      </c>
      <c r="P48" s="13">
        <f t="shared" si="6"/>
        <v>4</v>
      </c>
      <c r="Q48" s="14" t="str" cm="1">
        <f t="array" ref="Q48">INDEX('Osiris-ConceptMap'!$H$10:$L$264,O48+1,P48)</f>
        <v>//-- unmatched</v>
      </c>
    </row>
    <row r="49" spans="14:17" x14ac:dyDescent="0.75">
      <c r="N49" s="13">
        <v>40</v>
      </c>
      <c r="O49" s="13">
        <f t="shared" si="5"/>
        <v>7</v>
      </c>
      <c r="P49" s="13">
        <f t="shared" si="6"/>
        <v>5</v>
      </c>
      <c r="Q49" s="14" t="str" cm="1">
        <f t="array" ref="Q49">INDEX('Osiris-ConceptMap'!$H$10:$L$264,O49+1,P49)</f>
        <v>* group[=].element[=].target.equivalence = #unmatched</v>
      </c>
    </row>
    <row r="50" spans="14:17" x14ac:dyDescent="0.75">
      <c r="N50" s="13">
        <v>41</v>
      </c>
      <c r="O50" s="13">
        <f t="shared" si="5"/>
        <v>8</v>
      </c>
      <c r="P50" s="13">
        <f t="shared" si="6"/>
        <v>1</v>
      </c>
      <c r="Q50" s="14" t="str" cm="1">
        <f t="array" ref="Q50">INDEX('Osiris-ConceptMap'!$H$10:$L$264,O50+1,P50)</f>
        <v>* group[=].element[+].code = #Osiris.Patient.CauseOfDeath</v>
      </c>
    </row>
    <row r="51" spans="14:17" x14ac:dyDescent="0.75">
      <c r="N51" s="13">
        <v>42</v>
      </c>
      <c r="O51" s="13">
        <f t="shared" si="5"/>
        <v>8</v>
      </c>
      <c r="P51" s="13">
        <f t="shared" si="6"/>
        <v>2</v>
      </c>
      <c r="Q51" s="14" t="str" cm="1">
        <f t="array" ref="Q51">INDEX('Osiris-ConceptMap'!$H$10:$L$264,O51+1,P51)</f>
        <v>* group[=].element[=].display = ##34#Cause of death [C7]##34#</v>
      </c>
    </row>
    <row r="52" spans="14:17" x14ac:dyDescent="0.75">
      <c r="N52" s="13">
        <v>43</v>
      </c>
      <c r="O52" s="13">
        <f t="shared" si="5"/>
        <v>8</v>
      </c>
      <c r="P52" s="13">
        <f t="shared" si="6"/>
        <v>3</v>
      </c>
      <c r="Q52" s="14" t="str" cm="1">
        <f t="array" ref="Q52">INDEX('Osiris-ConceptMap'!$H$10:$L$264,O52+1,P52)</f>
        <v>//-- unmatched</v>
      </c>
    </row>
    <row r="53" spans="14:17" x14ac:dyDescent="0.75">
      <c r="N53" s="13">
        <v>44</v>
      </c>
      <c r="O53" s="13">
        <f t="shared" si="5"/>
        <v>8</v>
      </c>
      <c r="P53" s="13">
        <f t="shared" si="6"/>
        <v>4</v>
      </c>
      <c r="Q53" s="14" t="str" cm="1">
        <f t="array" ref="Q53">INDEX('Osiris-ConceptMap'!$H$10:$L$264,O53+1,P53)</f>
        <v>//-- unmatched</v>
      </c>
    </row>
    <row r="54" spans="14:17" x14ac:dyDescent="0.75">
      <c r="N54" s="13">
        <v>45</v>
      </c>
      <c r="O54" s="13">
        <f t="shared" si="5"/>
        <v>8</v>
      </c>
      <c r="P54" s="13">
        <f t="shared" si="6"/>
        <v>5</v>
      </c>
      <c r="Q54" s="14" t="str" cm="1">
        <f t="array" ref="Q54">INDEX('Osiris-ConceptMap'!$H$10:$L$264,O54+1,P54)</f>
        <v>* group[=].element[=].target.equivalence = #unmatched</v>
      </c>
    </row>
    <row r="55" spans="14:17" x14ac:dyDescent="0.75">
      <c r="N55" s="13">
        <v>46</v>
      </c>
      <c r="O55" s="13">
        <f t="shared" si="5"/>
        <v>9</v>
      </c>
      <c r="P55" s="13">
        <f t="shared" si="6"/>
        <v>1</v>
      </c>
      <c r="Q55" s="14" t="str" cm="1">
        <f t="array" ref="Q55">INDEX('Osiris-ConceptMap'!$H$10:$L$264,O55+1,P55)</f>
        <v>* group[=].element[+].code = #Osiris.Patient.LastNewsDate</v>
      </c>
    </row>
    <row r="56" spans="14:17" x14ac:dyDescent="0.75">
      <c r="N56" s="13">
        <v>47</v>
      </c>
      <c r="O56" s="13">
        <f t="shared" si="5"/>
        <v>9</v>
      </c>
      <c r="P56" s="13">
        <f t="shared" si="6"/>
        <v>2</v>
      </c>
      <c r="Q56" s="14" t="str" cm="1">
        <f t="array" ref="Q56">INDEX('Osiris-ConceptMap'!$H$10:$L$264,O56+1,P56)</f>
        <v>* group[=].element[=].display = ##34#Last News Date [C8]##34#</v>
      </c>
    </row>
    <row r="57" spans="14:17" x14ac:dyDescent="0.75">
      <c r="N57" s="13">
        <v>48</v>
      </c>
      <c r="O57" s="13">
        <f t="shared" si="5"/>
        <v>9</v>
      </c>
      <c r="P57" s="13">
        <f t="shared" si="6"/>
        <v>3</v>
      </c>
      <c r="Q57" s="14" t="str" cm="1">
        <f t="array" ref="Q57">INDEX('Osiris-ConceptMap'!$H$10:$L$264,O57+1,P57)</f>
        <v>//-- unmatched</v>
      </c>
    </row>
    <row r="58" spans="14:17" x14ac:dyDescent="0.75">
      <c r="N58" s="13">
        <v>49</v>
      </c>
      <c r="O58" s="13">
        <f t="shared" si="5"/>
        <v>9</v>
      </c>
      <c r="P58" s="13">
        <f t="shared" si="6"/>
        <v>4</v>
      </c>
      <c r="Q58" s="14" t="str" cm="1">
        <f t="array" ref="Q58">INDEX('Osiris-ConceptMap'!$H$10:$L$264,O58+1,P58)</f>
        <v>//-- unmatched</v>
      </c>
    </row>
    <row r="59" spans="14:17" x14ac:dyDescent="0.75">
      <c r="N59" s="13">
        <v>50</v>
      </c>
      <c r="O59" s="13">
        <f t="shared" si="5"/>
        <v>9</v>
      </c>
      <c r="P59" s="13">
        <f t="shared" si="6"/>
        <v>5</v>
      </c>
      <c r="Q59" s="14" t="str" cm="1">
        <f t="array" ref="Q59">INDEX('Osiris-ConceptMap'!$H$10:$L$264,O59+1,P59)</f>
        <v>* group[=].element[=].target.equivalence = #unmatched</v>
      </c>
    </row>
    <row r="60" spans="14:17" x14ac:dyDescent="0.75">
      <c r="N60" s="13">
        <v>51</v>
      </c>
      <c r="O60" s="13">
        <f t="shared" si="5"/>
        <v>10</v>
      </c>
      <c r="P60" s="13">
        <f t="shared" si="6"/>
        <v>1</v>
      </c>
      <c r="Q60" s="14" t="str" cm="1">
        <f t="array" ref="Q60">INDEX('Osiris-ConceptMap'!$H$10:$L$264,O60+1,P60)</f>
        <v>* group[=].element[+].code = #Osiris.Patient.LastNewsStatus</v>
      </c>
    </row>
    <row r="61" spans="14:17" x14ac:dyDescent="0.75">
      <c r="N61" s="13">
        <v>52</v>
      </c>
      <c r="O61" s="13">
        <f t="shared" si="5"/>
        <v>10</v>
      </c>
      <c r="P61" s="13">
        <f t="shared" si="6"/>
        <v>2</v>
      </c>
      <c r="Q61" s="14" t="str" cm="1">
        <f t="array" ref="Q61">INDEX('Osiris-ConceptMap'!$H$10:$L$264,O61+1,P61)</f>
        <v>* group[=].element[=].display = ##34#Last News Status [C9]##34#</v>
      </c>
    </row>
    <row r="62" spans="14:17" x14ac:dyDescent="0.75">
      <c r="N62" s="13">
        <v>53</v>
      </c>
      <c r="O62" s="13">
        <f t="shared" si="5"/>
        <v>10</v>
      </c>
      <c r="P62" s="13">
        <f t="shared" si="6"/>
        <v>3</v>
      </c>
      <c r="Q62" s="14" t="str" cm="1">
        <f t="array" ref="Q62">INDEX('Osiris-ConceptMap'!$H$10:$L$264,O62+1,P62)</f>
        <v>//-- unmatched</v>
      </c>
    </row>
    <row r="63" spans="14:17" x14ac:dyDescent="0.75">
      <c r="N63" s="13">
        <v>54</v>
      </c>
      <c r="O63" s="13">
        <f t="shared" si="5"/>
        <v>10</v>
      </c>
      <c r="P63" s="13">
        <f t="shared" si="6"/>
        <v>4</v>
      </c>
      <c r="Q63" s="14" t="str" cm="1">
        <f t="array" ref="Q63">INDEX('Osiris-ConceptMap'!$H$10:$L$264,O63+1,P63)</f>
        <v>//-- unmatched</v>
      </c>
    </row>
    <row r="64" spans="14:17" x14ac:dyDescent="0.75">
      <c r="N64" s="13">
        <v>55</v>
      </c>
      <c r="O64" s="13">
        <f t="shared" si="5"/>
        <v>10</v>
      </c>
      <c r="P64" s="13">
        <f t="shared" si="6"/>
        <v>5</v>
      </c>
      <c r="Q64" s="14" t="str" cm="1">
        <f t="array" ref="Q64">INDEX('Osiris-ConceptMap'!$H$10:$L$264,O64+1,P64)</f>
        <v>* group[=].element[=].target.equivalence = #unmatched</v>
      </c>
    </row>
    <row r="65" spans="14:17" x14ac:dyDescent="0.75">
      <c r="N65" s="13">
        <v>56</v>
      </c>
      <c r="O65" s="13">
        <f t="shared" si="5"/>
        <v>11</v>
      </c>
      <c r="P65" s="13">
        <f t="shared" si="6"/>
        <v>1</v>
      </c>
      <c r="Q65" s="14" cm="1">
        <f t="array" ref="Q65">INDEX('Osiris-ConceptMap'!$H$10:$L$264,O65+1,P65)</f>
        <v>0</v>
      </c>
    </row>
    <row r="66" spans="14:17" x14ac:dyDescent="0.75">
      <c r="N66" s="13">
        <v>57</v>
      </c>
      <c r="O66" s="13">
        <f t="shared" si="5"/>
        <v>11</v>
      </c>
      <c r="P66" s="13">
        <f t="shared" si="6"/>
        <v>2</v>
      </c>
      <c r="Q66" s="14" cm="1">
        <f t="array" ref="Q66">INDEX('Osiris-ConceptMap'!$H$10:$L$264,O66+1,P66)</f>
        <v>0</v>
      </c>
    </row>
    <row r="67" spans="14:17" x14ac:dyDescent="0.75">
      <c r="N67" s="13">
        <v>58</v>
      </c>
      <c r="O67" s="13">
        <f t="shared" si="5"/>
        <v>11</v>
      </c>
      <c r="P67" s="13">
        <f t="shared" si="6"/>
        <v>3</v>
      </c>
      <c r="Q67" s="14" cm="1">
        <f t="array" ref="Q67">INDEX('Osiris-ConceptMap'!$H$10:$L$264,O67+1,P67)</f>
        <v>0</v>
      </c>
    </row>
    <row r="68" spans="14:17" x14ac:dyDescent="0.75">
      <c r="N68" s="13">
        <v>59</v>
      </c>
      <c r="O68" s="13">
        <f t="shared" si="5"/>
        <v>11</v>
      </c>
      <c r="P68" s="13">
        <f t="shared" si="6"/>
        <v>4</v>
      </c>
      <c r="Q68" s="14" cm="1">
        <f t="array" ref="Q68">INDEX('Osiris-ConceptMap'!$H$10:$L$264,O68+1,P68)</f>
        <v>0</v>
      </c>
    </row>
    <row r="69" spans="14:17" x14ac:dyDescent="0.75">
      <c r="N69" s="13">
        <v>60</v>
      </c>
      <c r="O69" s="13">
        <f t="shared" si="5"/>
        <v>11</v>
      </c>
      <c r="P69" s="13">
        <f t="shared" si="6"/>
        <v>5</v>
      </c>
      <c r="Q69" s="14" cm="1">
        <f t="array" ref="Q69">INDEX('Osiris-ConceptMap'!$H$10:$L$264,O69+1,P69)</f>
        <v>0</v>
      </c>
    </row>
    <row r="70" spans="14:17" x14ac:dyDescent="0.75">
      <c r="N70" s="13">
        <v>61</v>
      </c>
      <c r="O70" s="13">
        <f t="shared" si="5"/>
        <v>12</v>
      </c>
      <c r="P70" s="13">
        <f t="shared" si="6"/>
        <v>1</v>
      </c>
      <c r="Q70" s="14" cm="1">
        <f t="array" ref="Q70">INDEX('Osiris-ConceptMap'!$H$10:$L$264,O70+1,P70)</f>
        <v>0</v>
      </c>
    </row>
    <row r="71" spans="14:17" x14ac:dyDescent="0.75">
      <c r="N71" s="13">
        <v>62</v>
      </c>
      <c r="O71" s="13">
        <f t="shared" si="5"/>
        <v>12</v>
      </c>
      <c r="P71" s="13">
        <f t="shared" si="6"/>
        <v>2</v>
      </c>
      <c r="Q71" s="14" cm="1">
        <f t="array" ref="Q71">INDEX('Osiris-ConceptMap'!$H$10:$L$264,O71+1,P71)</f>
        <v>0</v>
      </c>
    </row>
    <row r="72" spans="14:17" x14ac:dyDescent="0.75">
      <c r="N72" s="13">
        <v>63</v>
      </c>
      <c r="O72" s="13">
        <f t="shared" si="5"/>
        <v>12</v>
      </c>
      <c r="P72" s="13">
        <f t="shared" si="6"/>
        <v>3</v>
      </c>
      <c r="Q72" s="14" cm="1">
        <f t="array" ref="Q72">INDEX('Osiris-ConceptMap'!$H$10:$L$264,O72+1,P72)</f>
        <v>0</v>
      </c>
    </row>
    <row r="73" spans="14:17" x14ac:dyDescent="0.75">
      <c r="N73" s="13">
        <v>64</v>
      </c>
      <c r="O73" s="13">
        <f t="shared" si="5"/>
        <v>12</v>
      </c>
      <c r="P73" s="13">
        <f t="shared" si="6"/>
        <v>4</v>
      </c>
      <c r="Q73" s="14" cm="1">
        <f t="array" ref="Q73">INDEX('Osiris-ConceptMap'!$H$10:$L$264,O73+1,P73)</f>
        <v>0</v>
      </c>
    </row>
    <row r="74" spans="14:17" x14ac:dyDescent="0.75">
      <c r="N74" s="13">
        <v>65</v>
      </c>
      <c r="O74" s="13">
        <f t="shared" si="5"/>
        <v>12</v>
      </c>
      <c r="P74" s="13">
        <f t="shared" si="6"/>
        <v>5</v>
      </c>
      <c r="Q74" s="14" cm="1">
        <f t="array" ref="Q74">INDEX('Osiris-ConceptMap'!$H$10:$L$264,O74+1,P74)</f>
        <v>0</v>
      </c>
    </row>
    <row r="75" spans="14:17" x14ac:dyDescent="0.75">
      <c r="N75" s="13">
        <v>66</v>
      </c>
      <c r="O75" s="13">
        <f t="shared" ref="O75:O138" si="7">IF(MOD(N75,$O$3)=0,N75/$O$3-1,INT(N75/$O$3))</f>
        <v>13</v>
      </c>
      <c r="P75" s="13">
        <f t="shared" ref="P75:P138" si="8">IF(MOD(N75,$O$3)=0,$O$3,MOD(N75,$O$3))</f>
        <v>1</v>
      </c>
      <c r="Q75" s="14" cm="1">
        <f t="array" ref="Q75">INDEX('Osiris-ConceptMap'!$H$10:$L$264,O75+1,P75)</f>
        <v>0</v>
      </c>
    </row>
    <row r="76" spans="14:17" x14ac:dyDescent="0.75">
      <c r="N76" s="13">
        <v>67</v>
      </c>
      <c r="O76" s="13">
        <f t="shared" si="7"/>
        <v>13</v>
      </c>
      <c r="P76" s="13">
        <f t="shared" si="8"/>
        <v>2</v>
      </c>
      <c r="Q76" s="14" cm="1">
        <f t="array" ref="Q76">INDEX('Osiris-ConceptMap'!$H$10:$L$264,O76+1,P76)</f>
        <v>0</v>
      </c>
    </row>
    <row r="77" spans="14:17" x14ac:dyDescent="0.75">
      <c r="N77" s="13">
        <v>68</v>
      </c>
      <c r="O77" s="13">
        <f t="shared" si="7"/>
        <v>13</v>
      </c>
      <c r="P77" s="13">
        <f t="shared" si="8"/>
        <v>3</v>
      </c>
      <c r="Q77" s="14" cm="1">
        <f t="array" ref="Q77">INDEX('Osiris-ConceptMap'!$H$10:$L$264,O77+1,P77)</f>
        <v>0</v>
      </c>
    </row>
    <row r="78" spans="14:17" x14ac:dyDescent="0.75">
      <c r="N78" s="13">
        <v>69</v>
      </c>
      <c r="O78" s="13">
        <f t="shared" si="7"/>
        <v>13</v>
      </c>
      <c r="P78" s="13">
        <f t="shared" si="8"/>
        <v>4</v>
      </c>
      <c r="Q78" s="14" cm="1">
        <f t="array" ref="Q78">INDEX('Osiris-ConceptMap'!$H$10:$L$264,O78+1,P78)</f>
        <v>0</v>
      </c>
    </row>
    <row r="79" spans="14:17" x14ac:dyDescent="0.75">
      <c r="N79" s="13">
        <v>70</v>
      </c>
      <c r="O79" s="13">
        <f t="shared" si="7"/>
        <v>13</v>
      </c>
      <c r="P79" s="13">
        <f t="shared" si="8"/>
        <v>5</v>
      </c>
      <c r="Q79" s="14" cm="1">
        <f t="array" ref="Q79">INDEX('Osiris-ConceptMap'!$H$10:$L$264,O79+1,P79)</f>
        <v>0</v>
      </c>
    </row>
    <row r="80" spans="14:17" x14ac:dyDescent="0.75">
      <c r="N80" s="13">
        <v>71</v>
      </c>
      <c r="O80" s="13">
        <f t="shared" si="7"/>
        <v>14</v>
      </c>
      <c r="P80" s="13">
        <f t="shared" si="8"/>
        <v>1</v>
      </c>
      <c r="Q80" s="14" cm="1">
        <f t="array" ref="Q80">INDEX('Osiris-ConceptMap'!$H$10:$L$264,O80+1,P80)</f>
        <v>0</v>
      </c>
    </row>
    <row r="81" spans="14:17" x14ac:dyDescent="0.75">
      <c r="N81" s="13">
        <v>72</v>
      </c>
      <c r="O81" s="13">
        <f t="shared" si="7"/>
        <v>14</v>
      </c>
      <c r="P81" s="13">
        <f t="shared" si="8"/>
        <v>2</v>
      </c>
      <c r="Q81" s="14" cm="1">
        <f t="array" ref="Q81">INDEX('Osiris-ConceptMap'!$H$10:$L$264,O81+1,P81)</f>
        <v>0</v>
      </c>
    </row>
    <row r="82" spans="14:17" x14ac:dyDescent="0.75">
      <c r="N82" s="13">
        <v>73</v>
      </c>
      <c r="O82" s="13">
        <f t="shared" si="7"/>
        <v>14</v>
      </c>
      <c r="P82" s="13">
        <f t="shared" si="8"/>
        <v>3</v>
      </c>
      <c r="Q82" s="14" cm="1">
        <f t="array" ref="Q82">INDEX('Osiris-ConceptMap'!$H$10:$L$264,O82+1,P82)</f>
        <v>0</v>
      </c>
    </row>
    <row r="83" spans="14:17" x14ac:dyDescent="0.75">
      <c r="N83" s="13">
        <v>74</v>
      </c>
      <c r="O83" s="13">
        <f t="shared" si="7"/>
        <v>14</v>
      </c>
      <c r="P83" s="13">
        <f t="shared" si="8"/>
        <v>4</v>
      </c>
      <c r="Q83" s="14" cm="1">
        <f t="array" ref="Q83">INDEX('Osiris-ConceptMap'!$H$10:$L$264,O83+1,P83)</f>
        <v>0</v>
      </c>
    </row>
    <row r="84" spans="14:17" x14ac:dyDescent="0.75">
      <c r="N84" s="13">
        <v>75</v>
      </c>
      <c r="O84" s="13">
        <f t="shared" si="7"/>
        <v>14</v>
      </c>
      <c r="P84" s="13">
        <f t="shared" si="8"/>
        <v>5</v>
      </c>
      <c r="Q84" s="14" cm="1">
        <f t="array" ref="Q84">INDEX('Osiris-ConceptMap'!$H$10:$L$264,O84+1,P84)</f>
        <v>0</v>
      </c>
    </row>
    <row r="85" spans="14:17" x14ac:dyDescent="0.75">
      <c r="N85" s="13">
        <v>76</v>
      </c>
      <c r="O85" s="13">
        <f t="shared" si="7"/>
        <v>15</v>
      </c>
      <c r="P85" s="13">
        <f t="shared" si="8"/>
        <v>1</v>
      </c>
      <c r="Q85" s="14" cm="1">
        <f t="array" ref="Q85">INDEX('Osiris-ConceptMap'!$H$10:$L$264,O85+1,P85)</f>
        <v>0</v>
      </c>
    </row>
    <row r="86" spans="14:17" x14ac:dyDescent="0.75">
      <c r="N86" s="13">
        <v>77</v>
      </c>
      <c r="O86" s="13">
        <f t="shared" si="7"/>
        <v>15</v>
      </c>
      <c r="P86" s="13">
        <f t="shared" si="8"/>
        <v>2</v>
      </c>
      <c r="Q86" s="14" cm="1">
        <f t="array" ref="Q86">INDEX('Osiris-ConceptMap'!$H$10:$L$264,O86+1,P86)</f>
        <v>0</v>
      </c>
    </row>
    <row r="87" spans="14:17" x14ac:dyDescent="0.75">
      <c r="N87" s="13">
        <v>78</v>
      </c>
      <c r="O87" s="13">
        <f t="shared" si="7"/>
        <v>15</v>
      </c>
      <c r="P87" s="13">
        <f t="shared" si="8"/>
        <v>3</v>
      </c>
      <c r="Q87" s="14" cm="1">
        <f t="array" ref="Q87">INDEX('Osiris-ConceptMap'!$H$10:$L$264,O87+1,P87)</f>
        <v>0</v>
      </c>
    </row>
    <row r="88" spans="14:17" x14ac:dyDescent="0.75">
      <c r="N88" s="13">
        <v>79</v>
      </c>
      <c r="O88" s="13">
        <f t="shared" si="7"/>
        <v>15</v>
      </c>
      <c r="P88" s="13">
        <f t="shared" si="8"/>
        <v>4</v>
      </c>
      <c r="Q88" s="14" cm="1">
        <f t="array" ref="Q88">INDEX('Osiris-ConceptMap'!$H$10:$L$264,O88+1,P88)</f>
        <v>0</v>
      </c>
    </row>
    <row r="89" spans="14:17" x14ac:dyDescent="0.75">
      <c r="N89" s="13">
        <v>80</v>
      </c>
      <c r="O89" s="13">
        <f t="shared" si="7"/>
        <v>15</v>
      </c>
      <c r="P89" s="13">
        <f t="shared" si="8"/>
        <v>5</v>
      </c>
      <c r="Q89" s="14" cm="1">
        <f t="array" ref="Q89">INDEX('Osiris-ConceptMap'!$H$10:$L$264,O89+1,P89)</f>
        <v>0</v>
      </c>
    </row>
    <row r="90" spans="14:17" x14ac:dyDescent="0.75">
      <c r="N90" s="13">
        <v>81</v>
      </c>
      <c r="O90" s="13">
        <f t="shared" si="7"/>
        <v>16</v>
      </c>
      <c r="P90" s="13">
        <f t="shared" si="8"/>
        <v>1</v>
      </c>
      <c r="Q90" s="14" cm="1">
        <f t="array" ref="Q90">INDEX('Osiris-ConceptMap'!$H$10:$L$264,O90+1,P90)</f>
        <v>0</v>
      </c>
    </row>
    <row r="91" spans="14:17" x14ac:dyDescent="0.75">
      <c r="N91" s="13">
        <v>82</v>
      </c>
      <c r="O91" s="13">
        <f t="shared" si="7"/>
        <v>16</v>
      </c>
      <c r="P91" s="13">
        <f t="shared" si="8"/>
        <v>2</v>
      </c>
      <c r="Q91" s="14" cm="1">
        <f t="array" ref="Q91">INDEX('Osiris-ConceptMap'!$H$10:$L$264,O91+1,P91)</f>
        <v>0</v>
      </c>
    </row>
    <row r="92" spans="14:17" x14ac:dyDescent="0.75">
      <c r="N92" s="13">
        <v>83</v>
      </c>
      <c r="O92" s="13">
        <f t="shared" si="7"/>
        <v>16</v>
      </c>
      <c r="P92" s="13">
        <f t="shared" si="8"/>
        <v>3</v>
      </c>
      <c r="Q92" s="14" cm="1">
        <f t="array" ref="Q92">INDEX('Osiris-ConceptMap'!$H$10:$L$264,O92+1,P92)</f>
        <v>0</v>
      </c>
    </row>
    <row r="93" spans="14:17" x14ac:dyDescent="0.75">
      <c r="N93" s="13">
        <v>84</v>
      </c>
      <c r="O93" s="13">
        <f t="shared" si="7"/>
        <v>16</v>
      </c>
      <c r="P93" s="13">
        <f t="shared" si="8"/>
        <v>4</v>
      </c>
      <c r="Q93" s="14" cm="1">
        <f t="array" ref="Q93">INDEX('Osiris-ConceptMap'!$H$10:$L$264,O93+1,P93)</f>
        <v>0</v>
      </c>
    </row>
    <row r="94" spans="14:17" x14ac:dyDescent="0.75">
      <c r="N94" s="13">
        <v>85</v>
      </c>
      <c r="O94" s="13">
        <f t="shared" si="7"/>
        <v>16</v>
      </c>
      <c r="P94" s="13">
        <f t="shared" si="8"/>
        <v>5</v>
      </c>
      <c r="Q94" s="14" cm="1">
        <f t="array" ref="Q94">INDEX('Osiris-ConceptMap'!$H$10:$L$264,O94+1,P94)</f>
        <v>0</v>
      </c>
    </row>
    <row r="95" spans="14:17" x14ac:dyDescent="0.75">
      <c r="N95" s="13">
        <v>86</v>
      </c>
      <c r="O95" s="13">
        <f t="shared" si="7"/>
        <v>17</v>
      </c>
      <c r="P95" s="13">
        <f t="shared" si="8"/>
        <v>1</v>
      </c>
      <c r="Q95" s="14" cm="1">
        <f t="array" ref="Q95">INDEX('Osiris-ConceptMap'!$H$10:$L$264,O95+1,P95)</f>
        <v>0</v>
      </c>
    </row>
    <row r="96" spans="14:17" x14ac:dyDescent="0.75">
      <c r="N96" s="13">
        <v>87</v>
      </c>
      <c r="O96" s="13">
        <f t="shared" si="7"/>
        <v>17</v>
      </c>
      <c r="P96" s="13">
        <f t="shared" si="8"/>
        <v>2</v>
      </c>
      <c r="Q96" s="14" cm="1">
        <f t="array" ref="Q96">INDEX('Osiris-ConceptMap'!$H$10:$L$264,O96+1,P96)</f>
        <v>0</v>
      </c>
    </row>
    <row r="97" spans="14:17" x14ac:dyDescent="0.75">
      <c r="N97" s="13">
        <v>88</v>
      </c>
      <c r="O97" s="13">
        <f t="shared" si="7"/>
        <v>17</v>
      </c>
      <c r="P97" s="13">
        <f t="shared" si="8"/>
        <v>3</v>
      </c>
      <c r="Q97" s="14" cm="1">
        <f t="array" ref="Q97">INDEX('Osiris-ConceptMap'!$H$10:$L$264,O97+1,P97)</f>
        <v>0</v>
      </c>
    </row>
    <row r="98" spans="14:17" x14ac:dyDescent="0.75">
      <c r="N98" s="13">
        <v>89</v>
      </c>
      <c r="O98" s="13">
        <f t="shared" si="7"/>
        <v>17</v>
      </c>
      <c r="P98" s="13">
        <f t="shared" si="8"/>
        <v>4</v>
      </c>
      <c r="Q98" s="14" cm="1">
        <f t="array" ref="Q98">INDEX('Osiris-ConceptMap'!$H$10:$L$264,O98+1,P98)</f>
        <v>0</v>
      </c>
    </row>
    <row r="99" spans="14:17" x14ac:dyDescent="0.75">
      <c r="N99" s="13">
        <v>90</v>
      </c>
      <c r="O99" s="13">
        <f t="shared" si="7"/>
        <v>17</v>
      </c>
      <c r="P99" s="13">
        <f t="shared" si="8"/>
        <v>5</v>
      </c>
      <c r="Q99" s="14" cm="1">
        <f t="array" ref="Q99">INDEX('Osiris-ConceptMap'!$H$10:$L$264,O99+1,P99)</f>
        <v>0</v>
      </c>
    </row>
    <row r="100" spans="14:17" x14ac:dyDescent="0.75">
      <c r="N100" s="13">
        <v>91</v>
      </c>
      <c r="O100" s="13">
        <f t="shared" si="7"/>
        <v>18</v>
      </c>
      <c r="P100" s="13">
        <f t="shared" si="8"/>
        <v>1</v>
      </c>
      <c r="Q100" s="14" cm="1">
        <f t="array" ref="Q100">INDEX('Osiris-ConceptMap'!$H$10:$L$264,O100+1,P100)</f>
        <v>0</v>
      </c>
    </row>
    <row r="101" spans="14:17" x14ac:dyDescent="0.75">
      <c r="N101" s="13">
        <v>92</v>
      </c>
      <c r="O101" s="13">
        <f t="shared" si="7"/>
        <v>18</v>
      </c>
      <c r="P101" s="13">
        <f t="shared" si="8"/>
        <v>2</v>
      </c>
      <c r="Q101" s="14" cm="1">
        <f t="array" ref="Q101">INDEX('Osiris-ConceptMap'!U85:Y339,1+O101,P101)</f>
        <v>0</v>
      </c>
    </row>
    <row r="102" spans="14:17" x14ac:dyDescent="0.75">
      <c r="N102" s="13">
        <v>93</v>
      </c>
      <c r="O102" s="13">
        <f t="shared" si="7"/>
        <v>18</v>
      </c>
      <c r="P102" s="13">
        <f t="shared" si="8"/>
        <v>3</v>
      </c>
      <c r="Q102" s="14" cm="1">
        <f t="array" ref="Q102">INDEX('Osiris-ConceptMap'!U86:Y340,1+O102,P102)</f>
        <v>0</v>
      </c>
    </row>
    <row r="103" spans="14:17" x14ac:dyDescent="0.75">
      <c r="N103" s="13">
        <v>94</v>
      </c>
      <c r="O103" s="13">
        <f t="shared" si="7"/>
        <v>18</v>
      </c>
      <c r="P103" s="13">
        <f t="shared" si="8"/>
        <v>4</v>
      </c>
      <c r="Q103" s="14" cm="1">
        <f t="array" ref="Q103">INDEX('Osiris-ConceptMap'!U87:Y341,1+O103,P103)</f>
        <v>0</v>
      </c>
    </row>
    <row r="104" spans="14:17" x14ac:dyDescent="0.75">
      <c r="N104" s="13">
        <v>95</v>
      </c>
      <c r="O104" s="13">
        <f t="shared" si="7"/>
        <v>18</v>
      </c>
      <c r="P104" s="13">
        <f t="shared" si="8"/>
        <v>5</v>
      </c>
      <c r="Q104" s="14" cm="1">
        <f t="array" ref="Q104">INDEX('Osiris-ConceptMap'!U88:Y342,1+O104,P104)</f>
        <v>0</v>
      </c>
    </row>
    <row r="105" spans="14:17" x14ac:dyDescent="0.75">
      <c r="N105" s="13">
        <v>96</v>
      </c>
      <c r="O105" s="13">
        <f t="shared" si="7"/>
        <v>19</v>
      </c>
      <c r="P105" s="13">
        <f t="shared" si="8"/>
        <v>1</v>
      </c>
      <c r="Q105" s="14" cm="1">
        <f t="array" ref="Q105">INDEX('Osiris-ConceptMap'!U89:Y343,1+O105,P105)</f>
        <v>0</v>
      </c>
    </row>
    <row r="106" spans="14:17" x14ac:dyDescent="0.75">
      <c r="N106" s="13">
        <v>97</v>
      </c>
      <c r="O106" s="13">
        <f t="shared" si="7"/>
        <v>19</v>
      </c>
      <c r="P106" s="13">
        <f t="shared" si="8"/>
        <v>2</v>
      </c>
      <c r="Q106" s="14" cm="1">
        <f t="array" ref="Q106">INDEX('Osiris-ConceptMap'!U90:Y344,1+O106,P106)</f>
        <v>0</v>
      </c>
    </row>
    <row r="107" spans="14:17" x14ac:dyDescent="0.75">
      <c r="N107" s="13">
        <v>98</v>
      </c>
      <c r="O107" s="13">
        <f t="shared" si="7"/>
        <v>19</v>
      </c>
      <c r="P107" s="13">
        <f t="shared" si="8"/>
        <v>3</v>
      </c>
      <c r="Q107" s="14" cm="1">
        <f t="array" ref="Q107">INDEX('Osiris-ConceptMap'!U91:Y345,1+O107,P107)</f>
        <v>0</v>
      </c>
    </row>
    <row r="108" spans="14:17" x14ac:dyDescent="0.75">
      <c r="N108" s="13">
        <v>99</v>
      </c>
      <c r="O108" s="13">
        <f t="shared" si="7"/>
        <v>19</v>
      </c>
      <c r="P108" s="13">
        <f t="shared" si="8"/>
        <v>4</v>
      </c>
      <c r="Q108" s="14" cm="1">
        <f t="array" ref="Q108">INDEX('Osiris-ConceptMap'!U92:Y346,1+O108,P108)</f>
        <v>0</v>
      </c>
    </row>
    <row r="109" spans="14:17" x14ac:dyDescent="0.75">
      <c r="N109" s="13">
        <v>100</v>
      </c>
      <c r="O109" s="13">
        <f t="shared" si="7"/>
        <v>19</v>
      </c>
      <c r="P109" s="13">
        <f t="shared" si="8"/>
        <v>5</v>
      </c>
      <c r="Q109" s="14" cm="1">
        <f t="array" ref="Q109">INDEX('Osiris-ConceptMap'!U93:Y347,1+O109,P109)</f>
        <v>0</v>
      </c>
    </row>
    <row r="110" spans="14:17" x14ac:dyDescent="0.75">
      <c r="N110" s="13">
        <v>101</v>
      </c>
      <c r="O110" s="13">
        <f t="shared" si="7"/>
        <v>20</v>
      </c>
      <c r="P110" s="13">
        <f t="shared" si="8"/>
        <v>1</v>
      </c>
      <c r="Q110" s="14" cm="1">
        <f t="array" ref="Q110">INDEX('Osiris-ConceptMap'!U94:Y348,1+O110,P110)</f>
        <v>0</v>
      </c>
    </row>
    <row r="111" spans="14:17" x14ac:dyDescent="0.75">
      <c r="N111" s="13">
        <v>102</v>
      </c>
      <c r="O111" s="13">
        <f t="shared" si="7"/>
        <v>20</v>
      </c>
      <c r="P111" s="13">
        <f t="shared" si="8"/>
        <v>2</v>
      </c>
      <c r="Q111" s="14" cm="1">
        <f t="array" ref="Q111">INDEX('Osiris-ConceptMap'!U95:Y349,1+O111,P111)</f>
        <v>0</v>
      </c>
    </row>
    <row r="112" spans="14:17" x14ac:dyDescent="0.75">
      <c r="N112" s="13">
        <v>103</v>
      </c>
      <c r="O112" s="13">
        <f t="shared" si="7"/>
        <v>20</v>
      </c>
      <c r="P112" s="13">
        <f t="shared" si="8"/>
        <v>3</v>
      </c>
      <c r="Q112" s="14" cm="1">
        <f t="array" ref="Q112">INDEX('Osiris-ConceptMap'!U96:Y350,1+O112,P112)</f>
        <v>0</v>
      </c>
    </row>
    <row r="113" spans="14:17" x14ac:dyDescent="0.75">
      <c r="N113" s="13">
        <v>104</v>
      </c>
      <c r="O113" s="13">
        <f t="shared" si="7"/>
        <v>20</v>
      </c>
      <c r="P113" s="13">
        <f t="shared" si="8"/>
        <v>4</v>
      </c>
      <c r="Q113" s="14" cm="1">
        <f t="array" ref="Q113">INDEX('Osiris-ConceptMap'!U97:Y351,1+O113,P113)</f>
        <v>0</v>
      </c>
    </row>
    <row r="114" spans="14:17" x14ac:dyDescent="0.75">
      <c r="N114" s="13">
        <v>105</v>
      </c>
      <c r="O114" s="13">
        <f t="shared" si="7"/>
        <v>20</v>
      </c>
      <c r="P114" s="13">
        <f t="shared" si="8"/>
        <v>5</v>
      </c>
      <c r="Q114" s="14" cm="1">
        <f t="array" ref="Q114">INDEX('Osiris-ConceptMap'!U98:Y352,1+O114,P114)</f>
        <v>0</v>
      </c>
    </row>
    <row r="115" spans="14:17" x14ac:dyDescent="0.75">
      <c r="N115" s="13">
        <v>106</v>
      </c>
      <c r="O115" s="13">
        <f t="shared" si="7"/>
        <v>21</v>
      </c>
      <c r="P115" s="13">
        <f t="shared" si="8"/>
        <v>1</v>
      </c>
      <c r="Q115" s="14" cm="1">
        <f t="array" ref="Q115">INDEX('Osiris-ConceptMap'!U99:Y353,1+O115,P115)</f>
        <v>0</v>
      </c>
    </row>
    <row r="116" spans="14:17" x14ac:dyDescent="0.75">
      <c r="N116" s="13">
        <v>107</v>
      </c>
      <c r="O116" s="13">
        <f t="shared" si="7"/>
        <v>21</v>
      </c>
      <c r="P116" s="13">
        <f t="shared" si="8"/>
        <v>2</v>
      </c>
      <c r="Q116" s="14" cm="1">
        <f t="array" ref="Q116">INDEX('Osiris-ConceptMap'!U100:Y354,1+O116,P116)</f>
        <v>0</v>
      </c>
    </row>
    <row r="117" spans="14:17" x14ac:dyDescent="0.75">
      <c r="N117" s="13">
        <v>108</v>
      </c>
      <c r="O117" s="13">
        <f t="shared" si="7"/>
        <v>21</v>
      </c>
      <c r="P117" s="13">
        <f t="shared" si="8"/>
        <v>3</v>
      </c>
      <c r="Q117" s="14" cm="1">
        <f t="array" ref="Q117">INDEX('Osiris-ConceptMap'!U101:Y355,1+O117,P117)</f>
        <v>0</v>
      </c>
    </row>
    <row r="118" spans="14:17" x14ac:dyDescent="0.75">
      <c r="N118" s="13">
        <v>109</v>
      </c>
      <c r="O118" s="13">
        <f t="shared" si="7"/>
        <v>21</v>
      </c>
      <c r="P118" s="13">
        <f t="shared" si="8"/>
        <v>4</v>
      </c>
      <c r="Q118" s="14" cm="1">
        <f t="array" ref="Q118">INDEX('Osiris-ConceptMap'!U102:Y356,1+O118,P118)</f>
        <v>0</v>
      </c>
    </row>
    <row r="119" spans="14:17" x14ac:dyDescent="0.75">
      <c r="N119" s="13">
        <v>110</v>
      </c>
      <c r="O119" s="13">
        <f t="shared" si="7"/>
        <v>21</v>
      </c>
      <c r="P119" s="13">
        <f t="shared" si="8"/>
        <v>5</v>
      </c>
      <c r="Q119" s="14" cm="1">
        <f t="array" ref="Q119">INDEX('Osiris-ConceptMap'!U103:Y357,1+O119,P119)</f>
        <v>0</v>
      </c>
    </row>
    <row r="120" spans="14:17" x14ac:dyDescent="0.75">
      <c r="N120" s="13">
        <v>111</v>
      </c>
      <c r="O120" s="13">
        <f t="shared" si="7"/>
        <v>22</v>
      </c>
      <c r="P120" s="13">
        <f t="shared" si="8"/>
        <v>1</v>
      </c>
      <c r="Q120" s="14" cm="1">
        <f t="array" ref="Q120">INDEX('Osiris-ConceptMap'!U104:Y358,1+O120,P120)</f>
        <v>0</v>
      </c>
    </row>
    <row r="121" spans="14:17" x14ac:dyDescent="0.75">
      <c r="N121" s="13">
        <v>112</v>
      </c>
      <c r="O121" s="13">
        <f t="shared" si="7"/>
        <v>22</v>
      </c>
      <c r="P121" s="13">
        <f t="shared" si="8"/>
        <v>2</v>
      </c>
      <c r="Q121" s="14" cm="1">
        <f t="array" ref="Q121">INDEX('Osiris-ConceptMap'!U105:Y359,1+O121,P121)</f>
        <v>0</v>
      </c>
    </row>
    <row r="122" spans="14:17" x14ac:dyDescent="0.75">
      <c r="N122" s="13">
        <v>113</v>
      </c>
      <c r="O122" s="13">
        <f t="shared" si="7"/>
        <v>22</v>
      </c>
      <c r="P122" s="13">
        <f t="shared" si="8"/>
        <v>3</v>
      </c>
      <c r="Q122" s="14" cm="1">
        <f t="array" ref="Q122">INDEX('Osiris-ConceptMap'!U106:Y360,1+O122,P122)</f>
        <v>0</v>
      </c>
    </row>
    <row r="123" spans="14:17" x14ac:dyDescent="0.75">
      <c r="N123" s="13">
        <v>114</v>
      </c>
      <c r="O123" s="13">
        <f t="shared" si="7"/>
        <v>22</v>
      </c>
      <c r="P123" s="13">
        <f t="shared" si="8"/>
        <v>4</v>
      </c>
      <c r="Q123" s="14" cm="1">
        <f t="array" ref="Q123">INDEX('Osiris-ConceptMap'!U107:Y361,1+O123,P123)</f>
        <v>0</v>
      </c>
    </row>
    <row r="124" spans="14:17" x14ac:dyDescent="0.75">
      <c r="N124" s="13">
        <v>115</v>
      </c>
      <c r="O124" s="13">
        <f t="shared" si="7"/>
        <v>22</v>
      </c>
      <c r="P124" s="13">
        <f t="shared" si="8"/>
        <v>5</v>
      </c>
      <c r="Q124" s="14" cm="1">
        <f t="array" ref="Q124">INDEX('Osiris-ConceptMap'!U108:Y362,1+O124,P124)</f>
        <v>0</v>
      </c>
    </row>
    <row r="125" spans="14:17" x14ac:dyDescent="0.75">
      <c r="N125" s="13">
        <v>116</v>
      </c>
      <c r="O125" s="13">
        <f t="shared" si="7"/>
        <v>23</v>
      </c>
      <c r="P125" s="13">
        <f t="shared" si="8"/>
        <v>1</v>
      </c>
      <c r="Q125" s="14" cm="1">
        <f t="array" ref="Q125">INDEX('Osiris-ConceptMap'!U109:Y363,1+O125,P125)</f>
        <v>0</v>
      </c>
    </row>
    <row r="126" spans="14:17" x14ac:dyDescent="0.75">
      <c r="N126" s="13">
        <v>117</v>
      </c>
      <c r="O126" s="13">
        <f t="shared" si="7"/>
        <v>23</v>
      </c>
      <c r="P126" s="13">
        <f t="shared" si="8"/>
        <v>2</v>
      </c>
      <c r="Q126" s="14" cm="1">
        <f t="array" ref="Q126">INDEX('Osiris-ConceptMap'!U110:Y364,1+O126,P126)</f>
        <v>0</v>
      </c>
    </row>
    <row r="127" spans="14:17" x14ac:dyDescent="0.75">
      <c r="N127" s="13">
        <v>118</v>
      </c>
      <c r="O127" s="13">
        <f t="shared" si="7"/>
        <v>23</v>
      </c>
      <c r="P127" s="13">
        <f t="shared" si="8"/>
        <v>3</v>
      </c>
      <c r="Q127" s="14" cm="1">
        <f t="array" ref="Q127">INDEX('Osiris-ConceptMap'!U111:Y365,1+O127,P127)</f>
        <v>0</v>
      </c>
    </row>
    <row r="128" spans="14:17" x14ac:dyDescent="0.75">
      <c r="N128" s="13">
        <v>119</v>
      </c>
      <c r="O128" s="13">
        <f t="shared" si="7"/>
        <v>23</v>
      </c>
      <c r="P128" s="13">
        <f t="shared" si="8"/>
        <v>4</v>
      </c>
      <c r="Q128" s="14" cm="1">
        <f t="array" ref="Q128">INDEX('Osiris-ConceptMap'!U112:Y366,1+O128,P128)</f>
        <v>0</v>
      </c>
    </row>
    <row r="129" spans="14:17" x14ac:dyDescent="0.75">
      <c r="N129" s="13">
        <v>120</v>
      </c>
      <c r="O129" s="13">
        <f t="shared" si="7"/>
        <v>23</v>
      </c>
      <c r="P129" s="13">
        <f t="shared" si="8"/>
        <v>5</v>
      </c>
      <c r="Q129" s="14" cm="1">
        <f t="array" ref="Q129">INDEX('Osiris-ConceptMap'!U113:Y367,1+O129,P129)</f>
        <v>0</v>
      </c>
    </row>
    <row r="130" spans="14:17" x14ac:dyDescent="0.75">
      <c r="N130" s="13">
        <v>121</v>
      </c>
      <c r="O130" s="13">
        <f t="shared" si="7"/>
        <v>24</v>
      </c>
      <c r="P130" s="13">
        <f t="shared" si="8"/>
        <v>1</v>
      </c>
      <c r="Q130" s="14" cm="1">
        <f t="array" ref="Q130">INDEX('Osiris-ConceptMap'!U114:Y368,1+O130,P130)</f>
        <v>0</v>
      </c>
    </row>
    <row r="131" spans="14:17" x14ac:dyDescent="0.75">
      <c r="N131" s="13">
        <v>122</v>
      </c>
      <c r="O131" s="13">
        <f t="shared" si="7"/>
        <v>24</v>
      </c>
      <c r="P131" s="13">
        <f t="shared" si="8"/>
        <v>2</v>
      </c>
      <c r="Q131" s="14" cm="1">
        <f t="array" ref="Q131">INDEX('Osiris-ConceptMap'!U115:Y369,1+O131,P131)</f>
        <v>0</v>
      </c>
    </row>
    <row r="132" spans="14:17" x14ac:dyDescent="0.75">
      <c r="N132" s="13">
        <v>123</v>
      </c>
      <c r="O132" s="13">
        <f t="shared" si="7"/>
        <v>24</v>
      </c>
      <c r="P132" s="13">
        <f t="shared" si="8"/>
        <v>3</v>
      </c>
      <c r="Q132" s="14" cm="1">
        <f t="array" ref="Q132">INDEX('Osiris-ConceptMap'!U116:Y370,1+O132,P132)</f>
        <v>0</v>
      </c>
    </row>
    <row r="133" spans="14:17" x14ac:dyDescent="0.75">
      <c r="N133" s="13">
        <v>124</v>
      </c>
      <c r="O133" s="13">
        <f t="shared" si="7"/>
        <v>24</v>
      </c>
      <c r="P133" s="13">
        <f t="shared" si="8"/>
        <v>4</v>
      </c>
      <c r="Q133" s="14" cm="1">
        <f t="array" ref="Q133">INDEX('Osiris-ConceptMap'!U117:Y371,1+O133,P133)</f>
        <v>0</v>
      </c>
    </row>
    <row r="134" spans="14:17" x14ac:dyDescent="0.75">
      <c r="N134" s="13">
        <v>125</v>
      </c>
      <c r="O134" s="13">
        <f t="shared" si="7"/>
        <v>24</v>
      </c>
      <c r="P134" s="13">
        <f t="shared" si="8"/>
        <v>5</v>
      </c>
      <c r="Q134" s="14" cm="1">
        <f t="array" ref="Q134">INDEX('Osiris-ConceptMap'!U118:Y372,1+O134,P134)</f>
        <v>0</v>
      </c>
    </row>
    <row r="135" spans="14:17" x14ac:dyDescent="0.75">
      <c r="N135" s="13">
        <v>126</v>
      </c>
      <c r="O135" s="13">
        <f t="shared" si="7"/>
        <v>25</v>
      </c>
      <c r="P135" s="13">
        <f t="shared" si="8"/>
        <v>1</v>
      </c>
      <c r="Q135" s="14" cm="1">
        <f t="array" ref="Q135">INDEX('Osiris-ConceptMap'!U119:Y373,1+O135,P135)</f>
        <v>0</v>
      </c>
    </row>
    <row r="136" spans="14:17" x14ac:dyDescent="0.75">
      <c r="N136" s="13">
        <v>127</v>
      </c>
      <c r="O136" s="13">
        <f t="shared" si="7"/>
        <v>25</v>
      </c>
      <c r="P136" s="13">
        <f t="shared" si="8"/>
        <v>2</v>
      </c>
      <c r="Q136" s="14" cm="1">
        <f t="array" ref="Q136">INDEX('Osiris-ConceptMap'!U120:Y374,1+O136,P136)</f>
        <v>0</v>
      </c>
    </row>
    <row r="137" spans="14:17" x14ac:dyDescent="0.75">
      <c r="N137" s="13">
        <v>128</v>
      </c>
      <c r="O137" s="13">
        <f t="shared" si="7"/>
        <v>25</v>
      </c>
      <c r="P137" s="13">
        <f t="shared" si="8"/>
        <v>3</v>
      </c>
      <c r="Q137" s="14" cm="1">
        <f t="array" ref="Q137">INDEX('Osiris-ConceptMap'!U121:Y375,1+O137,P137)</f>
        <v>0</v>
      </c>
    </row>
    <row r="138" spans="14:17" x14ac:dyDescent="0.75">
      <c r="N138" s="13">
        <v>129</v>
      </c>
      <c r="O138" s="13">
        <f t="shared" si="7"/>
        <v>25</v>
      </c>
      <c r="P138" s="13">
        <f t="shared" si="8"/>
        <v>4</v>
      </c>
      <c r="Q138" s="14" cm="1">
        <f t="array" ref="Q138">INDEX('Osiris-ConceptMap'!U122:Y376,1+O138,P138)</f>
        <v>0</v>
      </c>
    </row>
    <row r="139" spans="14:17" x14ac:dyDescent="0.75">
      <c r="N139" s="13">
        <v>130</v>
      </c>
      <c r="O139" s="13">
        <f t="shared" ref="O139:O184" si="9">IF(MOD(N139,$O$3)=0,N139/$O$3-1,INT(N139/$O$3))</f>
        <v>25</v>
      </c>
      <c r="P139" s="13">
        <f t="shared" ref="P139:P184" si="10">IF(MOD(N139,$O$3)=0,$O$3,MOD(N139,$O$3))</f>
        <v>5</v>
      </c>
      <c r="Q139" s="14" cm="1">
        <f t="array" ref="Q139">INDEX('Osiris-ConceptMap'!U123:Y377,1+O139,P139)</f>
        <v>0</v>
      </c>
    </row>
    <row r="140" spans="14:17" x14ac:dyDescent="0.75">
      <c r="N140" s="13">
        <v>131</v>
      </c>
      <c r="O140" s="13">
        <f t="shared" si="9"/>
        <v>26</v>
      </c>
      <c r="P140" s="13">
        <f t="shared" si="10"/>
        <v>1</v>
      </c>
      <c r="Q140" s="14" cm="1">
        <f t="array" ref="Q140">INDEX('Osiris-ConceptMap'!U124:Y378,1+O140,P140)</f>
        <v>0</v>
      </c>
    </row>
    <row r="141" spans="14:17" x14ac:dyDescent="0.75">
      <c r="N141" s="13">
        <v>132</v>
      </c>
      <c r="O141" s="13">
        <f t="shared" si="9"/>
        <v>26</v>
      </c>
      <c r="P141" s="13">
        <f t="shared" si="10"/>
        <v>2</v>
      </c>
      <c r="Q141" s="14" cm="1">
        <f t="array" ref="Q141">INDEX('Osiris-ConceptMap'!U125:Y379,1+O141,P141)</f>
        <v>0</v>
      </c>
    </row>
    <row r="142" spans="14:17" x14ac:dyDescent="0.75">
      <c r="N142" s="13">
        <v>133</v>
      </c>
      <c r="O142" s="13">
        <f t="shared" si="9"/>
        <v>26</v>
      </c>
      <c r="P142" s="13">
        <f t="shared" si="10"/>
        <v>3</v>
      </c>
      <c r="Q142" s="14" cm="1">
        <f t="array" ref="Q142">INDEX('Osiris-ConceptMap'!U126:Y380,1+O142,P142)</f>
        <v>0</v>
      </c>
    </row>
    <row r="143" spans="14:17" x14ac:dyDescent="0.75">
      <c r="N143" s="13">
        <v>134</v>
      </c>
      <c r="O143" s="13">
        <f t="shared" si="9"/>
        <v>26</v>
      </c>
      <c r="P143" s="13">
        <f t="shared" si="10"/>
        <v>4</v>
      </c>
      <c r="Q143" s="14" cm="1">
        <f t="array" ref="Q143">INDEX('Osiris-ConceptMap'!U127:Y381,1+O143,P143)</f>
        <v>0</v>
      </c>
    </row>
    <row r="144" spans="14:17" x14ac:dyDescent="0.75">
      <c r="N144" s="13">
        <v>135</v>
      </c>
      <c r="O144" s="13">
        <f t="shared" si="9"/>
        <v>26</v>
      </c>
      <c r="P144" s="13">
        <f t="shared" si="10"/>
        <v>5</v>
      </c>
      <c r="Q144" s="14" cm="1">
        <f t="array" ref="Q144">INDEX('Osiris-ConceptMap'!U128:Y382,1+O144,P144)</f>
        <v>0</v>
      </c>
    </row>
    <row r="145" spans="14:17" x14ac:dyDescent="0.75">
      <c r="N145" s="13">
        <v>136</v>
      </c>
      <c r="O145" s="13">
        <f t="shared" si="9"/>
        <v>27</v>
      </c>
      <c r="P145" s="13">
        <f t="shared" si="10"/>
        <v>1</v>
      </c>
      <c r="Q145" s="14" cm="1">
        <f t="array" ref="Q145">INDEX('Osiris-ConceptMap'!U129:Y383,1+O145,P145)</f>
        <v>0</v>
      </c>
    </row>
    <row r="146" spans="14:17" x14ac:dyDescent="0.75">
      <c r="N146" s="13">
        <v>137</v>
      </c>
      <c r="O146" s="13">
        <f t="shared" si="9"/>
        <v>27</v>
      </c>
      <c r="P146" s="13">
        <f t="shared" si="10"/>
        <v>2</v>
      </c>
      <c r="Q146" s="14" cm="1">
        <f t="array" ref="Q146">INDEX('Osiris-ConceptMap'!U130:Y384,1+O146,P146)</f>
        <v>0</v>
      </c>
    </row>
    <row r="147" spans="14:17" x14ac:dyDescent="0.75">
      <c r="N147" s="13">
        <v>138</v>
      </c>
      <c r="O147" s="13">
        <f t="shared" si="9"/>
        <v>27</v>
      </c>
      <c r="P147" s="13">
        <f t="shared" si="10"/>
        <v>3</v>
      </c>
      <c r="Q147" s="14" cm="1">
        <f t="array" ref="Q147">INDEX('Osiris-ConceptMap'!U131:Y385,1+O147,P147)</f>
        <v>0</v>
      </c>
    </row>
    <row r="148" spans="14:17" x14ac:dyDescent="0.75">
      <c r="N148" s="13">
        <v>139</v>
      </c>
      <c r="O148" s="13">
        <f t="shared" si="9"/>
        <v>27</v>
      </c>
      <c r="P148" s="13">
        <f t="shared" si="10"/>
        <v>4</v>
      </c>
      <c r="Q148" s="14" cm="1">
        <f t="array" ref="Q148">INDEX('Osiris-ConceptMap'!U132:Y386,1+O148,P148)</f>
        <v>0</v>
      </c>
    </row>
    <row r="149" spans="14:17" x14ac:dyDescent="0.75">
      <c r="N149" s="13">
        <v>140</v>
      </c>
      <c r="O149" s="13">
        <f t="shared" si="9"/>
        <v>27</v>
      </c>
      <c r="P149" s="13">
        <f t="shared" si="10"/>
        <v>5</v>
      </c>
      <c r="Q149" s="14" cm="1">
        <f t="array" ref="Q149">INDEX('Osiris-ConceptMap'!U133:Y387,1+O149,P149)</f>
        <v>0</v>
      </c>
    </row>
    <row r="150" spans="14:17" x14ac:dyDescent="0.75">
      <c r="N150" s="13">
        <v>141</v>
      </c>
      <c r="O150" s="13">
        <f t="shared" si="9"/>
        <v>28</v>
      </c>
      <c r="P150" s="13">
        <f t="shared" si="10"/>
        <v>1</v>
      </c>
      <c r="Q150" s="14" cm="1">
        <f t="array" ref="Q150">INDEX('Osiris-ConceptMap'!U134:Y388,1+O150,P150)</f>
        <v>0</v>
      </c>
    </row>
    <row r="151" spans="14:17" x14ac:dyDescent="0.75">
      <c r="N151" s="13">
        <v>142</v>
      </c>
      <c r="O151" s="13">
        <f t="shared" si="9"/>
        <v>28</v>
      </c>
      <c r="P151" s="13">
        <f t="shared" si="10"/>
        <v>2</v>
      </c>
      <c r="Q151" s="14" cm="1">
        <f t="array" ref="Q151">INDEX('Osiris-ConceptMap'!U135:Y389,1+O151,P151)</f>
        <v>0</v>
      </c>
    </row>
    <row r="152" spans="14:17" x14ac:dyDescent="0.75">
      <c r="N152" s="13">
        <v>143</v>
      </c>
      <c r="O152" s="13">
        <f t="shared" si="9"/>
        <v>28</v>
      </c>
      <c r="P152" s="13">
        <f t="shared" si="10"/>
        <v>3</v>
      </c>
      <c r="Q152" s="14" cm="1">
        <f t="array" ref="Q152">INDEX('Osiris-ConceptMap'!U136:Y390,1+O152,P152)</f>
        <v>0</v>
      </c>
    </row>
    <row r="153" spans="14:17" x14ac:dyDescent="0.75">
      <c r="N153" s="13">
        <v>144</v>
      </c>
      <c r="O153" s="13">
        <f t="shared" si="9"/>
        <v>28</v>
      </c>
      <c r="P153" s="13">
        <f t="shared" si="10"/>
        <v>4</v>
      </c>
      <c r="Q153" s="14" cm="1">
        <f t="array" ref="Q153">INDEX('Osiris-ConceptMap'!U137:Y391,1+O153,P153)</f>
        <v>0</v>
      </c>
    </row>
    <row r="154" spans="14:17" x14ac:dyDescent="0.75">
      <c r="N154" s="13">
        <v>145</v>
      </c>
      <c r="O154" s="13">
        <f t="shared" si="9"/>
        <v>28</v>
      </c>
      <c r="P154" s="13">
        <f t="shared" si="10"/>
        <v>5</v>
      </c>
      <c r="Q154" s="14" cm="1">
        <f t="array" ref="Q154">INDEX('Osiris-ConceptMap'!U138:Y392,1+O154,P154)</f>
        <v>0</v>
      </c>
    </row>
    <row r="155" spans="14:17" x14ac:dyDescent="0.75">
      <c r="N155" s="13">
        <v>146</v>
      </c>
      <c r="O155" s="13">
        <f t="shared" si="9"/>
        <v>29</v>
      </c>
      <c r="P155" s="13">
        <f t="shared" si="10"/>
        <v>1</v>
      </c>
      <c r="Q155" s="14" cm="1">
        <f t="array" ref="Q155">INDEX('Osiris-ConceptMap'!U139:Y393,1+O155,P155)</f>
        <v>0</v>
      </c>
    </row>
    <row r="156" spans="14:17" x14ac:dyDescent="0.75">
      <c r="N156" s="13">
        <v>147</v>
      </c>
      <c r="O156" s="13">
        <f t="shared" si="9"/>
        <v>29</v>
      </c>
      <c r="P156" s="13">
        <f t="shared" si="10"/>
        <v>2</v>
      </c>
      <c r="Q156" s="14" cm="1">
        <f t="array" ref="Q156">INDEX('Osiris-ConceptMap'!U140:Y394,1+O156,P156)</f>
        <v>0</v>
      </c>
    </row>
    <row r="157" spans="14:17" x14ac:dyDescent="0.75">
      <c r="N157" s="13">
        <v>148</v>
      </c>
      <c r="O157" s="13">
        <f t="shared" si="9"/>
        <v>29</v>
      </c>
      <c r="P157" s="13">
        <f t="shared" si="10"/>
        <v>3</v>
      </c>
      <c r="Q157" s="14" cm="1">
        <f t="array" ref="Q157">INDEX('Osiris-ConceptMap'!U141:Y395,1+O157,P157)</f>
        <v>0</v>
      </c>
    </row>
    <row r="158" spans="14:17" x14ac:dyDescent="0.75">
      <c r="N158" s="13">
        <v>149</v>
      </c>
      <c r="O158" s="13">
        <f t="shared" si="9"/>
        <v>29</v>
      </c>
      <c r="P158" s="13">
        <f t="shared" si="10"/>
        <v>4</v>
      </c>
      <c r="Q158" s="14" cm="1">
        <f t="array" ref="Q158">INDEX('Osiris-ConceptMap'!U142:Y396,1+O158,P158)</f>
        <v>0</v>
      </c>
    </row>
    <row r="159" spans="14:17" x14ac:dyDescent="0.75">
      <c r="N159" s="13">
        <v>150</v>
      </c>
      <c r="O159" s="13">
        <f t="shared" si="9"/>
        <v>29</v>
      </c>
      <c r="P159" s="13">
        <f t="shared" si="10"/>
        <v>5</v>
      </c>
      <c r="Q159" s="14" cm="1">
        <f t="array" ref="Q159">INDEX('Osiris-ConceptMap'!U143:Y397,1+O159,P159)</f>
        <v>0</v>
      </c>
    </row>
    <row r="160" spans="14:17" x14ac:dyDescent="0.75">
      <c r="N160" s="13">
        <v>151</v>
      </c>
      <c r="O160" s="13">
        <f t="shared" si="9"/>
        <v>30</v>
      </c>
      <c r="P160" s="13">
        <f t="shared" si="10"/>
        <v>1</v>
      </c>
      <c r="Q160" s="14" cm="1">
        <f t="array" ref="Q160">INDEX('Osiris-ConceptMap'!U144:Y398,1+O160,P160)</f>
        <v>0</v>
      </c>
    </row>
    <row r="161" spans="14:17" x14ac:dyDescent="0.75">
      <c r="N161" s="13">
        <v>152</v>
      </c>
      <c r="O161" s="13">
        <f t="shared" si="9"/>
        <v>30</v>
      </c>
      <c r="P161" s="13">
        <f t="shared" si="10"/>
        <v>2</v>
      </c>
      <c r="Q161" s="14" cm="1">
        <f t="array" ref="Q161">INDEX('Osiris-ConceptMap'!U145:Y399,1+O161,P161)</f>
        <v>0</v>
      </c>
    </row>
    <row r="162" spans="14:17" x14ac:dyDescent="0.75">
      <c r="N162" s="13">
        <v>153</v>
      </c>
      <c r="O162" s="13">
        <f t="shared" si="9"/>
        <v>30</v>
      </c>
      <c r="P162" s="13">
        <f t="shared" si="10"/>
        <v>3</v>
      </c>
      <c r="Q162" s="14" cm="1">
        <f t="array" ref="Q162">INDEX('Osiris-ConceptMap'!U146:Y400,1+O162,P162)</f>
        <v>0</v>
      </c>
    </row>
    <row r="163" spans="14:17" x14ac:dyDescent="0.75">
      <c r="N163" s="13">
        <v>154</v>
      </c>
      <c r="O163" s="13">
        <f t="shared" si="9"/>
        <v>30</v>
      </c>
      <c r="P163" s="13">
        <f t="shared" si="10"/>
        <v>4</v>
      </c>
      <c r="Q163" s="14" cm="1">
        <f t="array" ref="Q163">INDEX('Osiris-ConceptMap'!U147:Y401,1+O163,P163)</f>
        <v>0</v>
      </c>
    </row>
    <row r="164" spans="14:17" x14ac:dyDescent="0.75">
      <c r="N164" s="13">
        <v>155</v>
      </c>
      <c r="O164" s="13">
        <f t="shared" si="9"/>
        <v>30</v>
      </c>
      <c r="P164" s="13">
        <f t="shared" si="10"/>
        <v>5</v>
      </c>
      <c r="Q164" s="14" cm="1">
        <f t="array" ref="Q164">INDEX('Osiris-ConceptMap'!U148:Y402,1+O164,P164)</f>
        <v>0</v>
      </c>
    </row>
    <row r="165" spans="14:17" x14ac:dyDescent="0.75">
      <c r="N165" s="13">
        <v>156</v>
      </c>
      <c r="O165" s="13">
        <f t="shared" si="9"/>
        <v>31</v>
      </c>
      <c r="P165" s="13">
        <f t="shared" si="10"/>
        <v>1</v>
      </c>
      <c r="Q165" s="14" cm="1">
        <f t="array" ref="Q165">INDEX('Osiris-ConceptMap'!U149:Y403,1+O165,P165)</f>
        <v>0</v>
      </c>
    </row>
    <row r="166" spans="14:17" x14ac:dyDescent="0.75">
      <c r="N166" s="13">
        <v>157</v>
      </c>
      <c r="O166" s="13">
        <f t="shared" si="9"/>
        <v>31</v>
      </c>
      <c r="P166" s="13">
        <f t="shared" si="10"/>
        <v>2</v>
      </c>
      <c r="Q166" s="14" cm="1">
        <f t="array" ref="Q166">INDEX('Osiris-ConceptMap'!U150:Y404,1+O166,P166)</f>
        <v>0</v>
      </c>
    </row>
    <row r="167" spans="14:17" x14ac:dyDescent="0.75">
      <c r="N167" s="13">
        <v>158</v>
      </c>
      <c r="O167" s="13">
        <f t="shared" si="9"/>
        <v>31</v>
      </c>
      <c r="P167" s="13">
        <f t="shared" si="10"/>
        <v>3</v>
      </c>
      <c r="Q167" s="14" cm="1">
        <f t="array" ref="Q167">INDEX('Osiris-ConceptMap'!U151:Y405,1+O167,P167)</f>
        <v>0</v>
      </c>
    </row>
    <row r="168" spans="14:17" x14ac:dyDescent="0.75">
      <c r="N168" s="13">
        <v>159</v>
      </c>
      <c r="O168" s="13">
        <f t="shared" si="9"/>
        <v>31</v>
      </c>
      <c r="P168" s="13">
        <f t="shared" si="10"/>
        <v>4</v>
      </c>
      <c r="Q168" s="14" cm="1">
        <f t="array" ref="Q168">INDEX('Osiris-ConceptMap'!U152:Y406,1+O168,P168)</f>
        <v>0</v>
      </c>
    </row>
    <row r="169" spans="14:17" x14ac:dyDescent="0.75">
      <c r="N169" s="13">
        <v>160</v>
      </c>
      <c r="O169" s="13">
        <f t="shared" si="9"/>
        <v>31</v>
      </c>
      <c r="P169" s="13">
        <f t="shared" si="10"/>
        <v>5</v>
      </c>
      <c r="Q169" s="14" cm="1">
        <f t="array" ref="Q169">INDEX('Osiris-ConceptMap'!U153:Y407,1+O169,P169)</f>
        <v>0</v>
      </c>
    </row>
    <row r="170" spans="14:17" x14ac:dyDescent="0.75">
      <c r="N170" s="13">
        <v>161</v>
      </c>
      <c r="O170" s="13">
        <f t="shared" si="9"/>
        <v>32</v>
      </c>
      <c r="P170" s="13">
        <f t="shared" si="10"/>
        <v>1</v>
      </c>
      <c r="Q170" s="14" cm="1">
        <f t="array" ref="Q170">INDEX('Osiris-ConceptMap'!U154:Y408,1+O170,P170)</f>
        <v>0</v>
      </c>
    </row>
    <row r="171" spans="14:17" x14ac:dyDescent="0.75">
      <c r="N171" s="13">
        <v>162</v>
      </c>
      <c r="O171" s="13">
        <f t="shared" si="9"/>
        <v>32</v>
      </c>
      <c r="P171" s="13">
        <f t="shared" si="10"/>
        <v>2</v>
      </c>
      <c r="Q171" s="14" cm="1">
        <f t="array" ref="Q171">INDEX('Osiris-ConceptMap'!U155:Y409,1+O171,P171)</f>
        <v>0</v>
      </c>
    </row>
    <row r="172" spans="14:17" x14ac:dyDescent="0.75">
      <c r="N172" s="13">
        <v>163</v>
      </c>
      <c r="O172" s="13">
        <f t="shared" si="9"/>
        <v>32</v>
      </c>
      <c r="P172" s="13">
        <f t="shared" si="10"/>
        <v>3</v>
      </c>
      <c r="Q172" s="14" cm="1">
        <f t="array" ref="Q172">INDEX('Osiris-ConceptMap'!U156:Y410,1+O172,P172)</f>
        <v>0</v>
      </c>
    </row>
    <row r="173" spans="14:17" x14ac:dyDescent="0.75">
      <c r="N173" s="13">
        <v>164</v>
      </c>
      <c r="O173" s="13">
        <f t="shared" si="9"/>
        <v>32</v>
      </c>
      <c r="P173" s="13">
        <f t="shared" si="10"/>
        <v>4</v>
      </c>
      <c r="Q173" s="14" cm="1">
        <f t="array" ref="Q173">INDEX('Osiris-ConceptMap'!U157:Y411,1+O173,P173)</f>
        <v>0</v>
      </c>
    </row>
    <row r="174" spans="14:17" x14ac:dyDescent="0.75">
      <c r="N174" s="13">
        <v>165</v>
      </c>
      <c r="O174" s="13">
        <f t="shared" si="9"/>
        <v>32</v>
      </c>
      <c r="P174" s="13">
        <f t="shared" si="10"/>
        <v>5</v>
      </c>
      <c r="Q174" s="14" cm="1">
        <f t="array" ref="Q174">INDEX('Osiris-ConceptMap'!U158:Y412,1+O174,P174)</f>
        <v>0</v>
      </c>
    </row>
    <row r="175" spans="14:17" x14ac:dyDescent="0.75">
      <c r="N175" s="13">
        <v>166</v>
      </c>
      <c r="O175" s="13">
        <f t="shared" si="9"/>
        <v>33</v>
      </c>
      <c r="P175" s="13">
        <f t="shared" si="10"/>
        <v>1</v>
      </c>
      <c r="Q175" s="14" cm="1">
        <f t="array" ref="Q175">INDEX('Osiris-ConceptMap'!U159:Y413,1+O175,P175)</f>
        <v>0</v>
      </c>
    </row>
    <row r="176" spans="14:17" x14ac:dyDescent="0.75">
      <c r="N176" s="13">
        <v>167</v>
      </c>
      <c r="O176" s="13">
        <f t="shared" si="9"/>
        <v>33</v>
      </c>
      <c r="P176" s="13">
        <f t="shared" si="10"/>
        <v>2</v>
      </c>
      <c r="Q176" s="14" cm="1">
        <f t="array" ref="Q176">INDEX('Osiris-ConceptMap'!U160:Y414,1+O176,P176)</f>
        <v>0</v>
      </c>
    </row>
    <row r="177" spans="14:17" x14ac:dyDescent="0.75">
      <c r="N177" s="13">
        <v>168</v>
      </c>
      <c r="O177" s="13">
        <f t="shared" si="9"/>
        <v>33</v>
      </c>
      <c r="P177" s="13">
        <f t="shared" si="10"/>
        <v>3</v>
      </c>
      <c r="Q177" s="14" cm="1">
        <f t="array" ref="Q177">INDEX('Osiris-ConceptMap'!U161:Y415,1+O177,P177)</f>
        <v>0</v>
      </c>
    </row>
    <row r="178" spans="14:17" x14ac:dyDescent="0.75">
      <c r="N178" s="13">
        <v>169</v>
      </c>
      <c r="O178" s="13">
        <f t="shared" si="9"/>
        <v>33</v>
      </c>
      <c r="P178" s="13">
        <f t="shared" si="10"/>
        <v>4</v>
      </c>
      <c r="Q178" s="14" cm="1">
        <f t="array" ref="Q178">INDEX('Osiris-ConceptMap'!U162:Y416,1+O178,P178)</f>
        <v>0</v>
      </c>
    </row>
    <row r="179" spans="14:17" x14ac:dyDescent="0.75">
      <c r="N179" s="13">
        <v>170</v>
      </c>
      <c r="O179" s="13">
        <f t="shared" si="9"/>
        <v>33</v>
      </c>
      <c r="P179" s="13">
        <f t="shared" si="10"/>
        <v>5</v>
      </c>
      <c r="Q179" s="14" cm="1">
        <f t="array" ref="Q179">INDEX('Osiris-ConceptMap'!U163:Y417,1+O179,P179)</f>
        <v>0</v>
      </c>
    </row>
    <row r="180" spans="14:17" x14ac:dyDescent="0.75">
      <c r="N180" s="13">
        <v>171</v>
      </c>
      <c r="O180" s="13">
        <f t="shared" si="9"/>
        <v>34</v>
      </c>
      <c r="P180" s="13">
        <f t="shared" si="10"/>
        <v>1</v>
      </c>
      <c r="Q180" s="14" cm="1">
        <f t="array" ref="Q180">INDEX('Osiris-ConceptMap'!U164:Y418,1+O180,P180)</f>
        <v>0</v>
      </c>
    </row>
    <row r="181" spans="14:17" x14ac:dyDescent="0.75">
      <c r="N181" s="13">
        <v>172</v>
      </c>
      <c r="O181" s="13">
        <f t="shared" si="9"/>
        <v>34</v>
      </c>
      <c r="P181" s="13">
        <f t="shared" si="10"/>
        <v>2</v>
      </c>
      <c r="Q181" s="14" cm="1">
        <f t="array" ref="Q181">INDEX('Osiris-ConceptMap'!U165:Y419,1+O181,P181)</f>
        <v>0</v>
      </c>
    </row>
    <row r="182" spans="14:17" x14ac:dyDescent="0.75">
      <c r="N182" s="13">
        <v>173</v>
      </c>
      <c r="O182" s="13">
        <f t="shared" si="9"/>
        <v>34</v>
      </c>
      <c r="P182" s="13">
        <f t="shared" si="10"/>
        <v>3</v>
      </c>
      <c r="Q182" s="14" cm="1">
        <f t="array" ref="Q182">INDEX('Osiris-ConceptMap'!U166:Y420,1+O182,P182)</f>
        <v>0</v>
      </c>
    </row>
    <row r="183" spans="14:17" x14ac:dyDescent="0.75">
      <c r="N183" s="13">
        <v>174</v>
      </c>
      <c r="O183" s="13">
        <f t="shared" si="9"/>
        <v>34</v>
      </c>
      <c r="P183" s="13">
        <f t="shared" si="10"/>
        <v>4</v>
      </c>
      <c r="Q183" s="14" cm="1">
        <f t="array" ref="Q183">INDEX('Osiris-ConceptMap'!U167:Y421,1+O183,P183)</f>
        <v>0</v>
      </c>
    </row>
    <row r="184" spans="14:17" x14ac:dyDescent="0.75">
      <c r="N184" s="13">
        <v>175</v>
      </c>
      <c r="O184" s="13">
        <f t="shared" si="9"/>
        <v>34</v>
      </c>
      <c r="P184" s="13">
        <f t="shared" si="10"/>
        <v>5</v>
      </c>
      <c r="Q184" s="14"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1" max="1" width="8.7265625" style="11"/>
    <col min="2" max="2" width="130.81640625" style="11" customWidth="1"/>
    <col min="3" max="3" width="8.76953125" style="11" customWidth="1"/>
    <col min="4" max="4" width="5.81640625" style="11" customWidth="1"/>
    <col min="5" max="5" width="3" style="11" customWidth="1"/>
    <col min="6" max="6" width="8.7265625" style="11"/>
    <col min="7" max="7" width="46.6328125" style="11" customWidth="1"/>
    <col min="8" max="16384" width="8.7265625" style="11"/>
  </cols>
  <sheetData>
    <row r="1" spans="2:7" ht="15.5" thickBot="1" x14ac:dyDescent="0.9">
      <c r="B1" s="28" t="s">
        <v>21</v>
      </c>
    </row>
    <row r="2" spans="2:7" ht="16.75" thickBot="1" x14ac:dyDescent="0.9">
      <c r="B2" s="29" t="s">
        <v>1459</v>
      </c>
      <c r="G2" s="35" t="s">
        <v>1458</v>
      </c>
    </row>
    <row r="3" spans="2:7" x14ac:dyDescent="0.75">
      <c r="B3" s="29" t="s">
        <v>21</v>
      </c>
    </row>
    <row r="4" spans="2:7" x14ac:dyDescent="0.75">
      <c r="B4" s="75" t="s">
        <v>1456</v>
      </c>
    </row>
    <row r="5" spans="2:7" x14ac:dyDescent="0.75">
      <c r="B5" s="75" t="s">
        <v>1457</v>
      </c>
    </row>
    <row r="6" spans="2:7" x14ac:dyDescent="0.75">
      <c r="B6" s="75" t="s">
        <v>1448</v>
      </c>
    </row>
    <row r="7" spans="2:7" x14ac:dyDescent="0.75">
      <c r="B7" s="75" t="s">
        <v>1460</v>
      </c>
    </row>
    <row r="8" spans="2:7" x14ac:dyDescent="0.75">
      <c r="B8" s="75" t="s">
        <v>1461</v>
      </c>
    </row>
    <row r="9" spans="2:7" x14ac:dyDescent="0.75">
      <c r="B9" s="75" t="s">
        <v>1462</v>
      </c>
    </row>
    <row r="10" spans="2:7" x14ac:dyDescent="0.75">
      <c r="B10" s="75" t="s">
        <v>1449</v>
      </c>
    </row>
    <row r="11" spans="2:7" x14ac:dyDescent="0.75">
      <c r="B11" s="75" t="s">
        <v>1450</v>
      </c>
    </row>
    <row r="12" spans="2:7" x14ac:dyDescent="0.75">
      <c r="B12" s="75" t="s">
        <v>1463</v>
      </c>
    </row>
    <row r="13" spans="2:7" x14ac:dyDescent="0.75">
      <c r="B13" s="75" t="s">
        <v>1464</v>
      </c>
    </row>
    <row r="14" spans="2:7" x14ac:dyDescent="0.75">
      <c r="B14" s="81" t="s">
        <v>1465</v>
      </c>
    </row>
    <row r="15" spans="2:7" x14ac:dyDescent="0.75">
      <c r="B15" s="81" t="s">
        <v>1466</v>
      </c>
    </row>
    <row r="16" spans="2:7" x14ac:dyDescent="0.75">
      <c r="B16" s="75"/>
    </row>
    <row r="17" spans="2:2" x14ac:dyDescent="0.75">
      <c r="B17" s="80" t="s">
        <v>1467</v>
      </c>
    </row>
    <row r="18" spans="2:2" x14ac:dyDescent="0.75">
      <c r="B18" s="80" t="s">
        <v>1468</v>
      </c>
    </row>
    <row r="19" spans="2:2" x14ac:dyDescent="0.75">
      <c r="B19" s="82"/>
    </row>
    <row r="20" spans="2:2" x14ac:dyDescent="0.75">
      <c r="B20" s="14" t="str">
        <f>IF('Osiris-ConceptMap'!Q10=0,"//---END",'Osiris-ConceptMap'!Q10)</f>
        <v>* group[=].element[+].code = #Osiris.Patient</v>
      </c>
    </row>
    <row r="21" spans="2:2" x14ac:dyDescent="0.75">
      <c r="B21" s="14" t="str">
        <f>IF('Osiris-ConceptMap'!Q11=0,"//---END",'Osiris-ConceptMap'!Q11)</f>
        <v>* group[=].element[=].display = ##34#Patient##34#</v>
      </c>
    </row>
    <row r="22" spans="2:2" x14ac:dyDescent="0.75">
      <c r="B22" s="14" t="str">
        <f>IF('Osiris-ConceptMap'!Q12=0,"//---END",'Osiris-ConceptMap'!Q12)</f>
        <v>* group[=].element[=].target.code = #Subject</v>
      </c>
    </row>
    <row r="23" spans="2:2" x14ac:dyDescent="0.75">
      <c r="B23" s="14" t="str">
        <f>IF('Osiris-ConceptMap'!Q13=0,"//---END",'Osiris-ConceptMap'!Q13)</f>
        <v>* group[=].element[=].target.display = ##34#Subject of care##34#</v>
      </c>
    </row>
    <row r="24" spans="2:2" x14ac:dyDescent="0.75">
      <c r="B24" s="14" t="str">
        <f>IF('Osiris-ConceptMap'!Q14=0,"//---END",'Osiris-ConceptMap'!Q14)</f>
        <v>* group[=].element[=].target.equivalence = #equivalent</v>
      </c>
    </row>
    <row r="25" spans="2:2" x14ac:dyDescent="0.75">
      <c r="B25" s="14" t="str">
        <f>IF('Osiris-ConceptMap'!Q15=0,"//---END",'Osiris-ConceptMap'!Q15)</f>
        <v>* group[=].element[+].code = #Osiris.Patient.Id</v>
      </c>
    </row>
    <row r="26" spans="2:2" x14ac:dyDescent="0.75">
      <c r="B26" s="14" t="str">
        <f>IF('Osiris-ConceptMap'!Q16=0,"//---END",'Osiris-ConceptMap'!Q16)</f>
        <v>* group[=].element[=].display = ##34#Patient Id [C1]##34#</v>
      </c>
    </row>
    <row r="27" spans="2:2" x14ac:dyDescent="0.75">
      <c r="B27" s="14" t="str">
        <f>IF('Osiris-ConceptMap'!Q17=0,"//---END",'Osiris-ConceptMap'!Q17)</f>
        <v>//-- unmatched</v>
      </c>
    </row>
    <row r="28" spans="2:2" x14ac:dyDescent="0.75">
      <c r="B28" s="14" t="str">
        <f>IF('Osiris-ConceptMap'!Q18=0,"//---END",'Osiris-ConceptMap'!Q18)</f>
        <v>//-- unmatched</v>
      </c>
    </row>
    <row r="29" spans="2:2" x14ac:dyDescent="0.75">
      <c r="B29" s="14" t="str">
        <f>IF('Osiris-ConceptMap'!Q19=0,"//---END",'Osiris-ConceptMap'!Q19)</f>
        <v>* group[=].element[=].target.equivalence = #unmatched</v>
      </c>
    </row>
    <row r="30" spans="2:2" x14ac:dyDescent="0.75">
      <c r="B30" s="14" t="str">
        <f>IF('Osiris-ConceptMap'!Q20=0,"//---END",'Osiris-ConceptMap'!Q20)</f>
        <v>* group[=].element[+].code = #Osiris.Patient.Gender</v>
      </c>
    </row>
    <row r="31" spans="2:2" x14ac:dyDescent="0.75">
      <c r="B31" s="14" t="str">
        <f>IF('Osiris-ConceptMap'!Q21=0,"//---END",'Osiris-ConceptMap'!Q21)</f>
        <v>* group[=].element[=].display = ##34#Gender [C2]##34#</v>
      </c>
    </row>
    <row r="32" spans="2:2" x14ac:dyDescent="0.75">
      <c r="B32" s="14" t="str">
        <f>IF('Osiris-ConceptMap'!Q22=0,"//---END",'Osiris-ConceptMap'!Q22)</f>
        <v>* group[=].element[=].target.code = #Subject.sexOrGender</v>
      </c>
    </row>
    <row r="33" spans="2:2" x14ac:dyDescent="0.75">
      <c r="B33" s="14" t="str">
        <f>IF('Osiris-ConceptMap'!Q23=0,"//---END",'Osiris-ConceptMap'!Q23)</f>
        <v>* group[=].element[=].target.display = ##34#Gender/Sex##34#</v>
      </c>
    </row>
    <row r="34" spans="2:2" x14ac:dyDescent="0.75">
      <c r="B34" s="14" t="str">
        <f>IF('Osiris-ConceptMap'!Q24=0,"//---END",'Osiris-ConceptMap'!Q24)</f>
        <v>* group[=].element[=].target.equivalence = #wider</v>
      </c>
    </row>
    <row r="35" spans="2:2" x14ac:dyDescent="0.75">
      <c r="B35" s="14" t="str">
        <f>IF('Osiris-ConceptMap'!Q25=0,"//---END",'Osiris-ConceptMap'!Q25)</f>
        <v>* group[=].element[+].code = #Osiris.Patient.Ethnicity</v>
      </c>
    </row>
    <row r="36" spans="2:2" x14ac:dyDescent="0.75">
      <c r="B36" s="14" t="str">
        <f>IF('Osiris-ConceptMap'!Q26=0,"//---END",'Osiris-ConceptMap'!Q26)</f>
        <v>* group[=].element[=].display = ##34#Ethnicity [C3]##34#</v>
      </c>
    </row>
    <row r="37" spans="2:2" x14ac:dyDescent="0.75">
      <c r="B37" s="14" t="str">
        <f>IF('Osiris-ConceptMap'!Q27=0,"//---END",'Osiris-ConceptMap'!Q27)</f>
        <v>* group[=].element[=].target.code = #Subject.race</v>
      </c>
    </row>
    <row r="38" spans="2:2" x14ac:dyDescent="0.75">
      <c r="B38" s="14" t="str">
        <f>IF('Osiris-ConceptMap'!Q28=0,"//---END",'Osiris-ConceptMap'!Q28)</f>
        <v>* group[=].element[=].target.display = ##34#Race##34#</v>
      </c>
    </row>
    <row r="39" spans="2:2" x14ac:dyDescent="0.75">
      <c r="B39" s="14" t="str">
        <f>IF('Osiris-ConceptMap'!Q29=0,"//---END",'Osiris-ConceptMap'!Q29)</f>
        <v>* group[=].element[=].target.equivalence = #relatedto</v>
      </c>
    </row>
    <row r="40" spans="2:2" x14ac:dyDescent="0.75">
      <c r="B40" s="14" t="str">
        <f>IF('Osiris-ConceptMap'!Q30=0,"//---END",'Osiris-ConceptMap'!Q30)</f>
        <v>* group[=].element[+].code = #Osiris.Patient.BirthDate</v>
      </c>
    </row>
    <row r="41" spans="2:2" x14ac:dyDescent="0.75">
      <c r="B41" s="14" t="str">
        <f>IF('Osiris-ConceptMap'!Q31=0,"//---END",'Osiris-ConceptMap'!Q31)</f>
        <v>* group[=].element[=].display = ##34#Birth Date [C4]##34#</v>
      </c>
    </row>
    <row r="42" spans="2:2" x14ac:dyDescent="0.75">
      <c r="B42" s="14" t="str">
        <f>IF('Osiris-ConceptMap'!Q32=0,"//---END",'Osiris-ConceptMap'!Q32)</f>
        <v>* group[=].element[=].target.code = #Subject.dateOfBirth.date</v>
      </c>
    </row>
    <row r="43" spans="2:2" x14ac:dyDescent="0.75">
      <c r="B43" s="14" t="str">
        <f>IF('Osiris-ConceptMap'!Q33=0,"//---END",'Osiris-ConceptMap'!Q33)</f>
        <v>* group[=].element[=].target.display = ##34#Date of birth##34#</v>
      </c>
    </row>
    <row r="44" spans="2:2" x14ac:dyDescent="0.75">
      <c r="B44" s="14" t="str">
        <f>IF('Osiris-ConceptMap'!Q34=0,"//---END",'Osiris-ConceptMap'!Q34)</f>
        <v>* group[=].element[=].target.equivalence = #equivalent</v>
      </c>
    </row>
    <row r="45" spans="2:2" x14ac:dyDescent="0.75">
      <c r="B45" s="14" t="str">
        <f>IF('Osiris-ConceptMap'!Q35=0,"//---END",'Osiris-ConceptMap'!Q35)</f>
        <v>* group[=].element[+].code = #Osiris.Patient.DeathDate</v>
      </c>
    </row>
    <row r="46" spans="2:2" x14ac:dyDescent="0.75">
      <c r="B46" s="14" t="str">
        <f>IF('Osiris-ConceptMap'!Q36=0,"//---END",'Osiris-ConceptMap'!Q36)</f>
        <v>* group[=].element[=].display = ##34#Death Date [C5]##34#</v>
      </c>
    </row>
    <row r="47" spans="2:2" x14ac:dyDescent="0.75">
      <c r="B47" s="14" t="str">
        <f>IF('Osiris-ConceptMap'!Q37=0,"//---END",'Osiris-ConceptMap'!Q37)</f>
        <v>//-- unmatched</v>
      </c>
    </row>
    <row r="48" spans="2:2" x14ac:dyDescent="0.75">
      <c r="B48" s="14" t="str">
        <f>IF('Osiris-ConceptMap'!Q38=0,"//---END",'Osiris-ConceptMap'!Q38)</f>
        <v>//-- unmatched</v>
      </c>
    </row>
    <row r="49" spans="2:2" x14ac:dyDescent="0.75">
      <c r="B49" s="14" t="str">
        <f>IF('Osiris-ConceptMap'!Q39=0,"//---END",'Osiris-ConceptMap'!Q39)</f>
        <v>* group[=].element[=].target.equivalence = #unmatched</v>
      </c>
    </row>
    <row r="50" spans="2:2" x14ac:dyDescent="0.75">
      <c r="B50" s="14" t="str">
        <f>IF('Osiris-ConceptMap'!Q40=0,"//---END",'Osiris-ConceptMap'!Q40)</f>
        <v>* group[=].element[+].code = #Osiris.Patient.ProviderCenterId</v>
      </c>
    </row>
    <row r="51" spans="2:2" x14ac:dyDescent="0.75">
      <c r="B51" s="14" t="str">
        <f>IF('Osiris-ConceptMap'!Q41=0,"//---END",'Osiris-ConceptMap'!Q41)</f>
        <v>* group[=].element[=].display = ##34#Provider  Center  Id [C6]##34#</v>
      </c>
    </row>
    <row r="52" spans="2:2" x14ac:dyDescent="0.75">
      <c r="B52" s="14" t="str">
        <f>IF('Osiris-ConceptMap'!Q42=0,"//---END",'Osiris-ConceptMap'!Q42)</f>
        <v>//-- unmatched</v>
      </c>
    </row>
    <row r="53" spans="2:2" x14ac:dyDescent="0.75">
      <c r="B53" s="14" t="str">
        <f>IF('Osiris-ConceptMap'!Q43=0,"//---END",'Osiris-ConceptMap'!Q43)</f>
        <v>//-- unmatched</v>
      </c>
    </row>
    <row r="54" spans="2:2" x14ac:dyDescent="0.75">
      <c r="B54" s="14" t="str">
        <f>IF('Osiris-ConceptMap'!Q44=0,"//---END",'Osiris-ConceptMap'!Q44)</f>
        <v>* group[=].element[=].target.equivalence = #unmatched</v>
      </c>
    </row>
    <row r="55" spans="2:2" x14ac:dyDescent="0.75">
      <c r="B55" s="14" t="str">
        <f>IF('Osiris-ConceptMap'!Q45=0,"//---END",'Osiris-ConceptMap'!Q45)</f>
        <v>* group[=].element[+].code = #Osiris.Patient.OriginCenterId</v>
      </c>
    </row>
    <row r="56" spans="2:2" x14ac:dyDescent="0.75">
      <c r="B56" s="14" t="str">
        <f>IF('Osiris-ConceptMap'!Q46=0,"//---END",'Osiris-ConceptMap'!Q46)</f>
        <v>* group[=].element[=].display = ##34#Origin  Center  Id [C71]##34#</v>
      </c>
    </row>
    <row r="57" spans="2:2" x14ac:dyDescent="0.75">
      <c r="B57" s="14" t="str">
        <f>IF('Osiris-ConceptMap'!Q47=0,"//---END",'Osiris-ConceptMap'!Q47)</f>
        <v>//-- unmatched</v>
      </c>
    </row>
    <row r="58" spans="2:2" x14ac:dyDescent="0.75">
      <c r="B58" s="14" t="str">
        <f>IF('Osiris-ConceptMap'!Q48=0,"//---END",'Osiris-ConceptMap'!Q48)</f>
        <v>//-- unmatched</v>
      </c>
    </row>
    <row r="59" spans="2:2" x14ac:dyDescent="0.75">
      <c r="B59" s="14" t="str">
        <f>IF('Osiris-ConceptMap'!Q49=0,"//---END",'Osiris-ConceptMap'!Q49)</f>
        <v>* group[=].element[=].target.equivalence = #unmatched</v>
      </c>
    </row>
    <row r="60" spans="2:2" x14ac:dyDescent="0.75">
      <c r="B60" s="14" t="str">
        <f>IF('Osiris-ConceptMap'!Q50=0,"//---END",'Osiris-ConceptMap'!Q50)</f>
        <v>* group[=].element[+].code = #Osiris.Patient.CauseOfDeath</v>
      </c>
    </row>
    <row r="61" spans="2:2" x14ac:dyDescent="0.75">
      <c r="B61" s="14" t="str">
        <f>IF('Osiris-ConceptMap'!Q51=0,"//---END",'Osiris-ConceptMap'!Q51)</f>
        <v>* group[=].element[=].display = ##34#Cause of death [C7]##34#</v>
      </c>
    </row>
    <row r="62" spans="2:2" x14ac:dyDescent="0.75">
      <c r="B62" s="14" t="str">
        <f>IF('Osiris-ConceptMap'!Q52=0,"//---END",'Osiris-ConceptMap'!Q52)</f>
        <v>//-- unmatched</v>
      </c>
    </row>
    <row r="63" spans="2:2" x14ac:dyDescent="0.75">
      <c r="B63" s="14" t="str">
        <f>IF('Osiris-ConceptMap'!Q53=0,"//---END",'Osiris-ConceptMap'!Q53)</f>
        <v>//-- unmatched</v>
      </c>
    </row>
    <row r="64" spans="2:2" x14ac:dyDescent="0.75">
      <c r="B64" s="14" t="str">
        <f>IF('Osiris-ConceptMap'!Q54=0,"//---END",'Osiris-ConceptMap'!Q54)</f>
        <v>* group[=].element[=].target.equivalence = #unmatched</v>
      </c>
    </row>
    <row r="65" spans="2:4" x14ac:dyDescent="0.75">
      <c r="B65" s="14" t="str">
        <f>IF('Osiris-ConceptMap'!Q55=0,"//---END",'Osiris-ConceptMap'!Q55)</f>
        <v>* group[=].element[+].code = #Osiris.Patient.LastNewsDate</v>
      </c>
    </row>
    <row r="66" spans="2:4" x14ac:dyDescent="0.75">
      <c r="B66" s="14" t="str">
        <f>IF('Osiris-ConceptMap'!Q56=0,"//---END",'Osiris-ConceptMap'!Q56)</f>
        <v>* group[=].element[=].display = ##34#Last News Date [C8]##34#</v>
      </c>
    </row>
    <row r="67" spans="2:4" x14ac:dyDescent="0.75">
      <c r="B67" s="14" t="str">
        <f>IF('Osiris-ConceptMap'!Q57=0,"//---END",'Osiris-ConceptMap'!Q57)</f>
        <v>//-- unmatched</v>
      </c>
    </row>
    <row r="68" spans="2:4" x14ac:dyDescent="0.75">
      <c r="B68" s="14" t="str">
        <f>IF('Osiris-ConceptMap'!Q58=0,"//---END",'Osiris-ConceptMap'!Q58)</f>
        <v>//-- unmatched</v>
      </c>
    </row>
    <row r="69" spans="2:4" x14ac:dyDescent="0.75">
      <c r="B69" s="14" t="str">
        <f>IF('Osiris-ConceptMap'!Q59=0,"//---END",'Osiris-ConceptMap'!Q59)</f>
        <v>* group[=].element[=].target.equivalence = #unmatched</v>
      </c>
    </row>
    <row r="70" spans="2:4" x14ac:dyDescent="0.75">
      <c r="B70" s="14" t="str">
        <f>IF('Osiris-ConceptMap'!Q60=0,"//---END",'Osiris-ConceptMap'!Q60)</f>
        <v>* group[=].element[+].code = #Osiris.Patient.LastNewsStatus</v>
      </c>
      <c r="D70" s="68"/>
    </row>
    <row r="71" spans="2:4" x14ac:dyDescent="0.75">
      <c r="B71" s="14" t="str">
        <f>IF('Osiris-ConceptMap'!Q61=0,"//---END",'Osiris-ConceptMap'!Q61)</f>
        <v>* group[=].element[=].display = ##34#Last News Status [C9]##34#</v>
      </c>
    </row>
    <row r="72" spans="2:4" x14ac:dyDescent="0.75">
      <c r="B72" s="14" t="str">
        <f>IF('Osiris-ConceptMap'!Q62=0,"//---END",'Osiris-ConceptMap'!Q62)</f>
        <v>//-- unmatched</v>
      </c>
    </row>
    <row r="73" spans="2:4" x14ac:dyDescent="0.75">
      <c r="B73" s="14" t="str">
        <f>IF('Osiris-ConceptMap'!Q63=0,"//---END",'Osiris-ConceptMap'!Q63)</f>
        <v>//-- unmatched</v>
      </c>
    </row>
    <row r="74" spans="2:4" x14ac:dyDescent="0.75">
      <c r="B74" s="14" t="str">
        <f>IF('Osiris-ConceptMap'!Q64=0,"//---END",'Osiris-ConceptMap'!Q64)</f>
        <v>* group[=].element[=].target.equivalence = #unmatched</v>
      </c>
    </row>
    <row r="75" spans="2:4" x14ac:dyDescent="0.75">
      <c r="B75" s="14" t="str">
        <f>IF('Osiris-ConceptMap'!Q65=0,"//---END",'Osiris-ConceptMap'!Q65)</f>
        <v>//---END</v>
      </c>
    </row>
    <row r="76" spans="2:4" x14ac:dyDescent="0.75">
      <c r="B76" s="14" t="str">
        <f>IF('Osiris-ConceptMap'!Q66=0,"//---END",'Osiris-ConceptMap'!Q66)</f>
        <v>//---END</v>
      </c>
    </row>
    <row r="77" spans="2:4" x14ac:dyDescent="0.75">
      <c r="B77" s="14"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dimension ref="C6:F15"/>
  <sheetViews>
    <sheetView workbookViewId="0">
      <selection activeCell="M25" sqref="M25"/>
    </sheetView>
  </sheetViews>
  <sheetFormatPr defaultRowHeight="14.75" x14ac:dyDescent="0.75"/>
  <cols>
    <col min="4" max="4" width="18" customWidth="1"/>
  </cols>
  <sheetData>
    <row r="6" spans="3:6" x14ac:dyDescent="0.75">
      <c r="C6">
        <v>1</v>
      </c>
      <c r="D6" t="s">
        <v>1417</v>
      </c>
      <c r="E6" t="s">
        <v>1418</v>
      </c>
      <c r="F6" t="s">
        <v>1419</v>
      </c>
    </row>
    <row r="7" spans="3:6" x14ac:dyDescent="0.75">
      <c r="C7">
        <v>2</v>
      </c>
      <c r="D7" t="s">
        <v>1439</v>
      </c>
      <c r="E7" t="s">
        <v>1420</v>
      </c>
      <c r="F7" t="s">
        <v>1421</v>
      </c>
    </row>
    <row r="8" spans="3:6" x14ac:dyDescent="0.75">
      <c r="C8">
        <v>3</v>
      </c>
      <c r="D8" t="s">
        <v>1440</v>
      </c>
      <c r="E8" t="s">
        <v>1422</v>
      </c>
      <c r="F8" t="s">
        <v>1423</v>
      </c>
    </row>
    <row r="9" spans="3:6" x14ac:dyDescent="0.75">
      <c r="C9">
        <v>2</v>
      </c>
      <c r="D9" t="s">
        <v>1441</v>
      </c>
      <c r="E9" t="s">
        <v>1424</v>
      </c>
      <c r="F9" t="s">
        <v>1425</v>
      </c>
    </row>
    <row r="10" spans="3:6" x14ac:dyDescent="0.75">
      <c r="C10">
        <v>2</v>
      </c>
      <c r="D10" t="s">
        <v>1442</v>
      </c>
      <c r="E10" t="s">
        <v>1426</v>
      </c>
      <c r="F10" t="s">
        <v>1427</v>
      </c>
    </row>
    <row r="11" spans="3:6" x14ac:dyDescent="0.75">
      <c r="C11">
        <v>2</v>
      </c>
      <c r="D11" t="s">
        <v>1443</v>
      </c>
      <c r="E11" t="s">
        <v>1428</v>
      </c>
      <c r="F11" t="s">
        <v>1429</v>
      </c>
    </row>
    <row r="12" spans="3:6" x14ac:dyDescent="0.75">
      <c r="C12">
        <v>2</v>
      </c>
      <c r="D12" t="s">
        <v>1444</v>
      </c>
      <c r="E12" t="s">
        <v>1430</v>
      </c>
      <c r="F12" t="s">
        <v>1431</v>
      </c>
    </row>
    <row r="13" spans="3:6" x14ac:dyDescent="0.75">
      <c r="C13">
        <v>2</v>
      </c>
      <c r="D13" t="s">
        <v>1445</v>
      </c>
      <c r="E13" t="s">
        <v>1432</v>
      </c>
      <c r="F13" t="s">
        <v>1433</v>
      </c>
    </row>
    <row r="14" spans="3:6" x14ac:dyDescent="0.75">
      <c r="C14">
        <v>1</v>
      </c>
      <c r="D14" t="s">
        <v>1434</v>
      </c>
      <c r="E14" t="s">
        <v>1435</v>
      </c>
      <c r="F14" t="s">
        <v>1436</v>
      </c>
    </row>
    <row r="15" spans="3:6" x14ac:dyDescent="0.75">
      <c r="C15">
        <v>2</v>
      </c>
      <c r="D15" t="s">
        <v>1446</v>
      </c>
      <c r="E15" t="s">
        <v>1437</v>
      </c>
      <c r="F15" t="s">
        <v>1438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16</vt:i4>
      </vt:variant>
    </vt:vector>
  </HeadingPairs>
  <TitlesOfParts>
    <vt:vector size="16" baseType="lpstr">
      <vt:lpstr>2.Demographic &amp; life style</vt:lpstr>
      <vt:lpstr>OsirisDataElementConcept</vt:lpstr>
      <vt:lpstr>Common</vt:lpstr>
      <vt:lpstr>Subject</vt:lpstr>
      <vt:lpstr>Subject-Map-1</vt:lpstr>
      <vt:lpstr>Subject-fsh</vt:lpstr>
      <vt:lpstr>Subject-ConceptMap</vt:lpstr>
      <vt:lpstr>Subject-CM-fsh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2022-11-21T11:50:25Z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