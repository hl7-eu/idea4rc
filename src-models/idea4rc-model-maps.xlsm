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1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2.xml" ContentType="application/vnd.openxmlformats-officedocument.drawing+xml"/>
  <Override PartName="/xl/ctrlProps/ctrlProp16.xml" ContentType="application/vnd.ms-excel.controlproperties+xml"/>
  <Override PartName="/xl/drawings/drawing13.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4.xml" ContentType="application/vnd.openxmlformats-officedocument.drawing+xml"/>
  <Override PartName="/xl/ctrlProps/ctrlProp19.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15.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16.xml" ContentType="application/vnd.openxmlformats-officedocument.drawing+xml"/>
  <Override PartName="/xl/ctrlProps/ctrlProp22.xml" ContentType="application/vnd.ms-excel.controlproperties+xml"/>
  <Override PartName="/xl/comments6.xml" ContentType="application/vnd.openxmlformats-officedocument.spreadsheetml.comments+xml"/>
  <Override PartName="/xl/drawings/drawing17.xml" ContentType="application/vnd.openxmlformats-officedocument.drawing+xml"/>
  <Override PartName="/xl/ctrlProps/ctrlProp23.xml" ContentType="application/vnd.ms-excel.controlproperties+xml"/>
  <Override PartName="/xl/drawings/drawing18.xml" ContentType="application/vnd.openxmlformats-officedocument.drawing+xml"/>
  <Override PartName="/xl/ctrlProps/ctrlProp24.xml" ContentType="application/vnd.ms-excel.controlproperties+xml"/>
  <Override PartName="/xl/comments7.xml" ContentType="application/vnd.openxmlformats-officedocument.spreadsheetml.comments+xml"/>
  <Override PartName="/xl/threadedComments/threadedComment5.xml" ContentType="application/vnd.ms-excel.threadedcomments+xml"/>
  <Override PartName="/xl/drawings/drawing19.xml" ContentType="application/vnd.openxmlformats-officedocument.drawing+xml"/>
  <Override PartName="/xl/ctrlProps/ctrlProp25.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drawings/drawing20.xml" ContentType="application/vnd.openxmlformats-officedocument.drawing+xml"/>
  <Override PartName="/xl/ctrlProps/ctrlProp26.xml" ContentType="application/vnd.ms-excel.controlproperties+xml"/>
  <Override PartName="/xl/drawings/drawing21.xml" ContentType="application/vnd.openxmlformats-officedocument.drawing+xml"/>
  <Override PartName="/xl/ctrlProps/ctrlProp27.xml" ContentType="application/vnd.ms-excel.controlproperties+xml"/>
  <Override PartName="/xl/drawings/drawing22.xml" ContentType="application/vnd.openxmlformats-officedocument.drawing+xml"/>
  <Override PartName="/xl/ctrlProps/ctrlProp28.xml" ContentType="application/vnd.ms-excel.controlproperties+xml"/>
  <Override PartName="/xl/drawings/drawing23.xml" ContentType="application/vnd.openxmlformats-officedocument.drawing+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drawings/drawing27.xml" ContentType="application/vnd.openxmlformats-officedocument.drawing+xml"/>
  <Override PartName="/xl/ctrlProps/ctrlProp33.xml" ContentType="application/vnd.ms-excel.controlproperties+xml"/>
  <Override PartName="/xl/drawings/drawing28.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29.xml" ContentType="application/vnd.openxmlformats-officedocument.drawing+xml"/>
  <Override PartName="/xl/ctrlProps/ctrlProp36.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idea4rc\src-models\"/>
    </mc:Choice>
  </mc:AlternateContent>
  <xr:revisionPtr revIDLastSave="0" documentId="13_ncr:1_{623D2E84-0A48-419C-A441-1846D9E9F38A}" xr6:coauthVersionLast="47" xr6:coauthVersionMax="47" xr10:uidLastSave="{00000000-0000-0000-0000-000000000000}"/>
  <bookViews>
    <workbookView xWindow="-90" yWindow="-21710" windowWidth="38620" windowHeight="21100" tabRatio="819" activeTab="5" xr2:uid="{82F0A5E9-86C8-45A2-AB20-6CF6AA2FD42B}"/>
  </bookViews>
  <sheets>
    <sheet name=" 4. Cancer under study" sheetId="150" r:id="rId1"/>
    <sheet name="2.Demographic &amp; life style" sheetId="137" r:id="rId2"/>
    <sheet name="OsirisDataElementConcept" sheetId="139" r:id="rId3"/>
    <sheet name="CancerEpisode-src" sheetId="175" r:id="rId4"/>
    <sheet name="CancerEpisode" sheetId="172" r:id="rId5"/>
    <sheet name="CancerEpisode-fsh" sheetId="174" r:id="rId6"/>
    <sheet name="CancerEpisode-ConceptMap-1" sheetId="178" r:id="rId7"/>
    <sheet name="CancerEpisode-ConceptMap-2" sheetId="186" r:id="rId8"/>
    <sheet name="CancerEpisode-CM-fsh" sheetId="179" r:id="rId9"/>
    <sheet name="Subject" sheetId="169" r:id="rId10"/>
    <sheet name="Subject-Map-1" sheetId="170" r:id="rId11"/>
    <sheet name="Subject-fsh" sheetId="171" r:id="rId12"/>
    <sheet name="Subject-ConceptMap-1" sheetId="180" r:id="rId13"/>
    <sheet name="Subject-ConceptMap-2" sheetId="182" r:id="rId14"/>
    <sheet name="Subject-ConceptMap-3" sheetId="183" r:id="rId15"/>
    <sheet name="Subject-ConceptMap-4" sheetId="184" r:id="rId16"/>
    <sheet name="Subject-ConceptMap-5-8" sheetId="185" r:id="rId17"/>
    <sheet name="Subject-ConceptMap-9" sheetId="246" r:id="rId18"/>
    <sheet name="Subject-CM-fsh" sheetId="181" r:id="rId19"/>
    <sheet name="EpisodeEvent" sheetId="193" r:id="rId20"/>
    <sheet name="EpisodeEvent-Map-1" sheetId="194" r:id="rId21"/>
    <sheet name="EpisodeEvent-fsh" sheetId="195" r:id="rId22"/>
    <sheet name="EpisodeEvent-ConceptMap-1" sheetId="196" r:id="rId23"/>
    <sheet name="EpisodeEvent-CM-fsh" sheetId="198" r:id="rId24"/>
    <sheet name="ClinicalStage" sheetId="159" r:id="rId25"/>
    <sheet name="ClinicalStage-Map-1" sheetId="160" r:id="rId26"/>
    <sheet name="ClinicalStage-fsh" sheetId="161" r:id="rId27"/>
    <sheet name="ClinicalStage-ConceptMap-1" sheetId="199" r:id="rId28"/>
    <sheet name="ClinicalStage-ConceptMap-2" sheetId="201" r:id="rId29"/>
    <sheet name="ClinicalStage-ConceptMap-3" sheetId="202" r:id="rId30"/>
    <sheet name="ClinicalStage-ConceptMap-4" sheetId="203" r:id="rId31"/>
    <sheet name="ClinicalStage-CM-fsh" sheetId="200" r:id="rId32"/>
    <sheet name="PathologicalStage" sheetId="189" r:id="rId33"/>
    <sheet name="PathologicalStage-fsh" sheetId="191" r:id="rId34"/>
    <sheet name="PathStage-ConceptMap-1" sheetId="204" r:id="rId35"/>
    <sheet name="PathStage-ConceptMap-2" sheetId="205" r:id="rId36"/>
    <sheet name="PathStage-ConceptMap-3" sheetId="206" r:id="rId37"/>
    <sheet name="PathStage-ConceptMap-4" sheetId="207" r:id="rId38"/>
    <sheet name="PathStage-CM-fsh" sheetId="208" r:id="rId39"/>
    <sheet name="SystemicTreatment" sheetId="164" r:id="rId40"/>
    <sheet name="SystemicTreatment-fsh" sheetId="166" r:id="rId41"/>
    <sheet name="SystemicTreatm-ConceptMap-1" sheetId="217" r:id="rId42"/>
    <sheet name="SystemicTreatment-CM-fsh" sheetId="218" r:id="rId43"/>
    <sheet name="Surgery" sheetId="209" r:id="rId44"/>
    <sheet name="Surgery-fsh" sheetId="210" r:id="rId45"/>
    <sheet name="Surgery-ConceptMap-1" sheetId="213" r:id="rId46"/>
    <sheet name="Surgery-CM-fsh" sheetId="214" r:id="rId47"/>
    <sheet name="Radiotherapy" sheetId="211" r:id="rId48"/>
    <sheet name="Radiotherapy-fsh" sheetId="212" r:id="rId49"/>
    <sheet name="Radiotherapy-ConceptMap-1" sheetId="215" r:id="rId50"/>
    <sheet name="Radiotherapy-CM-fsh" sheetId="216" r:id="rId51"/>
    <sheet name="ConvertOsiris" sheetId="138" r:id="rId52"/>
    <sheet name="HospitalPatientRecords" sheetId="225" r:id="rId53"/>
    <sheet name="HospitalPatientRecords-fsh" sheetId="226" r:id="rId54"/>
    <sheet name="HospitalPatientRec-ConceptMap-1" sheetId="227" r:id="rId55"/>
    <sheet name="HospitalPatientRecor-CM-fsh" sheetId="228" r:id="rId56"/>
    <sheet name="PatientFollowUp" sheetId="229" r:id="rId57"/>
    <sheet name="PatientFollowUp-fsh" sheetId="230" r:id="rId58"/>
    <sheet name="PatientFollowUp-ConceptMap-1" sheetId="231" r:id="rId59"/>
    <sheet name="PatientFollowUp-ConceptMap-2" sheetId="245" r:id="rId60"/>
    <sheet name="PatientFollowUp-CM-fsh" sheetId="232" r:id="rId61"/>
    <sheet name="TreatmentResponse" sheetId="233" r:id="rId62"/>
    <sheet name="TreatmentResponse-fsh" sheetId="234" r:id="rId63"/>
    <sheet name="TreatmentRespon-ConceptMap-1" sheetId="235" r:id="rId64"/>
    <sheet name="TreatmentResponse-CM-fsh" sheetId="236" r:id="rId65"/>
    <sheet name="AdverseEvent" sheetId="237" r:id="rId66"/>
    <sheet name="AdverseEvent-fsh" sheetId="238" r:id="rId67"/>
    <sheet name="AdverseEvent-ConceptMap-1" sheetId="239" r:id="rId68"/>
    <sheet name="AdverseEvent-CM-fsh" sheetId="240" r:id="rId69"/>
    <sheet name="GeneticTestExpression" sheetId="241" r:id="rId70"/>
    <sheet name="GeneticTestExpression-fsh" sheetId="242" r:id="rId71"/>
    <sheet name="GeneticTestExp-ConceptMap-1" sheetId="243" r:id="rId72"/>
    <sheet name="GeneticTestExpressio-CM-fsh" sheetId="244" r:id="rId73"/>
    <sheet name="Osiris" sheetId="141" r:id="rId74"/>
    <sheet name="Osiris-Map" sheetId="142" r:id="rId75"/>
    <sheet name="Osiris-fsh-noMap" sheetId="144" r:id="rId76"/>
    <sheet name="Osiris-fsh" sheetId="143" r:id="rId77"/>
    <sheet name="Osiris-ConceptMap" sheetId="145" r:id="rId78"/>
    <sheet name="Osiris-CM-fsh" sheetId="147" r:id="rId79"/>
    <sheet name="equivalence" sheetId="146" r:id="rId80"/>
  </sheets>
  <externalReferences>
    <externalReference r:id="rId81"/>
  </externalReferences>
  <definedNames>
    <definedName name="_xlnm._FilterDatabase" localSheetId="1" hidden="1">'2.Demographic &amp; life style'!$A$2:$S$47</definedName>
    <definedName name="_xlnm._FilterDatabase" localSheetId="65" hidden="1">AdverseEvent!$A$7:$M$35</definedName>
    <definedName name="_xlnm._FilterDatabase" localSheetId="4" hidden="1">CancerEpisode!$A$7:$M$67</definedName>
    <definedName name="_xlnm._FilterDatabase" localSheetId="51" hidden="1">ConvertOsiris!$D$2:$U$232</definedName>
    <definedName name="_xlnm._FilterDatabase" localSheetId="69" hidden="1">GeneticTestExpression!$A$7:$M$35</definedName>
    <definedName name="_xlnm._FilterDatabase" localSheetId="52" hidden="1">HospitalPatientRecords!$A$7:$M$35</definedName>
    <definedName name="_xlnm._FilterDatabase" localSheetId="56" hidden="1">PatientFollowUp!$A$7:$M$35</definedName>
    <definedName name="_xlnm._FilterDatabase" localSheetId="47" hidden="1">Radiotherapy!$A$7:$M$34</definedName>
    <definedName name="_xlnm._FilterDatabase" localSheetId="9" hidden="1">Subject!$A$7:$M$40</definedName>
    <definedName name="_xlnm._FilterDatabase" localSheetId="61" hidden="1">TreatmentResponse!$A$7:$M$35</definedName>
    <definedName name="CENEN13606Lekarska_prepustacia_sprava">'[1]Hospital Discharge Report '!#REF!</definedName>
    <definedName name="DatiEsterni_1" localSheetId="2"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1" i="178" l="1"/>
  <c r="B19" i="178"/>
  <c r="B18" i="178"/>
  <c r="B16" i="178"/>
  <c r="C16" i="178"/>
  <c r="B17" i="178"/>
  <c r="C17" i="178"/>
  <c r="C18" i="178"/>
  <c r="J18" i="178" s="1"/>
  <c r="C45" i="174"/>
  <c r="C53" i="174"/>
  <c r="C35" i="174"/>
  <c r="J9" i="172"/>
  <c r="L9" i="172" s="1"/>
  <c r="C70" i="174" s="1"/>
  <c r="J10" i="172"/>
  <c r="L10" i="172" s="1"/>
  <c r="C71" i="174" s="1"/>
  <c r="J11" i="172"/>
  <c r="L11" i="172" s="1"/>
  <c r="C72" i="174" s="1"/>
  <c r="J12" i="172"/>
  <c r="C12" i="174" s="1"/>
  <c r="L12" i="172"/>
  <c r="C73" i="174" s="1"/>
  <c r="J13" i="172"/>
  <c r="L13" i="172" s="1"/>
  <c r="C74" i="174" s="1"/>
  <c r="J14" i="172"/>
  <c r="L14" i="172" s="1"/>
  <c r="C75" i="174" s="1"/>
  <c r="J15" i="172"/>
  <c r="L15" i="172" s="1"/>
  <c r="C76" i="174" s="1"/>
  <c r="J16" i="172"/>
  <c r="C16" i="174" s="1"/>
  <c r="J17" i="172"/>
  <c r="L17" i="172" s="1"/>
  <c r="C78" i="174" s="1"/>
  <c r="J18" i="172"/>
  <c r="L18" i="172" s="1"/>
  <c r="C79" i="174" s="1"/>
  <c r="J19" i="172"/>
  <c r="L19" i="172" s="1"/>
  <c r="C80" i="174" s="1"/>
  <c r="J20" i="172"/>
  <c r="C20" i="174" s="1"/>
  <c r="J21" i="172"/>
  <c r="L21" i="172" s="1"/>
  <c r="C82" i="174" s="1"/>
  <c r="J22" i="172"/>
  <c r="L22" i="172" s="1"/>
  <c r="C83" i="174" s="1"/>
  <c r="J23" i="172"/>
  <c r="L23" i="172" s="1"/>
  <c r="C84" i="174" s="1"/>
  <c r="J24" i="172"/>
  <c r="C24" i="174" s="1"/>
  <c r="J25" i="172"/>
  <c r="L25" i="172" s="1"/>
  <c r="C86" i="174" s="1"/>
  <c r="J26" i="172"/>
  <c r="L26" i="172" s="1"/>
  <c r="C87" i="174" s="1"/>
  <c r="J27" i="172"/>
  <c r="L27" i="172" s="1"/>
  <c r="C88" i="174" s="1"/>
  <c r="J28" i="172"/>
  <c r="C28" i="174" s="1"/>
  <c r="L28" i="172"/>
  <c r="C89" i="174" s="1"/>
  <c r="J29" i="172"/>
  <c r="L29" i="172" s="1"/>
  <c r="C90" i="174" s="1"/>
  <c r="J30" i="172"/>
  <c r="L30" i="172" s="1"/>
  <c r="C91" i="174" s="1"/>
  <c r="J31" i="172"/>
  <c r="L31" i="172" s="1"/>
  <c r="C92" i="174" s="1"/>
  <c r="J32" i="172"/>
  <c r="L32" i="172" s="1"/>
  <c r="C93" i="174" s="1"/>
  <c r="J33" i="172"/>
  <c r="L33" i="172" s="1"/>
  <c r="C94" i="174" s="1"/>
  <c r="J34" i="172"/>
  <c r="L34" i="172" s="1"/>
  <c r="C95" i="174" s="1"/>
  <c r="J35" i="172"/>
  <c r="L35" i="172" s="1"/>
  <c r="C96" i="174" s="1"/>
  <c r="J36" i="172"/>
  <c r="C36" i="174" s="1"/>
  <c r="J37" i="172"/>
  <c r="L37" i="172" s="1"/>
  <c r="C98" i="174" s="1"/>
  <c r="J38" i="172"/>
  <c r="L38" i="172" s="1"/>
  <c r="C99" i="174" s="1"/>
  <c r="J39" i="172"/>
  <c r="L39" i="172" s="1"/>
  <c r="C100" i="174" s="1"/>
  <c r="J40" i="172"/>
  <c r="L40" i="172" s="1"/>
  <c r="C101" i="174" s="1"/>
  <c r="J41" i="172"/>
  <c r="L41" i="172" s="1"/>
  <c r="C102" i="174" s="1"/>
  <c r="J42" i="172"/>
  <c r="L42" i="172" s="1"/>
  <c r="C103" i="174" s="1"/>
  <c r="J43" i="172"/>
  <c r="L43" i="172" s="1"/>
  <c r="C104" i="174" s="1"/>
  <c r="J44" i="172"/>
  <c r="C44" i="174" s="1"/>
  <c r="J45" i="172"/>
  <c r="L45" i="172" s="1"/>
  <c r="C106" i="174" s="1"/>
  <c r="J46" i="172"/>
  <c r="L46" i="172" s="1"/>
  <c r="C107" i="174" s="1"/>
  <c r="J47" i="172"/>
  <c r="L47" i="172" s="1"/>
  <c r="C108" i="174" s="1"/>
  <c r="J48" i="172"/>
  <c r="C48" i="174" s="1"/>
  <c r="L48" i="172"/>
  <c r="C109" i="174" s="1"/>
  <c r="J49" i="172"/>
  <c r="L49" i="172" s="1"/>
  <c r="C110" i="174" s="1"/>
  <c r="J50" i="172"/>
  <c r="L50" i="172" s="1"/>
  <c r="C111" i="174" s="1"/>
  <c r="J51" i="172"/>
  <c r="L51" i="172" s="1"/>
  <c r="C112" i="174" s="1"/>
  <c r="J52" i="172"/>
  <c r="C52" i="174" s="1"/>
  <c r="L52" i="172"/>
  <c r="C113" i="174" s="1"/>
  <c r="J53" i="172"/>
  <c r="L53" i="172" s="1"/>
  <c r="C114" i="174" s="1"/>
  <c r="J54" i="172"/>
  <c r="L54" i="172" s="1"/>
  <c r="C115" i="174" s="1"/>
  <c r="J55" i="172"/>
  <c r="L55" i="172" s="1"/>
  <c r="C116" i="174" s="1"/>
  <c r="J56" i="172"/>
  <c r="C56" i="174" s="1"/>
  <c r="J57" i="172"/>
  <c r="L57" i="172" s="1"/>
  <c r="C118" i="174" s="1"/>
  <c r="J58" i="172"/>
  <c r="L58" i="172" s="1"/>
  <c r="C119" i="174" s="1"/>
  <c r="J59" i="172"/>
  <c r="L59" i="172" s="1"/>
  <c r="C120" i="174" s="1"/>
  <c r="J60" i="172"/>
  <c r="L60" i="172" s="1"/>
  <c r="C121" i="174" s="1"/>
  <c r="J61" i="172"/>
  <c r="L61" i="172" s="1"/>
  <c r="C122" i="174" s="1"/>
  <c r="J62" i="172"/>
  <c r="L62" i="172" s="1"/>
  <c r="C123" i="174" s="1"/>
  <c r="S61" i="185" a="1"/>
  <c r="S61" i="185" s="1"/>
  <c r="S62" i="185" a="1"/>
  <c r="S62" i="185" s="1"/>
  <c r="S63" i="185" a="1"/>
  <c r="S63" i="185" s="1"/>
  <c r="S64" i="185" a="1"/>
  <c r="S64" i="185"/>
  <c r="S65" i="185" a="1"/>
  <c r="S65" i="185" s="1"/>
  <c r="S66" i="185" a="1"/>
  <c r="S66" i="185" s="1"/>
  <c r="S67" i="185" a="1"/>
  <c r="S67" i="185" s="1"/>
  <c r="S68" i="185" a="1"/>
  <c r="S68" i="185"/>
  <c r="S69" i="185" a="1"/>
  <c r="S69" i="185" s="1"/>
  <c r="S70" i="185" a="1"/>
  <c r="S70" i="185" s="1"/>
  <c r="S71" i="185" a="1"/>
  <c r="S71" i="185" s="1"/>
  <c r="S60" i="185" a="1"/>
  <c r="S60" i="185" s="1"/>
  <c r="S44" i="185" a="1"/>
  <c r="S44" i="185" s="1"/>
  <c r="S45" i="185" a="1"/>
  <c r="S45" i="185"/>
  <c r="S46" i="185" a="1"/>
  <c r="S46" i="185" s="1"/>
  <c r="S47" i="185" a="1"/>
  <c r="S47" i="185"/>
  <c r="S48" i="185" a="1"/>
  <c r="S48" i="185" s="1"/>
  <c r="S49" i="185" a="1"/>
  <c r="S49" i="185"/>
  <c r="S50" i="185" a="1"/>
  <c r="S50" i="185" s="1"/>
  <c r="S51" i="185" a="1"/>
  <c r="S51" i="185"/>
  <c r="S52" i="185" a="1"/>
  <c r="S52" i="185" s="1"/>
  <c r="S53" i="185" a="1"/>
  <c r="S53" i="185"/>
  <c r="S54" i="185" a="1"/>
  <c r="S54" i="185" s="1"/>
  <c r="S43" i="185" a="1"/>
  <c r="S43" i="185" s="1"/>
  <c r="B377" i="181"/>
  <c r="S23" i="185" a="1"/>
  <c r="S23" i="185"/>
  <c r="S24" i="185" a="1"/>
  <c r="S24" i="185" s="1"/>
  <c r="S25" i="185" a="1"/>
  <c r="S25" i="185"/>
  <c r="S26" i="185" a="1"/>
  <c r="S26" i="185"/>
  <c r="S27" i="185" a="1"/>
  <c r="S27" i="185"/>
  <c r="S28" i="185" a="1"/>
  <c r="S28" i="185" s="1"/>
  <c r="S29" i="185" a="1"/>
  <c r="S29" i="185"/>
  <c r="S30" i="185" a="1"/>
  <c r="S30" i="185"/>
  <c r="S31" i="185" a="1"/>
  <c r="S31" i="185"/>
  <c r="S32" i="185" a="1"/>
  <c r="S32" i="185" s="1"/>
  <c r="S33" i="185" a="1"/>
  <c r="S33" i="185"/>
  <c r="S34" i="185" a="1"/>
  <c r="S34" i="185"/>
  <c r="S35" i="185" a="1"/>
  <c r="S35" i="185"/>
  <c r="S36" i="185" a="1"/>
  <c r="S36" i="185" s="1"/>
  <c r="S22" i="185" a="1"/>
  <c r="S22" i="185" s="1"/>
  <c r="C60" i="185"/>
  <c r="B60" i="185"/>
  <c r="R71" i="185"/>
  <c r="Q71" i="185"/>
  <c r="R70" i="185"/>
  <c r="Q70" i="185"/>
  <c r="R69" i="185"/>
  <c r="Q69" i="185"/>
  <c r="R68" i="185"/>
  <c r="Q68" i="185"/>
  <c r="R67" i="185"/>
  <c r="Q67" i="185"/>
  <c r="R66" i="185"/>
  <c r="Q66" i="185"/>
  <c r="R65" i="185"/>
  <c r="Q65" i="185"/>
  <c r="R64" i="185"/>
  <c r="Q64" i="185"/>
  <c r="R63" i="185"/>
  <c r="Q63" i="185"/>
  <c r="R62" i="185"/>
  <c r="Q62" i="185"/>
  <c r="R61" i="185"/>
  <c r="Q61" i="185"/>
  <c r="R60" i="185"/>
  <c r="Q60" i="185"/>
  <c r="M60" i="185"/>
  <c r="L60" i="185"/>
  <c r="K60" i="185"/>
  <c r="J60" i="185"/>
  <c r="I60" i="185"/>
  <c r="N58" i="185"/>
  <c r="N57" i="185"/>
  <c r="E57" i="185"/>
  <c r="B372" i="181"/>
  <c r="B371" i="181"/>
  <c r="R54" i="185"/>
  <c r="Q54" i="185"/>
  <c r="R53" i="185"/>
  <c r="Q53" i="185"/>
  <c r="R52" i="185"/>
  <c r="Q52" i="185"/>
  <c r="R51" i="185"/>
  <c r="Q51" i="185"/>
  <c r="R50" i="185"/>
  <c r="Q50" i="185"/>
  <c r="R49" i="185"/>
  <c r="Q49" i="185"/>
  <c r="R48" i="185"/>
  <c r="Q48" i="185"/>
  <c r="R47" i="185"/>
  <c r="Q47" i="185"/>
  <c r="R46" i="185"/>
  <c r="Q46" i="185"/>
  <c r="R45" i="185"/>
  <c r="Q45" i="185"/>
  <c r="R44" i="185"/>
  <c r="Q44" i="185"/>
  <c r="R43" i="185"/>
  <c r="Q43" i="185"/>
  <c r="M43" i="185"/>
  <c r="L43" i="185"/>
  <c r="K43" i="185"/>
  <c r="J43" i="185"/>
  <c r="I43" i="185"/>
  <c r="C43" i="185"/>
  <c r="B43" i="185"/>
  <c r="N41" i="185"/>
  <c r="N40" i="185"/>
  <c r="R109" i="246"/>
  <c r="Q109" i="246"/>
  <c r="S109" i="246" s="1" a="1"/>
  <c r="S109" i="246" s="1"/>
  <c r="R108" i="246"/>
  <c r="Q108" i="246"/>
  <c r="S108" i="246" s="1" a="1"/>
  <c r="S108" i="246" s="1"/>
  <c r="R107" i="246"/>
  <c r="Q107" i="246"/>
  <c r="R106" i="246"/>
  <c r="Q106" i="246"/>
  <c r="S106" i="246" s="1" a="1"/>
  <c r="S106" i="246" s="1"/>
  <c r="R105" i="246"/>
  <c r="Q105" i="246"/>
  <c r="S105" i="246" s="1" a="1"/>
  <c r="S105" i="246" s="1"/>
  <c r="R104" i="246"/>
  <c r="Q104" i="246"/>
  <c r="R103" i="246"/>
  <c r="Q103" i="246"/>
  <c r="R102" i="246"/>
  <c r="Q102" i="246"/>
  <c r="R101" i="246"/>
  <c r="Q101" i="246"/>
  <c r="R100" i="246"/>
  <c r="Q100" i="246"/>
  <c r="R99" i="246"/>
  <c r="Q99" i="246"/>
  <c r="R98" i="246"/>
  <c r="Q98" i="246"/>
  <c r="R97" i="246"/>
  <c r="Q97" i="246"/>
  <c r="R96" i="246"/>
  <c r="Q96" i="246"/>
  <c r="R95" i="246"/>
  <c r="Q95" i="246"/>
  <c r="R94" i="246"/>
  <c r="Q94" i="246"/>
  <c r="R93" i="246"/>
  <c r="Q93" i="246"/>
  <c r="R92" i="246"/>
  <c r="Q92" i="246"/>
  <c r="R91" i="246"/>
  <c r="Q91" i="246"/>
  <c r="R90" i="246"/>
  <c r="Q90" i="246"/>
  <c r="R89" i="246"/>
  <c r="Q89" i="246"/>
  <c r="R88" i="246"/>
  <c r="Q88" i="246"/>
  <c r="R87" i="246"/>
  <c r="Q87" i="246"/>
  <c r="R86" i="246"/>
  <c r="Q86" i="246"/>
  <c r="R85" i="246"/>
  <c r="Q85" i="246"/>
  <c r="R84" i="246"/>
  <c r="Q84" i="246"/>
  <c r="R83" i="246"/>
  <c r="Q83" i="246"/>
  <c r="R82" i="246"/>
  <c r="Q82" i="246"/>
  <c r="R81" i="246"/>
  <c r="Q81" i="246"/>
  <c r="R80" i="246"/>
  <c r="Q80" i="246"/>
  <c r="R79" i="246"/>
  <c r="Q79" i="246"/>
  <c r="R78" i="246"/>
  <c r="Q78" i="246"/>
  <c r="R77" i="246"/>
  <c r="Q77" i="246"/>
  <c r="R76" i="246"/>
  <c r="Q76" i="246"/>
  <c r="R75" i="246"/>
  <c r="Q75" i="246"/>
  <c r="R74" i="246"/>
  <c r="Q74" i="246"/>
  <c r="R73" i="246"/>
  <c r="Q73" i="246"/>
  <c r="R72" i="246"/>
  <c r="Q72" i="246"/>
  <c r="R71" i="246"/>
  <c r="Q71" i="246"/>
  <c r="R70" i="246"/>
  <c r="Q70" i="246"/>
  <c r="R69" i="246"/>
  <c r="Q69" i="246"/>
  <c r="R68" i="246"/>
  <c r="Q68" i="246"/>
  <c r="R67" i="246"/>
  <c r="Q67" i="246"/>
  <c r="R66" i="246"/>
  <c r="Q66" i="246"/>
  <c r="R65" i="246"/>
  <c r="Q65" i="246"/>
  <c r="R64" i="246"/>
  <c r="Q64" i="246"/>
  <c r="R63" i="246"/>
  <c r="Q63" i="246"/>
  <c r="R62" i="246"/>
  <c r="Q62" i="246"/>
  <c r="R61" i="246"/>
  <c r="Q61" i="246"/>
  <c r="R60" i="246"/>
  <c r="Q60" i="246"/>
  <c r="R59" i="246"/>
  <c r="Q59" i="246"/>
  <c r="R58" i="246"/>
  <c r="Q58" i="246"/>
  <c r="R57" i="246"/>
  <c r="Q57" i="246"/>
  <c r="R56" i="246"/>
  <c r="Q56" i="246"/>
  <c r="R55" i="246"/>
  <c r="Q55" i="246"/>
  <c r="R54" i="246"/>
  <c r="Q54" i="246"/>
  <c r="R53" i="246"/>
  <c r="Q53" i="246"/>
  <c r="R52" i="246"/>
  <c r="Q52" i="246"/>
  <c r="R51" i="246"/>
  <c r="Q51" i="246"/>
  <c r="R50" i="246"/>
  <c r="Q50" i="246"/>
  <c r="R49" i="246"/>
  <c r="Q49" i="246"/>
  <c r="R48" i="246"/>
  <c r="Q48" i="246"/>
  <c r="R47" i="246"/>
  <c r="Q47" i="246"/>
  <c r="R46" i="246"/>
  <c r="Q46" i="246"/>
  <c r="R45" i="246"/>
  <c r="Q45" i="246"/>
  <c r="R44" i="246"/>
  <c r="Q44" i="246"/>
  <c r="R43" i="246"/>
  <c r="Q43" i="246"/>
  <c r="R42" i="246"/>
  <c r="Q42" i="246"/>
  <c r="R41" i="246"/>
  <c r="Q41" i="246"/>
  <c r="R40" i="246"/>
  <c r="Q40" i="246"/>
  <c r="R39" i="246"/>
  <c r="Q39" i="246"/>
  <c r="R38" i="246"/>
  <c r="Q38" i="246"/>
  <c r="R37" i="246"/>
  <c r="Q37" i="246"/>
  <c r="R36" i="246"/>
  <c r="Q36" i="246"/>
  <c r="R35" i="246"/>
  <c r="Q35" i="246"/>
  <c r="R34" i="246"/>
  <c r="Q34" i="246"/>
  <c r="R33" i="246"/>
  <c r="Q33" i="246"/>
  <c r="R32" i="246"/>
  <c r="Q32" i="246"/>
  <c r="R31" i="246"/>
  <c r="Q31" i="246"/>
  <c r="R30" i="246"/>
  <c r="Q30" i="246"/>
  <c r="N30" i="246"/>
  <c r="R29" i="246"/>
  <c r="Q29" i="246"/>
  <c r="N29" i="246"/>
  <c r="R28" i="246"/>
  <c r="Q28" i="246"/>
  <c r="N28" i="246"/>
  <c r="R27" i="246"/>
  <c r="Q27" i="246"/>
  <c r="N27" i="246"/>
  <c r="R26" i="246"/>
  <c r="Q26" i="246"/>
  <c r="N26" i="246"/>
  <c r="R25" i="246"/>
  <c r="Q25" i="246"/>
  <c r="N25" i="246"/>
  <c r="R24" i="246"/>
  <c r="Q24" i="246"/>
  <c r="N24" i="246"/>
  <c r="R23" i="246"/>
  <c r="Q23" i="246"/>
  <c r="N23" i="246"/>
  <c r="R22" i="246"/>
  <c r="Q22" i="246"/>
  <c r="N22" i="246"/>
  <c r="R21" i="246"/>
  <c r="Q21" i="246"/>
  <c r="N21" i="246"/>
  <c r="R20" i="246"/>
  <c r="Q20" i="246"/>
  <c r="N20" i="246"/>
  <c r="M20" i="246"/>
  <c r="L20" i="246"/>
  <c r="K20" i="246"/>
  <c r="C20" i="246"/>
  <c r="J20" i="246" s="1"/>
  <c r="B20" i="246"/>
  <c r="R19" i="246"/>
  <c r="Q19" i="246"/>
  <c r="N19" i="246"/>
  <c r="M19" i="246"/>
  <c r="L19" i="246"/>
  <c r="K19" i="246"/>
  <c r="C19" i="246"/>
  <c r="J19" i="246" s="1"/>
  <c r="B19" i="246"/>
  <c r="R18" i="246"/>
  <c r="Q18" i="246"/>
  <c r="N18" i="246"/>
  <c r="M18" i="246"/>
  <c r="L18" i="246"/>
  <c r="K18" i="246"/>
  <c r="C18" i="246"/>
  <c r="J18" i="246" s="1"/>
  <c r="B18" i="246"/>
  <c r="R17" i="246"/>
  <c r="Q17" i="246"/>
  <c r="N17" i="246"/>
  <c r="M17" i="246"/>
  <c r="L17" i="246"/>
  <c r="K17" i="246"/>
  <c r="C17" i="246"/>
  <c r="J17" i="246" s="1"/>
  <c r="B17" i="246"/>
  <c r="R16" i="246"/>
  <c r="Q16" i="246"/>
  <c r="N16" i="246"/>
  <c r="M16" i="246"/>
  <c r="L16" i="246"/>
  <c r="K16" i="246"/>
  <c r="C16" i="246"/>
  <c r="J16" i="246" s="1"/>
  <c r="B16" i="246"/>
  <c r="R15" i="246"/>
  <c r="Q15" i="246"/>
  <c r="N15" i="246"/>
  <c r="M15" i="246"/>
  <c r="L15" i="246"/>
  <c r="K15" i="246"/>
  <c r="C15" i="246"/>
  <c r="J15" i="246" s="1"/>
  <c r="B15" i="246"/>
  <c r="B14" i="246"/>
  <c r="I19" i="246" s="1"/>
  <c r="E3" i="246"/>
  <c r="E6" i="246" s="1"/>
  <c r="B352" i="181"/>
  <c r="B211" i="181"/>
  <c r="B212" i="181"/>
  <c r="B213" i="181"/>
  <c r="B214" i="181"/>
  <c r="B215" i="181"/>
  <c r="B216" i="181"/>
  <c r="B217" i="181"/>
  <c r="B218" i="181"/>
  <c r="B219" i="181"/>
  <c r="B220" i="181"/>
  <c r="B221" i="181"/>
  <c r="B222" i="181"/>
  <c r="B223" i="181"/>
  <c r="B224" i="181"/>
  <c r="B225" i="181"/>
  <c r="B226" i="181"/>
  <c r="B227" i="181"/>
  <c r="B228" i="181"/>
  <c r="B229" i="181"/>
  <c r="B230" i="181"/>
  <c r="B231" i="181"/>
  <c r="B232" i="181"/>
  <c r="B233" i="181"/>
  <c r="B234" i="181"/>
  <c r="B235" i="181"/>
  <c r="B236" i="181"/>
  <c r="B237" i="181"/>
  <c r="B238" i="181"/>
  <c r="B239" i="181"/>
  <c r="B240" i="181"/>
  <c r="B241" i="181"/>
  <c r="B242" i="181"/>
  <c r="B243" i="181"/>
  <c r="B244" i="181"/>
  <c r="B245" i="181"/>
  <c r="B246" i="181"/>
  <c r="B247" i="181"/>
  <c r="B248" i="181"/>
  <c r="B249" i="181"/>
  <c r="B250" i="181"/>
  <c r="B251" i="181"/>
  <c r="B252" i="181"/>
  <c r="B253" i="181"/>
  <c r="B254" i="181"/>
  <c r="B255" i="181"/>
  <c r="B256" i="181"/>
  <c r="B257" i="181"/>
  <c r="B258" i="181"/>
  <c r="B259" i="181"/>
  <c r="B260" i="181"/>
  <c r="B261" i="181"/>
  <c r="B262" i="181"/>
  <c r="B263" i="181"/>
  <c r="B264" i="181"/>
  <c r="B265" i="181"/>
  <c r="B266" i="181"/>
  <c r="B267" i="181"/>
  <c r="B268" i="181"/>
  <c r="B269" i="181"/>
  <c r="B270" i="181"/>
  <c r="B271" i="181"/>
  <c r="B272" i="181"/>
  <c r="B273" i="181"/>
  <c r="B274" i="181"/>
  <c r="B275" i="181"/>
  <c r="B276" i="181"/>
  <c r="B277" i="181"/>
  <c r="B278" i="181"/>
  <c r="B279" i="181"/>
  <c r="B280" i="181"/>
  <c r="B281" i="181"/>
  <c r="B282" i="181"/>
  <c r="B283" i="181"/>
  <c r="B284" i="181"/>
  <c r="B285" i="181"/>
  <c r="B286" i="181"/>
  <c r="B287" i="181"/>
  <c r="B288" i="181"/>
  <c r="B289" i="181"/>
  <c r="B290" i="181"/>
  <c r="B291" i="181"/>
  <c r="B292" i="181"/>
  <c r="B293" i="181"/>
  <c r="B294" i="181"/>
  <c r="B295" i="181"/>
  <c r="B296" i="181"/>
  <c r="B297" i="181"/>
  <c r="B298" i="181"/>
  <c r="B299" i="181"/>
  <c r="B300" i="181"/>
  <c r="B301" i="181"/>
  <c r="B302" i="181"/>
  <c r="B303" i="181"/>
  <c r="B304" i="181"/>
  <c r="B305" i="181"/>
  <c r="B306" i="181"/>
  <c r="B307" i="181"/>
  <c r="B308" i="181"/>
  <c r="B309" i="181"/>
  <c r="B310" i="181"/>
  <c r="B311" i="181"/>
  <c r="B312" i="181"/>
  <c r="B313" i="181"/>
  <c r="B314" i="181"/>
  <c r="B315" i="181"/>
  <c r="B316" i="181"/>
  <c r="B317" i="181"/>
  <c r="B318" i="181"/>
  <c r="B319" i="181"/>
  <c r="B320" i="181"/>
  <c r="B321" i="181"/>
  <c r="B322" i="181"/>
  <c r="B323" i="181"/>
  <c r="B324" i="181"/>
  <c r="B325" i="181"/>
  <c r="B326" i="181"/>
  <c r="B327" i="181"/>
  <c r="B328" i="181"/>
  <c r="B329" i="181"/>
  <c r="B330" i="181"/>
  <c r="B331" i="181"/>
  <c r="B332" i="181"/>
  <c r="B333" i="181"/>
  <c r="B334" i="181"/>
  <c r="B335" i="181"/>
  <c r="B336" i="181"/>
  <c r="B337" i="181"/>
  <c r="B338" i="181"/>
  <c r="B339" i="181"/>
  <c r="B340" i="181"/>
  <c r="B187" i="181"/>
  <c r="B188" i="181"/>
  <c r="B189" i="181"/>
  <c r="B190" i="181"/>
  <c r="B191" i="181"/>
  <c r="B192" i="181"/>
  <c r="B193" i="181"/>
  <c r="B194" i="181"/>
  <c r="B195" i="181"/>
  <c r="B196" i="181"/>
  <c r="B197" i="181"/>
  <c r="B198" i="181"/>
  <c r="B199" i="181"/>
  <c r="B200" i="181"/>
  <c r="B201" i="181"/>
  <c r="B202" i="181"/>
  <c r="B203" i="181"/>
  <c r="B140" i="181"/>
  <c r="B141" i="181"/>
  <c r="B142" i="181"/>
  <c r="B143" i="181"/>
  <c r="B144" i="181"/>
  <c r="B145" i="181"/>
  <c r="B146" i="181"/>
  <c r="B147" i="181"/>
  <c r="B148" i="181"/>
  <c r="B149" i="181"/>
  <c r="B150" i="181"/>
  <c r="B151" i="181"/>
  <c r="B152" i="181"/>
  <c r="B153" i="181"/>
  <c r="B154" i="181"/>
  <c r="B155" i="181"/>
  <c r="B156" i="181"/>
  <c r="B157" i="181"/>
  <c r="B158" i="181"/>
  <c r="B159" i="181"/>
  <c r="B160" i="181"/>
  <c r="B161" i="181"/>
  <c r="B162" i="181"/>
  <c r="B163" i="181"/>
  <c r="B164" i="181"/>
  <c r="B165" i="181"/>
  <c r="B166" i="181"/>
  <c r="B167" i="181"/>
  <c r="B168" i="181"/>
  <c r="B169" i="181"/>
  <c r="B170" i="181"/>
  <c r="B171" i="181"/>
  <c r="B172" i="181"/>
  <c r="B173" i="181"/>
  <c r="B174" i="181"/>
  <c r="B175" i="181"/>
  <c r="B176" i="181"/>
  <c r="B177" i="181"/>
  <c r="B178" i="181"/>
  <c r="B179" i="181"/>
  <c r="B126" i="181"/>
  <c r="B127" i="181"/>
  <c r="B128" i="181"/>
  <c r="B129" i="181"/>
  <c r="B130" i="181"/>
  <c r="B131" i="181"/>
  <c r="B132" i="181"/>
  <c r="B133" i="181"/>
  <c r="C9" i="171"/>
  <c r="C10" i="171"/>
  <c r="C11" i="171"/>
  <c r="C12" i="171"/>
  <c r="C13" i="171"/>
  <c r="C14" i="171"/>
  <c r="C15" i="171"/>
  <c r="C18" i="171"/>
  <c r="C19" i="171"/>
  <c r="C20" i="171"/>
  <c r="C21" i="171"/>
  <c r="C22" i="171"/>
  <c r="C23" i="171"/>
  <c r="C24" i="171"/>
  <c r="C25" i="171"/>
  <c r="C26" i="171"/>
  <c r="C27" i="171"/>
  <c r="C28" i="171"/>
  <c r="C29" i="171"/>
  <c r="C30" i="171"/>
  <c r="C31" i="171"/>
  <c r="C32" i="171"/>
  <c r="C33" i="171"/>
  <c r="C34" i="171"/>
  <c r="C35" i="171"/>
  <c r="C36" i="171"/>
  <c r="C38" i="171"/>
  <c r="C39" i="171"/>
  <c r="C40" i="171"/>
  <c r="C46" i="171"/>
  <c r="C47" i="171"/>
  <c r="C48" i="171"/>
  <c r="C56" i="171"/>
  <c r="C57" i="171"/>
  <c r="C58" i="171"/>
  <c r="Q16" i="184"/>
  <c r="S16" i="184" s="1" a="1"/>
  <c r="S16" i="184" s="1"/>
  <c r="R16" i="184"/>
  <c r="Q17" i="184"/>
  <c r="R17" i="184"/>
  <c r="S17" i="184" a="1"/>
  <c r="S17" i="184"/>
  <c r="Q18" i="184"/>
  <c r="S18" i="184" s="1" a="1"/>
  <c r="S18" i="184" s="1"/>
  <c r="R18" i="184"/>
  <c r="Q19" i="184"/>
  <c r="R19" i="184"/>
  <c r="S19" i="184" a="1"/>
  <c r="S19" i="184"/>
  <c r="Q20" i="184"/>
  <c r="S20" i="184" s="1" a="1"/>
  <c r="S20" i="184" s="1"/>
  <c r="R20" i="184"/>
  <c r="Q21" i="184"/>
  <c r="R21" i="184"/>
  <c r="S21" i="184" a="1"/>
  <c r="S21" i="184"/>
  <c r="Q22" i="184"/>
  <c r="S22" i="184" s="1" a="1"/>
  <c r="S22" i="184" s="1"/>
  <c r="R22" i="184"/>
  <c r="Q23" i="184"/>
  <c r="R23" i="184"/>
  <c r="S23" i="184" a="1"/>
  <c r="S23" i="184"/>
  <c r="Q24" i="184"/>
  <c r="S24" i="184" s="1" a="1"/>
  <c r="S24" i="184" s="1"/>
  <c r="R24" i="184"/>
  <c r="Q25" i="184"/>
  <c r="R25" i="184"/>
  <c r="S25" i="184" a="1"/>
  <c r="S25" i="184"/>
  <c r="Q26" i="184"/>
  <c r="S26" i="184" s="1" a="1"/>
  <c r="S26" i="184" s="1"/>
  <c r="R26" i="184"/>
  <c r="Q27" i="184"/>
  <c r="R27" i="184"/>
  <c r="S27" i="184" a="1"/>
  <c r="S27" i="184"/>
  <c r="Q28" i="184"/>
  <c r="S28" i="184" s="1" a="1"/>
  <c r="S28" i="184" s="1"/>
  <c r="R28" i="184"/>
  <c r="Q29" i="184"/>
  <c r="R29" i="184"/>
  <c r="S29" i="184" a="1"/>
  <c r="S29" i="184"/>
  <c r="Q30" i="184"/>
  <c r="S30" i="184" s="1" a="1"/>
  <c r="S30" i="184" s="1"/>
  <c r="R30" i="184"/>
  <c r="Q31" i="184"/>
  <c r="R31" i="184"/>
  <c r="S31" i="184" a="1"/>
  <c r="S31" i="184"/>
  <c r="Q32" i="184"/>
  <c r="S32" i="184" s="1" a="1"/>
  <c r="S32" i="184" s="1"/>
  <c r="R32" i="184"/>
  <c r="Q33" i="184"/>
  <c r="R33" i="184"/>
  <c r="S33" i="184" a="1"/>
  <c r="S33" i="184"/>
  <c r="Q34" i="184"/>
  <c r="S34" i="184" s="1" a="1"/>
  <c r="S34" i="184" s="1"/>
  <c r="R34" i="184"/>
  <c r="Q35" i="184"/>
  <c r="R35" i="184"/>
  <c r="S35" i="184" a="1"/>
  <c r="S35" i="184"/>
  <c r="Q36" i="184"/>
  <c r="S36" i="184" s="1" a="1"/>
  <c r="S36" i="184" s="1"/>
  <c r="R36" i="184"/>
  <c r="Q37" i="184"/>
  <c r="R37" i="184"/>
  <c r="S37" i="184" a="1"/>
  <c r="S37" i="184"/>
  <c r="Q38" i="184"/>
  <c r="S38" i="184" s="1" a="1"/>
  <c r="S38" i="184" s="1"/>
  <c r="R38" i="184"/>
  <c r="Q39" i="184"/>
  <c r="R39" i="184"/>
  <c r="S39" i="184" a="1"/>
  <c r="S39" i="184"/>
  <c r="Q40" i="184"/>
  <c r="S40" i="184" s="1" a="1"/>
  <c r="S40" i="184" s="1"/>
  <c r="R40" i="184"/>
  <c r="Q41" i="184"/>
  <c r="R41" i="184"/>
  <c r="S41" i="184" a="1"/>
  <c r="S41" i="184"/>
  <c r="Q42" i="184"/>
  <c r="S42" i="184" s="1" a="1"/>
  <c r="S42" i="184" s="1"/>
  <c r="R42" i="184"/>
  <c r="Q43" i="184"/>
  <c r="R43" i="184"/>
  <c r="S43" i="184" a="1"/>
  <c r="S43" i="184"/>
  <c r="Q44" i="184"/>
  <c r="S44" i="184" s="1" a="1"/>
  <c r="S44" i="184" s="1"/>
  <c r="R44" i="184"/>
  <c r="Q45" i="184"/>
  <c r="R45" i="184"/>
  <c r="S45" i="184" a="1"/>
  <c r="S45" i="184"/>
  <c r="Q46" i="184"/>
  <c r="S46" i="184" s="1" a="1"/>
  <c r="S46" i="184" s="1"/>
  <c r="R46" i="184"/>
  <c r="Q47" i="184"/>
  <c r="R47" i="184"/>
  <c r="S47" i="184" a="1"/>
  <c r="S47" i="184"/>
  <c r="Q48" i="184"/>
  <c r="S48" i="184" s="1" a="1"/>
  <c r="S48" i="184" s="1"/>
  <c r="R48" i="184"/>
  <c r="Q49" i="184"/>
  <c r="R49" i="184"/>
  <c r="S49" i="184" a="1"/>
  <c r="S49" i="184"/>
  <c r="Q50" i="184"/>
  <c r="S50" i="184" s="1" a="1"/>
  <c r="S50" i="184" s="1"/>
  <c r="R50" i="184"/>
  <c r="Q51" i="184"/>
  <c r="R51" i="184"/>
  <c r="S51" i="184" a="1"/>
  <c r="S51" i="184"/>
  <c r="Q52" i="184"/>
  <c r="S52" i="184" s="1" a="1"/>
  <c r="S52" i="184" s="1"/>
  <c r="R52" i="184"/>
  <c r="Q53" i="184"/>
  <c r="R53" i="184"/>
  <c r="S53" i="184" a="1"/>
  <c r="S53" i="184"/>
  <c r="Q54" i="184"/>
  <c r="S54" i="184" s="1" a="1"/>
  <c r="S54" i="184" s="1"/>
  <c r="R54" i="184"/>
  <c r="Q55" i="184"/>
  <c r="R55" i="184"/>
  <c r="S55" i="184" a="1"/>
  <c r="S55" i="184"/>
  <c r="Q56" i="184"/>
  <c r="S56" i="184" s="1" a="1"/>
  <c r="S56" i="184" s="1"/>
  <c r="R56" i="184"/>
  <c r="Q57" i="184"/>
  <c r="R57" i="184"/>
  <c r="S57" i="184" a="1"/>
  <c r="S57" i="184"/>
  <c r="Q58" i="184"/>
  <c r="S58" i="184" s="1" a="1"/>
  <c r="S58" i="184" s="1"/>
  <c r="R58" i="184"/>
  <c r="Q59" i="184"/>
  <c r="R59" i="184"/>
  <c r="S59" i="184" a="1"/>
  <c r="S59" i="184"/>
  <c r="Q60" i="184"/>
  <c r="S60" i="184" s="1" a="1"/>
  <c r="S60" i="184" s="1"/>
  <c r="R60" i="184"/>
  <c r="Q61" i="184"/>
  <c r="R61" i="184"/>
  <c r="S61" i="184" a="1"/>
  <c r="S61" i="184"/>
  <c r="Q62" i="184"/>
  <c r="S62" i="184" s="1" a="1"/>
  <c r="S62" i="184" s="1"/>
  <c r="R62" i="184"/>
  <c r="Q63" i="184"/>
  <c r="R63" i="184"/>
  <c r="S63" i="184" a="1"/>
  <c r="S63" i="184"/>
  <c r="Q64" i="184"/>
  <c r="S64" i="184" s="1" a="1"/>
  <c r="S64" i="184" s="1"/>
  <c r="R64" i="184"/>
  <c r="Q65" i="184"/>
  <c r="R65" i="184"/>
  <c r="S65" i="184" a="1"/>
  <c r="S65" i="184"/>
  <c r="Q66" i="184"/>
  <c r="S66" i="184" s="1" a="1"/>
  <c r="S66" i="184" s="1"/>
  <c r="R66" i="184"/>
  <c r="Q67" i="184"/>
  <c r="R67" i="184"/>
  <c r="S67" i="184" a="1"/>
  <c r="S67" i="184"/>
  <c r="Q68" i="184"/>
  <c r="S68" i="184" s="1" a="1"/>
  <c r="S68" i="184" s="1"/>
  <c r="R68" i="184"/>
  <c r="Q69" i="184"/>
  <c r="R69" i="184"/>
  <c r="S69" i="184" a="1"/>
  <c r="S69" i="184"/>
  <c r="Q70" i="184"/>
  <c r="S70" i="184" s="1" a="1"/>
  <c r="S70" i="184" s="1"/>
  <c r="R70" i="184"/>
  <c r="Q71" i="184"/>
  <c r="R71" i="184"/>
  <c r="S71" i="184" a="1"/>
  <c r="S71" i="184"/>
  <c r="Q72" i="184"/>
  <c r="S72" i="184" s="1" a="1"/>
  <c r="S72" i="184" s="1"/>
  <c r="R72" i="184"/>
  <c r="Q73" i="184"/>
  <c r="R73" i="184"/>
  <c r="S73" i="184" a="1"/>
  <c r="S73" i="184"/>
  <c r="Q74" i="184"/>
  <c r="S74" i="184" s="1" a="1"/>
  <c r="S74" i="184" s="1"/>
  <c r="R74" i="184"/>
  <c r="Q75" i="184"/>
  <c r="R75" i="184"/>
  <c r="S75" i="184" a="1"/>
  <c r="S75" i="184"/>
  <c r="Q76" i="184"/>
  <c r="S76" i="184" s="1" a="1"/>
  <c r="S76" i="184" s="1"/>
  <c r="R76" i="184"/>
  <c r="Q77" i="184"/>
  <c r="R77" i="184"/>
  <c r="S77" i="184" a="1"/>
  <c r="S77" i="184"/>
  <c r="Q78" i="184"/>
  <c r="S78" i="184" s="1" a="1"/>
  <c r="S78" i="184" s="1"/>
  <c r="R78" i="184"/>
  <c r="Q79" i="184"/>
  <c r="R79" i="184"/>
  <c r="S79" i="184" a="1"/>
  <c r="S79" i="184"/>
  <c r="Q80" i="184"/>
  <c r="S80" i="184" s="1" a="1"/>
  <c r="S80" i="184" s="1"/>
  <c r="R80" i="184"/>
  <c r="Q81" i="184"/>
  <c r="R81" i="184"/>
  <c r="S81" i="184" a="1"/>
  <c r="S81" i="184"/>
  <c r="Q82" i="184"/>
  <c r="S82" i="184" s="1" a="1"/>
  <c r="S82" i="184" s="1"/>
  <c r="R82" i="184"/>
  <c r="Q83" i="184"/>
  <c r="R83" i="184"/>
  <c r="S83" i="184" a="1"/>
  <c r="S83" i="184"/>
  <c r="Q84" i="184"/>
  <c r="S84" i="184" s="1" a="1"/>
  <c r="S84" i="184" s="1"/>
  <c r="R84" i="184"/>
  <c r="Q85" i="184"/>
  <c r="R85" i="184"/>
  <c r="S85" i="184" a="1"/>
  <c r="S85" i="184"/>
  <c r="Q86" i="184"/>
  <c r="S86" i="184" s="1" a="1"/>
  <c r="S86" i="184" s="1"/>
  <c r="R86" i="184"/>
  <c r="Q87" i="184"/>
  <c r="R87" i="184"/>
  <c r="S87" i="184" a="1"/>
  <c r="S87" i="184"/>
  <c r="Q88" i="184"/>
  <c r="S88" i="184" s="1" a="1"/>
  <c r="S88" i="184" s="1"/>
  <c r="R88" i="184"/>
  <c r="Q89" i="184"/>
  <c r="R89" i="184"/>
  <c r="S89" i="184" a="1"/>
  <c r="S89" i="184"/>
  <c r="Q90" i="184"/>
  <c r="S90" i="184" s="1" a="1"/>
  <c r="S90" i="184" s="1"/>
  <c r="R90" i="184"/>
  <c r="Q91" i="184"/>
  <c r="R91" i="184"/>
  <c r="S91" i="184" a="1"/>
  <c r="S91" i="184"/>
  <c r="Q92" i="184"/>
  <c r="S92" i="184" s="1" a="1"/>
  <c r="S92" i="184" s="1"/>
  <c r="R92" i="184"/>
  <c r="Q93" i="184"/>
  <c r="R93" i="184"/>
  <c r="S93" i="184" a="1"/>
  <c r="S93" i="184"/>
  <c r="Q94" i="184"/>
  <c r="S94" i="184" s="1" a="1"/>
  <c r="S94" i="184" s="1"/>
  <c r="R94" i="184"/>
  <c r="Q95" i="184"/>
  <c r="R95" i="184"/>
  <c r="S95" i="184" a="1"/>
  <c r="S95" i="184"/>
  <c r="Q96" i="184"/>
  <c r="S96" i="184" s="1" a="1"/>
  <c r="S96" i="184" s="1"/>
  <c r="R96" i="184"/>
  <c r="Q97" i="184"/>
  <c r="R97" i="184"/>
  <c r="S97" i="184" a="1"/>
  <c r="S97" i="184"/>
  <c r="Q98" i="184"/>
  <c r="S98" i="184" s="1" a="1"/>
  <c r="S98" i="184" s="1"/>
  <c r="R98" i="184"/>
  <c r="Q99" i="184"/>
  <c r="R99" i="184"/>
  <c r="S99" i="184" a="1"/>
  <c r="S99" i="184"/>
  <c r="Q100" i="184"/>
  <c r="S100" i="184" s="1" a="1"/>
  <c r="S100" i="184" s="1"/>
  <c r="R100" i="184"/>
  <c r="Q101" i="184"/>
  <c r="R101" i="184"/>
  <c r="S101" i="184" a="1"/>
  <c r="S101" i="184"/>
  <c r="Q102" i="184"/>
  <c r="S102" i="184" s="1" a="1"/>
  <c r="S102" i="184" s="1"/>
  <c r="R102" i="184"/>
  <c r="Q103" i="184"/>
  <c r="R103" i="184"/>
  <c r="S103" i="184" a="1"/>
  <c r="S103" i="184"/>
  <c r="Q104" i="184"/>
  <c r="S104" i="184" s="1" a="1"/>
  <c r="S104" i="184" s="1"/>
  <c r="R104" i="184"/>
  <c r="Q105" i="184"/>
  <c r="R105" i="184"/>
  <c r="S105" i="184" a="1"/>
  <c r="S105" i="184"/>
  <c r="Q106" i="184"/>
  <c r="S106" i="184" s="1" a="1"/>
  <c r="S106" i="184" s="1"/>
  <c r="R106" i="184"/>
  <c r="Q107" i="184"/>
  <c r="R107" i="184"/>
  <c r="S107" i="184" a="1"/>
  <c r="S107" i="184"/>
  <c r="Q108" i="184"/>
  <c r="S108" i="184" s="1" a="1"/>
  <c r="S108" i="184" s="1"/>
  <c r="R108" i="184"/>
  <c r="Q109" i="184"/>
  <c r="R109" i="184"/>
  <c r="S109" i="184" a="1"/>
  <c r="S109" i="184"/>
  <c r="Q110" i="184"/>
  <c r="S110" i="184" s="1" a="1"/>
  <c r="S110" i="184" s="1"/>
  <c r="R110" i="184"/>
  <c r="Q111" i="184"/>
  <c r="R111" i="184"/>
  <c r="S111" i="184" a="1"/>
  <c r="S111" i="184"/>
  <c r="Q112" i="184"/>
  <c r="S112" i="184" s="1" a="1"/>
  <c r="S112" i="184" s="1"/>
  <c r="R112" i="184"/>
  <c r="Q113" i="184"/>
  <c r="R113" i="184"/>
  <c r="S113" i="184" a="1"/>
  <c r="S113" i="184"/>
  <c r="Q114" i="184"/>
  <c r="S114" i="184" s="1" a="1"/>
  <c r="S114" i="184" s="1"/>
  <c r="R114" i="184"/>
  <c r="Q115" i="184"/>
  <c r="R115" i="184"/>
  <c r="S115" i="184" a="1"/>
  <c r="S115" i="184"/>
  <c r="Q116" i="184"/>
  <c r="S116" i="184" s="1" a="1"/>
  <c r="S116" i="184" s="1"/>
  <c r="R116" i="184"/>
  <c r="Q117" i="184"/>
  <c r="R117" i="184"/>
  <c r="S117" i="184" a="1"/>
  <c r="S117" i="184"/>
  <c r="Q118" i="184"/>
  <c r="S118" i="184" s="1" a="1"/>
  <c r="S118" i="184" s="1"/>
  <c r="R118" i="184"/>
  <c r="Q119" i="184"/>
  <c r="R119" i="184"/>
  <c r="S119" i="184" a="1"/>
  <c r="S119" i="184"/>
  <c r="Q120" i="184"/>
  <c r="S120" i="184" s="1" a="1"/>
  <c r="S120" i="184" s="1"/>
  <c r="R120" i="184"/>
  <c r="Q121" i="184"/>
  <c r="R121" i="184"/>
  <c r="S121" i="184" a="1"/>
  <c r="S121" i="184"/>
  <c r="Q122" i="184"/>
  <c r="S122" i="184" s="1" a="1"/>
  <c r="S122" i="184" s="1"/>
  <c r="R122" i="184"/>
  <c r="Q123" i="184"/>
  <c r="R123" i="184"/>
  <c r="S123" i="184" a="1"/>
  <c r="S123" i="184"/>
  <c r="Q124" i="184"/>
  <c r="S124" i="184" s="1" a="1"/>
  <c r="S124" i="184" s="1"/>
  <c r="R124" i="184"/>
  <c r="Q125" i="184"/>
  <c r="R125" i="184"/>
  <c r="S125" i="184" a="1"/>
  <c r="S125" i="184"/>
  <c r="Q126" i="184"/>
  <c r="S126" i="184" s="1" a="1"/>
  <c r="S126" i="184" s="1"/>
  <c r="R126" i="184"/>
  <c r="Q127" i="184"/>
  <c r="R127" i="184"/>
  <c r="S127" i="184" a="1"/>
  <c r="S127" i="184"/>
  <c r="Q128" i="184"/>
  <c r="S128" i="184" s="1" a="1"/>
  <c r="S128" i="184" s="1"/>
  <c r="R128" i="184"/>
  <c r="Q129" i="184"/>
  <c r="R129" i="184"/>
  <c r="S129" i="184" a="1"/>
  <c r="S129" i="184"/>
  <c r="Q130" i="184"/>
  <c r="S130" i="184" s="1" a="1"/>
  <c r="S130" i="184" s="1"/>
  <c r="R130" i="184"/>
  <c r="Q131" i="184"/>
  <c r="R131" i="184"/>
  <c r="S131" i="184" a="1"/>
  <c r="S131" i="184"/>
  <c r="Q132" i="184"/>
  <c r="S132" i="184" s="1" a="1"/>
  <c r="S132" i="184" s="1"/>
  <c r="R132" i="184"/>
  <c r="Q133" i="184"/>
  <c r="R133" i="184"/>
  <c r="S133" i="184" a="1"/>
  <c r="S133" i="184"/>
  <c r="Q134" i="184"/>
  <c r="S134" i="184" s="1" a="1"/>
  <c r="S134" i="184" s="1"/>
  <c r="R134" i="184"/>
  <c r="Q135" i="184"/>
  <c r="R135" i="184"/>
  <c r="S135" i="184" a="1"/>
  <c r="S135" i="184"/>
  <c r="Q136" i="184"/>
  <c r="S136" i="184" s="1" a="1"/>
  <c r="S136" i="184" s="1"/>
  <c r="R136" i="184"/>
  <c r="Q137" i="184"/>
  <c r="R137" i="184"/>
  <c r="S137" i="184" a="1"/>
  <c r="S137" i="184"/>
  <c r="Q138" i="184"/>
  <c r="S138" i="184" s="1" a="1"/>
  <c r="S138" i="184" s="1"/>
  <c r="R138" i="184"/>
  <c r="Q139" i="184"/>
  <c r="R139" i="184"/>
  <c r="S139" i="184" a="1"/>
  <c r="S139" i="184"/>
  <c r="Q140" i="184"/>
  <c r="S140" i="184" s="1" a="1"/>
  <c r="S140" i="184" s="1"/>
  <c r="R140" i="184"/>
  <c r="Q141" i="184"/>
  <c r="R141" i="184"/>
  <c r="S141" i="184" a="1"/>
  <c r="S141" i="184"/>
  <c r="Q142" i="184"/>
  <c r="S142" i="184" s="1" a="1"/>
  <c r="S142" i="184" s="1"/>
  <c r="R142" i="184"/>
  <c r="Q143" i="184"/>
  <c r="R143" i="184"/>
  <c r="S143" i="184" a="1"/>
  <c r="S143" i="184"/>
  <c r="Q144" i="184"/>
  <c r="S144" i="184" s="1" a="1"/>
  <c r="S144" i="184" s="1"/>
  <c r="R144" i="184"/>
  <c r="Q145" i="184"/>
  <c r="R145" i="184"/>
  <c r="S145" i="184" a="1"/>
  <c r="S145" i="184"/>
  <c r="Q146" i="184"/>
  <c r="S146" i="184" s="1" a="1"/>
  <c r="S146" i="184" s="1"/>
  <c r="R146" i="184"/>
  <c r="Q147" i="184"/>
  <c r="R147" i="184"/>
  <c r="S147" i="184" a="1"/>
  <c r="S147" i="184"/>
  <c r="Q148" i="184"/>
  <c r="S148" i="184" s="1" a="1"/>
  <c r="S148" i="184" s="1"/>
  <c r="R148" i="184"/>
  <c r="Q149" i="184"/>
  <c r="R149" i="184"/>
  <c r="S149" i="184" a="1"/>
  <c r="S149" i="184"/>
  <c r="Q150" i="184"/>
  <c r="S150" i="184" s="1" a="1"/>
  <c r="S150" i="184" s="1"/>
  <c r="R150" i="184"/>
  <c r="Q151" i="184"/>
  <c r="R151" i="184"/>
  <c r="S151" i="184" a="1"/>
  <c r="S151" i="184"/>
  <c r="Q152" i="184"/>
  <c r="S152" i="184" s="1" a="1"/>
  <c r="S152" i="184" s="1"/>
  <c r="R152" i="184"/>
  <c r="Q153" i="184"/>
  <c r="R153" i="184"/>
  <c r="S153" i="184" a="1"/>
  <c r="S153" i="184"/>
  <c r="Q154" i="184"/>
  <c r="S154" i="184" s="1" a="1"/>
  <c r="S154" i="184" s="1"/>
  <c r="R154" i="184"/>
  <c r="Q155" i="184"/>
  <c r="R155" i="184"/>
  <c r="S155" i="184" a="1"/>
  <c r="S155" i="184"/>
  <c r="Q156" i="184"/>
  <c r="S156" i="184" s="1" a="1"/>
  <c r="S156" i="184" s="1"/>
  <c r="R156" i="184"/>
  <c r="Q157" i="184"/>
  <c r="R157" i="184"/>
  <c r="S157" i="184" a="1"/>
  <c r="S157" i="184"/>
  <c r="Q158" i="184"/>
  <c r="S158" i="184" s="1" a="1"/>
  <c r="S158" i="184" s="1"/>
  <c r="R158" i="184"/>
  <c r="Q159" i="184"/>
  <c r="R159" i="184"/>
  <c r="S159" i="184" a="1"/>
  <c r="S159" i="184"/>
  <c r="Q160" i="184"/>
  <c r="S160" i="184" s="1" a="1"/>
  <c r="S160" i="184" s="1"/>
  <c r="R160" i="184"/>
  <c r="Q161" i="184"/>
  <c r="R161" i="184"/>
  <c r="S161" i="184" a="1"/>
  <c r="S161" i="184"/>
  <c r="B16" i="184"/>
  <c r="C16" i="184"/>
  <c r="B17" i="184"/>
  <c r="C17" i="184"/>
  <c r="B18" i="184"/>
  <c r="C18" i="184"/>
  <c r="J18" i="184" s="1"/>
  <c r="B19" i="184"/>
  <c r="C19" i="184"/>
  <c r="B20" i="184"/>
  <c r="C20" i="184"/>
  <c r="B21" i="184"/>
  <c r="C21" i="184"/>
  <c r="B22" i="184"/>
  <c r="C22" i="184"/>
  <c r="J22" i="184" s="1"/>
  <c r="B23" i="184"/>
  <c r="C23" i="184"/>
  <c r="B24" i="184"/>
  <c r="C24" i="184"/>
  <c r="B25" i="184"/>
  <c r="C25" i="184"/>
  <c r="B26" i="184"/>
  <c r="C26" i="184"/>
  <c r="J26" i="184" s="1"/>
  <c r="B27" i="184"/>
  <c r="C27" i="184"/>
  <c r="B28" i="184"/>
  <c r="C28" i="184"/>
  <c r="B29" i="184"/>
  <c r="C29" i="184"/>
  <c r="B30" i="184"/>
  <c r="C30" i="184"/>
  <c r="J30" i="184" s="1"/>
  <c r="B31" i="184"/>
  <c r="C31" i="184"/>
  <c r="B32" i="184"/>
  <c r="C32" i="184"/>
  <c r="B33" i="184"/>
  <c r="C33" i="184"/>
  <c r="B34" i="184"/>
  <c r="C34" i="184"/>
  <c r="J34" i="184" s="1"/>
  <c r="B35" i="184"/>
  <c r="C35" i="184"/>
  <c r="Q120" i="180"/>
  <c r="R120" i="180"/>
  <c r="Q121" i="180"/>
  <c r="R121" i="180"/>
  <c r="S121" i="180" s="1" a="1"/>
  <c r="S121" i="180" s="1"/>
  <c r="B125" i="181" s="1"/>
  <c r="Q105" i="180"/>
  <c r="S105" i="180" s="1" a="1"/>
  <c r="S105" i="180" s="1"/>
  <c r="B109" i="181" s="1"/>
  <c r="R105" i="180"/>
  <c r="Q106" i="180"/>
  <c r="R106" i="180"/>
  <c r="S106" i="180" a="1"/>
  <c r="S106" i="180" s="1"/>
  <c r="B110" i="181" s="1"/>
  <c r="Q107" i="180"/>
  <c r="R107" i="180"/>
  <c r="Q108" i="180"/>
  <c r="R108" i="180"/>
  <c r="S108" i="180" a="1"/>
  <c r="S108" i="180" s="1"/>
  <c r="B112" i="181" s="1"/>
  <c r="Q109" i="180"/>
  <c r="R109" i="180"/>
  <c r="Q110" i="180"/>
  <c r="R110" i="180"/>
  <c r="Q111" i="180"/>
  <c r="S111" i="180" s="1" a="1"/>
  <c r="S111" i="180" s="1"/>
  <c r="B115" i="181" s="1"/>
  <c r="R111" i="180"/>
  <c r="Q112" i="180"/>
  <c r="R112" i="180"/>
  <c r="S112" i="180" a="1"/>
  <c r="S112" i="180" s="1"/>
  <c r="B116" i="181" s="1"/>
  <c r="Q113" i="180"/>
  <c r="R113" i="180"/>
  <c r="Q114" i="180"/>
  <c r="R114" i="180"/>
  <c r="S114" i="180" a="1"/>
  <c r="S114" i="180" s="1"/>
  <c r="B118" i="181" s="1"/>
  <c r="Q115" i="180"/>
  <c r="R115" i="180"/>
  <c r="Q116" i="180"/>
  <c r="R116" i="180"/>
  <c r="Q117" i="180"/>
  <c r="S117" i="180" s="1" a="1"/>
  <c r="S117" i="180" s="1"/>
  <c r="B121" i="181" s="1"/>
  <c r="R117" i="180"/>
  <c r="Q118" i="180"/>
  <c r="R118" i="180"/>
  <c r="S118" i="180" a="1"/>
  <c r="S118" i="180"/>
  <c r="B122" i="181" s="1"/>
  <c r="Q119" i="180"/>
  <c r="R119" i="180"/>
  <c r="Q85" i="180"/>
  <c r="S85" i="180" s="1" a="1"/>
  <c r="S85" i="180" s="1"/>
  <c r="B89" i="181" s="1"/>
  <c r="R85" i="180"/>
  <c r="Q86" i="180"/>
  <c r="S86" i="180" s="1" a="1"/>
  <c r="S86" i="180" s="1"/>
  <c r="B90" i="181" s="1"/>
  <c r="R86" i="180"/>
  <c r="Q87" i="180"/>
  <c r="S87" i="180" s="1" a="1"/>
  <c r="S87" i="180" s="1"/>
  <c r="B91" i="181" s="1"/>
  <c r="R87" i="180"/>
  <c r="Q88" i="180"/>
  <c r="S88" i="180" s="1" a="1"/>
  <c r="S88" i="180" s="1"/>
  <c r="B92" i="181" s="1"/>
  <c r="R88" i="180"/>
  <c r="Q89" i="180"/>
  <c r="S89" i="180" s="1" a="1"/>
  <c r="S89" i="180" s="1"/>
  <c r="B93" i="181" s="1"/>
  <c r="R89" i="180"/>
  <c r="Q90" i="180"/>
  <c r="S90" i="180" s="1" a="1"/>
  <c r="S90" i="180" s="1"/>
  <c r="B94" i="181" s="1"/>
  <c r="R90" i="180"/>
  <c r="Q91" i="180"/>
  <c r="S91" i="180" s="1" a="1"/>
  <c r="S91" i="180" s="1"/>
  <c r="B95" i="181" s="1"/>
  <c r="R91" i="180"/>
  <c r="Q92" i="180"/>
  <c r="S92" i="180" s="1" a="1"/>
  <c r="S92" i="180" s="1"/>
  <c r="B96" i="181" s="1"/>
  <c r="R92" i="180"/>
  <c r="Q93" i="180"/>
  <c r="S93" i="180" s="1" a="1"/>
  <c r="S93" i="180" s="1"/>
  <c r="B97" i="181" s="1"/>
  <c r="R93" i="180"/>
  <c r="Q94" i="180"/>
  <c r="R94" i="180"/>
  <c r="Q95" i="180"/>
  <c r="S95" i="180" s="1" a="1"/>
  <c r="S95" i="180" s="1"/>
  <c r="B99" i="181" s="1"/>
  <c r="R95" i="180"/>
  <c r="Q96" i="180"/>
  <c r="R96" i="180"/>
  <c r="Q97" i="180"/>
  <c r="S97" i="180" s="1" a="1"/>
  <c r="S97" i="180" s="1"/>
  <c r="B101" i="181" s="1"/>
  <c r="R97" i="180"/>
  <c r="Q98" i="180"/>
  <c r="R98" i="180"/>
  <c r="Q99" i="180"/>
  <c r="S99" i="180" s="1" a="1"/>
  <c r="S99" i="180" s="1"/>
  <c r="B103" i="181" s="1"/>
  <c r="R99" i="180"/>
  <c r="Q100" i="180"/>
  <c r="S100" i="180" s="1" a="1"/>
  <c r="S100" i="180" s="1"/>
  <c r="B104" i="181" s="1"/>
  <c r="R100" i="180"/>
  <c r="Q101" i="180"/>
  <c r="S101" i="180" s="1" a="1"/>
  <c r="S101" i="180" s="1"/>
  <c r="B105" i="181" s="1"/>
  <c r="R101" i="180"/>
  <c r="Q102" i="180"/>
  <c r="S102" i="180" s="1" a="1"/>
  <c r="S102" i="180" s="1"/>
  <c r="B106" i="181" s="1"/>
  <c r="R102" i="180"/>
  <c r="Q103" i="180"/>
  <c r="S103" i="180" s="1" a="1"/>
  <c r="S103" i="180" s="1"/>
  <c r="B107" i="181" s="1"/>
  <c r="R103" i="180"/>
  <c r="Q104" i="180"/>
  <c r="R104" i="180"/>
  <c r="Q60" i="180"/>
  <c r="S60" i="180" s="1" a="1"/>
  <c r="S60" i="180" s="1"/>
  <c r="B64" i="181" s="1"/>
  <c r="R60" i="180"/>
  <c r="Q61" i="180"/>
  <c r="R61" i="180"/>
  <c r="S61" i="180" s="1" a="1"/>
  <c r="S61" i="180" s="1"/>
  <c r="B65" i="181" s="1"/>
  <c r="Q62" i="180"/>
  <c r="S62" i="180" s="1" a="1"/>
  <c r="S62" i="180" s="1"/>
  <c r="B66" i="181" s="1"/>
  <c r="R62" i="180"/>
  <c r="Q63" i="180"/>
  <c r="R63" i="180"/>
  <c r="S63" i="180" s="1" a="1"/>
  <c r="S63" i="180" s="1"/>
  <c r="B67" i="181" s="1"/>
  <c r="Q64" i="180"/>
  <c r="S64" i="180" s="1" a="1"/>
  <c r="S64" i="180" s="1"/>
  <c r="B68" i="181" s="1"/>
  <c r="R64" i="180"/>
  <c r="Q65" i="180"/>
  <c r="R65" i="180"/>
  <c r="S65" i="180" s="1" a="1"/>
  <c r="S65" i="180" s="1"/>
  <c r="B69" i="181" s="1"/>
  <c r="Q66" i="180"/>
  <c r="S66" i="180" s="1" a="1"/>
  <c r="S66" i="180" s="1"/>
  <c r="B70" i="181" s="1"/>
  <c r="R66" i="180"/>
  <c r="Q67" i="180"/>
  <c r="R67" i="180"/>
  <c r="S67" i="180" s="1" a="1"/>
  <c r="S67" i="180" s="1"/>
  <c r="B71" i="181" s="1"/>
  <c r="Q68" i="180"/>
  <c r="S68" i="180" s="1" a="1"/>
  <c r="S68" i="180" s="1"/>
  <c r="B72" i="181" s="1"/>
  <c r="R68" i="180"/>
  <c r="Q69" i="180"/>
  <c r="R69" i="180"/>
  <c r="S69" i="180" s="1" a="1"/>
  <c r="S69" i="180" s="1"/>
  <c r="B73" i="181" s="1"/>
  <c r="Q70" i="180"/>
  <c r="S70" i="180" s="1" a="1"/>
  <c r="S70" i="180" s="1"/>
  <c r="B74" i="181" s="1"/>
  <c r="R70" i="180"/>
  <c r="Q71" i="180"/>
  <c r="R71" i="180"/>
  <c r="S71" i="180" s="1" a="1"/>
  <c r="S71" i="180" s="1"/>
  <c r="B75" i="181" s="1"/>
  <c r="Q72" i="180"/>
  <c r="S72" i="180" s="1" a="1"/>
  <c r="S72" i="180" s="1"/>
  <c r="B76" i="181" s="1"/>
  <c r="R72" i="180"/>
  <c r="Q73" i="180"/>
  <c r="R73" i="180"/>
  <c r="S73" i="180" s="1" a="1"/>
  <c r="S73" i="180" s="1"/>
  <c r="B77" i="181" s="1"/>
  <c r="Q74" i="180"/>
  <c r="S74" i="180" s="1" a="1"/>
  <c r="S74" i="180" s="1"/>
  <c r="B78" i="181" s="1"/>
  <c r="R74" i="180"/>
  <c r="Q75" i="180"/>
  <c r="R75" i="180"/>
  <c r="S75" i="180" s="1" a="1"/>
  <c r="S75" i="180" s="1"/>
  <c r="B79" i="181" s="1"/>
  <c r="Q76" i="180"/>
  <c r="S76" i="180" s="1" a="1"/>
  <c r="S76" i="180" s="1"/>
  <c r="B80" i="181" s="1"/>
  <c r="R76" i="180"/>
  <c r="Q77" i="180"/>
  <c r="R77" i="180"/>
  <c r="S77" i="180" s="1" a="1"/>
  <c r="S77" i="180" s="1"/>
  <c r="B81" i="181" s="1"/>
  <c r="Q78" i="180"/>
  <c r="S78" i="180" s="1" a="1"/>
  <c r="S78" i="180" s="1"/>
  <c r="B82" i="181" s="1"/>
  <c r="R78" i="180"/>
  <c r="Q79" i="180"/>
  <c r="R79" i="180"/>
  <c r="S79" i="180" s="1" a="1"/>
  <c r="S79" i="180" s="1"/>
  <c r="B83" i="181" s="1"/>
  <c r="Q80" i="180"/>
  <c r="S80" i="180" s="1" a="1"/>
  <c r="S80" i="180" s="1"/>
  <c r="B84" i="181" s="1"/>
  <c r="R80" i="180"/>
  <c r="Q81" i="180"/>
  <c r="R81" i="180"/>
  <c r="S81" i="180" s="1" a="1"/>
  <c r="S81" i="180" s="1"/>
  <c r="B85" i="181" s="1"/>
  <c r="Q82" i="180"/>
  <c r="S82" i="180" s="1" a="1"/>
  <c r="S82" i="180" s="1"/>
  <c r="B86" i="181" s="1"/>
  <c r="R82" i="180"/>
  <c r="Q83" i="180"/>
  <c r="R83" i="180"/>
  <c r="S83" i="180" s="1" a="1"/>
  <c r="S83" i="180" s="1"/>
  <c r="B87" i="181" s="1"/>
  <c r="Q84" i="180"/>
  <c r="S84" i="180" s="1" a="1"/>
  <c r="S84" i="180" s="1"/>
  <c r="B88" i="181" s="1"/>
  <c r="R84" i="180"/>
  <c r="Q38" i="180"/>
  <c r="S38" i="180" s="1" a="1"/>
  <c r="S38" i="180" s="1"/>
  <c r="B42" i="181" s="1"/>
  <c r="R38" i="180"/>
  <c r="Q39" i="180"/>
  <c r="S39" i="180" s="1" a="1"/>
  <c r="S39" i="180" s="1"/>
  <c r="B43" i="181" s="1"/>
  <c r="R39" i="180"/>
  <c r="Q40" i="180"/>
  <c r="S40" i="180" s="1" a="1"/>
  <c r="S40" i="180" s="1"/>
  <c r="B44" i="181" s="1"/>
  <c r="R40" i="180"/>
  <c r="Q41" i="180"/>
  <c r="S41" i="180" s="1" a="1"/>
  <c r="S41" i="180" s="1"/>
  <c r="B45" i="181" s="1"/>
  <c r="R41" i="180"/>
  <c r="Q42" i="180"/>
  <c r="S42" i="180" s="1" a="1"/>
  <c r="S42" i="180" s="1"/>
  <c r="B46" i="181" s="1"/>
  <c r="R42" i="180"/>
  <c r="Q43" i="180"/>
  <c r="S43" i="180" s="1" a="1"/>
  <c r="S43" i="180" s="1"/>
  <c r="B47" i="181" s="1"/>
  <c r="R43" i="180"/>
  <c r="Q44" i="180"/>
  <c r="S44" i="180" s="1" a="1"/>
  <c r="S44" i="180" s="1"/>
  <c r="B48" i="181" s="1"/>
  <c r="R44" i="180"/>
  <c r="Q45" i="180"/>
  <c r="S45" i="180" s="1" a="1"/>
  <c r="S45" i="180" s="1"/>
  <c r="B49" i="181" s="1"/>
  <c r="R45" i="180"/>
  <c r="Q46" i="180"/>
  <c r="S46" i="180" s="1" a="1"/>
  <c r="S46" i="180" s="1"/>
  <c r="B50" i="181" s="1"/>
  <c r="R46" i="180"/>
  <c r="Q47" i="180"/>
  <c r="S47" i="180" s="1" a="1"/>
  <c r="S47" i="180" s="1"/>
  <c r="B51" i="181" s="1"/>
  <c r="R47" i="180"/>
  <c r="Q48" i="180"/>
  <c r="S48" i="180" s="1" a="1"/>
  <c r="S48" i="180" s="1"/>
  <c r="B52" i="181" s="1"/>
  <c r="R48" i="180"/>
  <c r="Q49" i="180"/>
  <c r="S49" i="180" s="1" a="1"/>
  <c r="S49" i="180" s="1"/>
  <c r="B53" i="181" s="1"/>
  <c r="R49" i="180"/>
  <c r="Q50" i="180"/>
  <c r="S50" i="180" s="1" a="1"/>
  <c r="S50" i="180" s="1"/>
  <c r="B54" i="181" s="1"/>
  <c r="R50" i="180"/>
  <c r="Q51" i="180"/>
  <c r="S51" i="180" s="1" a="1"/>
  <c r="S51" i="180" s="1"/>
  <c r="B55" i="181" s="1"/>
  <c r="R51" i="180"/>
  <c r="Q52" i="180"/>
  <c r="S52" i="180" s="1" a="1"/>
  <c r="S52" i="180" s="1"/>
  <c r="B56" i="181" s="1"/>
  <c r="R52" i="180"/>
  <c r="Q53" i="180"/>
  <c r="S53" i="180" s="1" a="1"/>
  <c r="S53" i="180" s="1"/>
  <c r="B57" i="181" s="1"/>
  <c r="R53" i="180"/>
  <c r="Q54" i="180"/>
  <c r="S54" i="180" s="1" a="1"/>
  <c r="S54" i="180" s="1"/>
  <c r="B58" i="181" s="1"/>
  <c r="R54" i="180"/>
  <c r="Q55" i="180"/>
  <c r="S55" i="180" s="1" a="1"/>
  <c r="S55" i="180" s="1"/>
  <c r="B59" i="181" s="1"/>
  <c r="R55" i="180"/>
  <c r="Q56" i="180"/>
  <c r="S56" i="180" s="1" a="1"/>
  <c r="S56" i="180" s="1"/>
  <c r="B60" i="181" s="1"/>
  <c r="R56" i="180"/>
  <c r="Q57" i="180"/>
  <c r="S57" i="180" s="1" a="1"/>
  <c r="S57" i="180" s="1"/>
  <c r="B61" i="181" s="1"/>
  <c r="R57" i="180"/>
  <c r="Q58" i="180"/>
  <c r="S58" i="180" s="1" a="1"/>
  <c r="S58" i="180" s="1"/>
  <c r="B62" i="181" s="1"/>
  <c r="R58" i="180"/>
  <c r="Q59" i="180"/>
  <c r="S59" i="180" s="1" a="1"/>
  <c r="S59" i="180" s="1"/>
  <c r="B63" i="181" s="1"/>
  <c r="R59" i="180"/>
  <c r="Q16" i="180"/>
  <c r="S16" i="180" s="1" a="1"/>
  <c r="S16" i="180" s="1"/>
  <c r="B20" i="181" s="1"/>
  <c r="R16" i="180"/>
  <c r="Q17" i="180"/>
  <c r="S17" i="180" s="1" a="1"/>
  <c r="S17" i="180" s="1"/>
  <c r="B21" i="181" s="1"/>
  <c r="R17" i="180"/>
  <c r="Q18" i="180"/>
  <c r="S18" i="180" s="1" a="1"/>
  <c r="S18" i="180" s="1"/>
  <c r="B22" i="181" s="1"/>
  <c r="R18" i="180"/>
  <c r="Q19" i="180"/>
  <c r="S19" i="180" s="1" a="1"/>
  <c r="S19" i="180" s="1"/>
  <c r="B23" i="181" s="1"/>
  <c r="R19" i="180"/>
  <c r="Q20" i="180"/>
  <c r="S20" i="180" s="1" a="1"/>
  <c r="S20" i="180" s="1"/>
  <c r="B24" i="181" s="1"/>
  <c r="R20" i="180"/>
  <c r="Q21" i="180"/>
  <c r="S21" i="180" s="1" a="1"/>
  <c r="S21" i="180" s="1"/>
  <c r="B25" i="181" s="1"/>
  <c r="R21" i="180"/>
  <c r="Q22" i="180"/>
  <c r="S22" i="180" s="1" a="1"/>
  <c r="S22" i="180" s="1"/>
  <c r="B26" i="181" s="1"/>
  <c r="R22" i="180"/>
  <c r="Q23" i="180"/>
  <c r="S23" i="180" s="1" a="1"/>
  <c r="S23" i="180" s="1"/>
  <c r="B27" i="181" s="1"/>
  <c r="R23" i="180"/>
  <c r="Q24" i="180"/>
  <c r="S24" i="180" s="1" a="1"/>
  <c r="S24" i="180" s="1"/>
  <c r="B28" i="181" s="1"/>
  <c r="R24" i="180"/>
  <c r="Q25" i="180"/>
  <c r="S25" i="180" s="1" a="1"/>
  <c r="S25" i="180" s="1"/>
  <c r="B29" i="181" s="1"/>
  <c r="R25" i="180"/>
  <c r="Q26" i="180"/>
  <c r="S26" i="180" s="1" a="1"/>
  <c r="S26" i="180" s="1"/>
  <c r="B30" i="181" s="1"/>
  <c r="R26" i="180"/>
  <c r="Q27" i="180"/>
  <c r="S27" i="180" s="1" a="1"/>
  <c r="S27" i="180" s="1"/>
  <c r="B31" i="181" s="1"/>
  <c r="R27" i="180"/>
  <c r="Q28" i="180"/>
  <c r="S28" i="180" s="1" a="1"/>
  <c r="S28" i="180" s="1"/>
  <c r="B32" i="181" s="1"/>
  <c r="R28" i="180"/>
  <c r="Q29" i="180"/>
  <c r="S29" i="180" s="1" a="1"/>
  <c r="S29" i="180" s="1"/>
  <c r="B33" i="181" s="1"/>
  <c r="R29" i="180"/>
  <c r="Q30" i="180"/>
  <c r="S30" i="180" s="1" a="1"/>
  <c r="S30" i="180" s="1"/>
  <c r="B34" i="181" s="1"/>
  <c r="R30" i="180"/>
  <c r="Q31" i="180"/>
  <c r="S31" i="180" s="1" a="1"/>
  <c r="S31" i="180" s="1"/>
  <c r="B35" i="181" s="1"/>
  <c r="R31" i="180"/>
  <c r="Q32" i="180"/>
  <c r="S32" i="180" s="1" a="1"/>
  <c r="S32" i="180" s="1"/>
  <c r="B36" i="181" s="1"/>
  <c r="R32" i="180"/>
  <c r="Q33" i="180"/>
  <c r="S33" i="180" s="1" a="1"/>
  <c r="S33" i="180" s="1"/>
  <c r="B37" i="181" s="1"/>
  <c r="R33" i="180"/>
  <c r="Q34" i="180"/>
  <c r="S34" i="180" s="1" a="1"/>
  <c r="S34" i="180" s="1"/>
  <c r="B38" i="181" s="1"/>
  <c r="R34" i="180"/>
  <c r="Q35" i="180"/>
  <c r="S35" i="180" s="1" a="1"/>
  <c r="S35" i="180" s="1"/>
  <c r="B39" i="181" s="1"/>
  <c r="R35" i="180"/>
  <c r="Q36" i="180"/>
  <c r="S36" i="180" s="1" a="1"/>
  <c r="S36" i="180" s="1"/>
  <c r="B40" i="181" s="1"/>
  <c r="R36" i="180"/>
  <c r="Q37" i="180"/>
  <c r="S37" i="180" s="1" a="1"/>
  <c r="S37" i="180" s="1"/>
  <c r="B41" i="181" s="1"/>
  <c r="R37" i="180"/>
  <c r="I23" i="180"/>
  <c r="J23" i="180"/>
  <c r="K23" i="180"/>
  <c r="L23" i="180"/>
  <c r="M23" i="180"/>
  <c r="N23" i="180"/>
  <c r="I24" i="180"/>
  <c r="J24" i="180"/>
  <c r="K24" i="180"/>
  <c r="L24" i="180"/>
  <c r="M24" i="180"/>
  <c r="N24" i="180"/>
  <c r="I25" i="180"/>
  <c r="J25" i="180"/>
  <c r="K25" i="180"/>
  <c r="L25" i="180"/>
  <c r="M25" i="180"/>
  <c r="N25" i="180"/>
  <c r="I26" i="180"/>
  <c r="J26" i="180"/>
  <c r="K26" i="180"/>
  <c r="L26" i="180"/>
  <c r="M26" i="180"/>
  <c r="N26" i="180"/>
  <c r="I27" i="180"/>
  <c r="J27" i="180"/>
  <c r="K27" i="180"/>
  <c r="L27" i="180"/>
  <c r="M27" i="180"/>
  <c r="N27" i="180"/>
  <c r="I28" i="180"/>
  <c r="K28" i="180"/>
  <c r="L28" i="180"/>
  <c r="M28" i="180"/>
  <c r="N28" i="180"/>
  <c r="I29" i="180"/>
  <c r="J29" i="180"/>
  <c r="K29" i="180"/>
  <c r="L29" i="180"/>
  <c r="M29" i="180"/>
  <c r="N29" i="180"/>
  <c r="I30" i="180"/>
  <c r="J30" i="180"/>
  <c r="K30" i="180"/>
  <c r="L30" i="180"/>
  <c r="M30" i="180"/>
  <c r="N30" i="180"/>
  <c r="S110" i="180" s="1" a="1"/>
  <c r="S110" i="180" s="1"/>
  <c r="B114" i="181" s="1"/>
  <c r="I31" i="180"/>
  <c r="J31" i="180"/>
  <c r="K31" i="180"/>
  <c r="L31" i="180"/>
  <c r="M31" i="180"/>
  <c r="N31" i="180"/>
  <c r="S116" i="180" s="1" a="1"/>
  <c r="S116" i="180" s="1"/>
  <c r="B120" i="181" s="1"/>
  <c r="I32" i="180"/>
  <c r="J32" i="180"/>
  <c r="K32" i="180"/>
  <c r="L32" i="180"/>
  <c r="M32" i="180"/>
  <c r="N32" i="180"/>
  <c r="N33" i="180"/>
  <c r="N34" i="180"/>
  <c r="N35" i="180"/>
  <c r="N36" i="180"/>
  <c r="N37" i="180"/>
  <c r="N38" i="180"/>
  <c r="N39" i="180"/>
  <c r="N40" i="180"/>
  <c r="N41" i="180"/>
  <c r="N42" i="180"/>
  <c r="B29" i="180"/>
  <c r="C29" i="180"/>
  <c r="B30" i="180"/>
  <c r="C30" i="180"/>
  <c r="B31" i="180"/>
  <c r="C31" i="180"/>
  <c r="B32" i="180"/>
  <c r="C32" i="180"/>
  <c r="B26" i="180"/>
  <c r="C26" i="180"/>
  <c r="B27" i="180"/>
  <c r="C27" i="180"/>
  <c r="B28" i="180"/>
  <c r="C28" i="180"/>
  <c r="J28" i="180" s="1"/>
  <c r="B16" i="180"/>
  <c r="C16" i="180"/>
  <c r="J16" i="180" s="1"/>
  <c r="B17" i="180"/>
  <c r="C17" i="180"/>
  <c r="B18" i="180"/>
  <c r="C18" i="180"/>
  <c r="J18" i="180" s="1"/>
  <c r="B19" i="180"/>
  <c r="C19" i="180"/>
  <c r="J19" i="180" s="1"/>
  <c r="B20" i="180"/>
  <c r="C20" i="180"/>
  <c r="J20" i="180" s="1"/>
  <c r="B21" i="180"/>
  <c r="C21" i="180"/>
  <c r="B22" i="180"/>
  <c r="C22" i="180"/>
  <c r="J22" i="180" s="1"/>
  <c r="B23" i="180"/>
  <c r="C23" i="180"/>
  <c r="B24" i="180"/>
  <c r="C24" i="180"/>
  <c r="B25" i="180"/>
  <c r="C25" i="180"/>
  <c r="C64" i="171"/>
  <c r="C65" i="171"/>
  <c r="C66" i="171"/>
  <c r="C67" i="171"/>
  <c r="C68" i="171"/>
  <c r="C69" i="171"/>
  <c r="C70" i="171"/>
  <c r="C73" i="171"/>
  <c r="C74" i="171"/>
  <c r="C75" i="171"/>
  <c r="C76" i="171"/>
  <c r="C77" i="171"/>
  <c r="C78" i="171"/>
  <c r="C79" i="171"/>
  <c r="C80" i="171"/>
  <c r="C81" i="171"/>
  <c r="C82" i="171"/>
  <c r="C83" i="171"/>
  <c r="C84" i="171"/>
  <c r="C85" i="171"/>
  <c r="C86" i="171"/>
  <c r="C87" i="171"/>
  <c r="C88" i="171"/>
  <c r="C89" i="171"/>
  <c r="C90" i="171"/>
  <c r="C91" i="171"/>
  <c r="C93" i="171"/>
  <c r="C94" i="171"/>
  <c r="C95" i="171"/>
  <c r="C111" i="171"/>
  <c r="C112" i="171"/>
  <c r="C113" i="171"/>
  <c r="L56" i="169"/>
  <c r="L57" i="169"/>
  <c r="L58" i="169"/>
  <c r="L59" i="169"/>
  <c r="J56" i="169"/>
  <c r="J57" i="169"/>
  <c r="J58" i="169"/>
  <c r="J59" i="169"/>
  <c r="L9" i="169"/>
  <c r="L10" i="169"/>
  <c r="L11" i="169"/>
  <c r="L12" i="169"/>
  <c r="L13" i="169"/>
  <c r="L14" i="169"/>
  <c r="L15" i="169"/>
  <c r="L18" i="169"/>
  <c r="L19" i="169"/>
  <c r="L20" i="169"/>
  <c r="L21" i="169"/>
  <c r="L22" i="169"/>
  <c r="L23" i="169"/>
  <c r="L24" i="169"/>
  <c r="L25" i="169"/>
  <c r="L26" i="169"/>
  <c r="L27" i="169"/>
  <c r="L28" i="169"/>
  <c r="L29" i="169"/>
  <c r="L30" i="169"/>
  <c r="L31" i="169"/>
  <c r="L32" i="169"/>
  <c r="L33" i="169"/>
  <c r="L34" i="169"/>
  <c r="L35" i="169"/>
  <c r="L36" i="169"/>
  <c r="L38" i="169"/>
  <c r="L39" i="169"/>
  <c r="L40" i="169"/>
  <c r="L48" i="169"/>
  <c r="C103" i="171" s="1"/>
  <c r="L49" i="169"/>
  <c r="C104" i="171" s="1"/>
  <c r="L50" i="169"/>
  <c r="C105" i="171" s="1"/>
  <c r="J16" i="169"/>
  <c r="C16" i="171" s="1"/>
  <c r="J17" i="169"/>
  <c r="C17" i="171" s="1"/>
  <c r="J18" i="169"/>
  <c r="J19" i="169"/>
  <c r="J20" i="169"/>
  <c r="J21" i="169"/>
  <c r="J22" i="169"/>
  <c r="J23" i="169"/>
  <c r="J24" i="169"/>
  <c r="J25" i="169"/>
  <c r="J26" i="169"/>
  <c r="J27" i="169"/>
  <c r="J28" i="169"/>
  <c r="J29" i="169"/>
  <c r="J30" i="169"/>
  <c r="J31" i="169"/>
  <c r="J32" i="169"/>
  <c r="J33" i="169"/>
  <c r="J34" i="169"/>
  <c r="J35" i="169"/>
  <c r="J36" i="169"/>
  <c r="J37" i="169"/>
  <c r="L37" i="169" s="1"/>
  <c r="C92" i="171" s="1"/>
  <c r="J38" i="169"/>
  <c r="J39" i="169"/>
  <c r="J40" i="169"/>
  <c r="J41" i="169"/>
  <c r="L41" i="169" s="1"/>
  <c r="C96" i="171" s="1"/>
  <c r="J42" i="169"/>
  <c r="C42" i="171" s="1"/>
  <c r="J43" i="169"/>
  <c r="L43" i="169" s="1"/>
  <c r="C98" i="171" s="1"/>
  <c r="J44" i="169"/>
  <c r="L44" i="169" s="1"/>
  <c r="C99" i="171" s="1"/>
  <c r="J45" i="169"/>
  <c r="L45" i="169" s="1"/>
  <c r="C100" i="171" s="1"/>
  <c r="J46" i="169"/>
  <c r="L46" i="169" s="1"/>
  <c r="C101" i="171" s="1"/>
  <c r="J47" i="169"/>
  <c r="L47" i="169" s="1"/>
  <c r="C102" i="171" s="1"/>
  <c r="J48" i="169"/>
  <c r="J49" i="169"/>
  <c r="C49" i="171" s="1"/>
  <c r="J50" i="169"/>
  <c r="C50" i="171" s="1"/>
  <c r="J51" i="169"/>
  <c r="L51" i="169" s="1"/>
  <c r="C106" i="171" s="1"/>
  <c r="J52" i="169"/>
  <c r="C52" i="171" s="1"/>
  <c r="J53" i="169"/>
  <c r="L53" i="169" s="1"/>
  <c r="C108" i="171" s="1"/>
  <c r="J54" i="169"/>
  <c r="L54" i="169" s="1"/>
  <c r="C109" i="171" s="1"/>
  <c r="J55" i="169"/>
  <c r="C55" i="171" s="1"/>
  <c r="J9" i="169"/>
  <c r="J10" i="169"/>
  <c r="J11" i="169"/>
  <c r="J12" i="169"/>
  <c r="J13" i="169"/>
  <c r="J14" i="169"/>
  <c r="J15" i="169"/>
  <c r="B66" i="232"/>
  <c r="B67" i="232"/>
  <c r="B68" i="232"/>
  <c r="B69" i="232"/>
  <c r="B70" i="232"/>
  <c r="B71" i="232"/>
  <c r="B72" i="232"/>
  <c r="B73" i="232"/>
  <c r="B74" i="232"/>
  <c r="B75" i="232"/>
  <c r="B76" i="232"/>
  <c r="B77" i="232"/>
  <c r="B78" i="232"/>
  <c r="B79" i="232"/>
  <c r="B80" i="232"/>
  <c r="B81" i="232"/>
  <c r="B82" i="232"/>
  <c r="B83" i="232"/>
  <c r="B84" i="232"/>
  <c r="B85" i="232"/>
  <c r="B86" i="232"/>
  <c r="B87" i="232"/>
  <c r="B88" i="232"/>
  <c r="B89" i="232"/>
  <c r="B90" i="232"/>
  <c r="B91" i="232"/>
  <c r="B92" i="232"/>
  <c r="B93" i="232"/>
  <c r="B94" i="232"/>
  <c r="B95" i="232"/>
  <c r="B96" i="232"/>
  <c r="B97" i="232"/>
  <c r="B98" i="232"/>
  <c r="B99" i="232"/>
  <c r="B100" i="232"/>
  <c r="B101" i="232"/>
  <c r="B102" i="232"/>
  <c r="B103" i="232"/>
  <c r="B65" i="232"/>
  <c r="B63" i="232"/>
  <c r="B62" i="232"/>
  <c r="B16" i="232"/>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Q16" i="245"/>
  <c r="S16" i="245" s="1" a="1"/>
  <c r="S16" i="245" s="1"/>
  <c r="R16" i="245"/>
  <c r="Q17" i="245"/>
  <c r="R17" i="245"/>
  <c r="Q18" i="245"/>
  <c r="S18" i="245" s="1" a="1"/>
  <c r="S18" i="245" s="1"/>
  <c r="R18" i="245"/>
  <c r="Q19" i="245"/>
  <c r="S19" i="245" s="1" a="1"/>
  <c r="S19" i="245" s="1"/>
  <c r="R19" i="245"/>
  <c r="Q20" i="245"/>
  <c r="S20" i="245" s="1" a="1"/>
  <c r="S20" i="245" s="1"/>
  <c r="R20" i="245"/>
  <c r="Q21" i="245"/>
  <c r="R21" i="245"/>
  <c r="Q22" i="245"/>
  <c r="S22" i="245" s="1" a="1"/>
  <c r="S22" i="245" s="1"/>
  <c r="R22" i="245"/>
  <c r="Q23" i="245"/>
  <c r="S23" i="245" s="1" a="1"/>
  <c r="S23" i="245" s="1"/>
  <c r="R23" i="245"/>
  <c r="Q24" i="245"/>
  <c r="S24" i="245" s="1" a="1"/>
  <c r="S24" i="245" s="1"/>
  <c r="R24" i="245"/>
  <c r="Q25" i="245"/>
  <c r="R25" i="245"/>
  <c r="Q26" i="245"/>
  <c r="S26" i="245" s="1" a="1"/>
  <c r="S26" i="245" s="1"/>
  <c r="R26" i="245"/>
  <c r="Q27" i="245"/>
  <c r="S27" i="245" s="1" a="1"/>
  <c r="S27" i="245" s="1"/>
  <c r="R27" i="245"/>
  <c r="Q28" i="245"/>
  <c r="S28" i="245" s="1" a="1"/>
  <c r="S28" i="245" s="1"/>
  <c r="R28" i="245"/>
  <c r="Q29" i="245"/>
  <c r="R29" i="245"/>
  <c r="Q30" i="245"/>
  <c r="S30" i="245" s="1" a="1"/>
  <c r="S30" i="245" s="1"/>
  <c r="R30" i="245"/>
  <c r="Q31" i="245"/>
  <c r="S31" i="245" s="1" a="1"/>
  <c r="S31" i="245" s="1"/>
  <c r="R31" i="245"/>
  <c r="Q32" i="245"/>
  <c r="S32" i="245" s="1" a="1"/>
  <c r="S32" i="245" s="1"/>
  <c r="R32" i="245"/>
  <c r="Q33" i="245"/>
  <c r="R33" i="245"/>
  <c r="Q34" i="245"/>
  <c r="S34" i="245" s="1" a="1"/>
  <c r="S34" i="245" s="1"/>
  <c r="R34" i="245"/>
  <c r="Q35" i="245"/>
  <c r="S35" i="245" s="1" a="1"/>
  <c r="S35" i="245" s="1"/>
  <c r="R35" i="245"/>
  <c r="Q36" i="245"/>
  <c r="S36" i="245" s="1" a="1"/>
  <c r="S36" i="245" s="1"/>
  <c r="R36" i="245"/>
  <c r="Q37" i="245"/>
  <c r="R37" i="245"/>
  <c r="Q38" i="245"/>
  <c r="S38" i="245" s="1" a="1"/>
  <c r="S38" i="245" s="1"/>
  <c r="R38" i="245"/>
  <c r="Q39" i="245"/>
  <c r="S39" i="245" s="1" a="1"/>
  <c r="S39" i="245" s="1"/>
  <c r="R39" i="245"/>
  <c r="Q40" i="245"/>
  <c r="S40" i="245" s="1" a="1"/>
  <c r="S40" i="245" s="1"/>
  <c r="R40" i="245"/>
  <c r="Q41" i="245"/>
  <c r="R41" i="245"/>
  <c r="Q42" i="245"/>
  <c r="S42" i="245" s="1" a="1"/>
  <c r="S42" i="245" s="1"/>
  <c r="R42" i="245"/>
  <c r="Q43" i="245"/>
  <c r="S43" i="245" s="1" a="1"/>
  <c r="S43" i="245" s="1"/>
  <c r="R43" i="245"/>
  <c r="Q44" i="245"/>
  <c r="S44" i="245" s="1" a="1"/>
  <c r="S44" i="245" s="1"/>
  <c r="R44" i="245"/>
  <c r="Q45" i="245"/>
  <c r="R45" i="245"/>
  <c r="Q46" i="245"/>
  <c r="S46" i="245" s="1" a="1"/>
  <c r="S46" i="245" s="1"/>
  <c r="R46" i="245"/>
  <c r="Q47" i="245"/>
  <c r="S47" i="245" s="1" a="1"/>
  <c r="S47" i="245" s="1"/>
  <c r="R47" i="245"/>
  <c r="Q48" i="245"/>
  <c r="S48" i="245" s="1" a="1"/>
  <c r="S48" i="245" s="1"/>
  <c r="R48" i="245"/>
  <c r="Q49" i="245"/>
  <c r="R49" i="245"/>
  <c r="Q50" i="245"/>
  <c r="S50" i="245" s="1" a="1"/>
  <c r="S50" i="245" s="1"/>
  <c r="R50" i="245"/>
  <c r="Q51" i="245"/>
  <c r="S51" i="245" s="1" a="1"/>
  <c r="S51" i="245" s="1"/>
  <c r="R51" i="245"/>
  <c r="Q52" i="245"/>
  <c r="S52" i="245" s="1" a="1"/>
  <c r="S52" i="245" s="1"/>
  <c r="R52" i="245"/>
  <c r="Q53" i="245"/>
  <c r="R53" i="245"/>
  <c r="Q54" i="245"/>
  <c r="S54" i="245" s="1" a="1"/>
  <c r="S54" i="245" s="1"/>
  <c r="R54" i="245"/>
  <c r="Q55" i="245"/>
  <c r="S55" i="245" s="1" a="1"/>
  <c r="S55" i="245" s="1"/>
  <c r="R55" i="245"/>
  <c r="Q56" i="245"/>
  <c r="S56" i="245" s="1" a="1"/>
  <c r="S56" i="245" s="1"/>
  <c r="R56" i="245"/>
  <c r="Q57" i="245"/>
  <c r="R57" i="245"/>
  <c r="Q58" i="245"/>
  <c r="S58" i="245" s="1" a="1"/>
  <c r="S58" i="245" s="1"/>
  <c r="R58" i="245"/>
  <c r="Q59" i="245"/>
  <c r="S59" i="245" s="1" a="1"/>
  <c r="S59" i="245" s="1"/>
  <c r="R59" i="245"/>
  <c r="Q60" i="245"/>
  <c r="S60" i="245" s="1" a="1"/>
  <c r="S60" i="245" s="1"/>
  <c r="R60" i="245"/>
  <c r="Q61" i="245"/>
  <c r="R61" i="245"/>
  <c r="Q62" i="245"/>
  <c r="S62" i="245" s="1" a="1"/>
  <c r="S62" i="245" s="1"/>
  <c r="R62" i="245"/>
  <c r="Q63" i="245"/>
  <c r="S63" i="245" s="1" a="1"/>
  <c r="S63" i="245" s="1"/>
  <c r="R63" i="245"/>
  <c r="Q64" i="245"/>
  <c r="S64" i="245" s="1" a="1"/>
  <c r="S64" i="245" s="1"/>
  <c r="R64" i="245"/>
  <c r="Q65" i="245"/>
  <c r="R65" i="245"/>
  <c r="Q66" i="245"/>
  <c r="S66" i="245" s="1" a="1"/>
  <c r="S66" i="245" s="1"/>
  <c r="R66" i="245"/>
  <c r="Q67" i="245"/>
  <c r="S67" i="245" s="1" a="1"/>
  <c r="S67" i="245" s="1"/>
  <c r="R67" i="245"/>
  <c r="Q68" i="245"/>
  <c r="S68" i="245" s="1" a="1"/>
  <c r="S68" i="245" s="1"/>
  <c r="R68" i="245"/>
  <c r="Q69" i="245"/>
  <c r="R69" i="245"/>
  <c r="Q70" i="245"/>
  <c r="S70" i="245" s="1" a="1"/>
  <c r="S70" i="245" s="1"/>
  <c r="R70" i="245"/>
  <c r="Q71" i="245"/>
  <c r="S71" i="245" s="1" a="1"/>
  <c r="S71" i="245" s="1"/>
  <c r="R71" i="245"/>
  <c r="Q72" i="245"/>
  <c r="S72" i="245" s="1" a="1"/>
  <c r="S72" i="245" s="1"/>
  <c r="R72" i="245"/>
  <c r="Q73" i="245"/>
  <c r="S73" i="245" s="1" a="1"/>
  <c r="S73" i="245" s="1"/>
  <c r="R73" i="245"/>
  <c r="Q74" i="245"/>
  <c r="R74" i="245"/>
  <c r="Q75" i="245"/>
  <c r="S75" i="245" s="1" a="1"/>
  <c r="S75" i="245" s="1"/>
  <c r="R75" i="245"/>
  <c r="Q76" i="245"/>
  <c r="S76" i="245" s="1" a="1"/>
  <c r="S76" i="245" s="1"/>
  <c r="R76" i="245"/>
  <c r="Q77" i="245"/>
  <c r="S77" i="245" s="1" a="1"/>
  <c r="S77" i="245" s="1"/>
  <c r="R77" i="245"/>
  <c r="Q78" i="245"/>
  <c r="R78" i="245"/>
  <c r="Q79" i="245"/>
  <c r="S79" i="245" s="1" a="1"/>
  <c r="S79" i="245" s="1"/>
  <c r="R79" i="245"/>
  <c r="Q80" i="245"/>
  <c r="S80" i="245" s="1" a="1"/>
  <c r="S80" i="245" s="1"/>
  <c r="R80" i="245"/>
  <c r="Q81" i="245"/>
  <c r="S81" i="245" s="1" a="1"/>
  <c r="S81" i="245" s="1"/>
  <c r="R81" i="245"/>
  <c r="Q82" i="245"/>
  <c r="R82" i="245"/>
  <c r="Q83" i="245"/>
  <c r="S83" i="245" s="1" a="1"/>
  <c r="S83" i="245" s="1"/>
  <c r="R83" i="245"/>
  <c r="Q84" i="245"/>
  <c r="S84" i="245" s="1" a="1"/>
  <c r="S84" i="245" s="1"/>
  <c r="R84" i="245"/>
  <c r="Q85" i="245"/>
  <c r="S85" i="245" s="1" a="1"/>
  <c r="S85" i="245" s="1"/>
  <c r="R85" i="245"/>
  <c r="Q86" i="245"/>
  <c r="R86" i="245"/>
  <c r="Q87" i="245"/>
  <c r="S87" i="245" s="1" a="1"/>
  <c r="S87" i="245" s="1"/>
  <c r="R87" i="245"/>
  <c r="Q88" i="245"/>
  <c r="S88" i="245" s="1" a="1"/>
  <c r="S88" i="245" s="1"/>
  <c r="R88" i="245"/>
  <c r="Q89" i="245"/>
  <c r="S89" i="245" s="1" a="1"/>
  <c r="S89" i="245" s="1"/>
  <c r="R89" i="245"/>
  <c r="Q90" i="245"/>
  <c r="R90" i="245"/>
  <c r="Q91" i="245"/>
  <c r="S91" i="245" s="1" a="1"/>
  <c r="S91" i="245" s="1"/>
  <c r="R91" i="245"/>
  <c r="Q92" i="245"/>
  <c r="S92" i="245" s="1" a="1"/>
  <c r="S92" i="245" s="1"/>
  <c r="R92" i="245"/>
  <c r="Q93" i="245"/>
  <c r="S93" i="245" s="1" a="1"/>
  <c r="S93" i="245" s="1"/>
  <c r="R93" i="245"/>
  <c r="Q94" i="245"/>
  <c r="R94" i="245"/>
  <c r="Q95" i="245"/>
  <c r="S95" i="245" s="1" a="1"/>
  <c r="S95" i="245" s="1"/>
  <c r="R95" i="245"/>
  <c r="Q96" i="245"/>
  <c r="S96" i="245" s="1" a="1"/>
  <c r="S96" i="245" s="1"/>
  <c r="R96" i="245"/>
  <c r="Q97" i="245"/>
  <c r="S97" i="245" s="1" a="1"/>
  <c r="S97" i="245" s="1"/>
  <c r="R97" i="245"/>
  <c r="Q98" i="245"/>
  <c r="R98" i="245"/>
  <c r="Q99" i="245"/>
  <c r="S99" i="245" s="1" a="1"/>
  <c r="S99" i="245" s="1"/>
  <c r="R99" i="245"/>
  <c r="Q100" i="245"/>
  <c r="S100" i="245" s="1" a="1"/>
  <c r="S100" i="245" s="1"/>
  <c r="R100" i="245"/>
  <c r="Q101" i="245"/>
  <c r="S101" i="245" s="1" a="1"/>
  <c r="S101" i="245" s="1"/>
  <c r="R101" i="245"/>
  <c r="Q102" i="245"/>
  <c r="R102" i="245"/>
  <c r="Q103" i="245"/>
  <c r="S103" i="245" s="1" a="1"/>
  <c r="S103" i="245" s="1"/>
  <c r="R103" i="245"/>
  <c r="Q104" i="245"/>
  <c r="S104" i="245" s="1" a="1"/>
  <c r="S104" i="245" s="1"/>
  <c r="R104" i="245"/>
  <c r="Q105" i="245"/>
  <c r="S105" i="245" s="1" a="1"/>
  <c r="S105" i="245" s="1"/>
  <c r="R105" i="245"/>
  <c r="Q106" i="245"/>
  <c r="R106" i="245"/>
  <c r="Q107" i="245"/>
  <c r="S107" i="245" s="1" a="1"/>
  <c r="S107" i="245" s="1"/>
  <c r="R107" i="245"/>
  <c r="Q108" i="245"/>
  <c r="S108" i="245" s="1" a="1"/>
  <c r="S108" i="245" s="1"/>
  <c r="R108" i="245"/>
  <c r="Q109" i="245"/>
  <c r="S109" i="245" s="1" a="1"/>
  <c r="S109" i="245" s="1"/>
  <c r="R109" i="245"/>
  <c r="Q110" i="245"/>
  <c r="R110" i="245"/>
  <c r="Q111" i="245"/>
  <c r="S111" i="245" s="1" a="1"/>
  <c r="S111" i="245" s="1"/>
  <c r="R111" i="245"/>
  <c r="Q112" i="245"/>
  <c r="S112" i="245" s="1" a="1"/>
  <c r="S112" i="245" s="1"/>
  <c r="R112" i="245"/>
  <c r="Q113" i="245"/>
  <c r="S113" i="245" s="1" a="1"/>
  <c r="S113" i="245" s="1"/>
  <c r="R113" i="245"/>
  <c r="Q114" i="245"/>
  <c r="R114" i="245"/>
  <c r="Q115" i="245"/>
  <c r="S115" i="245" s="1" a="1"/>
  <c r="S115" i="245" s="1"/>
  <c r="R115" i="245"/>
  <c r="Q116" i="245"/>
  <c r="S116" i="245" s="1" a="1"/>
  <c r="S116" i="245" s="1"/>
  <c r="R116" i="245"/>
  <c r="Q117" i="245"/>
  <c r="S117" i="245" s="1" a="1"/>
  <c r="S117" i="245" s="1"/>
  <c r="R117" i="245"/>
  <c r="Q118" i="245"/>
  <c r="R118" i="245"/>
  <c r="Q119" i="245"/>
  <c r="S119" i="245" s="1" a="1"/>
  <c r="S119" i="245" s="1"/>
  <c r="R119" i="245"/>
  <c r="Q120" i="245"/>
  <c r="S120" i="245" s="1" a="1"/>
  <c r="S120" i="245" s="1"/>
  <c r="R120" i="245"/>
  <c r="Q121" i="245"/>
  <c r="S121" i="245" s="1" a="1"/>
  <c r="S121" i="245" s="1"/>
  <c r="R121" i="245"/>
  <c r="Q122" i="245"/>
  <c r="R122" i="245"/>
  <c r="Q123" i="245"/>
  <c r="S123" i="245" s="1" a="1"/>
  <c r="S123" i="245" s="1"/>
  <c r="R123" i="245"/>
  <c r="Q124" i="245"/>
  <c r="S124" i="245" s="1" a="1"/>
  <c r="S124" i="245" s="1"/>
  <c r="R124" i="245"/>
  <c r="Q125" i="245"/>
  <c r="S125" i="245" s="1" a="1"/>
  <c r="S125" i="245" s="1"/>
  <c r="R125" i="245"/>
  <c r="Q126" i="245"/>
  <c r="R126" i="245"/>
  <c r="Q127" i="245"/>
  <c r="S127" i="245" s="1" a="1"/>
  <c r="S127" i="245" s="1"/>
  <c r="R127" i="245"/>
  <c r="Q128" i="245"/>
  <c r="S128" i="245" s="1" a="1"/>
  <c r="S128" i="245" s="1"/>
  <c r="R128" i="245"/>
  <c r="Q129" i="245"/>
  <c r="S129" i="245" s="1" a="1"/>
  <c r="S129" i="245" s="1"/>
  <c r="R129" i="245"/>
  <c r="Q130" i="245"/>
  <c r="R130" i="245"/>
  <c r="Q131" i="245"/>
  <c r="R131" i="245"/>
  <c r="S131" i="245" a="1"/>
  <c r="S131" i="245" s="1"/>
  <c r="Q132" i="245"/>
  <c r="R132" i="245"/>
  <c r="S132" i="245" a="1"/>
  <c r="S132" i="245" s="1"/>
  <c r="Q133" i="245"/>
  <c r="S133" i="245" s="1" a="1"/>
  <c r="S133" i="245" s="1"/>
  <c r="R133" i="245"/>
  <c r="Q134" i="245"/>
  <c r="R134" i="245"/>
  <c r="S134" i="245" s="1" a="1"/>
  <c r="S134" i="245" s="1"/>
  <c r="Q135" i="245"/>
  <c r="S135" i="245" s="1" a="1"/>
  <c r="S135" i="245" s="1"/>
  <c r="R135" i="245"/>
  <c r="Q136" i="245"/>
  <c r="S136" i="245" s="1" a="1"/>
  <c r="S136" i="245" s="1"/>
  <c r="R136" i="245"/>
  <c r="Q137" i="245"/>
  <c r="R137" i="245"/>
  <c r="S137" i="245" a="1"/>
  <c r="S137" i="245" s="1"/>
  <c r="Q138" i="245"/>
  <c r="S138" i="245" s="1" a="1"/>
  <c r="S138" i="245" s="1"/>
  <c r="R138" i="245"/>
  <c r="Q139" i="245"/>
  <c r="R139" i="245"/>
  <c r="S139" i="245" a="1"/>
  <c r="S139" i="245"/>
  <c r="Q140" i="245"/>
  <c r="R140" i="245"/>
  <c r="S140" i="245" a="1"/>
  <c r="S140" i="245" s="1"/>
  <c r="Q141" i="245"/>
  <c r="R141" i="245"/>
  <c r="S141" i="245" s="1" a="1"/>
  <c r="S141" i="245" s="1"/>
  <c r="Q142" i="245"/>
  <c r="S142" i="245" s="1" a="1"/>
  <c r="S142" i="245" s="1"/>
  <c r="R142" i="245"/>
  <c r="Q143" i="245"/>
  <c r="S143" i="245" s="1" a="1"/>
  <c r="S143" i="245" s="1"/>
  <c r="R143" i="245"/>
  <c r="Q144" i="245"/>
  <c r="S144" i="245" s="1" a="1"/>
  <c r="S144" i="245" s="1"/>
  <c r="R144" i="245"/>
  <c r="Q145" i="245"/>
  <c r="S145" i="245" s="1" a="1"/>
  <c r="S145" i="245" s="1"/>
  <c r="R145" i="245"/>
  <c r="Q146" i="245"/>
  <c r="R146" i="245"/>
  <c r="S146" i="245" a="1"/>
  <c r="S146" i="245" s="1"/>
  <c r="Q147" i="245"/>
  <c r="R147" i="245"/>
  <c r="S147" i="245" a="1"/>
  <c r="S147" i="245" s="1"/>
  <c r="Q148" i="245"/>
  <c r="R148" i="245"/>
  <c r="S148" i="245" a="1"/>
  <c r="S148" i="245" s="1"/>
  <c r="Q149" i="245"/>
  <c r="S149" i="245" s="1" a="1"/>
  <c r="S149" i="245" s="1"/>
  <c r="R149" i="245"/>
  <c r="Q150" i="245"/>
  <c r="R150" i="245"/>
  <c r="S150" i="245" s="1" a="1"/>
  <c r="S150" i="245" s="1"/>
  <c r="Q151" i="245"/>
  <c r="S151" i="245" s="1" a="1"/>
  <c r="S151" i="245" s="1"/>
  <c r="R151" i="245"/>
  <c r="Q152" i="245"/>
  <c r="S152" i="245" s="1" a="1"/>
  <c r="S152" i="245" s="1"/>
  <c r="R152" i="245"/>
  <c r="Q153" i="245"/>
  <c r="R153" i="245"/>
  <c r="S153" i="245" a="1"/>
  <c r="S153" i="245" s="1"/>
  <c r="Q154" i="245"/>
  <c r="S154" i="245" s="1" a="1"/>
  <c r="S154" i="245" s="1"/>
  <c r="R154" i="245"/>
  <c r="Q155" i="245"/>
  <c r="R155" i="245"/>
  <c r="S155" i="245" a="1"/>
  <c r="S155" i="245"/>
  <c r="Q156" i="245"/>
  <c r="R156" i="245"/>
  <c r="S156" i="245" a="1"/>
  <c r="S156" i="245" s="1"/>
  <c r="Q157" i="245"/>
  <c r="R157" i="245"/>
  <c r="S157" i="245" s="1" a="1"/>
  <c r="S157" i="245" s="1"/>
  <c r="Q158" i="245"/>
  <c r="S158" i="245" s="1" a="1"/>
  <c r="S158" i="245" s="1"/>
  <c r="R158" i="245"/>
  <c r="Q159" i="245"/>
  <c r="S159" i="245" s="1" a="1"/>
  <c r="S159" i="245" s="1"/>
  <c r="R159" i="245"/>
  <c r="Q160" i="245"/>
  <c r="S160" i="245" s="1" a="1"/>
  <c r="S160" i="245" s="1"/>
  <c r="R160" i="245"/>
  <c r="Q161" i="245"/>
  <c r="S161" i="245" s="1" a="1"/>
  <c r="S161" i="245" s="1"/>
  <c r="R161" i="245"/>
  <c r="Q162" i="245"/>
  <c r="R162" i="245"/>
  <c r="S162" i="245" a="1"/>
  <c r="S162" i="245" s="1"/>
  <c r="Q163" i="245"/>
  <c r="R163" i="245"/>
  <c r="S163" i="245" a="1"/>
  <c r="S163" i="245" s="1"/>
  <c r="Q164" i="245"/>
  <c r="R164" i="245"/>
  <c r="S164" i="245" a="1"/>
  <c r="S164" i="245" s="1"/>
  <c r="Q165" i="245"/>
  <c r="S165" i="245" s="1" a="1"/>
  <c r="S165" i="245" s="1"/>
  <c r="R165" i="245"/>
  <c r="Q166" i="245"/>
  <c r="R166" i="245"/>
  <c r="S166" i="245" s="1" a="1"/>
  <c r="S166" i="245" s="1"/>
  <c r="Q167" i="245"/>
  <c r="S167" i="245" s="1" a="1"/>
  <c r="S167" i="245" s="1"/>
  <c r="R167" i="245"/>
  <c r="Q168" i="245"/>
  <c r="S168" i="245" s="1" a="1"/>
  <c r="S168" i="245" s="1"/>
  <c r="R168" i="245"/>
  <c r="Q169" i="245"/>
  <c r="R169" i="245"/>
  <c r="S169" i="245" a="1"/>
  <c r="S169" i="245" s="1"/>
  <c r="Q170" i="245"/>
  <c r="S170" i="245" s="1" a="1"/>
  <c r="S170" i="245" s="1"/>
  <c r="R170" i="245"/>
  <c r="Q171" i="245"/>
  <c r="R171" i="245"/>
  <c r="S171" i="245" a="1"/>
  <c r="S171" i="245"/>
  <c r="Q172" i="245"/>
  <c r="R172" i="245"/>
  <c r="S172" i="245" a="1"/>
  <c r="S172" i="245" s="1"/>
  <c r="Q173" i="245"/>
  <c r="R173" i="245"/>
  <c r="S173" i="245" s="1" a="1"/>
  <c r="S173" i="245" s="1"/>
  <c r="Q174" i="245"/>
  <c r="S174" i="245" s="1" a="1"/>
  <c r="S174" i="245" s="1"/>
  <c r="R174" i="245"/>
  <c r="Q175" i="245"/>
  <c r="S175" i="245" s="1" a="1"/>
  <c r="S175" i="245" s="1"/>
  <c r="R175" i="245"/>
  <c r="Q176" i="245"/>
  <c r="S176" i="245" s="1" a="1"/>
  <c r="S176" i="245" s="1"/>
  <c r="R176" i="245"/>
  <c r="Q177" i="245"/>
  <c r="S177" i="245" s="1" a="1"/>
  <c r="S177" i="245" s="1"/>
  <c r="R177" i="245"/>
  <c r="Q178" i="245"/>
  <c r="R178" i="245"/>
  <c r="S178" i="245" a="1"/>
  <c r="S178" i="245" s="1"/>
  <c r="Q179" i="245"/>
  <c r="R179" i="245"/>
  <c r="S179" i="245" a="1"/>
  <c r="S179" i="245" s="1"/>
  <c r="Q180" i="245"/>
  <c r="R180" i="245"/>
  <c r="S180" i="245" a="1"/>
  <c r="S180" i="245" s="1"/>
  <c r="Q181" i="245"/>
  <c r="S181" i="245" s="1" a="1"/>
  <c r="S181" i="245" s="1"/>
  <c r="R181" i="245"/>
  <c r="Q182" i="245"/>
  <c r="S182" i="245" s="1" a="1"/>
  <c r="S182" i="245" s="1"/>
  <c r="R182" i="245"/>
  <c r="Q183" i="245"/>
  <c r="S183" i="245" s="1" a="1"/>
  <c r="S183" i="245" s="1"/>
  <c r="R183" i="245"/>
  <c r="Q184" i="245"/>
  <c r="S184" i="245" s="1" a="1"/>
  <c r="S184" i="245" s="1"/>
  <c r="R184" i="245"/>
  <c r="I16" i="245"/>
  <c r="J16" i="245"/>
  <c r="K16" i="245"/>
  <c r="L16" i="245"/>
  <c r="M16" i="245"/>
  <c r="N16" i="245"/>
  <c r="I17" i="245"/>
  <c r="J17" i="245"/>
  <c r="K17" i="245"/>
  <c r="L17" i="245"/>
  <c r="M17" i="245"/>
  <c r="N17" i="245"/>
  <c r="I18" i="245"/>
  <c r="J18" i="245"/>
  <c r="K18" i="245"/>
  <c r="L18" i="245"/>
  <c r="M18" i="245"/>
  <c r="N18" i="245"/>
  <c r="I19" i="245"/>
  <c r="J19" i="245"/>
  <c r="K19" i="245"/>
  <c r="L19" i="245"/>
  <c r="M19" i="245"/>
  <c r="N19" i="245"/>
  <c r="I20" i="245"/>
  <c r="J20" i="245"/>
  <c r="K20" i="245"/>
  <c r="L20" i="245"/>
  <c r="M20" i="245"/>
  <c r="N20" i="245"/>
  <c r="Q16" i="231"/>
  <c r="S16" i="231" s="1" a="1"/>
  <c r="S16" i="231" s="1"/>
  <c r="R16" i="231"/>
  <c r="Q17" i="231"/>
  <c r="S17" i="231" s="1" a="1"/>
  <c r="S17" i="231" s="1"/>
  <c r="R17" i="231"/>
  <c r="Q18" i="231"/>
  <c r="S18" i="231" s="1" a="1"/>
  <c r="S18" i="231" s="1"/>
  <c r="R18" i="231"/>
  <c r="Q19" i="231"/>
  <c r="S19" i="231" s="1" a="1"/>
  <c r="S19" i="231" s="1"/>
  <c r="R19" i="231"/>
  <c r="Q20" i="231"/>
  <c r="S20" i="231" s="1" a="1"/>
  <c r="S20" i="231" s="1"/>
  <c r="R20" i="231"/>
  <c r="Q21" i="231"/>
  <c r="R21" i="231"/>
  <c r="Q22" i="231"/>
  <c r="S22" i="231" s="1" a="1"/>
  <c r="S22" i="231" s="1"/>
  <c r="R22" i="231"/>
  <c r="Q23" i="231"/>
  <c r="R23" i="231"/>
  <c r="Q24" i="231"/>
  <c r="S24" i="231" s="1" a="1"/>
  <c r="S24" i="231" s="1"/>
  <c r="R24" i="231"/>
  <c r="Q25" i="231"/>
  <c r="R25" i="231"/>
  <c r="Q26" i="231"/>
  <c r="S26" i="231" s="1" a="1"/>
  <c r="S26" i="231" s="1"/>
  <c r="R26" i="231"/>
  <c r="Q27" i="231"/>
  <c r="S27" i="231" s="1" a="1"/>
  <c r="R27" i="231"/>
  <c r="S27" i="231"/>
  <c r="Q28" i="231"/>
  <c r="S28" i="231" s="1" a="1"/>
  <c r="S28" i="231" s="1"/>
  <c r="R28" i="231"/>
  <c r="Q29" i="231"/>
  <c r="S29" i="231" s="1" a="1"/>
  <c r="S29" i="231" s="1"/>
  <c r="R29" i="231"/>
  <c r="Q30" i="231"/>
  <c r="S30" i="231" s="1" a="1"/>
  <c r="S30" i="231" s="1"/>
  <c r="R30" i="231"/>
  <c r="Q31" i="231"/>
  <c r="S31" i="231" s="1" a="1"/>
  <c r="R31" i="231"/>
  <c r="S31" i="231"/>
  <c r="Q32" i="231"/>
  <c r="S32" i="231" s="1" a="1"/>
  <c r="S32" i="231" s="1"/>
  <c r="R32" i="231"/>
  <c r="Q33" i="231"/>
  <c r="R33" i="231"/>
  <c r="Q34" i="231"/>
  <c r="S34" i="231" s="1" a="1"/>
  <c r="S34" i="231" s="1"/>
  <c r="R34" i="231"/>
  <c r="Q35" i="231"/>
  <c r="S35" i="231" s="1" a="1"/>
  <c r="S35" i="231" s="1"/>
  <c r="R35" i="231"/>
  <c r="Q36" i="231"/>
  <c r="S36" i="231" s="1" a="1"/>
  <c r="S36" i="231" s="1"/>
  <c r="R36" i="231"/>
  <c r="Q37" i="231"/>
  <c r="R37" i="231"/>
  <c r="Q38" i="231"/>
  <c r="S38" i="231" s="1" a="1"/>
  <c r="S38" i="231" s="1"/>
  <c r="R38" i="231"/>
  <c r="Q39" i="231"/>
  <c r="R39" i="231"/>
  <c r="Q40" i="231"/>
  <c r="S40" i="231" s="1" a="1"/>
  <c r="S40" i="231" s="1"/>
  <c r="R40" i="231"/>
  <c r="Q41" i="231"/>
  <c r="R41" i="231"/>
  <c r="Q42" i="231"/>
  <c r="S42" i="231" s="1" a="1"/>
  <c r="S42" i="231" s="1"/>
  <c r="R42" i="231"/>
  <c r="Q43" i="231"/>
  <c r="S43" i="231" s="1" a="1"/>
  <c r="R43" i="231"/>
  <c r="S43" i="231"/>
  <c r="Q44" i="231"/>
  <c r="S44" i="231" s="1" a="1"/>
  <c r="S44" i="231" s="1"/>
  <c r="R44" i="231"/>
  <c r="Q45" i="231"/>
  <c r="S45" i="231" s="1" a="1"/>
  <c r="S45" i="231" s="1"/>
  <c r="R45" i="231"/>
  <c r="Q46" i="231"/>
  <c r="S46" i="231" s="1" a="1"/>
  <c r="S46" i="231" s="1"/>
  <c r="R46" i="231"/>
  <c r="Q47" i="231"/>
  <c r="S47" i="231" s="1" a="1"/>
  <c r="R47" i="231"/>
  <c r="S47" i="231"/>
  <c r="Q48" i="231"/>
  <c r="S48" i="231" s="1" a="1"/>
  <c r="S48" i="231" s="1"/>
  <c r="R48" i="231"/>
  <c r="Q49" i="231"/>
  <c r="R49" i="231"/>
  <c r="Q50" i="231"/>
  <c r="S50" i="231" s="1" a="1"/>
  <c r="S50" i="231" s="1"/>
  <c r="R50" i="231"/>
  <c r="Q51" i="231"/>
  <c r="S51" i="231" s="1" a="1"/>
  <c r="S51" i="231" s="1"/>
  <c r="R51" i="231"/>
  <c r="Q52" i="231"/>
  <c r="S52" i="231" s="1" a="1"/>
  <c r="S52" i="231" s="1"/>
  <c r="R52" i="231"/>
  <c r="Q53" i="231"/>
  <c r="R53" i="231"/>
  <c r="Q54" i="231"/>
  <c r="S54" i="231" s="1" a="1"/>
  <c r="S54" i="231" s="1"/>
  <c r="R54" i="231"/>
  <c r="Q55" i="231"/>
  <c r="R55" i="231"/>
  <c r="Q56" i="231"/>
  <c r="S56" i="231" s="1" a="1"/>
  <c r="S56" i="231" s="1"/>
  <c r="R56" i="231"/>
  <c r="Q57" i="231"/>
  <c r="R57" i="231"/>
  <c r="Q58" i="231"/>
  <c r="S58" i="231" s="1" a="1"/>
  <c r="S58" i="231" s="1"/>
  <c r="R58" i="231"/>
  <c r="Q59" i="231"/>
  <c r="S59" i="231" s="1" a="1"/>
  <c r="R59" i="231"/>
  <c r="S59" i="231"/>
  <c r="Q60" i="231"/>
  <c r="S60" i="231" s="1" a="1"/>
  <c r="S60" i="231" s="1"/>
  <c r="R60" i="231"/>
  <c r="Q61" i="231"/>
  <c r="S61" i="231" s="1" a="1"/>
  <c r="S61" i="231" s="1"/>
  <c r="R61" i="231"/>
  <c r="Q62" i="231"/>
  <c r="S62" i="231" s="1" a="1"/>
  <c r="S62" i="231" s="1"/>
  <c r="R62" i="231"/>
  <c r="Q63" i="231"/>
  <c r="S63" i="231" s="1" a="1"/>
  <c r="R63" i="231"/>
  <c r="S63" i="231"/>
  <c r="Q64" i="231"/>
  <c r="S64" i="231" s="1" a="1"/>
  <c r="S64" i="231" s="1"/>
  <c r="R64" i="231"/>
  <c r="Q65" i="231"/>
  <c r="R65" i="231"/>
  <c r="Q66" i="231"/>
  <c r="S66" i="231" s="1" a="1"/>
  <c r="S66" i="231" s="1"/>
  <c r="R66" i="231"/>
  <c r="Q67" i="231"/>
  <c r="S67" i="231" s="1" a="1"/>
  <c r="S67" i="231" s="1"/>
  <c r="R67" i="231"/>
  <c r="Q68" i="231"/>
  <c r="S68" i="231" s="1" a="1"/>
  <c r="S68" i="231" s="1"/>
  <c r="R68" i="231"/>
  <c r="Q69" i="231"/>
  <c r="R69" i="231"/>
  <c r="Q70" i="231"/>
  <c r="S70" i="231" s="1" a="1"/>
  <c r="S70" i="231" s="1"/>
  <c r="R70" i="231"/>
  <c r="Q71" i="231"/>
  <c r="R71" i="231"/>
  <c r="Q72" i="231"/>
  <c r="R72" i="231"/>
  <c r="Q73" i="231"/>
  <c r="R73" i="231"/>
  <c r="Q74" i="231"/>
  <c r="R74" i="231"/>
  <c r="Q75" i="231"/>
  <c r="S75" i="231" s="1" a="1"/>
  <c r="R75" i="231"/>
  <c r="S75" i="231"/>
  <c r="Q76" i="231"/>
  <c r="R76" i="231"/>
  <c r="Q77" i="231"/>
  <c r="S77" i="231" s="1" a="1"/>
  <c r="S77" i="231" s="1"/>
  <c r="R77" i="231"/>
  <c r="Q78" i="231"/>
  <c r="S78" i="231" s="1" a="1"/>
  <c r="S78" i="231" s="1"/>
  <c r="R78" i="231"/>
  <c r="Q79" i="231"/>
  <c r="S79" i="231" s="1" a="1"/>
  <c r="R79" i="231"/>
  <c r="S79" i="231"/>
  <c r="Q80" i="231"/>
  <c r="S80" i="231" s="1" a="1"/>
  <c r="S80" i="231" s="1"/>
  <c r="R80" i="231"/>
  <c r="Q81" i="231"/>
  <c r="R81" i="231"/>
  <c r="Q82" i="231"/>
  <c r="S82" i="231" s="1" a="1"/>
  <c r="S82" i="231" s="1"/>
  <c r="R82" i="231"/>
  <c r="Q83" i="231"/>
  <c r="S83" i="231" s="1" a="1"/>
  <c r="S83" i="231" s="1"/>
  <c r="R83" i="231"/>
  <c r="Q84" i="231"/>
  <c r="R84" i="231"/>
  <c r="Q85" i="231"/>
  <c r="R85" i="231"/>
  <c r="Q86" i="231"/>
  <c r="S86" i="231" s="1" a="1"/>
  <c r="S86" i="231" s="1"/>
  <c r="R86" i="231"/>
  <c r="Q87" i="231"/>
  <c r="R87" i="231"/>
  <c r="Q88" i="231"/>
  <c r="R88" i="231"/>
  <c r="Q89" i="231"/>
  <c r="R89" i="231"/>
  <c r="Q90" i="231"/>
  <c r="R90" i="231"/>
  <c r="Q91" i="231"/>
  <c r="S91" i="231" s="1" a="1"/>
  <c r="R91" i="231"/>
  <c r="S91" i="231"/>
  <c r="Q92" i="231"/>
  <c r="R92" i="231"/>
  <c r="Q93" i="231"/>
  <c r="S93" i="231" s="1" a="1"/>
  <c r="S93" i="231" s="1"/>
  <c r="R93" i="231"/>
  <c r="Q94" i="231"/>
  <c r="S94" i="231" s="1" a="1"/>
  <c r="S94" i="231" s="1"/>
  <c r="R94" i="231"/>
  <c r="Q95" i="231"/>
  <c r="S95" i="231" s="1" a="1"/>
  <c r="R95" i="231"/>
  <c r="S95" i="231"/>
  <c r="Q96" i="231"/>
  <c r="S96" i="231" s="1" a="1"/>
  <c r="S96" i="231" s="1"/>
  <c r="R96" i="231"/>
  <c r="Q97" i="231"/>
  <c r="R97" i="231"/>
  <c r="Q98" i="231"/>
  <c r="S98" i="231" s="1" a="1"/>
  <c r="S98" i="231" s="1"/>
  <c r="R98" i="231"/>
  <c r="Q99" i="231"/>
  <c r="S99" i="231" s="1" a="1"/>
  <c r="S99" i="231" s="1"/>
  <c r="R99" i="231"/>
  <c r="Q100" i="231"/>
  <c r="R100" i="231"/>
  <c r="Q101" i="231"/>
  <c r="R101" i="231"/>
  <c r="Q102" i="231"/>
  <c r="S102" i="231" s="1" a="1"/>
  <c r="S102" i="231" s="1"/>
  <c r="R102" i="231"/>
  <c r="Q103" i="231"/>
  <c r="R103" i="231"/>
  <c r="Q104" i="231"/>
  <c r="R104" i="231"/>
  <c r="Q105" i="231"/>
  <c r="R105" i="231"/>
  <c r="Q106" i="231"/>
  <c r="R106" i="231"/>
  <c r="Q107" i="231"/>
  <c r="S107" i="231" s="1" a="1"/>
  <c r="R107" i="231"/>
  <c r="S107" i="231"/>
  <c r="Q108" i="231"/>
  <c r="R108" i="231"/>
  <c r="Q109" i="231"/>
  <c r="S109" i="231" s="1" a="1"/>
  <c r="S109" i="231" s="1"/>
  <c r="R109" i="231"/>
  <c r="Q110" i="231"/>
  <c r="S110" i="231" s="1" a="1"/>
  <c r="S110" i="231" s="1"/>
  <c r="R110" i="231"/>
  <c r="Q111" i="231"/>
  <c r="S111" i="231" s="1" a="1"/>
  <c r="R111" i="231"/>
  <c r="S111" i="231"/>
  <c r="Q112" i="231"/>
  <c r="S112" i="231" s="1" a="1"/>
  <c r="S112" i="231" s="1"/>
  <c r="R112" i="231"/>
  <c r="Q113" i="231"/>
  <c r="R113" i="231"/>
  <c r="Q114" i="231"/>
  <c r="S114" i="231" s="1" a="1"/>
  <c r="S114" i="231" s="1"/>
  <c r="R114" i="231"/>
  <c r="Q115" i="231"/>
  <c r="S115" i="231" s="1" a="1"/>
  <c r="S115" i="231" s="1"/>
  <c r="R115" i="231"/>
  <c r="Q116" i="231"/>
  <c r="R116" i="231"/>
  <c r="Q117" i="231"/>
  <c r="R117" i="231"/>
  <c r="Q118" i="231"/>
  <c r="S118" i="231" s="1" a="1"/>
  <c r="S118" i="231" s="1"/>
  <c r="R118" i="231"/>
  <c r="Q119" i="231"/>
  <c r="R119" i="231"/>
  <c r="Q120" i="231"/>
  <c r="R120" i="231"/>
  <c r="Q121" i="231"/>
  <c r="R121" i="231"/>
  <c r="Q122" i="231"/>
  <c r="R122" i="231"/>
  <c r="Q123" i="231"/>
  <c r="S123" i="231" s="1" a="1"/>
  <c r="R123" i="231"/>
  <c r="S123" i="231"/>
  <c r="Q124" i="231"/>
  <c r="R124" i="231"/>
  <c r="Q125" i="231"/>
  <c r="S125" i="231" s="1" a="1"/>
  <c r="S125" i="231" s="1"/>
  <c r="R125" i="231"/>
  <c r="Q126" i="231"/>
  <c r="S126" i="231" s="1" a="1"/>
  <c r="S126" i="231" s="1"/>
  <c r="R126" i="231"/>
  <c r="Q127" i="231"/>
  <c r="S127" i="231" s="1" a="1"/>
  <c r="R127" i="231"/>
  <c r="S127" i="231"/>
  <c r="Q128" i="231"/>
  <c r="S128" i="231" s="1" a="1"/>
  <c r="S128" i="231" s="1"/>
  <c r="R128" i="231"/>
  <c r="Q129" i="231"/>
  <c r="R129" i="231"/>
  <c r="Q130" i="231"/>
  <c r="S130" i="231" s="1" a="1"/>
  <c r="S130" i="231" s="1"/>
  <c r="R130" i="231"/>
  <c r="Q131" i="231"/>
  <c r="S131" i="231" s="1" a="1"/>
  <c r="S131" i="231" s="1"/>
  <c r="R131" i="231"/>
  <c r="Q132" i="231"/>
  <c r="R132" i="231"/>
  <c r="Q133" i="231"/>
  <c r="R133" i="231"/>
  <c r="Q134" i="231"/>
  <c r="S134" i="231" s="1" a="1"/>
  <c r="S134" i="231" s="1"/>
  <c r="R134" i="231"/>
  <c r="Q135" i="231"/>
  <c r="R135" i="231"/>
  <c r="Q136" i="231"/>
  <c r="R136" i="231"/>
  <c r="Q137" i="231"/>
  <c r="R137" i="231"/>
  <c r="S137" i="231" s="1" a="1"/>
  <c r="S137" i="231" s="1"/>
  <c r="Q138" i="231"/>
  <c r="S138" i="231" s="1" a="1"/>
  <c r="S138" i="231" s="1"/>
  <c r="R138" i="231"/>
  <c r="Q139" i="231"/>
  <c r="R139" i="231"/>
  <c r="S139" i="231" a="1"/>
  <c r="S139" i="231" s="1"/>
  <c r="Q140" i="231"/>
  <c r="R140" i="231"/>
  <c r="S140" i="231" a="1"/>
  <c r="S140" i="231" s="1"/>
  <c r="Q141" i="231"/>
  <c r="R141" i="231"/>
  <c r="S141" i="231" s="1" a="1"/>
  <c r="S141" i="231" s="1"/>
  <c r="Q142" i="231"/>
  <c r="S142" i="231" s="1" a="1"/>
  <c r="S142" i="231" s="1"/>
  <c r="R142" i="231"/>
  <c r="Q143" i="231"/>
  <c r="R143" i="231"/>
  <c r="S143" i="231" a="1"/>
  <c r="S143" i="231" s="1"/>
  <c r="Q144" i="231"/>
  <c r="S144" i="231" s="1" a="1"/>
  <c r="S144" i="231" s="1"/>
  <c r="R144" i="231"/>
  <c r="Q145" i="231"/>
  <c r="S145" i="231" s="1" a="1"/>
  <c r="S145" i="231" s="1"/>
  <c r="R145" i="231"/>
  <c r="Q146" i="231"/>
  <c r="R146" i="231"/>
  <c r="S146" i="231" s="1" a="1"/>
  <c r="S146" i="231" s="1"/>
  <c r="Q147" i="231"/>
  <c r="R147" i="231"/>
  <c r="S147" i="231" a="1"/>
  <c r="S147" i="231" s="1"/>
  <c r="Q148" i="231"/>
  <c r="R148" i="231"/>
  <c r="S148" i="231" a="1"/>
  <c r="S148" i="231" s="1"/>
  <c r="Q149" i="231"/>
  <c r="S149" i="231" s="1" a="1"/>
  <c r="S149" i="231" s="1"/>
  <c r="R149" i="231"/>
  <c r="Q150" i="231"/>
  <c r="R150" i="231"/>
  <c r="S150" i="231" s="1" a="1"/>
  <c r="S150" i="231" s="1"/>
  <c r="Q151" i="231"/>
  <c r="S151" i="231" s="1" a="1"/>
  <c r="S151" i="231" s="1"/>
  <c r="R151" i="231"/>
  <c r="Q152" i="231"/>
  <c r="R152" i="231"/>
  <c r="S152" i="231" a="1"/>
  <c r="S152" i="231" s="1"/>
  <c r="Q153" i="231"/>
  <c r="R153" i="231"/>
  <c r="S153" i="231" s="1" a="1"/>
  <c r="S153" i="231" s="1"/>
  <c r="Q154" i="231"/>
  <c r="S154" i="231" s="1" a="1"/>
  <c r="S154" i="231" s="1"/>
  <c r="R154" i="231"/>
  <c r="Q155" i="231"/>
  <c r="R155" i="231"/>
  <c r="S155" i="231" a="1"/>
  <c r="S155" i="231" s="1"/>
  <c r="Q156" i="231"/>
  <c r="R156" i="231"/>
  <c r="S156" i="231" a="1"/>
  <c r="S156" i="231" s="1"/>
  <c r="Q157" i="231"/>
  <c r="R157" i="231"/>
  <c r="S157" i="231" s="1" a="1"/>
  <c r="S157" i="231" s="1"/>
  <c r="Q158" i="231"/>
  <c r="S158" i="231" s="1" a="1"/>
  <c r="S158" i="231" s="1"/>
  <c r="R158" i="231"/>
  <c r="Q159" i="231"/>
  <c r="R159" i="231"/>
  <c r="S159" i="231" a="1"/>
  <c r="S159" i="231" s="1"/>
  <c r="Q160" i="231"/>
  <c r="S160" i="231" s="1" a="1"/>
  <c r="S160" i="231" s="1"/>
  <c r="R160" i="231"/>
  <c r="Q161" i="231"/>
  <c r="S161" i="231" s="1" a="1"/>
  <c r="S161" i="231" s="1"/>
  <c r="R161" i="231"/>
  <c r="Q162" i="231"/>
  <c r="R162" i="231"/>
  <c r="S162" i="231" s="1" a="1"/>
  <c r="S162" i="231" s="1"/>
  <c r="Q163" i="231"/>
  <c r="R163" i="231"/>
  <c r="S163" i="231" a="1"/>
  <c r="S163" i="231" s="1"/>
  <c r="Q164" i="231"/>
  <c r="R164" i="231"/>
  <c r="S164" i="231" a="1"/>
  <c r="S164" i="231" s="1"/>
  <c r="Q165" i="231"/>
  <c r="S165" i="231" s="1" a="1"/>
  <c r="S165" i="231" s="1"/>
  <c r="R165" i="231"/>
  <c r="Q166" i="231"/>
  <c r="R166" i="231"/>
  <c r="S166" i="231" s="1" a="1"/>
  <c r="S166" i="231" s="1"/>
  <c r="Q167" i="231"/>
  <c r="S167" i="231" s="1" a="1"/>
  <c r="S167" i="231" s="1"/>
  <c r="R167" i="231"/>
  <c r="Q168" i="231"/>
  <c r="R168" i="231"/>
  <c r="S168" i="231" a="1"/>
  <c r="S168" i="231" s="1"/>
  <c r="Q169" i="231"/>
  <c r="R169" i="231"/>
  <c r="S169" i="231" s="1" a="1"/>
  <c r="S169" i="231" s="1"/>
  <c r="Q170" i="231"/>
  <c r="S170" i="231" s="1" a="1"/>
  <c r="S170" i="231" s="1"/>
  <c r="R170" i="231"/>
  <c r="Q171" i="231"/>
  <c r="R171" i="231"/>
  <c r="S171" i="231" a="1"/>
  <c r="S171" i="231" s="1"/>
  <c r="Q172" i="231"/>
  <c r="R172" i="231"/>
  <c r="S172" i="231" a="1"/>
  <c r="S172" i="231" s="1"/>
  <c r="Q173" i="231"/>
  <c r="R173" i="231"/>
  <c r="S173" i="231" s="1" a="1"/>
  <c r="S173" i="231" s="1"/>
  <c r="Q174" i="231"/>
  <c r="S174" i="231" s="1" a="1"/>
  <c r="S174" i="231" s="1"/>
  <c r="R174" i="231"/>
  <c r="Q175" i="231"/>
  <c r="R175" i="231"/>
  <c r="S175" i="231" a="1"/>
  <c r="S175" i="231" s="1"/>
  <c r="Q176" i="231"/>
  <c r="S176" i="231" s="1" a="1"/>
  <c r="S176" i="231" s="1"/>
  <c r="R176" i="231"/>
  <c r="Q177" i="231"/>
  <c r="S177" i="231" s="1" a="1"/>
  <c r="S177" i="231" s="1"/>
  <c r="R177" i="231"/>
  <c r="Q178" i="231"/>
  <c r="R178" i="231"/>
  <c r="S178" i="231" s="1" a="1"/>
  <c r="S178" i="231" s="1"/>
  <c r="Q179" i="231"/>
  <c r="R179" i="231"/>
  <c r="S179" i="231" a="1"/>
  <c r="S179" i="231" s="1"/>
  <c r="Q180" i="231"/>
  <c r="R180" i="231"/>
  <c r="S180" i="231" a="1"/>
  <c r="S180" i="231" s="1"/>
  <c r="Q181" i="231"/>
  <c r="S181" i="231" s="1" a="1"/>
  <c r="S181" i="231" s="1"/>
  <c r="R181" i="231"/>
  <c r="Q182" i="231"/>
  <c r="R182" i="231"/>
  <c r="S182" i="231" s="1" a="1"/>
  <c r="S182" i="231" s="1"/>
  <c r="Q183" i="231"/>
  <c r="S183" i="231" s="1" a="1"/>
  <c r="S183" i="231" s="1"/>
  <c r="R183" i="231"/>
  <c r="Q184" i="231"/>
  <c r="R184" i="231"/>
  <c r="S184" i="231" a="1"/>
  <c r="S184" i="231" s="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E7" i="245"/>
  <c r="C20" i="245"/>
  <c r="B20" i="245"/>
  <c r="C19" i="245"/>
  <c r="B19" i="245"/>
  <c r="C18" i="245"/>
  <c r="B18" i="245"/>
  <c r="C17" i="245"/>
  <c r="B17" i="245"/>
  <c r="C16" i="245"/>
  <c r="B16" i="245"/>
  <c r="R15" i="245"/>
  <c r="Q15" i="245"/>
  <c r="N15" i="245"/>
  <c r="M15" i="245"/>
  <c r="L15" i="245"/>
  <c r="K15" i="245"/>
  <c r="J15" i="245"/>
  <c r="I15" i="245"/>
  <c r="S15" i="245" s="1" a="1"/>
  <c r="S15" i="245" s="1"/>
  <c r="C15" i="245"/>
  <c r="B15" i="245"/>
  <c r="B14" i="245"/>
  <c r="E3" i="245"/>
  <c r="E6" i="245" s="1"/>
  <c r="C15" i="231"/>
  <c r="C16" i="231"/>
  <c r="C17" i="231"/>
  <c r="C18" i="231"/>
  <c r="C19" i="231"/>
  <c r="C20" i="231"/>
  <c r="B19" i="231"/>
  <c r="B20" i="231"/>
  <c r="B16" i="231"/>
  <c r="B17" i="231"/>
  <c r="B18" i="231"/>
  <c r="B15" i="231"/>
  <c r="E7" i="231"/>
  <c r="Q16" i="227"/>
  <c r="S16" i="227" s="1" a="1"/>
  <c r="S16" i="227" s="1"/>
  <c r="B20" i="228" s="1"/>
  <c r="R16" i="227"/>
  <c r="Q17" i="227"/>
  <c r="R17" i="227"/>
  <c r="Q18" i="227"/>
  <c r="R18" i="227"/>
  <c r="Q19" i="227"/>
  <c r="R19" i="227"/>
  <c r="Q20" i="227"/>
  <c r="S20" i="227" s="1" a="1"/>
  <c r="S20" i="227" s="1"/>
  <c r="B24" i="228" s="1"/>
  <c r="R20" i="227"/>
  <c r="Q21" i="227"/>
  <c r="S21" i="227" s="1" a="1"/>
  <c r="S21" i="227" s="1"/>
  <c r="B25" i="228" s="1"/>
  <c r="R21" i="227"/>
  <c r="Q22" i="227"/>
  <c r="S22" i="227" s="1" a="1"/>
  <c r="S22" i="227" s="1"/>
  <c r="B26" i="228" s="1"/>
  <c r="R22" i="227"/>
  <c r="Q23" i="227"/>
  <c r="R23" i="227"/>
  <c r="Q24" i="227"/>
  <c r="R24" i="227"/>
  <c r="Q25" i="227"/>
  <c r="R25" i="227"/>
  <c r="Q26" i="227"/>
  <c r="S26" i="227" s="1" a="1"/>
  <c r="S26" i="227" s="1"/>
  <c r="B30" i="228" s="1"/>
  <c r="R26" i="227"/>
  <c r="Q27" i="227"/>
  <c r="S27" i="227" s="1" a="1"/>
  <c r="S27" i="227" s="1"/>
  <c r="B31" i="228" s="1"/>
  <c r="R27" i="227"/>
  <c r="Q28" i="227"/>
  <c r="S28" i="227" s="1" a="1"/>
  <c r="S28" i="227" s="1"/>
  <c r="B32" i="228" s="1"/>
  <c r="R28" i="227"/>
  <c r="Q29" i="227"/>
  <c r="R29" i="227"/>
  <c r="Q30" i="227"/>
  <c r="R30" i="227"/>
  <c r="Q31" i="227"/>
  <c r="R31" i="227"/>
  <c r="Q32" i="227"/>
  <c r="S32" i="227" s="1" a="1"/>
  <c r="S32" i="227" s="1"/>
  <c r="B36" i="228" s="1"/>
  <c r="R32" i="227"/>
  <c r="Q33" i="227"/>
  <c r="R33" i="227"/>
  <c r="Q34" i="227"/>
  <c r="S34" i="227" s="1" a="1"/>
  <c r="S34" i="227" s="1"/>
  <c r="B38" i="228" s="1"/>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J17" i="227"/>
  <c r="K17" i="227"/>
  <c r="L17" i="227"/>
  <c r="M17" i="227"/>
  <c r="N17" i="227"/>
  <c r="I18" i="227"/>
  <c r="J18" i="227"/>
  <c r="K18" i="227"/>
  <c r="L18" i="227"/>
  <c r="M18" i="227"/>
  <c r="N18" i="227"/>
  <c r="C15" i="227"/>
  <c r="C16" i="227"/>
  <c r="C17" i="227"/>
  <c r="C18" i="227"/>
  <c r="B16" i="227"/>
  <c r="B17" i="227"/>
  <c r="B18" i="227"/>
  <c r="B15" i="227"/>
  <c r="B14" i="227"/>
  <c r="C8" i="226"/>
  <c r="C44" i="242"/>
  <c r="C45" i="242"/>
  <c r="C46" i="242"/>
  <c r="C47" i="242"/>
  <c r="C48" i="242"/>
  <c r="C49" i="242"/>
  <c r="C50" i="242"/>
  <c r="C51" i="242"/>
  <c r="C52" i="242"/>
  <c r="C53" i="242"/>
  <c r="C54" i="242"/>
  <c r="C35" i="242"/>
  <c r="C36" i="242"/>
  <c r="C37" i="242"/>
  <c r="C38" i="242"/>
  <c r="C39" i="242"/>
  <c r="C40" i="242"/>
  <c r="C41" i="242"/>
  <c r="C42" i="242"/>
  <c r="C43" i="242"/>
  <c r="C25" i="242"/>
  <c r="C26" i="242"/>
  <c r="C27" i="242"/>
  <c r="C9" i="242"/>
  <c r="C10" i="242"/>
  <c r="C11" i="242"/>
  <c r="C12" i="242"/>
  <c r="C13" i="242"/>
  <c r="C14" i="242"/>
  <c r="C15" i="242"/>
  <c r="C16" i="242"/>
  <c r="C17" i="242"/>
  <c r="C18" i="242"/>
  <c r="C19" i="242"/>
  <c r="C20" i="242"/>
  <c r="C21" i="242"/>
  <c r="C22" i="242"/>
  <c r="C23" i="242"/>
  <c r="C24" i="242"/>
  <c r="L9" i="241"/>
  <c r="L10" i="241"/>
  <c r="L11" i="241"/>
  <c r="L12" i="241"/>
  <c r="L13" i="241"/>
  <c r="L14" i="241"/>
  <c r="L15" i="241"/>
  <c r="L16" i="241"/>
  <c r="L17" i="241"/>
  <c r="L18" i="241"/>
  <c r="L19" i="241"/>
  <c r="L20" i="241"/>
  <c r="L21" i="241"/>
  <c r="L22" i="241"/>
  <c r="L23" i="241"/>
  <c r="L24" i="241"/>
  <c r="L25" i="241"/>
  <c r="L26" i="241"/>
  <c r="L27" i="241"/>
  <c r="L28" i="241"/>
  <c r="L29" i="241"/>
  <c r="L30" i="241"/>
  <c r="L31" i="241"/>
  <c r="L32" i="241"/>
  <c r="L33" i="241"/>
  <c r="L34" i="241"/>
  <c r="L35" i="241"/>
  <c r="L36" i="241"/>
  <c r="L37" i="241"/>
  <c r="L38" i="241"/>
  <c r="L39" i="241"/>
  <c r="L40" i="241"/>
  <c r="J9" i="241"/>
  <c r="J10" i="241"/>
  <c r="J11" i="241"/>
  <c r="J12" i="241"/>
  <c r="J13" i="241"/>
  <c r="J14" i="241"/>
  <c r="J15" i="241"/>
  <c r="J16" i="241"/>
  <c r="J17" i="241"/>
  <c r="J18" i="241"/>
  <c r="J19" i="241"/>
  <c r="J20" i="241"/>
  <c r="J21" i="241"/>
  <c r="J22" i="241"/>
  <c r="J23" i="241"/>
  <c r="J24" i="241"/>
  <c r="J25" i="241"/>
  <c r="J26" i="241"/>
  <c r="J27" i="241"/>
  <c r="J28" i="241"/>
  <c r="J29" i="241"/>
  <c r="J30" i="241"/>
  <c r="J31" i="241"/>
  <c r="J32" i="241"/>
  <c r="J33" i="241"/>
  <c r="J34" i="241"/>
  <c r="J35" i="241"/>
  <c r="J36" i="241"/>
  <c r="J37" i="241"/>
  <c r="J38" i="241"/>
  <c r="J39" i="241"/>
  <c r="J40" i="241"/>
  <c r="B15" i="244"/>
  <c r="B13" i="244"/>
  <c r="B12" i="244"/>
  <c r="B9" i="244"/>
  <c r="B8" i="244"/>
  <c r="B4" i="244"/>
  <c r="R184" i="243"/>
  <c r="Q184" i="243"/>
  <c r="S184" i="243" s="1" a="1"/>
  <c r="S184" i="243" s="1"/>
  <c r="R183" i="243"/>
  <c r="Q183" i="243"/>
  <c r="R182" i="243"/>
  <c r="Q182" i="243"/>
  <c r="S182" i="243" s="1" a="1"/>
  <c r="S182" i="243" s="1"/>
  <c r="R181" i="243"/>
  <c r="Q181" i="243"/>
  <c r="R180" i="243"/>
  <c r="Q180" i="243"/>
  <c r="S180" i="243" s="1" a="1"/>
  <c r="S180" i="243" s="1"/>
  <c r="B184" i="244" s="1"/>
  <c r="R179" i="243"/>
  <c r="Q179" i="243"/>
  <c r="S179" i="243" s="1" a="1"/>
  <c r="S179" i="243" s="1"/>
  <c r="B183" i="244" s="1"/>
  <c r="R178" i="243"/>
  <c r="Q178" i="243"/>
  <c r="S178" i="243" s="1" a="1"/>
  <c r="S178" i="243" s="1"/>
  <c r="B182" i="244" s="1"/>
  <c r="R177" i="243"/>
  <c r="Q177" i="243"/>
  <c r="S177" i="243" s="1" a="1"/>
  <c r="S177" i="243" s="1"/>
  <c r="B181" i="244" s="1"/>
  <c r="R176" i="243"/>
  <c r="Q176" i="243"/>
  <c r="S176" i="243" s="1" a="1"/>
  <c r="S176" i="243" s="1"/>
  <c r="B180" i="244" s="1"/>
  <c r="R175" i="243"/>
  <c r="Q175" i="243"/>
  <c r="R174" i="243"/>
  <c r="Q174" i="243"/>
  <c r="R173" i="243"/>
  <c r="Q173" i="243"/>
  <c r="S173" i="243" s="1" a="1"/>
  <c r="S173" i="243" s="1"/>
  <c r="B177" i="244" s="1"/>
  <c r="R172" i="243"/>
  <c r="Q172" i="243"/>
  <c r="R171" i="243"/>
  <c r="Q171" i="243"/>
  <c r="R170" i="243"/>
  <c r="Q170" i="243"/>
  <c r="R169" i="243"/>
  <c r="Q169" i="243"/>
  <c r="S169" i="243" s="1" a="1"/>
  <c r="S169" i="243" s="1"/>
  <c r="B173" i="244" s="1"/>
  <c r="R168" i="243"/>
  <c r="Q168" i="243"/>
  <c r="R167" i="243"/>
  <c r="Q167" i="243"/>
  <c r="R166" i="243"/>
  <c r="Q166" i="243"/>
  <c r="S166" i="243" s="1" a="1"/>
  <c r="S166" i="243" s="1"/>
  <c r="B170" i="244" s="1"/>
  <c r="R165" i="243"/>
  <c r="Q165" i="243"/>
  <c r="R164" i="243"/>
  <c r="Q164" i="243"/>
  <c r="R163" i="243"/>
  <c r="Q163" i="243"/>
  <c r="S163" i="243" s="1" a="1"/>
  <c r="S163" i="243" s="1"/>
  <c r="B167" i="244" s="1"/>
  <c r="R162" i="243"/>
  <c r="Q162" i="243"/>
  <c r="R161" i="243"/>
  <c r="Q161" i="243"/>
  <c r="S161" i="243" s="1" a="1"/>
  <c r="S161" i="243" s="1"/>
  <c r="B165" i="244" s="1"/>
  <c r="R160" i="243"/>
  <c r="Q160" i="243"/>
  <c r="S160" i="243" s="1" a="1"/>
  <c r="S160" i="243" s="1"/>
  <c r="B164" i="244" s="1"/>
  <c r="R159" i="243"/>
  <c r="Q159" i="243"/>
  <c r="R158" i="243"/>
  <c r="Q158" i="243"/>
  <c r="R157" i="243"/>
  <c r="Q157" i="243"/>
  <c r="S157" i="243" s="1" a="1"/>
  <c r="S157" i="243" s="1"/>
  <c r="B161" i="244" s="1"/>
  <c r="R156" i="243"/>
  <c r="Q156" i="243"/>
  <c r="R155" i="243"/>
  <c r="Q155" i="243"/>
  <c r="R154" i="243"/>
  <c r="Q154" i="243"/>
  <c r="R153" i="243"/>
  <c r="Q153" i="243"/>
  <c r="R152" i="243"/>
  <c r="Q152" i="243"/>
  <c r="R151" i="243"/>
  <c r="Q151" i="243"/>
  <c r="R150" i="243"/>
  <c r="Q150" i="243"/>
  <c r="R149" i="243"/>
  <c r="Q149" i="243"/>
  <c r="R148" i="243"/>
  <c r="Q148" i="243"/>
  <c r="R147" i="243"/>
  <c r="Q147" i="243"/>
  <c r="R146" i="243"/>
  <c r="Q146" i="243"/>
  <c r="R145" i="243"/>
  <c r="Q145" i="243"/>
  <c r="S145" i="243" s="1" a="1"/>
  <c r="S145" i="243" s="1"/>
  <c r="B149" i="244" s="1"/>
  <c r="R144" i="243"/>
  <c r="Q144" i="243"/>
  <c r="S144" i="243" s="1" a="1"/>
  <c r="S144" i="243" s="1"/>
  <c r="B148" i="244" s="1"/>
  <c r="R143" i="243"/>
  <c r="Q143" i="243"/>
  <c r="R142" i="243"/>
  <c r="Q142" i="243"/>
  <c r="R141" i="243"/>
  <c r="Q141" i="243"/>
  <c r="R140" i="243"/>
  <c r="Q140" i="243"/>
  <c r="R139" i="243"/>
  <c r="Q139" i="243"/>
  <c r="R138" i="243"/>
  <c r="Q138" i="243"/>
  <c r="S138" i="243" s="1" a="1"/>
  <c r="S138" i="243" s="1"/>
  <c r="B142" i="244" s="1"/>
  <c r="R137" i="243"/>
  <c r="Q137" i="243"/>
  <c r="S137" i="243" s="1" a="1"/>
  <c r="S137" i="243" s="1"/>
  <c r="B141" i="244" s="1"/>
  <c r="R136" i="243"/>
  <c r="Q136" i="243"/>
  <c r="R135" i="243"/>
  <c r="Q135" i="243"/>
  <c r="R134" i="243"/>
  <c r="Q134" i="243"/>
  <c r="S134" i="243" s="1" a="1"/>
  <c r="S134" i="243" s="1"/>
  <c r="B138" i="244" s="1"/>
  <c r="R133" i="243"/>
  <c r="Q133" i="243"/>
  <c r="R132" i="243"/>
  <c r="Q132" i="243"/>
  <c r="R131" i="243"/>
  <c r="Q131" i="243"/>
  <c r="R130" i="243"/>
  <c r="Q130" i="243"/>
  <c r="R129" i="243"/>
  <c r="Q129" i="243"/>
  <c r="R128" i="243"/>
  <c r="Q128" i="243"/>
  <c r="S128" i="243" s="1" a="1"/>
  <c r="S128" i="243" s="1"/>
  <c r="B132" i="244" s="1"/>
  <c r="R127" i="243"/>
  <c r="Q127" i="243"/>
  <c r="R126" i="243"/>
  <c r="Q126" i="243"/>
  <c r="R125" i="243"/>
  <c r="Q125" i="243"/>
  <c r="S125" i="243" s="1" a="1"/>
  <c r="S125" i="243" s="1"/>
  <c r="B129" i="244" s="1"/>
  <c r="R124" i="243"/>
  <c r="Q124" i="243"/>
  <c r="R123" i="243"/>
  <c r="Q123" i="243"/>
  <c r="R122" i="243"/>
  <c r="Q122" i="243"/>
  <c r="R121" i="243"/>
  <c r="Q121" i="243"/>
  <c r="S121" i="243" s="1" a="1"/>
  <c r="S121" i="243" s="1"/>
  <c r="B125" i="244" s="1"/>
  <c r="R120" i="243"/>
  <c r="Q120" i="243"/>
  <c r="R119" i="243"/>
  <c r="Q119" i="243"/>
  <c r="R118" i="243"/>
  <c r="Q118" i="243"/>
  <c r="S118" i="243" s="1" a="1"/>
  <c r="S118" i="243" s="1"/>
  <c r="B122" i="244" s="1"/>
  <c r="R117" i="243"/>
  <c r="Q117" i="243"/>
  <c r="R116" i="243"/>
  <c r="Q116" i="243"/>
  <c r="R115" i="243"/>
  <c r="Q115" i="243"/>
  <c r="S115" i="243" s="1" a="1"/>
  <c r="S115" i="243" s="1"/>
  <c r="B119" i="244" s="1"/>
  <c r="R114" i="243"/>
  <c r="Q114" i="243"/>
  <c r="R113" i="243"/>
  <c r="Q113" i="243"/>
  <c r="S113" i="243" s="1" a="1"/>
  <c r="S113" i="243" s="1"/>
  <c r="B117" i="244" s="1"/>
  <c r="R112" i="243"/>
  <c r="Q112" i="243"/>
  <c r="S112" i="243" s="1" a="1"/>
  <c r="S112" i="243" s="1"/>
  <c r="B116" i="244" s="1"/>
  <c r="R111" i="243"/>
  <c r="Q111" i="243"/>
  <c r="R110" i="243"/>
  <c r="Q110" i="243"/>
  <c r="R109" i="243"/>
  <c r="Q109" i="243"/>
  <c r="S109" i="243" s="1" a="1"/>
  <c r="S109" i="243" s="1"/>
  <c r="B113" i="244" s="1"/>
  <c r="R108" i="243"/>
  <c r="Q108" i="243"/>
  <c r="S108" i="243" s="1" a="1"/>
  <c r="S108" i="243" s="1"/>
  <c r="B112" i="244" s="1"/>
  <c r="R107" i="243"/>
  <c r="Q107" i="243"/>
  <c r="S107" i="243" s="1" a="1"/>
  <c r="S107" i="243" s="1"/>
  <c r="B111" i="244" s="1"/>
  <c r="S106" i="243" a="1"/>
  <c r="S106" i="243" s="1"/>
  <c r="B110" i="244" s="1"/>
  <c r="R106" i="243"/>
  <c r="Q106" i="243"/>
  <c r="R105" i="243"/>
  <c r="Q105" i="243"/>
  <c r="R104" i="243"/>
  <c r="S104" i="243" s="1" a="1"/>
  <c r="S104" i="243" s="1"/>
  <c r="B108" i="244" s="1"/>
  <c r="Q104" i="243"/>
  <c r="R103" i="243"/>
  <c r="Q103" i="243"/>
  <c r="S103" i="243" s="1" a="1"/>
  <c r="S103" i="243" s="1"/>
  <c r="B107" i="244" s="1"/>
  <c r="R102" i="243"/>
  <c r="Q102" i="243"/>
  <c r="R101" i="243"/>
  <c r="Q101" i="243"/>
  <c r="S101" i="243" s="1" a="1"/>
  <c r="S101" i="243" s="1"/>
  <c r="B105" i="244" s="1"/>
  <c r="R100" i="243"/>
  <c r="Q100" i="243"/>
  <c r="S100" i="243" s="1" a="1"/>
  <c r="S100" i="243" s="1"/>
  <c r="B104" i="244" s="1"/>
  <c r="R99" i="243"/>
  <c r="Q99" i="243"/>
  <c r="R98" i="243"/>
  <c r="Q98" i="243"/>
  <c r="R97" i="243"/>
  <c r="S97" i="243" s="1" a="1"/>
  <c r="S97" i="243" s="1"/>
  <c r="B101" i="244" s="1"/>
  <c r="Q97" i="243"/>
  <c r="R96" i="243"/>
  <c r="S96" i="243" s="1" a="1"/>
  <c r="S96" i="243" s="1"/>
  <c r="B100" i="244" s="1"/>
  <c r="Q96" i="243"/>
  <c r="R95" i="243"/>
  <c r="Q95" i="243"/>
  <c r="S95" i="243" s="1" a="1"/>
  <c r="S95" i="243" s="1"/>
  <c r="B99" i="244" s="1"/>
  <c r="R94" i="243"/>
  <c r="Q94" i="243"/>
  <c r="S94" i="243" s="1" a="1"/>
  <c r="S94" i="243" s="1"/>
  <c r="B98" i="244" s="1"/>
  <c r="R93" i="243"/>
  <c r="Q93" i="243"/>
  <c r="R92" i="243"/>
  <c r="Q92" i="243"/>
  <c r="S92" i="243" s="1" a="1"/>
  <c r="S92" i="243" s="1"/>
  <c r="B96" i="244" s="1"/>
  <c r="R91" i="243"/>
  <c r="Q91" i="243"/>
  <c r="S91" i="243" s="1" a="1"/>
  <c r="S91" i="243" s="1"/>
  <c r="B95" i="244" s="1"/>
  <c r="S90" i="243" a="1"/>
  <c r="S90" i="243" s="1"/>
  <c r="B94" i="244" s="1"/>
  <c r="R90" i="243"/>
  <c r="Q90" i="243"/>
  <c r="R89" i="243"/>
  <c r="S89" i="243" s="1" a="1"/>
  <c r="S89" i="243" s="1"/>
  <c r="B93" i="244" s="1"/>
  <c r="Q89" i="243"/>
  <c r="R88" i="243"/>
  <c r="S88" i="243" s="1" a="1"/>
  <c r="S88" i="243" s="1"/>
  <c r="B92" i="244" s="1"/>
  <c r="Q88" i="243"/>
  <c r="R87" i="243"/>
  <c r="Q87" i="243"/>
  <c r="R86" i="243"/>
  <c r="Q86" i="243"/>
  <c r="S86" i="243" s="1" a="1"/>
  <c r="S86" i="243" s="1"/>
  <c r="B90" i="244" s="1"/>
  <c r="R85" i="243"/>
  <c r="Q85" i="243"/>
  <c r="S85" i="243" s="1" a="1"/>
  <c r="S85" i="243" s="1"/>
  <c r="B89" i="244" s="1"/>
  <c r="R84" i="243"/>
  <c r="Q84" i="243"/>
  <c r="S84" i="243" s="1" a="1"/>
  <c r="S84" i="243" s="1"/>
  <c r="B88" i="244" s="1"/>
  <c r="S83" i="243" a="1"/>
  <c r="S83" i="243" s="1"/>
  <c r="B87" i="244" s="1"/>
  <c r="R83" i="243"/>
  <c r="Q83" i="243"/>
  <c r="R82" i="243"/>
  <c r="Q82" i="243"/>
  <c r="S82" i="243" s="1" a="1"/>
  <c r="S82" i="243" s="1"/>
  <c r="B86" i="244" s="1"/>
  <c r="R81" i="243"/>
  <c r="Q81" i="243"/>
  <c r="R80" i="243"/>
  <c r="S80" i="243" s="1" a="1"/>
  <c r="S80" i="243" s="1"/>
  <c r="B84" i="244" s="1"/>
  <c r="Q80" i="243"/>
  <c r="R79" i="243"/>
  <c r="Q79" i="243"/>
  <c r="S79" i="243" s="1" a="1"/>
  <c r="S79" i="243" s="1"/>
  <c r="B83" i="244" s="1"/>
  <c r="R78" i="243"/>
  <c r="Q78" i="243"/>
  <c r="R77" i="243"/>
  <c r="Q77" i="243"/>
  <c r="S77" i="243" s="1" a="1"/>
  <c r="S77" i="243" s="1"/>
  <c r="B81" i="244" s="1"/>
  <c r="R76" i="243"/>
  <c r="Q76" i="243"/>
  <c r="S76" i="243" s="1" a="1"/>
  <c r="S76" i="243" s="1"/>
  <c r="B80" i="244" s="1"/>
  <c r="R75" i="243"/>
  <c r="Q75" i="243"/>
  <c r="S74" i="243" a="1"/>
  <c r="S74" i="243" s="1"/>
  <c r="B78" i="244" s="1"/>
  <c r="R74" i="243"/>
  <c r="Q74" i="243"/>
  <c r="R73" i="243"/>
  <c r="S73" i="243" s="1" a="1"/>
  <c r="S73" i="243" s="1"/>
  <c r="B77" i="244" s="1"/>
  <c r="Q73" i="243"/>
  <c r="R72" i="243"/>
  <c r="S72" i="243" s="1" a="1"/>
  <c r="S72" i="243" s="1"/>
  <c r="B76" i="244" s="1"/>
  <c r="Q72" i="243"/>
  <c r="S71" i="243" a="1"/>
  <c r="S71" i="243" s="1"/>
  <c r="B75" i="244" s="1"/>
  <c r="R71" i="243"/>
  <c r="Q71" i="243"/>
  <c r="R70" i="243"/>
  <c r="Q70" i="243"/>
  <c r="S70" i="243" s="1" a="1"/>
  <c r="S70" i="243" s="1"/>
  <c r="B74" i="244" s="1"/>
  <c r="R69" i="243"/>
  <c r="Q69" i="243"/>
  <c r="R68" i="243"/>
  <c r="Q68" i="243"/>
  <c r="S68" i="243" s="1" a="1"/>
  <c r="S68" i="243" s="1"/>
  <c r="B72" i="244" s="1"/>
  <c r="S67" i="243" a="1"/>
  <c r="S67" i="243" s="1"/>
  <c r="B71" i="244" s="1"/>
  <c r="R67" i="243"/>
  <c r="Q67" i="243"/>
  <c r="R66" i="243"/>
  <c r="Q66" i="243"/>
  <c r="S66" i="243" s="1" a="1"/>
  <c r="S66" i="243" s="1"/>
  <c r="B70" i="244" s="1"/>
  <c r="R65" i="243"/>
  <c r="S65" i="243" s="1" a="1"/>
  <c r="S65" i="243" s="1"/>
  <c r="B69" i="244" s="1"/>
  <c r="Q65" i="243"/>
  <c r="R64" i="243"/>
  <c r="S64" i="243" s="1" a="1"/>
  <c r="S64" i="243" s="1"/>
  <c r="B68" i="244" s="1"/>
  <c r="Q64" i="243"/>
  <c r="R63" i="243"/>
  <c r="Q63" i="243"/>
  <c r="S62" i="243" a="1"/>
  <c r="S62" i="243" s="1"/>
  <c r="B66" i="244" s="1"/>
  <c r="R62" i="243"/>
  <c r="Q62" i="243"/>
  <c r="R61" i="243"/>
  <c r="Q61" i="243"/>
  <c r="S61" i="243" s="1" a="1"/>
  <c r="S61" i="243" s="1"/>
  <c r="B65" i="244" s="1"/>
  <c r="R60" i="243"/>
  <c r="Q60" i="243"/>
  <c r="S60" i="243" s="1" a="1"/>
  <c r="S60" i="243" s="1"/>
  <c r="B64" i="244" s="1"/>
  <c r="R59" i="243"/>
  <c r="Q59" i="243"/>
  <c r="S59" i="243" s="1" a="1"/>
  <c r="S59" i="243" s="1"/>
  <c r="B63" i="244" s="1"/>
  <c r="R58" i="243"/>
  <c r="Q58" i="243"/>
  <c r="R57" i="243"/>
  <c r="Q57" i="243"/>
  <c r="R56" i="243"/>
  <c r="S56" i="243" s="1" a="1"/>
  <c r="S56" i="243" s="1"/>
  <c r="B60" i="244" s="1"/>
  <c r="Q56" i="243"/>
  <c r="R55" i="243"/>
  <c r="S55" i="243" s="1" a="1"/>
  <c r="S55" i="243" s="1"/>
  <c r="B59" i="244" s="1"/>
  <c r="Q55" i="243"/>
  <c r="R54" i="243"/>
  <c r="S54" i="243" s="1" a="1"/>
  <c r="S54" i="243" s="1"/>
  <c r="B58" i="244" s="1"/>
  <c r="Q54" i="243"/>
  <c r="R53" i="243"/>
  <c r="S53" i="243" s="1" a="1"/>
  <c r="S53" i="243" s="1"/>
  <c r="B57" i="244" s="1"/>
  <c r="Q53" i="243"/>
  <c r="R52" i="243"/>
  <c r="S52" i="243" s="1" a="1"/>
  <c r="S52" i="243" s="1"/>
  <c r="B56" i="244" s="1"/>
  <c r="Q52" i="243"/>
  <c r="R51" i="243"/>
  <c r="Q51" i="243"/>
  <c r="R50" i="243"/>
  <c r="Q50" i="243"/>
  <c r="R49" i="243"/>
  <c r="Q49" i="243"/>
  <c r="S49" i="243" s="1" a="1"/>
  <c r="S49" i="243" s="1"/>
  <c r="B53" i="244" s="1"/>
  <c r="R48" i="243"/>
  <c r="S48" i="243" s="1" a="1"/>
  <c r="S48" i="243" s="1"/>
  <c r="B52" i="244" s="1"/>
  <c r="Q48" i="243"/>
  <c r="R47" i="243"/>
  <c r="Q47" i="243"/>
  <c r="S47" i="243" s="1" a="1"/>
  <c r="S47" i="243" s="1"/>
  <c r="B51" i="244" s="1"/>
  <c r="R46" i="243"/>
  <c r="S46" i="243" s="1" a="1"/>
  <c r="S46" i="243" s="1"/>
  <c r="B50" i="244" s="1"/>
  <c r="Q46" i="243"/>
  <c r="R45" i="243"/>
  <c r="Q45" i="243"/>
  <c r="R44" i="243"/>
  <c r="S44" i="243" s="1" a="1"/>
  <c r="S44" i="243" s="1"/>
  <c r="B48" i="244" s="1"/>
  <c r="Q44" i="243"/>
  <c r="R43" i="243"/>
  <c r="Q43" i="243"/>
  <c r="S43" i="243" s="1" a="1"/>
  <c r="S43" i="243" s="1"/>
  <c r="B47" i="244" s="1"/>
  <c r="R42" i="243"/>
  <c r="S42" i="243" s="1" a="1"/>
  <c r="S42" i="243" s="1"/>
  <c r="B46" i="244" s="1"/>
  <c r="Q42" i="243"/>
  <c r="R41" i="243"/>
  <c r="Q41" i="243"/>
  <c r="S41" i="243" s="1" a="1"/>
  <c r="S41" i="243" s="1"/>
  <c r="B45" i="244" s="1"/>
  <c r="N41" i="243"/>
  <c r="M41" i="243"/>
  <c r="L41" i="243"/>
  <c r="K41" i="243"/>
  <c r="J41" i="243"/>
  <c r="R40" i="243"/>
  <c r="Q40" i="243"/>
  <c r="S40" i="243" s="1" a="1"/>
  <c r="S40" i="243" s="1"/>
  <c r="B44" i="244" s="1"/>
  <c r="N40" i="243"/>
  <c r="M40" i="243"/>
  <c r="L40" i="243"/>
  <c r="K40" i="243"/>
  <c r="J40" i="243"/>
  <c r="R39" i="243"/>
  <c r="Q39" i="243"/>
  <c r="N39" i="243"/>
  <c r="M39" i="243"/>
  <c r="L39" i="243"/>
  <c r="K39" i="243"/>
  <c r="J39" i="243"/>
  <c r="R38" i="243"/>
  <c r="Q38" i="243"/>
  <c r="S38" i="243" s="1" a="1"/>
  <c r="S38" i="243" s="1"/>
  <c r="B42" i="244" s="1"/>
  <c r="N38" i="243"/>
  <c r="M38" i="243"/>
  <c r="L38" i="243"/>
  <c r="K38" i="243"/>
  <c r="J38" i="243"/>
  <c r="R37" i="243"/>
  <c r="S37" i="243" s="1" a="1"/>
  <c r="S37" i="243" s="1"/>
  <c r="B41" i="244" s="1"/>
  <c r="Q37" i="243"/>
  <c r="N37" i="243"/>
  <c r="M37" i="243"/>
  <c r="L37" i="243"/>
  <c r="K37" i="243"/>
  <c r="J37" i="243"/>
  <c r="R36" i="243"/>
  <c r="Q36" i="243"/>
  <c r="S36" i="243" s="1" a="1"/>
  <c r="S36" i="243" s="1"/>
  <c r="B40" i="244" s="1"/>
  <c r="N36" i="243"/>
  <c r="M36" i="243"/>
  <c r="L36" i="243"/>
  <c r="K36" i="243"/>
  <c r="J36" i="243"/>
  <c r="R35" i="243"/>
  <c r="S35" i="243" s="1" a="1"/>
  <c r="S35" i="243" s="1"/>
  <c r="B39" i="244" s="1"/>
  <c r="Q35" i="243"/>
  <c r="N35" i="243"/>
  <c r="M35" i="243"/>
  <c r="L35" i="243"/>
  <c r="K35" i="243"/>
  <c r="J35" i="243"/>
  <c r="R34" i="243"/>
  <c r="Q34" i="243"/>
  <c r="N34" i="243"/>
  <c r="M34" i="243"/>
  <c r="L34" i="243"/>
  <c r="K34" i="243"/>
  <c r="J34" i="243"/>
  <c r="R33" i="243"/>
  <c r="Q33" i="243"/>
  <c r="N33" i="243"/>
  <c r="M33" i="243"/>
  <c r="L33" i="243"/>
  <c r="K33" i="243"/>
  <c r="J33" i="243"/>
  <c r="R32" i="243"/>
  <c r="Q32" i="243"/>
  <c r="S32" i="243" s="1" a="1"/>
  <c r="S32" i="243" s="1"/>
  <c r="B36" i="244" s="1"/>
  <c r="N32" i="243"/>
  <c r="M32" i="243"/>
  <c r="L32" i="243"/>
  <c r="K32" i="243"/>
  <c r="J32" i="243"/>
  <c r="R31" i="243"/>
  <c r="S31" i="243" s="1" a="1"/>
  <c r="S31" i="243" s="1"/>
  <c r="B35" i="244" s="1"/>
  <c r="Q31" i="243"/>
  <c r="N31" i="243"/>
  <c r="M31" i="243"/>
  <c r="L31" i="243"/>
  <c r="K31" i="243"/>
  <c r="J31" i="243"/>
  <c r="R30" i="243"/>
  <c r="Q30" i="243"/>
  <c r="N30" i="243"/>
  <c r="M30" i="243"/>
  <c r="L30" i="243"/>
  <c r="K30" i="243"/>
  <c r="J30" i="243"/>
  <c r="R29" i="243"/>
  <c r="S29" i="243" s="1" a="1"/>
  <c r="S29" i="243" s="1"/>
  <c r="B33" i="244" s="1"/>
  <c r="Q29" i="243"/>
  <c r="N29" i="243"/>
  <c r="M29" i="243"/>
  <c r="L29" i="243"/>
  <c r="K29" i="243"/>
  <c r="J29" i="243"/>
  <c r="R28" i="243"/>
  <c r="Q28" i="243"/>
  <c r="S28" i="243" s="1" a="1"/>
  <c r="S28" i="243" s="1"/>
  <c r="B32" i="244" s="1"/>
  <c r="N28" i="243"/>
  <c r="M28" i="243"/>
  <c r="L28" i="243"/>
  <c r="K28" i="243"/>
  <c r="J28" i="243"/>
  <c r="R27" i="243"/>
  <c r="Q27" i="243"/>
  <c r="N27" i="243"/>
  <c r="M27" i="243"/>
  <c r="L27" i="243"/>
  <c r="K27" i="243"/>
  <c r="J27" i="243"/>
  <c r="R26" i="243"/>
  <c r="Q26" i="243"/>
  <c r="S26" i="243" s="1" a="1"/>
  <c r="S26" i="243" s="1"/>
  <c r="B30" i="244" s="1"/>
  <c r="N26" i="243"/>
  <c r="M26" i="243"/>
  <c r="L26" i="243"/>
  <c r="K26" i="243"/>
  <c r="J26" i="243"/>
  <c r="R25" i="243"/>
  <c r="S25" i="243" s="1" a="1"/>
  <c r="S25" i="243" s="1"/>
  <c r="B29" i="244" s="1"/>
  <c r="Q25" i="243"/>
  <c r="N25" i="243"/>
  <c r="M25" i="243"/>
  <c r="L25" i="243"/>
  <c r="S78" i="243" s="1" a="1"/>
  <c r="S78" i="243" s="1"/>
  <c r="B82" i="244" s="1"/>
  <c r="K25" i="243"/>
  <c r="J25" i="243"/>
  <c r="R24" i="243"/>
  <c r="Q24" i="243"/>
  <c r="S24" i="243" s="1" a="1"/>
  <c r="S24" i="243" s="1"/>
  <c r="B28" i="244" s="1"/>
  <c r="N24" i="243"/>
  <c r="M24" i="243"/>
  <c r="L24" i="243"/>
  <c r="K24" i="243"/>
  <c r="J24" i="243"/>
  <c r="R23" i="243"/>
  <c r="S23" i="243" s="1" a="1"/>
  <c r="S23" i="243" s="1"/>
  <c r="B27" i="244" s="1"/>
  <c r="Q23" i="243"/>
  <c r="N23" i="243"/>
  <c r="M23" i="243"/>
  <c r="L23" i="243"/>
  <c r="K23" i="243"/>
  <c r="J23" i="243"/>
  <c r="R22" i="243"/>
  <c r="Q22" i="243"/>
  <c r="S22" i="243" s="1" a="1"/>
  <c r="S22" i="243" s="1"/>
  <c r="B26" i="244" s="1"/>
  <c r="N22" i="243"/>
  <c r="M22" i="243"/>
  <c r="L22" i="243"/>
  <c r="K22" i="243"/>
  <c r="J22" i="243"/>
  <c r="S58" i="243" s="1" a="1"/>
  <c r="S58" i="243" s="1"/>
  <c r="B62" i="244" s="1"/>
  <c r="R21" i="243"/>
  <c r="Q21" i="243"/>
  <c r="N21" i="243"/>
  <c r="M21" i="243"/>
  <c r="L21" i="243"/>
  <c r="K21" i="243"/>
  <c r="J21" i="243"/>
  <c r="R20" i="243"/>
  <c r="Q20" i="243"/>
  <c r="S20" i="243" s="1" a="1"/>
  <c r="S20" i="243" s="1"/>
  <c r="B24" i="244" s="1"/>
  <c r="N20" i="243"/>
  <c r="M20" i="243"/>
  <c r="L20" i="243"/>
  <c r="K20" i="243"/>
  <c r="J20" i="243"/>
  <c r="R19" i="243"/>
  <c r="S19" i="243" s="1" a="1"/>
  <c r="S19" i="243" s="1"/>
  <c r="B23" i="244" s="1"/>
  <c r="Q19" i="243"/>
  <c r="N19" i="243"/>
  <c r="M19" i="243"/>
  <c r="L19" i="243"/>
  <c r="K19" i="243"/>
  <c r="J19" i="243"/>
  <c r="R18" i="243"/>
  <c r="Q18" i="243"/>
  <c r="S18" i="243" s="1" a="1"/>
  <c r="S18" i="243" s="1"/>
  <c r="B22" i="244" s="1"/>
  <c r="N18" i="243"/>
  <c r="M18" i="243"/>
  <c r="L18" i="243"/>
  <c r="K18" i="243"/>
  <c r="J18" i="243"/>
  <c r="R17" i="243"/>
  <c r="S17" i="243" s="1" a="1"/>
  <c r="S17" i="243" s="1"/>
  <c r="B21" i="244" s="1"/>
  <c r="Q17" i="243"/>
  <c r="N17" i="243"/>
  <c r="M17" i="243"/>
  <c r="L17" i="243"/>
  <c r="K17" i="243"/>
  <c r="J17" i="243"/>
  <c r="R16" i="243"/>
  <c r="Q16" i="243"/>
  <c r="S16" i="243" s="1" a="1"/>
  <c r="S16" i="243" s="1"/>
  <c r="B20" i="244" s="1"/>
  <c r="N16" i="243"/>
  <c r="M16" i="243"/>
  <c r="L16" i="243"/>
  <c r="K16" i="243"/>
  <c r="J16" i="243"/>
  <c r="R15" i="243"/>
  <c r="Q15" i="243"/>
  <c r="N15" i="243"/>
  <c r="M15" i="243"/>
  <c r="L15" i="243"/>
  <c r="K15" i="243"/>
  <c r="J15" i="243"/>
  <c r="B14" i="243"/>
  <c r="E7" i="243"/>
  <c r="B17" i="244" s="1"/>
  <c r="C2" i="242"/>
  <c r="C1" i="242"/>
  <c r="J8" i="241"/>
  <c r="L8" i="241" s="1"/>
  <c r="C34" i="242" s="1"/>
  <c r="J7" i="241"/>
  <c r="C7" i="242" s="1"/>
  <c r="J6" i="241"/>
  <c r="C6" i="242" s="1"/>
  <c r="J5" i="241"/>
  <c r="C5" i="242" s="1"/>
  <c r="J4" i="241"/>
  <c r="C4" i="242" s="1"/>
  <c r="L3" i="241"/>
  <c r="J3" i="241"/>
  <c r="C3" i="242" s="1"/>
  <c r="C35" i="238"/>
  <c r="C36" i="238"/>
  <c r="C37" i="238"/>
  <c r="C38" i="238"/>
  <c r="C39" i="238"/>
  <c r="C40" i="238"/>
  <c r="C41" i="238"/>
  <c r="C42" i="238"/>
  <c r="C43" i="238"/>
  <c r="C9" i="238"/>
  <c r="C10" i="238"/>
  <c r="C11" i="238"/>
  <c r="C12" i="238"/>
  <c r="C13" i="238"/>
  <c r="C14" i="238"/>
  <c r="C15" i="238"/>
  <c r="C16" i="238"/>
  <c r="C17" i="238"/>
  <c r="C18" i="238"/>
  <c r="C19" i="238"/>
  <c r="C20" i="238"/>
  <c r="C21" i="238"/>
  <c r="C22" i="238"/>
  <c r="C23" i="238"/>
  <c r="C24" i="238"/>
  <c r="L9" i="237"/>
  <c r="L10" i="237"/>
  <c r="L11" i="237"/>
  <c r="L12" i="237"/>
  <c r="L13" i="237"/>
  <c r="L14" i="237"/>
  <c r="L15" i="237"/>
  <c r="L16" i="237"/>
  <c r="L17" i="237"/>
  <c r="L18" i="237"/>
  <c r="L19" i="237"/>
  <c r="L20" i="237"/>
  <c r="L21" i="237"/>
  <c r="L22" i="237"/>
  <c r="L23" i="237"/>
  <c r="L24" i="237"/>
  <c r="L25" i="237"/>
  <c r="L26" i="237"/>
  <c r="L27" i="237"/>
  <c r="L28" i="237"/>
  <c r="L29" i="237"/>
  <c r="L30" i="237"/>
  <c r="L31" i="237"/>
  <c r="L32" i="237"/>
  <c r="L33" i="237"/>
  <c r="L34" i="237"/>
  <c r="L35" i="237"/>
  <c r="L36" i="237"/>
  <c r="L37" i="237"/>
  <c r="L38" i="237"/>
  <c r="L39" i="237"/>
  <c r="L40" i="237"/>
  <c r="J9" i="237"/>
  <c r="J10" i="237"/>
  <c r="J11" i="237"/>
  <c r="J12" i="237"/>
  <c r="J13" i="237"/>
  <c r="J14" i="237"/>
  <c r="J15" i="237"/>
  <c r="J16" i="237"/>
  <c r="J17" i="237"/>
  <c r="J18" i="237"/>
  <c r="J19" i="237"/>
  <c r="J20" i="237"/>
  <c r="J21" i="237"/>
  <c r="J22" i="237"/>
  <c r="J23" i="237"/>
  <c r="J24" i="237"/>
  <c r="J25" i="237"/>
  <c r="J26" i="237"/>
  <c r="J27" i="237"/>
  <c r="J28" i="237"/>
  <c r="J29" i="237"/>
  <c r="J30" i="237"/>
  <c r="J31" i="237"/>
  <c r="J32" i="237"/>
  <c r="J33" i="237"/>
  <c r="J34" i="237"/>
  <c r="J35" i="237"/>
  <c r="J36" i="237"/>
  <c r="J37" i="237"/>
  <c r="J38" i="237"/>
  <c r="J39" i="237"/>
  <c r="J40" i="237"/>
  <c r="B15" i="240"/>
  <c r="B13" i="240"/>
  <c r="B12" i="240"/>
  <c r="B9" i="240"/>
  <c r="B8" i="240"/>
  <c r="B4" i="240"/>
  <c r="R184" i="239"/>
  <c r="Q184" i="239"/>
  <c r="S184" i="239" s="1" a="1"/>
  <c r="S184" i="239" s="1"/>
  <c r="S183" i="239" a="1"/>
  <c r="S183" i="239" s="1"/>
  <c r="R183" i="239"/>
  <c r="Q183" i="239"/>
  <c r="R182" i="239"/>
  <c r="Q182" i="239"/>
  <c r="S182" i="239" s="1" a="1"/>
  <c r="S182" i="239" s="1"/>
  <c r="R181" i="239"/>
  <c r="Q181" i="239"/>
  <c r="S181" i="239" s="1" a="1"/>
  <c r="S181" i="239" s="1"/>
  <c r="R180" i="239"/>
  <c r="Q180" i="239"/>
  <c r="S180" i="239" s="1" a="1"/>
  <c r="S180" i="239" s="1"/>
  <c r="B184" i="240" s="1"/>
  <c r="R179" i="239"/>
  <c r="Q179" i="239"/>
  <c r="S179" i="239" s="1" a="1"/>
  <c r="S179" i="239" s="1"/>
  <c r="B183" i="240" s="1"/>
  <c r="R178" i="239"/>
  <c r="Q178" i="239"/>
  <c r="S178" i="239" s="1" a="1"/>
  <c r="S178" i="239" s="1"/>
  <c r="B182" i="240" s="1"/>
  <c r="S177" i="239" a="1"/>
  <c r="S177" i="239" s="1"/>
  <c r="B181" i="240" s="1"/>
  <c r="R177" i="239"/>
  <c r="Q177" i="239"/>
  <c r="R176" i="239"/>
  <c r="Q176" i="239"/>
  <c r="S176" i="239" s="1" a="1"/>
  <c r="S176" i="239" s="1"/>
  <c r="B180" i="240" s="1"/>
  <c r="S175" i="239" a="1"/>
  <c r="S175" i="239" s="1"/>
  <c r="B179" i="240" s="1"/>
  <c r="R175" i="239"/>
  <c r="Q175" i="239"/>
  <c r="R174" i="239"/>
  <c r="Q174" i="239"/>
  <c r="R173" i="239"/>
  <c r="Q173" i="239"/>
  <c r="S173" i="239" s="1" a="1"/>
  <c r="S173" i="239" s="1"/>
  <c r="B177" i="240" s="1"/>
  <c r="R172" i="239"/>
  <c r="Q172" i="239"/>
  <c r="R171" i="239"/>
  <c r="Q171" i="239"/>
  <c r="R170" i="239"/>
  <c r="Q170" i="239"/>
  <c r="R169" i="239"/>
  <c r="Q169" i="239"/>
  <c r="R168" i="239"/>
  <c r="Q168" i="239"/>
  <c r="R167" i="239"/>
  <c r="Q167" i="239"/>
  <c r="R166" i="239"/>
  <c r="Q166" i="239"/>
  <c r="R165" i="239"/>
  <c r="Q165" i="239"/>
  <c r="R164" i="239"/>
  <c r="Q164" i="239"/>
  <c r="R163" i="239"/>
  <c r="Q163" i="239"/>
  <c r="S163" i="239" s="1" a="1"/>
  <c r="S163" i="239" s="1"/>
  <c r="B167" i="240" s="1"/>
  <c r="R162" i="239"/>
  <c r="Q162" i="239"/>
  <c r="R161" i="239"/>
  <c r="Q161" i="239"/>
  <c r="R160" i="239"/>
  <c r="Q160" i="239"/>
  <c r="S160" i="239" s="1" a="1"/>
  <c r="S160" i="239" s="1"/>
  <c r="B164" i="240" s="1"/>
  <c r="R159" i="239"/>
  <c r="Q159" i="239"/>
  <c r="R158" i="239"/>
  <c r="Q158" i="239"/>
  <c r="R157" i="239"/>
  <c r="Q157" i="239"/>
  <c r="S157" i="239" s="1" a="1"/>
  <c r="S157" i="239" s="1"/>
  <c r="B161" i="240" s="1"/>
  <c r="R156" i="239"/>
  <c r="Q156" i="239"/>
  <c r="R155" i="239"/>
  <c r="Q155" i="239"/>
  <c r="S155" i="239" s="1" a="1"/>
  <c r="S155" i="239" s="1"/>
  <c r="B159" i="240" s="1"/>
  <c r="R154" i="239"/>
  <c r="Q154" i="239"/>
  <c r="R153" i="239"/>
  <c r="Q153" i="239"/>
  <c r="R152" i="239"/>
  <c r="Q152" i="239"/>
  <c r="S152" i="239" s="1" a="1"/>
  <c r="S152" i="239" s="1"/>
  <c r="B156" i="240" s="1"/>
  <c r="S151" i="239" a="1"/>
  <c r="S151" i="239" s="1"/>
  <c r="B155" i="240" s="1"/>
  <c r="R151" i="239"/>
  <c r="Q151" i="239"/>
  <c r="R150" i="239"/>
  <c r="Q150" i="239"/>
  <c r="R149" i="239"/>
  <c r="Q149" i="239"/>
  <c r="S149" i="239" s="1" a="1"/>
  <c r="S149" i="239" s="1"/>
  <c r="B153" i="240" s="1"/>
  <c r="R148" i="239"/>
  <c r="Q148" i="239"/>
  <c r="R147" i="239"/>
  <c r="Q147" i="239"/>
  <c r="R146" i="239"/>
  <c r="Q146" i="239"/>
  <c r="S146" i="239" s="1" a="1"/>
  <c r="S146" i="239" s="1"/>
  <c r="B150" i="240" s="1"/>
  <c r="R145" i="239"/>
  <c r="Q145" i="239"/>
  <c r="S145" i="239" s="1" a="1"/>
  <c r="S145" i="239" s="1"/>
  <c r="B149" i="240" s="1"/>
  <c r="S144" i="239" a="1"/>
  <c r="S144" i="239" s="1"/>
  <c r="B148" i="240" s="1"/>
  <c r="R144" i="239"/>
  <c r="Q144" i="239"/>
  <c r="R143" i="239"/>
  <c r="Q143" i="239"/>
  <c r="S143" i="239" s="1" a="1"/>
  <c r="S143" i="239" s="1"/>
  <c r="B147" i="240" s="1"/>
  <c r="R142" i="239"/>
  <c r="S142" i="239" s="1" a="1"/>
  <c r="S142" i="239" s="1"/>
  <c r="B146" i="240" s="1"/>
  <c r="Q142" i="239"/>
  <c r="R141" i="239"/>
  <c r="Q141" i="239"/>
  <c r="R140" i="239"/>
  <c r="Q140" i="239"/>
  <c r="S140" i="239" s="1" a="1"/>
  <c r="S140" i="239" s="1"/>
  <c r="B144" i="240" s="1"/>
  <c r="R139" i="239"/>
  <c r="S139" i="239" s="1" a="1"/>
  <c r="S139" i="239" s="1"/>
  <c r="B143" i="240" s="1"/>
  <c r="Q139" i="239"/>
  <c r="R138" i="239"/>
  <c r="Q138" i="239"/>
  <c r="S138" i="239" s="1" a="1"/>
  <c r="S138" i="239" s="1"/>
  <c r="B142" i="240" s="1"/>
  <c r="S137" i="239" a="1"/>
  <c r="S137" i="239" s="1"/>
  <c r="B141" i="240" s="1"/>
  <c r="R137" i="239"/>
  <c r="Q137" i="239"/>
  <c r="R136" i="239"/>
  <c r="Q136" i="239"/>
  <c r="S136" i="239" s="1" a="1"/>
  <c r="S136" i="239" s="1"/>
  <c r="B140" i="240" s="1"/>
  <c r="R135" i="239"/>
  <c r="Q135" i="239"/>
  <c r="R134" i="239"/>
  <c r="Q134" i="239"/>
  <c r="S134" i="239" s="1" a="1"/>
  <c r="S134" i="239" s="1"/>
  <c r="B138" i="240" s="1"/>
  <c r="R133" i="239"/>
  <c r="Q133" i="239"/>
  <c r="S133" i="239" s="1" a="1"/>
  <c r="S133" i="239" s="1"/>
  <c r="B137" i="240" s="1"/>
  <c r="R132" i="239"/>
  <c r="Q132" i="239"/>
  <c r="R131" i="239"/>
  <c r="Q131" i="239"/>
  <c r="S131" i="239" s="1" a="1"/>
  <c r="S131" i="239" s="1"/>
  <c r="B135" i="240" s="1"/>
  <c r="R130" i="239"/>
  <c r="S130" i="239" s="1" a="1"/>
  <c r="S130" i="239" s="1"/>
  <c r="B134" i="240" s="1"/>
  <c r="Q130" i="239"/>
  <c r="R129" i="239"/>
  <c r="Q129" i="239"/>
  <c r="S128" i="239" a="1"/>
  <c r="S128" i="239" s="1"/>
  <c r="B132" i="240" s="1"/>
  <c r="R128" i="239"/>
  <c r="Q128" i="239"/>
  <c r="R127" i="239"/>
  <c r="Q127" i="239"/>
  <c r="S127" i="239" s="1" a="1"/>
  <c r="S127" i="239" s="1"/>
  <c r="B131" i="240" s="1"/>
  <c r="R126" i="239"/>
  <c r="S126" i="239" s="1" a="1"/>
  <c r="S126" i="239" s="1"/>
  <c r="B130" i="240" s="1"/>
  <c r="Q126" i="239"/>
  <c r="R125" i="239"/>
  <c r="Q125" i="239"/>
  <c r="R124" i="239"/>
  <c r="Q124" i="239"/>
  <c r="S124" i="239" s="1" a="1"/>
  <c r="S124" i="239" s="1"/>
  <c r="B128" i="240" s="1"/>
  <c r="R123" i="239"/>
  <c r="Q123" i="239"/>
  <c r="R122" i="239"/>
  <c r="Q122" i="239"/>
  <c r="S122" i="239" s="1" a="1"/>
  <c r="S122" i="239" s="1"/>
  <c r="B126" i="240" s="1"/>
  <c r="S121" i="239" a="1"/>
  <c r="S121" i="239" s="1"/>
  <c r="B125" i="240" s="1"/>
  <c r="R121" i="239"/>
  <c r="Q121" i="239"/>
  <c r="R120" i="239"/>
  <c r="Q120" i="239"/>
  <c r="S120" i="239" s="1" a="1"/>
  <c r="S120" i="239" s="1"/>
  <c r="B124" i="240" s="1"/>
  <c r="R119" i="239"/>
  <c r="S119" i="239" s="1" a="1"/>
  <c r="S119" i="239" s="1"/>
  <c r="B123" i="240" s="1"/>
  <c r="Q119" i="239"/>
  <c r="R118" i="239"/>
  <c r="Q118" i="239"/>
  <c r="S118" i="239" s="1" a="1"/>
  <c r="S118" i="239" s="1"/>
  <c r="B122" i="240" s="1"/>
  <c r="R117" i="239"/>
  <c r="Q117" i="239"/>
  <c r="R116" i="239"/>
  <c r="Q116" i="239"/>
  <c r="R115" i="239"/>
  <c r="Q115" i="239"/>
  <c r="S115" i="239" s="1" a="1"/>
  <c r="S115" i="239" s="1"/>
  <c r="B119" i="240" s="1"/>
  <c r="R114" i="239"/>
  <c r="S114" i="239" s="1" a="1"/>
  <c r="S114" i="239" s="1"/>
  <c r="B118" i="240" s="1"/>
  <c r="Q114" i="239"/>
  <c r="R113" i="239"/>
  <c r="Q113" i="239"/>
  <c r="S113" i="239" s="1" a="1"/>
  <c r="S113" i="239" s="1"/>
  <c r="B117" i="240" s="1"/>
  <c r="S112" i="239" a="1"/>
  <c r="S112" i="239" s="1"/>
  <c r="B116" i="240" s="1"/>
  <c r="R112" i="239"/>
  <c r="Q112" i="239"/>
  <c r="R111" i="239"/>
  <c r="Q111" i="239"/>
  <c r="R110" i="239"/>
  <c r="S110" i="239" s="1" a="1"/>
  <c r="S110" i="239" s="1"/>
  <c r="B114" i="240" s="1"/>
  <c r="Q110" i="239"/>
  <c r="R109" i="239"/>
  <c r="Q109" i="239"/>
  <c r="R108" i="239"/>
  <c r="Q108" i="239"/>
  <c r="S108" i="239" s="1" a="1"/>
  <c r="S108" i="239" s="1"/>
  <c r="B112" i="240" s="1"/>
  <c r="R107" i="239"/>
  <c r="S107" i="239" s="1" a="1"/>
  <c r="S107" i="239" s="1"/>
  <c r="B111" i="240" s="1"/>
  <c r="Q107" i="239"/>
  <c r="R106" i="239"/>
  <c r="Q106" i="239"/>
  <c r="S106" i="239" s="1" a="1"/>
  <c r="S106" i="239" s="1"/>
  <c r="B110" i="240" s="1"/>
  <c r="R105" i="239"/>
  <c r="Q105" i="239"/>
  <c r="R104" i="239"/>
  <c r="Q104" i="239"/>
  <c r="S104" i="239" s="1" a="1"/>
  <c r="S104" i="239" s="1"/>
  <c r="B108" i="240" s="1"/>
  <c r="R103" i="239"/>
  <c r="S103" i="239" s="1" a="1"/>
  <c r="S103" i="239" s="1"/>
  <c r="B107" i="240" s="1"/>
  <c r="Q103" i="239"/>
  <c r="R102" i="239"/>
  <c r="Q102" i="239"/>
  <c r="S102" i="239" s="1" a="1"/>
  <c r="S102" i="239" s="1"/>
  <c r="B106" i="240" s="1"/>
  <c r="R101" i="239"/>
  <c r="Q101" i="239"/>
  <c r="S101" i="239" s="1" a="1"/>
  <c r="S101" i="239" s="1"/>
  <c r="B105" i="240" s="1"/>
  <c r="R100" i="239"/>
  <c r="Q100" i="239"/>
  <c r="R99" i="239"/>
  <c r="Q99" i="239"/>
  <c r="R98" i="239"/>
  <c r="S98" i="239" s="1" a="1"/>
  <c r="S98" i="239" s="1"/>
  <c r="B102" i="240" s="1"/>
  <c r="Q98" i="239"/>
  <c r="R97" i="239"/>
  <c r="Q97" i="239"/>
  <c r="S97" i="239" s="1" a="1"/>
  <c r="S97" i="239" s="1"/>
  <c r="B101" i="240" s="1"/>
  <c r="S96" i="239" a="1"/>
  <c r="S96" i="239" s="1"/>
  <c r="B100" i="240" s="1"/>
  <c r="R96" i="239"/>
  <c r="Q96" i="239"/>
  <c r="R95" i="239"/>
  <c r="Q95" i="239"/>
  <c r="S95" i="239" s="1" a="1"/>
  <c r="S95" i="239" s="1"/>
  <c r="B99" i="240" s="1"/>
  <c r="R94" i="239"/>
  <c r="S94" i="239" s="1" a="1"/>
  <c r="S94" i="239" s="1"/>
  <c r="B98" i="240" s="1"/>
  <c r="Q94" i="239"/>
  <c r="R93" i="239"/>
  <c r="Q93" i="239"/>
  <c r="R92" i="239"/>
  <c r="Q92" i="239"/>
  <c r="S92" i="239" s="1" a="1"/>
  <c r="S92" i="239" s="1"/>
  <c r="B96" i="240" s="1"/>
  <c r="R91" i="239"/>
  <c r="S91" i="239" s="1" a="1"/>
  <c r="S91" i="239" s="1"/>
  <c r="B95" i="240" s="1"/>
  <c r="Q91" i="239"/>
  <c r="R90" i="239"/>
  <c r="Q90" i="239"/>
  <c r="S90" i="239" s="1" a="1"/>
  <c r="S90" i="239" s="1"/>
  <c r="B94" i="240" s="1"/>
  <c r="S89" i="239" a="1"/>
  <c r="S89" i="239" s="1"/>
  <c r="B93" i="240" s="1"/>
  <c r="R89" i="239"/>
  <c r="Q89" i="239"/>
  <c r="R88" i="239"/>
  <c r="Q88" i="239"/>
  <c r="S88" i="239" s="1" a="1"/>
  <c r="S88" i="239" s="1"/>
  <c r="B92" i="240" s="1"/>
  <c r="R87" i="239"/>
  <c r="Q87" i="239"/>
  <c r="R86" i="239"/>
  <c r="Q86" i="239"/>
  <c r="S86" i="239" s="1" a="1"/>
  <c r="S86" i="239" s="1"/>
  <c r="B90" i="240" s="1"/>
  <c r="R85" i="239"/>
  <c r="Q85" i="239"/>
  <c r="S85" i="239" s="1" a="1"/>
  <c r="S85" i="239" s="1"/>
  <c r="B89" i="240" s="1"/>
  <c r="R84" i="239"/>
  <c r="Q84" i="239"/>
  <c r="R83" i="239"/>
  <c r="Q83" i="239"/>
  <c r="S83" i="239" s="1" a="1"/>
  <c r="S83" i="239" s="1"/>
  <c r="B87" i="240" s="1"/>
  <c r="R82" i="239"/>
  <c r="S82" i="239" s="1" a="1"/>
  <c r="S82" i="239" s="1"/>
  <c r="B86" i="240" s="1"/>
  <c r="Q82" i="239"/>
  <c r="R81" i="239"/>
  <c r="Q81" i="239"/>
  <c r="S80" i="239" a="1"/>
  <c r="S80" i="239" s="1"/>
  <c r="B84" i="240" s="1"/>
  <c r="R80" i="239"/>
  <c r="Q80" i="239"/>
  <c r="R79" i="239"/>
  <c r="Q79" i="239"/>
  <c r="S79" i="239" s="1" a="1"/>
  <c r="S79" i="239" s="1"/>
  <c r="B83" i="240" s="1"/>
  <c r="R78" i="239"/>
  <c r="S78" i="239" s="1" a="1"/>
  <c r="S78" i="239" s="1"/>
  <c r="B82" i="240" s="1"/>
  <c r="Q78" i="239"/>
  <c r="R77" i="239"/>
  <c r="Q77" i="239"/>
  <c r="R76" i="239"/>
  <c r="Q76" i="239"/>
  <c r="S76" i="239" s="1" a="1"/>
  <c r="S76" i="239" s="1"/>
  <c r="B80" i="240" s="1"/>
  <c r="R75" i="239"/>
  <c r="Q75" i="239"/>
  <c r="R74" i="239"/>
  <c r="Q74" i="239"/>
  <c r="S74" i="239" s="1" a="1"/>
  <c r="S74" i="239" s="1"/>
  <c r="B78" i="240" s="1"/>
  <c r="S73" i="239" a="1"/>
  <c r="S73" i="239" s="1"/>
  <c r="B77" i="240" s="1"/>
  <c r="R73" i="239"/>
  <c r="Q73" i="239"/>
  <c r="R72" i="239"/>
  <c r="Q72" i="239"/>
  <c r="S72" i="239" s="1" a="1"/>
  <c r="S72" i="239" s="1"/>
  <c r="B76" i="240" s="1"/>
  <c r="R71" i="239"/>
  <c r="S71" i="239" s="1" a="1"/>
  <c r="S71" i="239" s="1"/>
  <c r="B75" i="240" s="1"/>
  <c r="Q71" i="239"/>
  <c r="R70" i="239"/>
  <c r="Q70" i="239"/>
  <c r="S70" i="239" s="1" a="1"/>
  <c r="S70" i="239" s="1"/>
  <c r="B74" i="240" s="1"/>
  <c r="R69" i="239"/>
  <c r="Q69" i="239"/>
  <c r="R68" i="239"/>
  <c r="Q68" i="239"/>
  <c r="R67" i="239"/>
  <c r="Q67" i="239"/>
  <c r="S67" i="239" s="1" a="1"/>
  <c r="S67" i="239" s="1"/>
  <c r="B71" i="240" s="1"/>
  <c r="R66" i="239"/>
  <c r="S66" i="239" s="1" a="1"/>
  <c r="S66" i="239" s="1"/>
  <c r="B70" i="240" s="1"/>
  <c r="Q66" i="239"/>
  <c r="R65" i="239"/>
  <c r="Q65" i="239"/>
  <c r="S65" i="239" s="1" a="1"/>
  <c r="S65" i="239" s="1"/>
  <c r="B69" i="240" s="1"/>
  <c r="S64" i="239" a="1"/>
  <c r="S64" i="239" s="1"/>
  <c r="B68" i="240" s="1"/>
  <c r="R64" i="239"/>
  <c r="Q64" i="239"/>
  <c r="R63" i="239"/>
  <c r="Q63" i="239"/>
  <c r="R62" i="239"/>
  <c r="S62" i="239" s="1" a="1"/>
  <c r="S62" i="239" s="1"/>
  <c r="B66" i="240" s="1"/>
  <c r="Q62" i="239"/>
  <c r="R61" i="239"/>
  <c r="Q61" i="239"/>
  <c r="R60" i="239"/>
  <c r="Q60" i="239"/>
  <c r="S60" i="239" s="1" a="1"/>
  <c r="S60" i="239" s="1"/>
  <c r="B64" i="240" s="1"/>
  <c r="R59" i="239"/>
  <c r="S59" i="239" s="1" a="1"/>
  <c r="S59" i="239" s="1"/>
  <c r="B63" i="240" s="1"/>
  <c r="Q59" i="239"/>
  <c r="R58" i="239"/>
  <c r="Q58" i="239"/>
  <c r="S58" i="239" s="1" a="1"/>
  <c r="S58" i="239" s="1"/>
  <c r="B62" i="240" s="1"/>
  <c r="R57" i="239"/>
  <c r="Q57" i="239"/>
  <c r="R56" i="239"/>
  <c r="Q56" i="239"/>
  <c r="S56" i="239" s="1" a="1"/>
  <c r="S56" i="239" s="1"/>
  <c r="B60" i="240" s="1"/>
  <c r="S55" i="239" a="1"/>
  <c r="S55" i="239" s="1"/>
  <c r="B59" i="240" s="1"/>
  <c r="R55" i="239"/>
  <c r="Q55" i="239"/>
  <c r="R54" i="239"/>
  <c r="Q54" i="239"/>
  <c r="S54" i="239" s="1" a="1"/>
  <c r="S54" i="239" s="1"/>
  <c r="B58" i="240" s="1"/>
  <c r="S53" i="239" a="1"/>
  <c r="S53" i="239" s="1"/>
  <c r="B57" i="240" s="1"/>
  <c r="R53" i="239"/>
  <c r="Q53" i="239"/>
  <c r="R52" i="239"/>
  <c r="Q52" i="239"/>
  <c r="S52" i="239" s="1" a="1"/>
  <c r="S52" i="239" s="1"/>
  <c r="B56" i="240" s="1"/>
  <c r="R51" i="239"/>
  <c r="Q51" i="239"/>
  <c r="R50" i="239"/>
  <c r="Q50" i="239"/>
  <c r="S50" i="239" s="1" a="1"/>
  <c r="S50" i="239" s="1"/>
  <c r="B54" i="240" s="1"/>
  <c r="S49" i="239" a="1"/>
  <c r="S49" i="239" s="1"/>
  <c r="B53" i="240" s="1"/>
  <c r="R49" i="239"/>
  <c r="Q49" i="239"/>
  <c r="R48" i="239"/>
  <c r="Q48" i="239"/>
  <c r="S48" i="239" s="1" a="1"/>
  <c r="S48" i="239" s="1"/>
  <c r="B52" i="240" s="1"/>
  <c r="R47" i="239"/>
  <c r="Q47" i="239"/>
  <c r="R46" i="239"/>
  <c r="Q46" i="239"/>
  <c r="S46" i="239" s="1" a="1"/>
  <c r="S46" i="239" s="1"/>
  <c r="B50" i="240" s="1"/>
  <c r="R45" i="239"/>
  <c r="Q45" i="239"/>
  <c r="R44" i="239"/>
  <c r="Q44" i="239"/>
  <c r="S44" i="239" s="1" a="1"/>
  <c r="S44" i="239" s="1"/>
  <c r="B48" i="240" s="1"/>
  <c r="R43" i="239"/>
  <c r="Q43" i="239"/>
  <c r="R42" i="239"/>
  <c r="Q42" i="239"/>
  <c r="S42" i="239" s="1" a="1"/>
  <c r="S42" i="239" s="1"/>
  <c r="B46" i="240" s="1"/>
  <c r="S41" i="239" a="1"/>
  <c r="S41" i="239" s="1"/>
  <c r="B45" i="240" s="1"/>
  <c r="R41" i="239"/>
  <c r="Q41" i="239"/>
  <c r="N41" i="239"/>
  <c r="M41" i="239"/>
  <c r="L41" i="239"/>
  <c r="K41" i="239"/>
  <c r="J41" i="239"/>
  <c r="R40" i="239"/>
  <c r="Q40" i="239"/>
  <c r="N40" i="239"/>
  <c r="M40" i="239"/>
  <c r="S169" i="239" s="1" a="1"/>
  <c r="S169" i="239" s="1"/>
  <c r="B173" i="240" s="1"/>
  <c r="L40" i="239"/>
  <c r="K40" i="239"/>
  <c r="S167" i="239" s="1" a="1"/>
  <c r="S167" i="239" s="1"/>
  <c r="B171" i="240" s="1"/>
  <c r="J40" i="239"/>
  <c r="R39" i="239"/>
  <c r="Q39" i="239"/>
  <c r="N39" i="239"/>
  <c r="M39" i="239"/>
  <c r="L39" i="239"/>
  <c r="K39" i="239"/>
  <c r="S161" i="239" s="1" a="1"/>
  <c r="S161" i="239" s="1"/>
  <c r="B165" i="240" s="1"/>
  <c r="J39" i="239"/>
  <c r="R38" i="239"/>
  <c r="Q38" i="239"/>
  <c r="S38" i="239" s="1" a="1"/>
  <c r="S38" i="239" s="1"/>
  <c r="B42" i="240" s="1"/>
  <c r="N38" i="239"/>
  <c r="M38" i="239"/>
  <c r="L38" i="239"/>
  <c r="K38" i="239"/>
  <c r="J38" i="239"/>
  <c r="S37" i="239" a="1"/>
  <c r="S37" i="239" s="1"/>
  <c r="B41" i="240" s="1"/>
  <c r="R37" i="239"/>
  <c r="Q37" i="239"/>
  <c r="N37" i="239"/>
  <c r="M37" i="239"/>
  <c r="L37" i="239"/>
  <c r="K37" i="239"/>
  <c r="J37" i="239"/>
  <c r="S148" i="239" s="1" a="1"/>
  <c r="S148" i="239" s="1"/>
  <c r="B152" i="240" s="1"/>
  <c r="R36" i="239"/>
  <c r="Q36" i="239"/>
  <c r="N36" i="239"/>
  <c r="M36" i="239"/>
  <c r="L36" i="239"/>
  <c r="K36" i="239"/>
  <c r="J36" i="239"/>
  <c r="R35" i="239"/>
  <c r="Q35" i="239"/>
  <c r="S35" i="239" s="1" a="1"/>
  <c r="S35" i="239" s="1"/>
  <c r="B39" i="240" s="1"/>
  <c r="N35" i="239"/>
  <c r="M35" i="239"/>
  <c r="L35" i="239"/>
  <c r="K35" i="239"/>
  <c r="J35" i="239"/>
  <c r="R34" i="239"/>
  <c r="Q34" i="239"/>
  <c r="S34" i="239" s="1" a="1"/>
  <c r="S34" i="239" s="1"/>
  <c r="B38" i="240" s="1"/>
  <c r="N34" i="239"/>
  <c r="M34" i="239"/>
  <c r="L34" i="239"/>
  <c r="S132" i="239" s="1" a="1"/>
  <c r="S132" i="239" s="1"/>
  <c r="B136" i="240" s="1"/>
  <c r="K34" i="239"/>
  <c r="J34" i="239"/>
  <c r="R33" i="239"/>
  <c r="Q33" i="239"/>
  <c r="N33" i="239"/>
  <c r="M33" i="239"/>
  <c r="L33" i="239"/>
  <c r="K33" i="239"/>
  <c r="S125" i="239" s="1" a="1"/>
  <c r="S125" i="239" s="1"/>
  <c r="B129" i="240" s="1"/>
  <c r="J33" i="239"/>
  <c r="R32" i="239"/>
  <c r="Q32" i="239"/>
  <c r="N32" i="239"/>
  <c r="M32" i="239"/>
  <c r="L32" i="239"/>
  <c r="K32" i="239"/>
  <c r="J32" i="239"/>
  <c r="R31" i="239"/>
  <c r="Q31" i="239"/>
  <c r="S31" i="239" s="1" a="1"/>
  <c r="S31" i="239" s="1"/>
  <c r="B35" i="240" s="1"/>
  <c r="N31" i="239"/>
  <c r="S116" i="239" s="1" a="1"/>
  <c r="S116" i="239" s="1"/>
  <c r="B120" i="240" s="1"/>
  <c r="M31" i="239"/>
  <c r="L31" i="239"/>
  <c r="K31" i="239"/>
  <c r="J31" i="239"/>
  <c r="R30" i="239"/>
  <c r="Q30" i="239"/>
  <c r="S30" i="239" s="1" a="1"/>
  <c r="S30" i="239" s="1"/>
  <c r="B34" i="240" s="1"/>
  <c r="N30" i="239"/>
  <c r="M30" i="239"/>
  <c r="S109" i="239" s="1" a="1"/>
  <c r="S109" i="239" s="1"/>
  <c r="B113" i="240" s="1"/>
  <c r="L30" i="239"/>
  <c r="K30" i="239"/>
  <c r="J30" i="239"/>
  <c r="S29" i="239" a="1"/>
  <c r="S29" i="239" s="1"/>
  <c r="B33" i="240" s="1"/>
  <c r="R29" i="239"/>
  <c r="Q29" i="239"/>
  <c r="N29" i="239"/>
  <c r="M29" i="239"/>
  <c r="L29" i="239"/>
  <c r="K29" i="239"/>
  <c r="J29" i="239"/>
  <c r="S100" i="239" s="1" a="1"/>
  <c r="S100" i="239" s="1"/>
  <c r="B104" i="240" s="1"/>
  <c r="I29" i="239"/>
  <c r="R28" i="239"/>
  <c r="Q28" i="239"/>
  <c r="N28" i="239"/>
  <c r="M28" i="239"/>
  <c r="L28" i="239"/>
  <c r="K28" i="239"/>
  <c r="J28" i="239"/>
  <c r="R27" i="239"/>
  <c r="Q27" i="239"/>
  <c r="N27" i="239"/>
  <c r="M27" i="239"/>
  <c r="L27" i="239"/>
  <c r="K27" i="239"/>
  <c r="J27" i="239"/>
  <c r="R26" i="239"/>
  <c r="Q26" i="239"/>
  <c r="S26" i="239" s="1" a="1"/>
  <c r="S26" i="239" s="1"/>
  <c r="B30" i="240" s="1"/>
  <c r="N26" i="239"/>
  <c r="M26" i="239"/>
  <c r="L26" i="239"/>
  <c r="S84" i="239" s="1" a="1"/>
  <c r="S84" i="239" s="1"/>
  <c r="B88" i="240" s="1"/>
  <c r="K26" i="239"/>
  <c r="J26" i="239"/>
  <c r="S25" i="239" a="1"/>
  <c r="S25" i="239" s="1"/>
  <c r="B29" i="240" s="1"/>
  <c r="R25" i="239"/>
  <c r="Q25" i="239"/>
  <c r="N25" i="239"/>
  <c r="M25" i="239"/>
  <c r="L25" i="239"/>
  <c r="K25" i="239"/>
  <c r="S77" i="239" s="1" a="1"/>
  <c r="S77" i="239" s="1"/>
  <c r="B81" i="240" s="1"/>
  <c r="J25" i="239"/>
  <c r="R24" i="239"/>
  <c r="Q24" i="239"/>
  <c r="N24" i="239"/>
  <c r="M24" i="239"/>
  <c r="L24" i="239"/>
  <c r="K24" i="239"/>
  <c r="J24" i="239"/>
  <c r="R23" i="239"/>
  <c r="Q23" i="239"/>
  <c r="S23" i="239" s="1" a="1"/>
  <c r="S23" i="239" s="1"/>
  <c r="B27" i="240" s="1"/>
  <c r="N23" i="239"/>
  <c r="S68" i="239" s="1" a="1"/>
  <c r="S68" i="239" s="1"/>
  <c r="B72" i="240" s="1"/>
  <c r="M23" i="239"/>
  <c r="L23" i="239"/>
  <c r="K23" i="239"/>
  <c r="J23" i="239"/>
  <c r="R22" i="239"/>
  <c r="Q22" i="239"/>
  <c r="S22" i="239" s="1" a="1"/>
  <c r="S22" i="239" s="1"/>
  <c r="B26" i="240" s="1"/>
  <c r="N22" i="239"/>
  <c r="M22" i="239"/>
  <c r="S61" i="239" s="1" a="1"/>
  <c r="S61" i="239" s="1"/>
  <c r="B65" i="240" s="1"/>
  <c r="L22" i="239"/>
  <c r="K22" i="239"/>
  <c r="J22" i="239"/>
  <c r="R21" i="239"/>
  <c r="Q21" i="239"/>
  <c r="N21" i="239"/>
  <c r="M21" i="239"/>
  <c r="L21" i="239"/>
  <c r="K21" i="239"/>
  <c r="J21" i="239"/>
  <c r="R20" i="239"/>
  <c r="Q20" i="239"/>
  <c r="N20" i="239"/>
  <c r="M20" i="239"/>
  <c r="L20" i="239"/>
  <c r="K20" i="239"/>
  <c r="S47" i="239" s="1" a="1"/>
  <c r="S47" i="239" s="1"/>
  <c r="B51" i="240" s="1"/>
  <c r="J20" i="239"/>
  <c r="R19" i="239"/>
  <c r="Q19" i="239"/>
  <c r="S19" i="239" s="1" a="1"/>
  <c r="S19" i="239" s="1"/>
  <c r="B23" i="240" s="1"/>
  <c r="N19" i="239"/>
  <c r="M19" i="239"/>
  <c r="S43" i="239" s="1" a="1"/>
  <c r="S43" i="239" s="1"/>
  <c r="B47" i="240" s="1"/>
  <c r="L19" i="239"/>
  <c r="K19" i="239"/>
  <c r="J19" i="239"/>
  <c r="S40" i="239" s="1" a="1"/>
  <c r="S40" i="239" s="1"/>
  <c r="B44" i="240" s="1"/>
  <c r="R18" i="239"/>
  <c r="Q18" i="239"/>
  <c r="S18" i="239" s="1" a="1"/>
  <c r="S18" i="239" s="1"/>
  <c r="B22" i="240" s="1"/>
  <c r="N18" i="239"/>
  <c r="M18" i="239"/>
  <c r="L18" i="239"/>
  <c r="S36" i="239" s="1" a="1"/>
  <c r="S36" i="239" s="1"/>
  <c r="B40" i="240" s="1"/>
  <c r="K18" i="239"/>
  <c r="J18" i="239"/>
  <c r="S17" i="239" a="1"/>
  <c r="S17" i="239" s="1"/>
  <c r="B21" i="240" s="1"/>
  <c r="R17" i="239"/>
  <c r="Q17" i="239"/>
  <c r="N17" i="239"/>
  <c r="S32" i="239" s="1" a="1"/>
  <c r="S32" i="239" s="1"/>
  <c r="B36" i="240" s="1"/>
  <c r="M17" i="239"/>
  <c r="L17" i="239"/>
  <c r="K17" i="239"/>
  <c r="J17" i="239"/>
  <c r="S28" i="239" s="1" a="1"/>
  <c r="S28" i="239" s="1"/>
  <c r="B32" i="240" s="1"/>
  <c r="S16" i="239" a="1"/>
  <c r="S16" i="239" s="1"/>
  <c r="B20" i="240" s="1"/>
  <c r="R16" i="239"/>
  <c r="Q16" i="239"/>
  <c r="N16" i="239"/>
  <c r="M16" i="239"/>
  <c r="L16" i="239"/>
  <c r="S24" i="239" s="1" a="1"/>
  <c r="S24" i="239" s="1"/>
  <c r="B28" i="240" s="1"/>
  <c r="K16" i="239"/>
  <c r="J16" i="239"/>
  <c r="R15" i="239"/>
  <c r="Q15" i="239"/>
  <c r="N15" i="239"/>
  <c r="S20" i="239" s="1" a="1"/>
  <c r="S20" i="239" s="1"/>
  <c r="B24" i="240" s="1"/>
  <c r="M15" i="239"/>
  <c r="L15" i="239"/>
  <c r="K15" i="239"/>
  <c r="J15" i="239"/>
  <c r="B14" i="239"/>
  <c r="I40" i="239" s="1"/>
  <c r="E7" i="239"/>
  <c r="B17" i="240" s="1"/>
  <c r="E3" i="239"/>
  <c r="B14" i="240" s="1"/>
  <c r="C3" i="238"/>
  <c r="C2" i="238"/>
  <c r="C1" i="238"/>
  <c r="J8" i="237"/>
  <c r="C8" i="238" s="1"/>
  <c r="J7" i="237"/>
  <c r="C7" i="238" s="1"/>
  <c r="J6" i="237"/>
  <c r="C6" i="238" s="1"/>
  <c r="J5" i="237"/>
  <c r="C5" i="238" s="1"/>
  <c r="J4" i="237"/>
  <c r="C4" i="238" s="1"/>
  <c r="L3" i="237"/>
  <c r="J3" i="237"/>
  <c r="C35" i="234"/>
  <c r="C36" i="234"/>
  <c r="C37" i="234"/>
  <c r="C38" i="234"/>
  <c r="C39" i="234"/>
  <c r="C40" i="234"/>
  <c r="C41" i="234"/>
  <c r="C42" i="234"/>
  <c r="C43" i="234"/>
  <c r="C9" i="234"/>
  <c r="C10" i="234"/>
  <c r="C11" i="234"/>
  <c r="C12" i="234"/>
  <c r="C13" i="234"/>
  <c r="C14" i="234"/>
  <c r="C15" i="234"/>
  <c r="C16" i="234"/>
  <c r="C17" i="234"/>
  <c r="C18" i="234"/>
  <c r="C19" i="234"/>
  <c r="C20" i="234"/>
  <c r="C21" i="234"/>
  <c r="C22" i="234"/>
  <c r="C23" i="234"/>
  <c r="C24" i="234"/>
  <c r="L9" i="233"/>
  <c r="L10" i="233"/>
  <c r="L11" i="233"/>
  <c r="L12" i="233"/>
  <c r="L13" i="233"/>
  <c r="L14" i="233"/>
  <c r="L15" i="233"/>
  <c r="L16" i="233"/>
  <c r="L17" i="233"/>
  <c r="L18" i="233"/>
  <c r="L19" i="233"/>
  <c r="L20" i="233"/>
  <c r="L21" i="233"/>
  <c r="L22" i="233"/>
  <c r="L23" i="233"/>
  <c r="L24" i="233"/>
  <c r="L25" i="233"/>
  <c r="L26" i="233"/>
  <c r="L27" i="233"/>
  <c r="L28" i="233"/>
  <c r="L29" i="233"/>
  <c r="L30" i="233"/>
  <c r="L31" i="233"/>
  <c r="L32" i="233"/>
  <c r="L33" i="233"/>
  <c r="L34" i="233"/>
  <c r="L35" i="233"/>
  <c r="L36" i="233"/>
  <c r="L37" i="233"/>
  <c r="L38" i="233"/>
  <c r="L39" i="233"/>
  <c r="L40" i="233"/>
  <c r="J9" i="233"/>
  <c r="J10" i="233"/>
  <c r="J11" i="233"/>
  <c r="J12" i="233"/>
  <c r="J13" i="233"/>
  <c r="J14" i="233"/>
  <c r="J15" i="233"/>
  <c r="J16" i="233"/>
  <c r="J17" i="233"/>
  <c r="J18" i="233"/>
  <c r="J19" i="233"/>
  <c r="J20" i="233"/>
  <c r="J21" i="233"/>
  <c r="J22" i="233"/>
  <c r="J23" i="233"/>
  <c r="J24" i="233"/>
  <c r="J25" i="233"/>
  <c r="J26" i="233"/>
  <c r="J27" i="233"/>
  <c r="J28" i="233"/>
  <c r="J29" i="233"/>
  <c r="J30" i="233"/>
  <c r="J31" i="233"/>
  <c r="J32" i="233"/>
  <c r="J33" i="233"/>
  <c r="J34" i="233"/>
  <c r="J35" i="233"/>
  <c r="J36" i="233"/>
  <c r="J37" i="233"/>
  <c r="J38" i="233"/>
  <c r="J39" i="233"/>
  <c r="J40"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7" i="234"/>
  <c r="C2" i="234"/>
  <c r="C1" i="234"/>
  <c r="J8" i="233"/>
  <c r="C8" i="234" s="1"/>
  <c r="J7" i="233"/>
  <c r="J6" i="233"/>
  <c r="C6" i="234" s="1"/>
  <c r="J5" i="233"/>
  <c r="C5" i="234" s="1"/>
  <c r="J4" i="233"/>
  <c r="C4" i="234" s="1"/>
  <c r="L3" i="233"/>
  <c r="J3" i="233"/>
  <c r="C3" i="234" s="1"/>
  <c r="C35" i="230"/>
  <c r="C36" i="230"/>
  <c r="C37" i="230"/>
  <c r="C39" i="230"/>
  <c r="C40" i="230"/>
  <c r="C41" i="230"/>
  <c r="C42" i="230"/>
  <c r="C43" i="230"/>
  <c r="C9" i="230"/>
  <c r="C10" i="230"/>
  <c r="C11" i="230"/>
  <c r="C13" i="230"/>
  <c r="C14" i="230"/>
  <c r="C15" i="230"/>
  <c r="C16" i="230"/>
  <c r="C17" i="230"/>
  <c r="L9" i="229"/>
  <c r="L10" i="229"/>
  <c r="L11" i="229"/>
  <c r="L13" i="229"/>
  <c r="L14" i="229"/>
  <c r="L15" i="229"/>
  <c r="J9" i="229"/>
  <c r="J10" i="229"/>
  <c r="J11" i="229"/>
  <c r="J12" i="229"/>
  <c r="C12" i="230" s="1"/>
  <c r="J13" i="229"/>
  <c r="J14" i="229"/>
  <c r="J15" i="229"/>
  <c r="B15" i="232"/>
  <c r="B13" i="232"/>
  <c r="B12" i="232"/>
  <c r="B9" i="232"/>
  <c r="B8" i="232"/>
  <c r="B4" i="232"/>
  <c r="R15" i="231"/>
  <c r="Q15" i="231"/>
  <c r="N15" i="231"/>
  <c r="M15" i="231"/>
  <c r="L15" i="231"/>
  <c r="K15" i="231"/>
  <c r="J15" i="231"/>
  <c r="B14" i="231"/>
  <c r="B17" i="232"/>
  <c r="C21" i="230"/>
  <c r="C20" i="230"/>
  <c r="C19" i="230"/>
  <c r="C3" i="230"/>
  <c r="C2" i="230"/>
  <c r="C1" i="230"/>
  <c r="J40" i="229"/>
  <c r="L40" i="229" s="1"/>
  <c r="J39" i="229"/>
  <c r="L39" i="229" s="1"/>
  <c r="L38" i="229"/>
  <c r="J38" i="229"/>
  <c r="J37" i="229"/>
  <c r="L37" i="229" s="1"/>
  <c r="J36" i="229"/>
  <c r="L36" i="229" s="1"/>
  <c r="J35" i="229"/>
  <c r="L35" i="229" s="1"/>
  <c r="L34" i="229"/>
  <c r="J34" i="229"/>
  <c r="J33" i="229"/>
  <c r="L33" i="229" s="1"/>
  <c r="J32" i="229"/>
  <c r="L32" i="229" s="1"/>
  <c r="J31" i="229"/>
  <c r="L31" i="229" s="1"/>
  <c r="L30" i="229"/>
  <c r="J30" i="229"/>
  <c r="J29" i="229"/>
  <c r="L29" i="229" s="1"/>
  <c r="J28" i="229"/>
  <c r="L28" i="229" s="1"/>
  <c r="J27" i="229"/>
  <c r="L27" i="229" s="1"/>
  <c r="J26" i="229"/>
  <c r="L26" i="229" s="1"/>
  <c r="J25" i="229"/>
  <c r="L25" i="229" s="1"/>
  <c r="J24" i="229"/>
  <c r="L24" i="229" s="1"/>
  <c r="J23" i="229"/>
  <c r="J22" i="229"/>
  <c r="L22" i="229" s="1"/>
  <c r="J21" i="229"/>
  <c r="L21" i="229" s="1"/>
  <c r="J20" i="229"/>
  <c r="L20" i="229" s="1"/>
  <c r="J19" i="229"/>
  <c r="J18" i="229"/>
  <c r="J17" i="229"/>
  <c r="L17" i="229" s="1"/>
  <c r="J16" i="229"/>
  <c r="L16" i="229" s="1"/>
  <c r="J8" i="229"/>
  <c r="C8" i="230" s="1"/>
  <c r="J7" i="229"/>
  <c r="C7" i="230" s="1"/>
  <c r="J6" i="229"/>
  <c r="C6" i="230" s="1"/>
  <c r="J5" i="229"/>
  <c r="C5" i="230" s="1"/>
  <c r="J4" i="229"/>
  <c r="C4" i="230" s="1"/>
  <c r="L3" i="229"/>
  <c r="J3" i="229"/>
  <c r="C40" i="226"/>
  <c r="C35" i="226"/>
  <c r="C36" i="226"/>
  <c r="C37" i="226"/>
  <c r="C9" i="226"/>
  <c r="C10" i="226"/>
  <c r="C11" i="226"/>
  <c r="C12" i="226"/>
  <c r="J9" i="225"/>
  <c r="L9" i="225" s="1"/>
  <c r="J10" i="225"/>
  <c r="L10" i="225"/>
  <c r="J11" i="225"/>
  <c r="L11" i="225"/>
  <c r="J12" i="225"/>
  <c r="L12" i="225"/>
  <c r="J13" i="225"/>
  <c r="L13" i="225" s="1"/>
  <c r="J14" i="225"/>
  <c r="L14" i="225"/>
  <c r="J15" i="225"/>
  <c r="L15" i="225"/>
  <c r="J16" i="225"/>
  <c r="L16" i="225"/>
  <c r="J17" i="225"/>
  <c r="L17" i="225" s="1"/>
  <c r="J18" i="225"/>
  <c r="L18" i="225"/>
  <c r="J19" i="225"/>
  <c r="C18" i="226" s="1"/>
  <c r="L19" i="225"/>
  <c r="J20" i="225"/>
  <c r="C19" i="226" s="1"/>
  <c r="L20" i="225"/>
  <c r="B15" i="228"/>
  <c r="B13" i="228"/>
  <c r="B12" i="228"/>
  <c r="B9" i="228"/>
  <c r="B8" i="228"/>
  <c r="B4" i="228"/>
  <c r="R15" i="227"/>
  <c r="Q15" i="227"/>
  <c r="N15" i="227"/>
  <c r="M15" i="227"/>
  <c r="L15" i="227"/>
  <c r="K15" i="227"/>
  <c r="J15" i="227"/>
  <c r="E7" i="227"/>
  <c r="B17" i="228" s="1"/>
  <c r="C2" i="226"/>
  <c r="C1" i="226"/>
  <c r="J40" i="225"/>
  <c r="L40" i="225" s="1"/>
  <c r="J39" i="225"/>
  <c r="J38" i="225"/>
  <c r="L38" i="225" s="1"/>
  <c r="J37" i="225"/>
  <c r="J36" i="225"/>
  <c r="J35" i="225"/>
  <c r="L35" i="225" s="1"/>
  <c r="J34" i="225"/>
  <c r="J33" i="225"/>
  <c r="J32" i="225"/>
  <c r="L32" i="225" s="1"/>
  <c r="J31" i="225"/>
  <c r="L31" i="225" s="1"/>
  <c r="J30" i="225"/>
  <c r="L30" i="225" s="1"/>
  <c r="J29" i="225"/>
  <c r="J28" i="225"/>
  <c r="J27" i="225"/>
  <c r="L27" i="225" s="1"/>
  <c r="J26" i="225"/>
  <c r="J25" i="225"/>
  <c r="C24" i="226" s="1"/>
  <c r="J24" i="225"/>
  <c r="L24" i="225" s="1"/>
  <c r="J23" i="225"/>
  <c r="L23" i="225" s="1"/>
  <c r="J22" i="225"/>
  <c r="L22" i="225" s="1"/>
  <c r="J21" i="225"/>
  <c r="C20" i="226" s="1"/>
  <c r="C16" i="226"/>
  <c r="C39" i="226"/>
  <c r="J8" i="225"/>
  <c r="J7" i="225"/>
  <c r="C7" i="226" s="1"/>
  <c r="J6" i="225"/>
  <c r="C6" i="226" s="1"/>
  <c r="J5" i="225"/>
  <c r="C5" i="226" s="1"/>
  <c r="J4" i="225"/>
  <c r="C4" i="226" s="1"/>
  <c r="L3" i="225"/>
  <c r="J3" i="225"/>
  <c r="C3" i="226" s="1"/>
  <c r="E7" i="215"/>
  <c r="B20" i="218"/>
  <c r="B21" i="218"/>
  <c r="B22" i="218"/>
  <c r="B23" i="218"/>
  <c r="B24" i="218"/>
  <c r="B25" i="218"/>
  <c r="B26" i="218"/>
  <c r="B27" i="218"/>
  <c r="B28" i="218"/>
  <c r="B29" i="218"/>
  <c r="B30" i="218"/>
  <c r="B31" i="218"/>
  <c r="B32" i="218"/>
  <c r="B33" i="218"/>
  <c r="B34" i="218"/>
  <c r="B35" i="218"/>
  <c r="B36" i="218"/>
  <c r="B37" i="218"/>
  <c r="B38" i="218"/>
  <c r="B39" i="218"/>
  <c r="B40" i="218"/>
  <c r="B41" i="218"/>
  <c r="B42" i="218"/>
  <c r="B43" i="218"/>
  <c r="B44" i="218"/>
  <c r="B45" i="218"/>
  <c r="B46" i="218"/>
  <c r="B47" i="218"/>
  <c r="B48" i="218"/>
  <c r="B49" i="218"/>
  <c r="B50" i="218"/>
  <c r="B51" i="218"/>
  <c r="B52" i="218"/>
  <c r="B53" i="218"/>
  <c r="B54" i="218"/>
  <c r="B55" i="218"/>
  <c r="B56" i="218"/>
  <c r="B57" i="218"/>
  <c r="B58" i="218"/>
  <c r="B59" i="218"/>
  <c r="B60" i="218"/>
  <c r="B61" i="218"/>
  <c r="B62" i="218"/>
  <c r="B63" i="218"/>
  <c r="B64" i="218"/>
  <c r="B65" i="218"/>
  <c r="B66" i="218"/>
  <c r="B67" i="218"/>
  <c r="B68" i="218"/>
  <c r="B69" i="218"/>
  <c r="B70" i="218"/>
  <c r="B71" i="218"/>
  <c r="B72" i="218"/>
  <c r="B73" i="218"/>
  <c r="B74" i="218"/>
  <c r="B75" i="218"/>
  <c r="B76" i="218"/>
  <c r="B77" i="218"/>
  <c r="B78" i="218"/>
  <c r="B79" i="218"/>
  <c r="B80" i="218"/>
  <c r="B81" i="218"/>
  <c r="B82" i="218"/>
  <c r="B83" i="218"/>
  <c r="B84" i="218"/>
  <c r="B85" i="218"/>
  <c r="B86" i="218"/>
  <c r="B87" i="218"/>
  <c r="B88" i="218"/>
  <c r="B89" i="218"/>
  <c r="B90" i="218"/>
  <c r="B91" i="218"/>
  <c r="B92" i="218"/>
  <c r="B93" i="218"/>
  <c r="B94" i="218"/>
  <c r="B95" i="218"/>
  <c r="B96" i="218"/>
  <c r="B97" i="218"/>
  <c r="B98" i="218"/>
  <c r="B99" i="218"/>
  <c r="B100" i="218"/>
  <c r="B101" i="218"/>
  <c r="B102" i="218"/>
  <c r="B103" i="218"/>
  <c r="B104" i="218"/>
  <c r="B105" i="218"/>
  <c r="B106" i="218"/>
  <c r="B107" i="218"/>
  <c r="B108" i="218"/>
  <c r="B109" i="218"/>
  <c r="B110" i="218"/>
  <c r="B111" i="218"/>
  <c r="B112" i="218"/>
  <c r="B113" i="218"/>
  <c r="B114" i="218"/>
  <c r="B115" i="218"/>
  <c r="B116" i="218"/>
  <c r="B117" i="218"/>
  <c r="B118" i="218"/>
  <c r="B119" i="218"/>
  <c r="B120" i="218"/>
  <c r="B121" i="218"/>
  <c r="B122" i="218"/>
  <c r="B123" i="218"/>
  <c r="B124" i="218"/>
  <c r="Q16" i="217"/>
  <c r="S16" i="217" s="1" a="1"/>
  <c r="S16" i="217" s="1"/>
  <c r="R16" i="217"/>
  <c r="Q17" i="217"/>
  <c r="S17" i="217" s="1" a="1"/>
  <c r="S17" i="217" s="1"/>
  <c r="R17" i="217"/>
  <c r="Q18" i="217"/>
  <c r="S18" i="217" s="1" a="1"/>
  <c r="S18" i="217" s="1"/>
  <c r="R18" i="217"/>
  <c r="Q19" i="217"/>
  <c r="S19" i="217" s="1" a="1"/>
  <c r="S19" i="217" s="1"/>
  <c r="R19" i="217"/>
  <c r="Q20" i="217"/>
  <c r="S20" i="217" s="1" a="1"/>
  <c r="S20" i="217" s="1"/>
  <c r="R20" i="217"/>
  <c r="Q21" i="217"/>
  <c r="S21" i="217" s="1" a="1"/>
  <c r="S21" i="217" s="1"/>
  <c r="R21" i="217"/>
  <c r="Q22" i="217"/>
  <c r="S22" i="217" s="1" a="1"/>
  <c r="S22" i="217" s="1"/>
  <c r="R22" i="217"/>
  <c r="Q23" i="217"/>
  <c r="S23" i="217" s="1" a="1"/>
  <c r="S23" i="217" s="1"/>
  <c r="R23" i="217"/>
  <c r="Q24" i="217"/>
  <c r="S24" i="217" s="1" a="1"/>
  <c r="S24" i="217" s="1"/>
  <c r="R24" i="217"/>
  <c r="Q25" i="217"/>
  <c r="S25" i="217" s="1" a="1"/>
  <c r="S25" i="217" s="1"/>
  <c r="R25" i="217"/>
  <c r="Q26" i="217"/>
  <c r="S26" i="217" s="1" a="1"/>
  <c r="S26" i="217" s="1"/>
  <c r="R26" i="217"/>
  <c r="Q27" i="217"/>
  <c r="S27" i="217" s="1" a="1"/>
  <c r="S27" i="217" s="1"/>
  <c r="R27" i="217"/>
  <c r="Q28" i="217"/>
  <c r="S28" i="217" s="1" a="1"/>
  <c r="S28" i="217" s="1"/>
  <c r="R28" i="217"/>
  <c r="Q29" i="217"/>
  <c r="S29" i="217" s="1" a="1"/>
  <c r="S29" i="217" s="1"/>
  <c r="R29" i="217"/>
  <c r="Q30" i="217"/>
  <c r="S30" i="217" s="1" a="1"/>
  <c r="S30" i="217" s="1"/>
  <c r="R30" i="217"/>
  <c r="Q31" i="217"/>
  <c r="S31" i="217" s="1" a="1"/>
  <c r="S31" i="217" s="1"/>
  <c r="R31" i="217"/>
  <c r="Q32" i="217"/>
  <c r="S32" i="217" s="1" a="1"/>
  <c r="S32" i="217" s="1"/>
  <c r="R32" i="217"/>
  <c r="Q33" i="217"/>
  <c r="S33" i="217" s="1" a="1"/>
  <c r="S33" i="217" s="1"/>
  <c r="R33" i="217"/>
  <c r="Q34" i="217"/>
  <c r="S34" i="217" s="1" a="1"/>
  <c r="S34" i="217" s="1"/>
  <c r="R34" i="217"/>
  <c r="Q35" i="217"/>
  <c r="S35" i="217" s="1" a="1"/>
  <c r="S35" i="217" s="1"/>
  <c r="R35" i="217"/>
  <c r="Q36" i="217"/>
  <c r="S36" i="217" s="1" a="1"/>
  <c r="S36" i="217" s="1"/>
  <c r="R36" i="217"/>
  <c r="Q37" i="217"/>
  <c r="S37" i="217" s="1" a="1"/>
  <c r="S37" i="217" s="1"/>
  <c r="R37" i="217"/>
  <c r="Q38" i="217"/>
  <c r="S38" i="217" s="1" a="1"/>
  <c r="S38" i="217" s="1"/>
  <c r="R38" i="217"/>
  <c r="Q39" i="217"/>
  <c r="S39" i="217" s="1" a="1"/>
  <c r="S39" i="217" s="1"/>
  <c r="R39" i="217"/>
  <c r="Q40" i="217"/>
  <c r="S40" i="217" s="1" a="1"/>
  <c r="S40" i="217" s="1"/>
  <c r="R40" i="217"/>
  <c r="Q41" i="217"/>
  <c r="S41" i="217" s="1" a="1"/>
  <c r="S41" i="217" s="1"/>
  <c r="R41" i="217"/>
  <c r="Q42" i="217"/>
  <c r="S42" i="217" s="1" a="1"/>
  <c r="S42" i="217" s="1"/>
  <c r="R42" i="217"/>
  <c r="Q43" i="217"/>
  <c r="S43" i="217" s="1" a="1"/>
  <c r="S43" i="217" s="1"/>
  <c r="R43" i="217"/>
  <c r="Q44" i="217"/>
  <c r="S44" i="217" s="1" a="1"/>
  <c r="S44" i="217" s="1"/>
  <c r="R44" i="217"/>
  <c r="Q45" i="217"/>
  <c r="S45" i="217" s="1" a="1"/>
  <c r="S45" i="217" s="1"/>
  <c r="R45" i="217"/>
  <c r="Q46" i="217"/>
  <c r="S46" i="217" s="1" a="1"/>
  <c r="S46" i="217" s="1"/>
  <c r="R46" i="217"/>
  <c r="Q47" i="217"/>
  <c r="S47" i="217" s="1" a="1"/>
  <c r="S47" i="217" s="1"/>
  <c r="R47" i="217"/>
  <c r="Q48" i="217"/>
  <c r="S48" i="217" s="1" a="1"/>
  <c r="S48" i="217" s="1"/>
  <c r="R48" i="217"/>
  <c r="Q49" i="217"/>
  <c r="S49" i="217" s="1" a="1"/>
  <c r="S49" i="217" s="1"/>
  <c r="R49" i="217"/>
  <c r="Q50" i="217"/>
  <c r="S50" i="217" s="1" a="1"/>
  <c r="S50" i="217" s="1"/>
  <c r="R50" i="217"/>
  <c r="Q51" i="217"/>
  <c r="S51" i="217" s="1" a="1"/>
  <c r="S51" i="217" s="1"/>
  <c r="R51" i="217"/>
  <c r="Q52" i="217"/>
  <c r="S52" i="217" s="1" a="1"/>
  <c r="S52" i="217" s="1"/>
  <c r="R52" i="217"/>
  <c r="Q53" i="217"/>
  <c r="S53" i="217" s="1" a="1"/>
  <c r="S53" i="217" s="1"/>
  <c r="R53" i="217"/>
  <c r="Q54" i="217"/>
  <c r="S54" i="217" s="1" a="1"/>
  <c r="S54" i="217" s="1"/>
  <c r="R54" i="217"/>
  <c r="Q55" i="217"/>
  <c r="S55" i="217" s="1" a="1"/>
  <c r="S55" i="217" s="1"/>
  <c r="R55" i="217"/>
  <c r="Q56" i="217"/>
  <c r="S56" i="217" s="1" a="1"/>
  <c r="S56" i="217" s="1"/>
  <c r="R56" i="217"/>
  <c r="Q57" i="217"/>
  <c r="S57" i="217" s="1" a="1"/>
  <c r="S57" i="217" s="1"/>
  <c r="R57" i="217"/>
  <c r="Q58" i="217"/>
  <c r="S58" i="217" s="1" a="1"/>
  <c r="S58" i="217" s="1"/>
  <c r="R58" i="217"/>
  <c r="Q59" i="217"/>
  <c r="S59" i="217" s="1" a="1"/>
  <c r="S59" i="217" s="1"/>
  <c r="R59" i="217"/>
  <c r="Q60" i="217"/>
  <c r="S60" i="217" s="1" a="1"/>
  <c r="S60" i="217" s="1"/>
  <c r="R60" i="217"/>
  <c r="Q61" i="217"/>
  <c r="S61" i="217" s="1" a="1"/>
  <c r="S61" i="217" s="1"/>
  <c r="R61" i="217"/>
  <c r="Q62" i="217"/>
  <c r="S62" i="217" s="1" a="1"/>
  <c r="S62" i="217" s="1"/>
  <c r="R62" i="217"/>
  <c r="Q63" i="217"/>
  <c r="S63" i="217" s="1" a="1"/>
  <c r="S63" i="217" s="1"/>
  <c r="R63" i="217"/>
  <c r="Q64" i="217"/>
  <c r="S64" i="217" s="1" a="1"/>
  <c r="S64" i="217" s="1"/>
  <c r="R64" i="217"/>
  <c r="Q65" i="217"/>
  <c r="S65" i="217" s="1" a="1"/>
  <c r="S65" i="217" s="1"/>
  <c r="R65" i="217"/>
  <c r="Q66" i="217"/>
  <c r="S66" i="217" s="1" a="1"/>
  <c r="S66" i="217" s="1"/>
  <c r="R66" i="217"/>
  <c r="Q67" i="217"/>
  <c r="S67" i="217" s="1" a="1"/>
  <c r="S67" i="217" s="1"/>
  <c r="R67" i="217"/>
  <c r="Q68" i="217"/>
  <c r="S68" i="217" s="1" a="1"/>
  <c r="S68" i="217" s="1"/>
  <c r="R68" i="217"/>
  <c r="Q69" i="217"/>
  <c r="S69" i="217" s="1" a="1"/>
  <c r="S69" i="217" s="1"/>
  <c r="R69" i="217"/>
  <c r="Q70" i="217"/>
  <c r="S70" i="217" s="1" a="1"/>
  <c r="S70" i="217" s="1"/>
  <c r="R70" i="217"/>
  <c r="Q71" i="217"/>
  <c r="S71" i="217" s="1" a="1"/>
  <c r="S71" i="217" s="1"/>
  <c r="R71" i="217"/>
  <c r="Q72" i="217"/>
  <c r="S72" i="217" s="1" a="1"/>
  <c r="S72" i="217" s="1"/>
  <c r="R72" i="217"/>
  <c r="Q73" i="217"/>
  <c r="S73" i="217" s="1" a="1"/>
  <c r="S73" i="217" s="1"/>
  <c r="R73" i="217"/>
  <c r="Q74" i="217"/>
  <c r="S74" i="217" s="1" a="1"/>
  <c r="S74" i="217" s="1"/>
  <c r="R74" i="217"/>
  <c r="Q75" i="217"/>
  <c r="S75" i="217" s="1" a="1"/>
  <c r="S75" i="217" s="1"/>
  <c r="R75" i="217"/>
  <c r="Q76" i="217"/>
  <c r="S76" i="217" s="1" a="1"/>
  <c r="S76" i="217" s="1"/>
  <c r="R76" i="217"/>
  <c r="Q77" i="217"/>
  <c r="S77" i="217" s="1" a="1"/>
  <c r="S77" i="217" s="1"/>
  <c r="R77" i="217"/>
  <c r="Q78" i="217"/>
  <c r="S78" i="217" s="1" a="1"/>
  <c r="S78" i="217" s="1"/>
  <c r="R78" i="217"/>
  <c r="Q79" i="217"/>
  <c r="S79" i="217" s="1" a="1"/>
  <c r="S79" i="217" s="1"/>
  <c r="R79" i="217"/>
  <c r="Q80" i="217"/>
  <c r="S80" i="217" s="1" a="1"/>
  <c r="S80" i="217" s="1"/>
  <c r="R80" i="217"/>
  <c r="Q81" i="217"/>
  <c r="S81" i="217" s="1" a="1"/>
  <c r="S81" i="217" s="1"/>
  <c r="R81" i="217"/>
  <c r="Q82" i="217"/>
  <c r="S82" i="217" s="1" a="1"/>
  <c r="S82" i="217" s="1"/>
  <c r="R82" i="217"/>
  <c r="Q83" i="217"/>
  <c r="S83" i="217" s="1" a="1"/>
  <c r="S83" i="217" s="1"/>
  <c r="R83" i="217"/>
  <c r="Q84" i="217"/>
  <c r="S84" i="217" s="1" a="1"/>
  <c r="S84" i="217" s="1"/>
  <c r="R84" i="217"/>
  <c r="Q85" i="217"/>
  <c r="S85" i="217" s="1" a="1"/>
  <c r="S85" i="217" s="1"/>
  <c r="R85" i="217"/>
  <c r="Q86" i="217"/>
  <c r="S86" i="217" s="1" a="1"/>
  <c r="S86" i="217" s="1"/>
  <c r="R86" i="217"/>
  <c r="Q87" i="217"/>
  <c r="S87" i="217" s="1" a="1"/>
  <c r="S87" i="217" s="1"/>
  <c r="R87" i="217"/>
  <c r="Q88" i="217"/>
  <c r="S88" i="217" s="1" a="1"/>
  <c r="S88" i="217" s="1"/>
  <c r="R88" i="217"/>
  <c r="Q89" i="217"/>
  <c r="S89" i="217" s="1" a="1"/>
  <c r="S89" i="217" s="1"/>
  <c r="R89" i="217"/>
  <c r="Q90" i="217"/>
  <c r="S90" i="217" s="1" a="1"/>
  <c r="S90" i="217" s="1"/>
  <c r="R90" i="217"/>
  <c r="Q91" i="217"/>
  <c r="S91" i="217" s="1" a="1"/>
  <c r="S91" i="217" s="1"/>
  <c r="R91" i="217"/>
  <c r="Q92" i="217"/>
  <c r="S92" i="217" s="1" a="1"/>
  <c r="S92" i="217" s="1"/>
  <c r="R92" i="217"/>
  <c r="Q93" i="217"/>
  <c r="S93" i="217" s="1" a="1"/>
  <c r="S93" i="217" s="1"/>
  <c r="R93" i="217"/>
  <c r="Q94" i="217"/>
  <c r="S94" i="217" s="1" a="1"/>
  <c r="S94" i="217" s="1"/>
  <c r="R94" i="217"/>
  <c r="Q95" i="217"/>
  <c r="S95" i="217" s="1" a="1"/>
  <c r="S95" i="217" s="1"/>
  <c r="R95" i="217"/>
  <c r="Q96" i="217"/>
  <c r="S96" i="217" s="1" a="1"/>
  <c r="S96" i="217" s="1"/>
  <c r="R96" i="217"/>
  <c r="Q97" i="217"/>
  <c r="S97" i="217" s="1" a="1"/>
  <c r="S97" i="217" s="1"/>
  <c r="R97" i="217"/>
  <c r="Q98" i="217"/>
  <c r="S98" i="217" s="1" a="1"/>
  <c r="S98" i="217" s="1"/>
  <c r="R98" i="217"/>
  <c r="Q99" i="217"/>
  <c r="S99" i="217" s="1" a="1"/>
  <c r="S99" i="217" s="1"/>
  <c r="R99" i="217"/>
  <c r="Q100" i="217"/>
  <c r="S100" i="217" s="1" a="1"/>
  <c r="S100" i="217" s="1"/>
  <c r="R100" i="217"/>
  <c r="Q101" i="217"/>
  <c r="S101" i="217" s="1" a="1"/>
  <c r="S101" i="217" s="1"/>
  <c r="R101" i="217"/>
  <c r="Q102" i="217"/>
  <c r="S102" i="217" s="1" a="1"/>
  <c r="S102" i="217" s="1"/>
  <c r="R102" i="217"/>
  <c r="Q103" i="217"/>
  <c r="S103" i="217" s="1" a="1"/>
  <c r="S103" i="217" s="1"/>
  <c r="R103" i="217"/>
  <c r="Q104" i="217"/>
  <c r="S104" i="217" s="1" a="1"/>
  <c r="S104" i="217" s="1"/>
  <c r="R104" i="217"/>
  <c r="Q105" i="217"/>
  <c r="S105" i="217" s="1" a="1"/>
  <c r="S105" i="217" s="1"/>
  <c r="R105" i="217"/>
  <c r="Q106" i="217"/>
  <c r="S106" i="217" s="1" a="1"/>
  <c r="S106" i="217" s="1"/>
  <c r="R106" i="217"/>
  <c r="Q107" i="217"/>
  <c r="S107" i="217" s="1" a="1"/>
  <c r="S107" i="217" s="1"/>
  <c r="R107" i="217"/>
  <c r="Q108" i="217"/>
  <c r="S108" i="217" s="1" a="1"/>
  <c r="S108" i="217" s="1"/>
  <c r="R108" i="217"/>
  <c r="Q109" i="217"/>
  <c r="S109" i="217" s="1" a="1"/>
  <c r="S109" i="217" s="1"/>
  <c r="R109" i="217"/>
  <c r="Q110" i="217"/>
  <c r="S110" i="217" s="1" a="1"/>
  <c r="S110" i="217" s="1"/>
  <c r="R110" i="217"/>
  <c r="Q111" i="217"/>
  <c r="S111" i="217" s="1" a="1"/>
  <c r="S111" i="217" s="1"/>
  <c r="R111" i="217"/>
  <c r="Q112" i="217"/>
  <c r="S112" i="217" s="1" a="1"/>
  <c r="S112" i="217" s="1"/>
  <c r="R112" i="217"/>
  <c r="Q113" i="217"/>
  <c r="S113" i="217" s="1" a="1"/>
  <c r="S113" i="217" s="1"/>
  <c r="R113" i="217"/>
  <c r="Q114" i="217"/>
  <c r="S114" i="217" s="1" a="1"/>
  <c r="S114" i="217" s="1"/>
  <c r="R114" i="217"/>
  <c r="Q115" i="217"/>
  <c r="S115" i="217" s="1" a="1"/>
  <c r="S115" i="217" s="1"/>
  <c r="R115" i="217"/>
  <c r="Q116" i="217"/>
  <c r="S116" i="217" s="1" a="1"/>
  <c r="S116" i="217" s="1"/>
  <c r="R116" i="217"/>
  <c r="Q117" i="217"/>
  <c r="S117" i="217" s="1" a="1"/>
  <c r="S117" i="217" s="1"/>
  <c r="R117" i="217"/>
  <c r="Q118" i="217"/>
  <c r="S118" i="217" s="1" a="1"/>
  <c r="S118" i="217" s="1"/>
  <c r="R118" i="217"/>
  <c r="Q119" i="217"/>
  <c r="S119" i="217" s="1" a="1"/>
  <c r="S119" i="217" s="1"/>
  <c r="R119" i="217"/>
  <c r="Q120" i="217"/>
  <c r="S120" i="217" s="1" a="1"/>
  <c r="S120" i="217"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6" i="217"/>
  <c r="J16" i="217"/>
  <c r="K16" i="217"/>
  <c r="L16" i="217"/>
  <c r="M16" i="217"/>
  <c r="N16" i="217"/>
  <c r="I17" i="217"/>
  <c r="J17" i="217"/>
  <c r="K17" i="217"/>
  <c r="L17" i="217"/>
  <c r="M17" i="217"/>
  <c r="N17" i="217"/>
  <c r="I18" i="217"/>
  <c r="J18" i="217"/>
  <c r="K18" i="217"/>
  <c r="L18" i="217"/>
  <c r="M18" i="217"/>
  <c r="N18" i="217"/>
  <c r="I19" i="217"/>
  <c r="J19" i="217"/>
  <c r="K19" i="217"/>
  <c r="L19" i="217"/>
  <c r="M19" i="217"/>
  <c r="N19" i="217"/>
  <c r="I20" i="217"/>
  <c r="J20" i="217"/>
  <c r="K20" i="217"/>
  <c r="L20" i="217"/>
  <c r="M20" i="217"/>
  <c r="N20" i="217"/>
  <c r="I21" i="217"/>
  <c r="J21" i="217"/>
  <c r="K21" i="217"/>
  <c r="L21" i="217"/>
  <c r="M21" i="217"/>
  <c r="N21" i="217"/>
  <c r="I22" i="217"/>
  <c r="J22" i="217"/>
  <c r="K22" i="217"/>
  <c r="L22" i="217"/>
  <c r="M22" i="217"/>
  <c r="N22" i="217"/>
  <c r="I23" i="217"/>
  <c r="J23" i="217"/>
  <c r="K23" i="217"/>
  <c r="L23" i="217"/>
  <c r="M23" i="217"/>
  <c r="N23" i="217"/>
  <c r="I24" i="217"/>
  <c r="J24" i="217"/>
  <c r="K24" i="217"/>
  <c r="L24" i="217"/>
  <c r="M24" i="217"/>
  <c r="N24" i="217"/>
  <c r="I25" i="217"/>
  <c r="J25" i="217"/>
  <c r="K25" i="217"/>
  <c r="L25" i="217"/>
  <c r="M25" i="217"/>
  <c r="N25" i="217"/>
  <c r="I26" i="217"/>
  <c r="J26" i="217"/>
  <c r="K26" i="217"/>
  <c r="L26" i="217"/>
  <c r="M26" i="217"/>
  <c r="N26" i="217"/>
  <c r="I27" i="217"/>
  <c r="J27" i="217"/>
  <c r="K27" i="217"/>
  <c r="L27" i="217"/>
  <c r="M27" i="217"/>
  <c r="N27" i="217"/>
  <c r="I28" i="217"/>
  <c r="J28" i="217"/>
  <c r="K28" i="217"/>
  <c r="L28" i="217"/>
  <c r="M28" i="217"/>
  <c r="N28" i="217"/>
  <c r="I29" i="217"/>
  <c r="J29" i="217"/>
  <c r="K29" i="217"/>
  <c r="L29" i="217"/>
  <c r="M29" i="217"/>
  <c r="N29" i="217"/>
  <c r="B16" i="217"/>
  <c r="C16" i="217"/>
  <c r="B17" i="217"/>
  <c r="C17" i="217"/>
  <c r="B18" i="217"/>
  <c r="C18" i="217"/>
  <c r="B19" i="217"/>
  <c r="C19" i="217"/>
  <c r="B20" i="217"/>
  <c r="C20" i="217"/>
  <c r="B21" i="217"/>
  <c r="C21" i="217"/>
  <c r="B22" i="217"/>
  <c r="C22" i="217"/>
  <c r="B23" i="217"/>
  <c r="C23" i="217"/>
  <c r="B24" i="217"/>
  <c r="C24" i="217"/>
  <c r="B25" i="217"/>
  <c r="C25" i="217"/>
  <c r="B26" i="217"/>
  <c r="C26" i="217"/>
  <c r="B27" i="217"/>
  <c r="C27" i="217"/>
  <c r="B28" i="217"/>
  <c r="C28" i="217"/>
  <c r="B29" i="217"/>
  <c r="C29" i="217"/>
  <c r="C15" i="217"/>
  <c r="B15" i="217"/>
  <c r="B14" i="217"/>
  <c r="B15" i="218"/>
  <c r="B13" i="218"/>
  <c r="B12" i="218"/>
  <c r="B9" i="218"/>
  <c r="B8" i="218"/>
  <c r="B4" i="218"/>
  <c r="R15" i="217"/>
  <c r="Q15" i="217"/>
  <c r="N15" i="217"/>
  <c r="M15" i="217"/>
  <c r="L15" i="217"/>
  <c r="K15" i="217"/>
  <c r="J15" i="217"/>
  <c r="E3" i="217"/>
  <c r="E6" i="217" s="1"/>
  <c r="B16" i="218" s="1"/>
  <c r="E7" i="217"/>
  <c r="B17" i="218" s="1"/>
  <c r="Q164" i="215"/>
  <c r="S164" i="215" s="1" a="1"/>
  <c r="S164" i="215" s="1"/>
  <c r="B168" i="216" s="1"/>
  <c r="R164" i="215"/>
  <c r="Q165" i="215"/>
  <c r="R165" i="215"/>
  <c r="Q166" i="215"/>
  <c r="S166" i="215" s="1" a="1"/>
  <c r="S166" i="215" s="1"/>
  <c r="B170" i="216" s="1"/>
  <c r="R166" i="215"/>
  <c r="Q167" i="215"/>
  <c r="R167" i="215"/>
  <c r="S167" i="215" a="1"/>
  <c r="S167" i="215" s="1"/>
  <c r="B171" i="216" s="1"/>
  <c r="Q168" i="215"/>
  <c r="S168" i="215" s="1" a="1"/>
  <c r="S168" i="215" s="1"/>
  <c r="B172" i="216" s="1"/>
  <c r="R168" i="215"/>
  <c r="Q169" i="215"/>
  <c r="R169" i="215"/>
  <c r="S169" i="215" a="1"/>
  <c r="S169" i="215" s="1"/>
  <c r="B173" i="216" s="1"/>
  <c r="Q170" i="215"/>
  <c r="S170" i="215" s="1" a="1"/>
  <c r="S170" i="215" s="1"/>
  <c r="B174" i="216" s="1"/>
  <c r="R170" i="215"/>
  <c r="Q171" i="215"/>
  <c r="R171" i="215"/>
  <c r="Q172" i="215"/>
  <c r="S172" i="215" s="1" a="1"/>
  <c r="S172" i="215" s="1"/>
  <c r="B176" i="216" s="1"/>
  <c r="R172" i="215"/>
  <c r="Q173" i="215"/>
  <c r="R173" i="215"/>
  <c r="S173" i="215" a="1"/>
  <c r="S173" i="215" s="1"/>
  <c r="B177" i="216" s="1"/>
  <c r="Q174" i="215"/>
  <c r="S174" i="215" s="1" a="1"/>
  <c r="S174" i="215" s="1"/>
  <c r="B178" i="216" s="1"/>
  <c r="R174" i="215"/>
  <c r="Q175" i="215"/>
  <c r="R175" i="215"/>
  <c r="S175" i="215" a="1"/>
  <c r="S175" i="215" s="1"/>
  <c r="B179" i="216" s="1"/>
  <c r="Q176" i="215"/>
  <c r="S176" i="215" s="1" a="1"/>
  <c r="S176" i="215" s="1"/>
  <c r="B180" i="216" s="1"/>
  <c r="R176" i="215"/>
  <c r="Q177" i="215"/>
  <c r="R177" i="215"/>
  <c r="S177" i="215" a="1"/>
  <c r="S177" i="215" s="1"/>
  <c r="B181" i="216" s="1"/>
  <c r="Q178" i="215"/>
  <c r="S178" i="215" s="1" a="1"/>
  <c r="S178" i="215" s="1"/>
  <c r="B182" i="216" s="1"/>
  <c r="R178" i="215"/>
  <c r="Q179" i="215"/>
  <c r="R179" i="215"/>
  <c r="S179" i="215" a="1"/>
  <c r="S179" i="215" s="1"/>
  <c r="B183" i="216" s="1"/>
  <c r="Q180" i="215"/>
  <c r="S180" i="215" s="1" a="1"/>
  <c r="S180" i="215" s="1"/>
  <c r="B184" i="216" s="1"/>
  <c r="R180" i="215"/>
  <c r="Q181" i="215"/>
  <c r="R181" i="215"/>
  <c r="S181" i="215" a="1"/>
  <c r="S181" i="215" s="1"/>
  <c r="Q182" i="215"/>
  <c r="S182" i="215" s="1" a="1"/>
  <c r="S182" i="215" s="1"/>
  <c r="R182" i="215"/>
  <c r="Q183" i="215"/>
  <c r="R183" i="215"/>
  <c r="S183" i="215" a="1"/>
  <c r="S183" i="215" s="1"/>
  <c r="Q184" i="215"/>
  <c r="S184" i="215" s="1" a="1"/>
  <c r="S184" i="215" s="1"/>
  <c r="R184" i="215"/>
  <c r="Q16" i="215"/>
  <c r="S16" i="215" s="1" a="1"/>
  <c r="S16" i="215" s="1"/>
  <c r="B20" i="216" s="1"/>
  <c r="R16" i="215"/>
  <c r="Q17" i="215"/>
  <c r="R17" i="215"/>
  <c r="Q18" i="215"/>
  <c r="R18" i="215"/>
  <c r="Q19" i="215"/>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R27" i="215"/>
  <c r="Q28" i="215"/>
  <c r="S28" i="215" s="1" a="1"/>
  <c r="S28" i="215" s="1"/>
  <c r="B32" i="216" s="1"/>
  <c r="R28" i="215"/>
  <c r="Q29" i="215"/>
  <c r="R29" i="215"/>
  <c r="Q30" i="215"/>
  <c r="S30" i="215" s="1" a="1"/>
  <c r="S30" i="215" s="1"/>
  <c r="B34" i="216" s="1"/>
  <c r="R30" i="215"/>
  <c r="Q31" i="215"/>
  <c r="S31" i="215" s="1" a="1"/>
  <c r="S31" i="215" s="1"/>
  <c r="B35" i="216" s="1"/>
  <c r="R31" i="215"/>
  <c r="Q32" i="215"/>
  <c r="S32" i="215" s="1" a="1"/>
  <c r="S32" i="215" s="1"/>
  <c r="B36" i="216" s="1"/>
  <c r="R32" i="215"/>
  <c r="Q33" i="215"/>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S40" i="215" s="1" a="1"/>
  <c r="S40" i="215" s="1"/>
  <c r="B44" i="216" s="1"/>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S46" i="215" s="1" a="1"/>
  <c r="S46" i="215" s="1"/>
  <c r="B50" i="216" s="1"/>
  <c r="R46" i="215"/>
  <c r="Q47" i="215"/>
  <c r="R47" i="215"/>
  <c r="Q48" i="215"/>
  <c r="R48" i="215"/>
  <c r="Q49" i="215"/>
  <c r="R49" i="215"/>
  <c r="Q50" i="215"/>
  <c r="S50" i="215" s="1" a="1"/>
  <c r="S50" i="215" s="1"/>
  <c r="B54" i="216" s="1"/>
  <c r="R50" i="215"/>
  <c r="Q51" i="215"/>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R63" i="215"/>
  <c r="Q64" i="215"/>
  <c r="S64" i="215" s="1" a="1"/>
  <c r="S64" i="215" s="1"/>
  <c r="B68" i="216" s="1"/>
  <c r="R64" i="215"/>
  <c r="Q65" i="215"/>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R147" i="215"/>
  <c r="Q148" i="215"/>
  <c r="S148" i="215" s="1" a="1"/>
  <c r="S148" i="215" s="1"/>
  <c r="B152" i="216" s="1"/>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R153" i="215"/>
  <c r="Q154" i="215"/>
  <c r="S154" i="215" s="1" a="1"/>
  <c r="S154" i="215" s="1"/>
  <c r="B158" i="216" s="1"/>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R159" i="215"/>
  <c r="Q160" i="215"/>
  <c r="S160" i="215" s="1" a="1"/>
  <c r="S160" i="215" s="1"/>
  <c r="B164" i="216" s="1"/>
  <c r="R160" i="215"/>
  <c r="Q161" i="215"/>
  <c r="S161" i="215" s="1" a="1"/>
  <c r="S161" i="215" s="1"/>
  <c r="B165" i="216" s="1"/>
  <c r="R161" i="215"/>
  <c r="Q162" i="215"/>
  <c r="S162" i="215" s="1" a="1"/>
  <c r="S162" i="215" s="1"/>
  <c r="B166" i="216" s="1"/>
  <c r="R162" i="215"/>
  <c r="Q163" i="215"/>
  <c r="S163" i="215" s="1" a="1"/>
  <c r="S163" i="215" s="1"/>
  <c r="B167" i="216" s="1"/>
  <c r="R163" i="215"/>
  <c r="I39" i="215"/>
  <c r="J39" i="215"/>
  <c r="K39" i="215"/>
  <c r="L39" i="215"/>
  <c r="M39" i="215"/>
  <c r="N39" i="215"/>
  <c r="I40" i="215"/>
  <c r="S165" i="215" s="1" a="1"/>
  <c r="S165" i="215" s="1"/>
  <c r="B169" i="216" s="1"/>
  <c r="J40" i="215"/>
  <c r="K40" i="215"/>
  <c r="L40" i="215"/>
  <c r="M40" i="215"/>
  <c r="N40" i="215"/>
  <c r="I41" i="215"/>
  <c r="S171" i="215" s="1" a="1"/>
  <c r="S171" i="215" s="1"/>
  <c r="B175" i="216" s="1"/>
  <c r="J41" i="215"/>
  <c r="K41" i="215"/>
  <c r="L41" i="215"/>
  <c r="M41" i="215"/>
  <c r="N41"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C9" i="210"/>
  <c r="C10" i="210"/>
  <c r="C11" i="210"/>
  <c r="C12" i="210"/>
  <c r="C13" i="210"/>
  <c r="C14" i="210"/>
  <c r="C15" i="210"/>
  <c r="C16" i="210"/>
  <c r="C17" i="210"/>
  <c r="C18" i="210"/>
  <c r="C19" i="210"/>
  <c r="C20" i="210"/>
  <c r="C31" i="210"/>
  <c r="C32" i="210"/>
  <c r="C33" i="210"/>
  <c r="C34" i="210"/>
  <c r="C35" i="210"/>
  <c r="C36" i="210"/>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6" i="207" a="1"/>
  <c r="S16" i="207" s="1"/>
  <c r="S17" i="207" a="1"/>
  <c r="S17" i="207"/>
  <c r="S18" i="207" a="1"/>
  <c r="S18" i="207" s="1"/>
  <c r="S19" i="207" a="1"/>
  <c r="S19" i="207"/>
  <c r="S20" i="207" a="1"/>
  <c r="S20" i="207" s="1"/>
  <c r="S21" i="207" a="1"/>
  <c r="S21" i="207"/>
  <c r="C15" i="207"/>
  <c r="B15" i="207"/>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B40" i="215"/>
  <c r="C40" i="215"/>
  <c r="B41" i="215"/>
  <c r="C41"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B38" i="215"/>
  <c r="C38" i="215"/>
  <c r="C15" i="215"/>
  <c r="B15" i="215"/>
  <c r="B14" i="215"/>
  <c r="I15" i="215" s="1"/>
  <c r="B15" i="216"/>
  <c r="B13" i="216"/>
  <c r="B12" i="216"/>
  <c r="B9" i="216"/>
  <c r="B8" i="216"/>
  <c r="B4" i="216"/>
  <c r="R15" i="215"/>
  <c r="Q15" i="215"/>
  <c r="N15" i="215"/>
  <c r="M15" i="215"/>
  <c r="L15" i="215"/>
  <c r="K15" i="215"/>
  <c r="J15" i="215"/>
  <c r="B17" i="216"/>
  <c r="E3" i="215"/>
  <c r="B14" i="216" s="1"/>
  <c r="J34" i="213"/>
  <c r="K34" i="213"/>
  <c r="L34" i="213"/>
  <c r="M34" i="213"/>
  <c r="N34" i="213"/>
  <c r="J35" i="213"/>
  <c r="K35" i="213"/>
  <c r="L35" i="213"/>
  <c r="M35" i="213"/>
  <c r="N35" i="213"/>
  <c r="J36" i="213"/>
  <c r="K36" i="213"/>
  <c r="L36" i="213"/>
  <c r="S144" i="213" s="1" a="1"/>
  <c r="S144" i="213" s="1"/>
  <c r="B148" i="214" s="1"/>
  <c r="M36" i="213"/>
  <c r="N36" i="213"/>
  <c r="J37" i="213"/>
  <c r="K37" i="213"/>
  <c r="L37" i="213"/>
  <c r="M37" i="213"/>
  <c r="N37" i="213"/>
  <c r="J38" i="213"/>
  <c r="K38" i="213"/>
  <c r="L38" i="213"/>
  <c r="M38" i="213"/>
  <c r="N38" i="213"/>
  <c r="N39" i="213"/>
  <c r="J16" i="213"/>
  <c r="K16" i="213"/>
  <c r="L16" i="213"/>
  <c r="M16" i="213"/>
  <c r="N16" i="213"/>
  <c r="J17" i="213"/>
  <c r="K17" i="213"/>
  <c r="L17" i="213"/>
  <c r="M17" i="213"/>
  <c r="N17" i="213"/>
  <c r="J18" i="213"/>
  <c r="K18" i="213"/>
  <c r="L18" i="213"/>
  <c r="M18" i="213"/>
  <c r="N18" i="213"/>
  <c r="J19" i="213"/>
  <c r="K19" i="213"/>
  <c r="L19" i="213"/>
  <c r="M19" i="213"/>
  <c r="N19" i="213"/>
  <c r="J20" i="213"/>
  <c r="K20" i="213"/>
  <c r="L20" i="213"/>
  <c r="M20" i="213"/>
  <c r="N20" i="213"/>
  <c r="J21" i="213"/>
  <c r="K21" i="213"/>
  <c r="L21" i="213"/>
  <c r="M21" i="213"/>
  <c r="N21" i="213"/>
  <c r="J22" i="213"/>
  <c r="K22" i="213"/>
  <c r="L22" i="213"/>
  <c r="M22" i="213"/>
  <c r="N22" i="213"/>
  <c r="J23" i="213"/>
  <c r="K23" i="213"/>
  <c r="L23" i="213"/>
  <c r="M23" i="213"/>
  <c r="N23" i="213"/>
  <c r="J24" i="213"/>
  <c r="K24" i="213"/>
  <c r="L24" i="213"/>
  <c r="M24" i="213"/>
  <c r="N24" i="213"/>
  <c r="J25" i="213"/>
  <c r="K25" i="213"/>
  <c r="L25" i="213"/>
  <c r="M25" i="213"/>
  <c r="N25" i="213"/>
  <c r="J26" i="213"/>
  <c r="K26" i="213"/>
  <c r="L26" i="213"/>
  <c r="M26" i="213"/>
  <c r="N26" i="213"/>
  <c r="J27" i="213"/>
  <c r="K27" i="213"/>
  <c r="L27" i="213"/>
  <c r="M27" i="213"/>
  <c r="N27" i="213"/>
  <c r="J28" i="213"/>
  <c r="K28" i="213"/>
  <c r="L28" i="213"/>
  <c r="M28" i="213"/>
  <c r="N28" i="213"/>
  <c r="J29" i="213"/>
  <c r="K29" i="213"/>
  <c r="L29" i="213"/>
  <c r="M29" i="213"/>
  <c r="N29" i="213"/>
  <c r="J30" i="213"/>
  <c r="K30" i="213"/>
  <c r="L30" i="213"/>
  <c r="M30" i="213"/>
  <c r="N30" i="213"/>
  <c r="J31" i="213"/>
  <c r="K31" i="213"/>
  <c r="L31" i="213"/>
  <c r="M31" i="213"/>
  <c r="N31" i="213"/>
  <c r="J32" i="213"/>
  <c r="K32" i="213"/>
  <c r="L32" i="213"/>
  <c r="M32" i="213"/>
  <c r="N32" i="213"/>
  <c r="J33" i="213"/>
  <c r="K33" i="213"/>
  <c r="L33" i="213"/>
  <c r="M33" i="213"/>
  <c r="N33" i="213"/>
  <c r="C16" i="213"/>
  <c r="C17" i="213"/>
  <c r="C18" i="213"/>
  <c r="C19" i="213"/>
  <c r="C20" i="213"/>
  <c r="C21" i="213"/>
  <c r="C22" i="213"/>
  <c r="C23" i="213"/>
  <c r="C24" i="213"/>
  <c r="C25" i="213"/>
  <c r="C26" i="213"/>
  <c r="C27" i="213"/>
  <c r="C28" i="213"/>
  <c r="C29" i="213"/>
  <c r="C30" i="213"/>
  <c r="C31" i="213"/>
  <c r="C32" i="213"/>
  <c r="C33" i="213"/>
  <c r="C34" i="213"/>
  <c r="C35" i="213"/>
  <c r="C36" i="213"/>
  <c r="C37" i="213"/>
  <c r="C38" i="213"/>
  <c r="C15" i="213"/>
  <c r="B34" i="213"/>
  <c r="I34" i="213" s="1"/>
  <c r="B35" i="213"/>
  <c r="B36" i="213"/>
  <c r="B37" i="213"/>
  <c r="B38" i="213"/>
  <c r="B16" i="213"/>
  <c r="B17" i="213"/>
  <c r="B18" i="213"/>
  <c r="B19" i="213"/>
  <c r="B20" i="213"/>
  <c r="B21" i="213"/>
  <c r="B22" i="213"/>
  <c r="B23" i="213"/>
  <c r="B24" i="213"/>
  <c r="B25" i="213"/>
  <c r="B26" i="213"/>
  <c r="B27" i="213"/>
  <c r="B28" i="213"/>
  <c r="B29" i="213"/>
  <c r="B30" i="213"/>
  <c r="B31" i="213"/>
  <c r="B32" i="213"/>
  <c r="B33" i="213"/>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B165" i="214"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S155" i="213" a="1"/>
  <c r="S155" i="213" s="1"/>
  <c r="B159" i="214" s="1"/>
  <c r="R155" i="213"/>
  <c r="Q155" i="213"/>
  <c r="R154" i="213"/>
  <c r="Q154" i="213"/>
  <c r="S154" i="213" s="1" a="1"/>
  <c r="S154" i="213" s="1"/>
  <c r="B158" i="214" s="1"/>
  <c r="R153" i="213"/>
  <c r="Q153" i="213"/>
  <c r="R152" i="213"/>
  <c r="Q152" i="213"/>
  <c r="R151" i="213"/>
  <c r="Q151" i="213"/>
  <c r="R150" i="213"/>
  <c r="Q150" i="213"/>
  <c r="S150" i="213" s="1" a="1"/>
  <c r="S150" i="213" s="1"/>
  <c r="B154" i="214" s="1"/>
  <c r="R149" i="213"/>
  <c r="Q149" i="213"/>
  <c r="S149" i="213" s="1" a="1"/>
  <c r="S149" i="213" s="1"/>
  <c r="B153" i="214" s="1"/>
  <c r="R148" i="213"/>
  <c r="Q148" i="213"/>
  <c r="S148" i="213" s="1" a="1"/>
  <c r="S148" i="213" s="1"/>
  <c r="B152" i="214" s="1"/>
  <c r="R147" i="213"/>
  <c r="Q147" i="213"/>
  <c r="R146" i="213"/>
  <c r="Q146" i="213"/>
  <c r="S146" i="213" s="1" a="1"/>
  <c r="S146" i="213" s="1"/>
  <c r="B150" i="214" s="1"/>
  <c r="R145" i="213"/>
  <c r="Q145" i="213"/>
  <c r="S145" i="213" s="1" a="1"/>
  <c r="S145" i="213" s="1"/>
  <c r="B149" i="214" s="1"/>
  <c r="R144" i="213"/>
  <c r="Q144" i="213"/>
  <c r="R143" i="213"/>
  <c r="Q143" i="213"/>
  <c r="S143" i="213" s="1" a="1"/>
  <c r="S143" i="213" s="1"/>
  <c r="B147" i="214" s="1"/>
  <c r="R142" i="213"/>
  <c r="Q142" i="213"/>
  <c r="S142" i="213" s="1" a="1"/>
  <c r="S142" i="213" s="1"/>
  <c r="B146" i="214" s="1"/>
  <c r="R141" i="213"/>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B138" i="214" s="1"/>
  <c r="R133" i="213"/>
  <c r="Q133" i="213"/>
  <c r="S133" i="213" s="1" a="1"/>
  <c r="S133" i="213" s="1"/>
  <c r="B137" i="214" s="1"/>
  <c r="R132" i="213"/>
  <c r="S132" i="213" s="1" a="1"/>
  <c r="S132" i="213" s="1"/>
  <c r="B136" i="214" s="1"/>
  <c r="Q132" i="213"/>
  <c r="S131" i="213" a="1"/>
  <c r="S131" i="213" s="1"/>
  <c r="B135" i="214" s="1"/>
  <c r="R131" i="213"/>
  <c r="Q131" i="213"/>
  <c r="R130" i="213"/>
  <c r="Q130" i="213"/>
  <c r="S130" i="213" s="1" a="1"/>
  <c r="S130" i="213" s="1"/>
  <c r="B134" i="214" s="1"/>
  <c r="R129" i="213"/>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S116" i="213" s="1" a="1"/>
  <c r="S116" i="213" s="1"/>
  <c r="B120" i="214" s="1"/>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B83" i="214" s="1"/>
  <c r="R78" i="213"/>
  <c r="S78" i="213" s="1" a="1"/>
  <c r="S78" i="213" s="1"/>
  <c r="B82" i="214"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S70" i="213" s="1" a="1"/>
  <c r="S70" i="213" s="1"/>
  <c r="B74" i="214" s="1"/>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B59" i="214"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S128" i="213" a="1"/>
  <c r="S128" i="213" s="1"/>
  <c r="B132" i="214" s="1"/>
  <c r="R32" i="213"/>
  <c r="Q32" i="213"/>
  <c r="S122" i="213" a="1"/>
  <c r="S122" i="213" s="1"/>
  <c r="B126" i="214" s="1"/>
  <c r="S121" i="213" a="1"/>
  <c r="S121" i="213" s="1"/>
  <c r="B125" i="214" s="1"/>
  <c r="R31" i="213"/>
  <c r="Q31" i="213"/>
  <c r="S31" i="213" s="1" a="1"/>
  <c r="S31" i="213" s="1"/>
  <c r="B35" i="214" s="1"/>
  <c r="S115" i="213" a="1"/>
  <c r="S115" i="213" s="1"/>
  <c r="B119" i="214" s="1"/>
  <c r="R30" i="213"/>
  <c r="Q30" i="213"/>
  <c r="S106" i="213" a="1"/>
  <c r="S106" i="213" s="1"/>
  <c r="B110" i="214" s="1"/>
  <c r="R29" i="213"/>
  <c r="Q29" i="213"/>
  <c r="S28" i="213" a="1"/>
  <c r="S28" i="213" s="1"/>
  <c r="B32" i="214" s="1"/>
  <c r="R28" i="213"/>
  <c r="Q28" i="213"/>
  <c r="S96" i="213" a="1"/>
  <c r="S96" i="213" s="1"/>
  <c r="B100" i="214" s="1"/>
  <c r="R27" i="213"/>
  <c r="Q27" i="213"/>
  <c r="S90" i="213" a="1"/>
  <c r="S90" i="213" s="1"/>
  <c r="B94" i="214" s="1"/>
  <c r="S89" i="213" a="1"/>
  <c r="S89" i="213" s="1"/>
  <c r="B93" i="214" s="1"/>
  <c r="R26" i="213"/>
  <c r="Q26" i="213"/>
  <c r="S83" i="213" a="1"/>
  <c r="S83" i="213" s="1"/>
  <c r="B87" i="214" s="1"/>
  <c r="R25" i="213"/>
  <c r="Q25" i="213"/>
  <c r="S80" i="213" a="1"/>
  <c r="S80" i="213" s="1"/>
  <c r="B84" i="214" s="1"/>
  <c r="S24" i="213" a="1"/>
  <c r="S24" i="213" s="1"/>
  <c r="B28" i="214" s="1"/>
  <c r="R24" i="213"/>
  <c r="Q24" i="213"/>
  <c r="S74" i="213" a="1"/>
  <c r="S74" i="213" s="1"/>
  <c r="B78" i="214" s="1"/>
  <c r="R23" i="213"/>
  <c r="Q23" i="213"/>
  <c r="S67" i="213" a="1"/>
  <c r="S67" i="213" s="1"/>
  <c r="B71" i="214" s="1"/>
  <c r="S22" i="213" a="1"/>
  <c r="S22" i="213" s="1"/>
  <c r="B26" i="214" s="1"/>
  <c r="R22" i="213"/>
  <c r="Q22" i="213"/>
  <c r="S58" i="213" a="1"/>
  <c r="S58" i="213" s="1"/>
  <c r="B62" i="214" s="1"/>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C29" i="212"/>
  <c r="C35" i="212"/>
  <c r="C36" i="212"/>
  <c r="C37" i="212"/>
  <c r="C38" i="212"/>
  <c r="J9" i="211"/>
  <c r="L9" i="211" s="1"/>
  <c r="C52" i="212" s="1"/>
  <c r="J10" i="211"/>
  <c r="L10" i="211" s="1"/>
  <c r="C53" i="212" s="1"/>
  <c r="J11" i="211"/>
  <c r="L11" i="211" s="1"/>
  <c r="C54" i="212" s="1"/>
  <c r="J12" i="211"/>
  <c r="C12" i="212" s="1"/>
  <c r="J13" i="211"/>
  <c r="L13" i="211" s="1"/>
  <c r="C56" i="212" s="1"/>
  <c r="J14" i="211"/>
  <c r="L14" i="211" s="1"/>
  <c r="C57" i="212" s="1"/>
  <c r="J15" i="211"/>
  <c r="C15" i="212" s="1"/>
  <c r="J16" i="211"/>
  <c r="L16" i="211" s="1"/>
  <c r="C59" i="212" s="1"/>
  <c r="J17" i="211"/>
  <c r="L17" i="211" s="1"/>
  <c r="C60" i="212" s="1"/>
  <c r="J18" i="211"/>
  <c r="L18" i="211" s="1"/>
  <c r="C61" i="212" s="1"/>
  <c r="J19" i="211"/>
  <c r="L19" i="211" s="1"/>
  <c r="C62" i="212" s="1"/>
  <c r="J20" i="211"/>
  <c r="C20" i="212" s="1"/>
  <c r="L20" i="211"/>
  <c r="C63" i="212" s="1"/>
  <c r="J21" i="211"/>
  <c r="L21" i="211" s="1"/>
  <c r="C64" i="212" s="1"/>
  <c r="J22" i="211"/>
  <c r="L22" i="211" s="1"/>
  <c r="C65" i="212" s="1"/>
  <c r="J23" i="211"/>
  <c r="L23" i="211" s="1"/>
  <c r="C66" i="212" s="1"/>
  <c r="J24" i="211"/>
  <c r="C24" i="212" s="1"/>
  <c r="J25" i="211"/>
  <c r="L25" i="211" s="1"/>
  <c r="C68" i="212" s="1"/>
  <c r="J26" i="211"/>
  <c r="L26" i="211" s="1"/>
  <c r="C69" i="212" s="1"/>
  <c r="J27" i="211"/>
  <c r="L27" i="211" s="1"/>
  <c r="C70" i="212" s="1"/>
  <c r="J28" i="211"/>
  <c r="C28" i="212" s="1"/>
  <c r="J29" i="211"/>
  <c r="L29" i="211" s="1"/>
  <c r="C72" i="212" s="1"/>
  <c r="J30" i="211"/>
  <c r="L30" i="211" s="1"/>
  <c r="C73" i="212" s="1"/>
  <c r="J31" i="211"/>
  <c r="L31" i="211" s="1"/>
  <c r="C74" i="212" s="1"/>
  <c r="J32" i="211"/>
  <c r="C32" i="212" s="1"/>
  <c r="L32" i="211"/>
  <c r="C75" i="212" s="1"/>
  <c r="J33" i="211"/>
  <c r="L33" i="211" s="1"/>
  <c r="C76" i="212" s="1"/>
  <c r="J34" i="211"/>
  <c r="L34" i="211" s="1"/>
  <c r="C77" i="212" s="1"/>
  <c r="J35" i="211"/>
  <c r="L35" i="211" s="1"/>
  <c r="C78" i="212" s="1"/>
  <c r="J36" i="211"/>
  <c r="L36" i="211"/>
  <c r="C79" i="212" s="1"/>
  <c r="J37" i="211"/>
  <c r="L37" i="211" s="1"/>
  <c r="C80" i="212" s="1"/>
  <c r="J38" i="211"/>
  <c r="L38" i="211" s="1"/>
  <c r="C81" i="212" s="1"/>
  <c r="J39" i="211"/>
  <c r="L39" i="211" s="1"/>
  <c r="C43" i="210"/>
  <c r="C44" i="210"/>
  <c r="C45" i="210"/>
  <c r="C46" i="210"/>
  <c r="C48" i="210"/>
  <c r="C49" i="210"/>
  <c r="C50" i="210"/>
  <c r="C51" i="210"/>
  <c r="C52" i="210"/>
  <c r="C64" i="210"/>
  <c r="C65" i="210"/>
  <c r="C66" i="210"/>
  <c r="C67" i="210"/>
  <c r="L9" i="209"/>
  <c r="C42" i="210" s="1"/>
  <c r="L10" i="209"/>
  <c r="L11" i="209"/>
  <c r="L12" i="209"/>
  <c r="L13" i="209"/>
  <c r="L15" i="209"/>
  <c r="L16" i="209"/>
  <c r="L17" i="209"/>
  <c r="L18" i="209"/>
  <c r="L19" i="209"/>
  <c r="L21" i="209"/>
  <c r="C54" i="210" s="1"/>
  <c r="L25" i="209"/>
  <c r="C58" i="210" s="1"/>
  <c r="L28" i="209"/>
  <c r="C61" i="210" s="1"/>
  <c r="L31" i="209"/>
  <c r="L32" i="209"/>
  <c r="L33" i="209"/>
  <c r="L34" i="209"/>
  <c r="L35" i="209"/>
  <c r="L36" i="209"/>
  <c r="J9" i="209"/>
  <c r="J10" i="209"/>
  <c r="J11" i="209"/>
  <c r="J12" i="209"/>
  <c r="J13" i="209"/>
  <c r="J14" i="209"/>
  <c r="J15" i="209"/>
  <c r="J16" i="209"/>
  <c r="J17" i="209"/>
  <c r="J18" i="209"/>
  <c r="J19" i="209"/>
  <c r="J20" i="209"/>
  <c r="L20" i="209" s="1"/>
  <c r="C53" i="210" s="1"/>
  <c r="J21" i="209"/>
  <c r="C21" i="210" s="1"/>
  <c r="J22" i="209"/>
  <c r="C22" i="210" s="1"/>
  <c r="J23" i="209"/>
  <c r="L23" i="209" s="1"/>
  <c r="C56" i="210" s="1"/>
  <c r="J24" i="209"/>
  <c r="C24" i="210" s="1"/>
  <c r="J25" i="209"/>
  <c r="C25" i="210" s="1"/>
  <c r="J26" i="209"/>
  <c r="C26" i="210" s="1"/>
  <c r="J27" i="209"/>
  <c r="C27" i="210" s="1"/>
  <c r="J28" i="209"/>
  <c r="C28" i="210" s="1"/>
  <c r="J29" i="209"/>
  <c r="C29" i="210" s="1"/>
  <c r="J30" i="209"/>
  <c r="L30" i="209" s="1"/>
  <c r="C63" i="210" s="1"/>
  <c r="J31" i="209"/>
  <c r="J32" i="209"/>
  <c r="J33" i="209"/>
  <c r="J34" i="209"/>
  <c r="J35" i="209"/>
  <c r="J36" i="209"/>
  <c r="J8" i="209"/>
  <c r="L8" i="209" s="1"/>
  <c r="C41" i="210" s="1"/>
  <c r="C9" i="166"/>
  <c r="C10" i="166"/>
  <c r="C11" i="166"/>
  <c r="C12" i="166"/>
  <c r="C13" i="166"/>
  <c r="C16" i="166"/>
  <c r="C17" i="166"/>
  <c r="C18" i="166"/>
  <c r="C19" i="166"/>
  <c r="C20" i="166"/>
  <c r="C21" i="166"/>
  <c r="C22" i="166"/>
  <c r="C23" i="166"/>
  <c r="C24" i="166"/>
  <c r="C25" i="166"/>
  <c r="C38" i="166"/>
  <c r="C39" i="166"/>
  <c r="C40" i="166"/>
  <c r="C41" i="166"/>
  <c r="C44" i="166"/>
  <c r="C45" i="166"/>
  <c r="C46" i="166"/>
  <c r="C47" i="166"/>
  <c r="C48" i="166"/>
  <c r="C49" i="166"/>
  <c r="C50" i="166"/>
  <c r="C51" i="166"/>
  <c r="C52" i="166"/>
  <c r="C53" i="166"/>
  <c r="L9" i="164"/>
  <c r="C37" i="166" s="1"/>
  <c r="L10" i="164"/>
  <c r="L11" i="164"/>
  <c r="L12" i="164"/>
  <c r="L13" i="164"/>
  <c r="L14" i="164"/>
  <c r="C42" i="166" s="1"/>
  <c r="L16" i="164"/>
  <c r="L17" i="164"/>
  <c r="L18" i="164"/>
  <c r="L19" i="164"/>
  <c r="L20" i="164"/>
  <c r="L21" i="164"/>
  <c r="L22" i="164"/>
  <c r="L23" i="164"/>
  <c r="L24" i="164"/>
  <c r="L25" i="164"/>
  <c r="L26" i="164"/>
  <c r="L27" i="164"/>
  <c r="J9" i="164"/>
  <c r="J10" i="164"/>
  <c r="J11" i="164"/>
  <c r="J12" i="164"/>
  <c r="J13" i="164"/>
  <c r="J14" i="164"/>
  <c r="C14" i="166" s="1"/>
  <c r="J15" i="164"/>
  <c r="C15" i="166" s="1"/>
  <c r="J16" i="164"/>
  <c r="J17" i="164"/>
  <c r="J18" i="164"/>
  <c r="J19" i="164"/>
  <c r="J20" i="164"/>
  <c r="J21" i="164"/>
  <c r="J22" i="164"/>
  <c r="J23" i="164"/>
  <c r="J24" i="164"/>
  <c r="J25" i="164"/>
  <c r="J26" i="164"/>
  <c r="J27" i="164"/>
  <c r="C44" i="211"/>
  <c r="C45" i="211"/>
  <c r="C46" i="211"/>
  <c r="C47" i="211"/>
  <c r="C43" i="211"/>
  <c r="C2" i="212"/>
  <c r="C1" i="212"/>
  <c r="J8" i="211"/>
  <c r="C8" i="212" s="1"/>
  <c r="J7" i="211"/>
  <c r="C7" i="212" s="1"/>
  <c r="J6" i="211"/>
  <c r="C6" i="212" s="1"/>
  <c r="J5" i="211"/>
  <c r="C5" i="212" s="1"/>
  <c r="J4" i="211"/>
  <c r="C4" i="212" s="1"/>
  <c r="L3" i="211"/>
  <c r="J3" i="211"/>
  <c r="C3" i="212" s="1"/>
  <c r="C2" i="210"/>
  <c r="C1" i="210"/>
  <c r="J7" i="209"/>
  <c r="C7" i="210" s="1"/>
  <c r="J6" i="209"/>
  <c r="C6" i="210" s="1"/>
  <c r="J5" i="209"/>
  <c r="C5" i="210" s="1"/>
  <c r="J4" i="209"/>
  <c r="C4" i="210" s="1"/>
  <c r="L3" i="209"/>
  <c r="J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B185" i="208" s="1"/>
  <c r="N17" i="207"/>
  <c r="R16" i="207"/>
  <c r="Q16" i="207"/>
  <c r="N16" i="207"/>
  <c r="S25" i="207" a="1"/>
  <c r="S25" i="207" s="1"/>
  <c r="R15" i="207"/>
  <c r="Q15" i="207"/>
  <c r="N15" i="207"/>
  <c r="M15" i="207"/>
  <c r="L15" i="207"/>
  <c r="K15" i="207"/>
  <c r="I15" i="207"/>
  <c r="S15" i="207" s="1" a="1"/>
  <c r="S15" i="207" s="1"/>
  <c r="B183" i="208" s="1"/>
  <c r="J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S16" i="205" s="1" a="1"/>
  <c r="S16" i="205" s="1"/>
  <c r="B153" i="208" s="1"/>
  <c r="Q16" i="205"/>
  <c r="N16" i="205"/>
  <c r="S26" i="205" s="1" a="1"/>
  <c r="S26" i="205" s="1"/>
  <c r="S24" i="205" a="1"/>
  <c r="S24" i="205" s="1"/>
  <c r="B161" i="208" s="1"/>
  <c r="S22" i="205" a="1"/>
  <c r="S22" i="205" s="1"/>
  <c r="B159" i="208" s="1"/>
  <c r="R15" i="205"/>
  <c r="Q15" i="205"/>
  <c r="N15" i="205"/>
  <c r="S20" i="205" s="1" a="1"/>
  <c r="S20" i="205" s="1"/>
  <c r="B157" i="208" s="1"/>
  <c r="M15" i="205"/>
  <c r="L15" i="205"/>
  <c r="K15" i="205"/>
  <c r="I15" i="205"/>
  <c r="S15" i="205" s="1" a="1"/>
  <c r="S15" i="205" s="1"/>
  <c r="B152" i="208" s="1"/>
  <c r="C15" i="205"/>
  <c r="J15" i="205" s="1"/>
  <c r="B15" i="205"/>
  <c r="E3" i="205"/>
  <c r="E6" i="205" s="1"/>
  <c r="B149" i="208" s="1"/>
  <c r="R15" i="204"/>
  <c r="Q15" i="204"/>
  <c r="N15" i="204"/>
  <c r="M15" i="204"/>
  <c r="L15" i="204"/>
  <c r="K15" i="204"/>
  <c r="J15" i="204"/>
  <c r="E3" i="204"/>
  <c r="B14" i="208" s="1"/>
  <c r="B252" i="200"/>
  <c r="B253" i="200"/>
  <c r="B254" i="200"/>
  <c r="B255" i="200"/>
  <c r="B256" i="200"/>
  <c r="B245" i="200"/>
  <c r="B246" i="200"/>
  <c r="B247" i="200"/>
  <c r="B248" i="200"/>
  <c r="B249" i="200"/>
  <c r="B250" i="200"/>
  <c r="B251" i="200"/>
  <c r="B229" i="200"/>
  <c r="B230" i="200"/>
  <c r="B231" i="200"/>
  <c r="B232" i="200"/>
  <c r="B233" i="200"/>
  <c r="B234" i="200"/>
  <c r="B235" i="200"/>
  <c r="B236" i="200"/>
  <c r="B237" i="200"/>
  <c r="B238" i="200"/>
  <c r="B239" i="200"/>
  <c r="B240" i="200"/>
  <c r="B241" i="200"/>
  <c r="B242" i="200"/>
  <c r="B243" i="200"/>
  <c r="B244" i="200"/>
  <c r="B228" i="200"/>
  <c r="B226" i="200"/>
  <c r="B220" i="200"/>
  <c r="B221" i="200"/>
  <c r="B222" i="200"/>
  <c r="B213" i="200"/>
  <c r="B214" i="200"/>
  <c r="B215" i="200"/>
  <c r="B216" i="200"/>
  <c r="B217" i="200"/>
  <c r="B218" i="200"/>
  <c r="B219" i="200"/>
  <c r="B196" i="200"/>
  <c r="B197" i="200"/>
  <c r="B198" i="200"/>
  <c r="B199" i="200"/>
  <c r="B200" i="200"/>
  <c r="B201" i="200"/>
  <c r="B202" i="200"/>
  <c r="B203" i="200"/>
  <c r="B204" i="200"/>
  <c r="B205" i="200"/>
  <c r="B206" i="200"/>
  <c r="B207" i="200"/>
  <c r="B208" i="200"/>
  <c r="B209" i="200"/>
  <c r="B210" i="200"/>
  <c r="B211" i="200"/>
  <c r="B212" i="200"/>
  <c r="B195" i="200"/>
  <c r="B193" i="200"/>
  <c r="B169" i="200"/>
  <c r="B170" i="200"/>
  <c r="B171" i="200"/>
  <c r="B172" i="200"/>
  <c r="B173" i="200"/>
  <c r="B174" i="200"/>
  <c r="B175" i="200"/>
  <c r="B176" i="200"/>
  <c r="B177" i="200"/>
  <c r="B178" i="200"/>
  <c r="B179" i="200"/>
  <c r="B180" i="200"/>
  <c r="B181" i="200"/>
  <c r="B182" i="200"/>
  <c r="B183" i="200"/>
  <c r="B184" i="200"/>
  <c r="B185" i="200"/>
  <c r="B186" i="200"/>
  <c r="B187" i="200"/>
  <c r="B188" i="200"/>
  <c r="B189" i="200"/>
  <c r="B168" i="200"/>
  <c r="S37" i="201" a="1"/>
  <c r="S37" i="201" s="1"/>
  <c r="S38" i="201" a="1"/>
  <c r="S38" i="201" s="1"/>
  <c r="B166" i="200"/>
  <c r="R43" i="203"/>
  <c r="Q43" i="203"/>
  <c r="R42" i="203"/>
  <c r="Q42" i="203"/>
  <c r="R41" i="203"/>
  <c r="Q41" i="203"/>
  <c r="S41" i="203" s="1" a="1"/>
  <c r="S41" i="203" s="1"/>
  <c r="R40" i="203"/>
  <c r="Q40" i="203"/>
  <c r="R39" i="203"/>
  <c r="Q39" i="203"/>
  <c r="S39" i="203" s="1" a="1"/>
  <c r="S39" i="203" s="1"/>
  <c r="R38" i="203"/>
  <c r="Q38" i="203"/>
  <c r="R37" i="203"/>
  <c r="Q37" i="203"/>
  <c r="S37" i="203" s="1" a="1"/>
  <c r="S37" i="203" s="1"/>
  <c r="R36" i="203"/>
  <c r="Q36" i="203"/>
  <c r="R35" i="203"/>
  <c r="Q35" i="203"/>
  <c r="R34" i="203"/>
  <c r="Q34" i="203"/>
  <c r="S34" i="203" s="1" a="1"/>
  <c r="S34" i="203" s="1"/>
  <c r="R33" i="203"/>
  <c r="Q33" i="203"/>
  <c r="R32" i="203"/>
  <c r="Q32" i="203"/>
  <c r="R31" i="203"/>
  <c r="Q31" i="203"/>
  <c r="R30" i="203"/>
  <c r="Q30" i="203"/>
  <c r="R29" i="203"/>
  <c r="S29" i="203" s="1" a="1"/>
  <c r="S29" i="203" s="1"/>
  <c r="Q29" i="203"/>
  <c r="R28" i="203"/>
  <c r="Q28" i="203"/>
  <c r="R27" i="203"/>
  <c r="Q27" i="203"/>
  <c r="R26" i="203"/>
  <c r="Q26" i="203"/>
  <c r="S26" i="203" s="1" a="1"/>
  <c r="S26" i="203"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6" i="203"/>
  <c r="B225" i="200" s="1"/>
  <c r="E3" i="203"/>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R41" i="202"/>
  <c r="Q41" i="202"/>
  <c r="S41" i="202" s="1" a="1"/>
  <c r="S41" i="202" s="1"/>
  <c r="R40" i="202"/>
  <c r="Q40" i="202"/>
  <c r="R39" i="202"/>
  <c r="Q39" i="202"/>
  <c r="R38" i="202"/>
  <c r="Q38" i="202"/>
  <c r="S38" i="202" s="1" a="1"/>
  <c r="S38" i="202" s="1"/>
  <c r="R37" i="202"/>
  <c r="Q37" i="202"/>
  <c r="R36" i="202"/>
  <c r="Q36" i="202"/>
  <c r="R35" i="202"/>
  <c r="Q35" i="202"/>
  <c r="R34" i="202"/>
  <c r="Q34" i="202"/>
  <c r="R33" i="202"/>
  <c r="Q33" i="202"/>
  <c r="R32" i="202"/>
  <c r="Q32" i="202"/>
  <c r="S116" i="202" a="1"/>
  <c r="S116" i="202" s="1"/>
  <c r="R31" i="202"/>
  <c r="Q31" i="202"/>
  <c r="S31" i="202" s="1" a="1"/>
  <c r="S31" i="202" s="1"/>
  <c r="R30" i="202"/>
  <c r="Q30" i="202"/>
  <c r="S30" i="202" s="1" a="1"/>
  <c r="S30" i="202" s="1"/>
  <c r="R29" i="202"/>
  <c r="Q29" i="202"/>
  <c r="R28" i="202"/>
  <c r="S28" i="202" s="1" a="1"/>
  <c r="S28" i="202" s="1"/>
  <c r="Q28" i="202"/>
  <c r="R27" i="202"/>
  <c r="Q27" i="202"/>
  <c r="S88" i="202" a="1"/>
  <c r="S88" i="202" s="1"/>
  <c r="R26" i="202"/>
  <c r="Q26" i="202"/>
  <c r="S26" i="202" s="1" a="1"/>
  <c r="S26" i="202" s="1"/>
  <c r="R25" i="202"/>
  <c r="Q25" i="202"/>
  <c r="S25" i="202" s="1" a="1"/>
  <c r="S25" i="202" s="1"/>
  <c r="R24" i="202"/>
  <c r="Q24" i="202"/>
  <c r="S24" i="202" s="1" a="1"/>
  <c r="S24" i="202" s="1"/>
  <c r="R23" i="202"/>
  <c r="Q23" i="202"/>
  <c r="R22" i="202"/>
  <c r="Q22" i="202"/>
  <c r="S22" i="202" s="1" a="1"/>
  <c r="S22" i="202" s="1"/>
  <c r="S60" i="202" a="1"/>
  <c r="S60" i="202" s="1"/>
  <c r="R21" i="202"/>
  <c r="Q21" i="202"/>
  <c r="S20" i="202" a="1"/>
  <c r="S20" i="202" s="1"/>
  <c r="R20" i="202"/>
  <c r="Q20" i="202"/>
  <c r="R19" i="202"/>
  <c r="S19" i="202" s="1" a="1"/>
  <c r="S19" i="202" s="1"/>
  <c r="Q19" i="202"/>
  <c r="S40" i="202" a="1"/>
  <c r="S40" i="202" s="1"/>
  <c r="R18" i="202"/>
  <c r="Q18" i="202"/>
  <c r="N18" i="202"/>
  <c r="M18" i="202"/>
  <c r="S36" i="202" s="1" a="1"/>
  <c r="S36" i="202" s="1"/>
  <c r="L18" i="202"/>
  <c r="S35" i="202" s="1" a="1"/>
  <c r="S35" i="202" s="1"/>
  <c r="K18" i="202"/>
  <c r="C18" i="202"/>
  <c r="J18" i="202" s="1"/>
  <c r="B18" i="202"/>
  <c r="I18" i="202" s="1"/>
  <c r="R17" i="202"/>
  <c r="Q17" i="202"/>
  <c r="S17" i="202" s="1" a="1"/>
  <c r="S17" i="202" s="1"/>
  <c r="N17" i="202"/>
  <c r="M17" i="202"/>
  <c r="L17" i="202"/>
  <c r="K17" i="202"/>
  <c r="I17" i="202"/>
  <c r="C17" i="202"/>
  <c r="J17" i="202" s="1"/>
  <c r="B17" i="202"/>
  <c r="R16" i="202"/>
  <c r="Q16" i="202"/>
  <c r="S16" i="202" s="1" a="1"/>
  <c r="S16" i="202" s="1"/>
  <c r="N16" i="202"/>
  <c r="M16" i="202"/>
  <c r="L16" i="202"/>
  <c r="S23" i="202" s="1" a="1"/>
  <c r="S23" i="202" s="1"/>
  <c r="K16" i="202"/>
  <c r="C16" i="202"/>
  <c r="J16" i="202" s="1"/>
  <c r="B16" i="202"/>
  <c r="I16" i="202" s="1"/>
  <c r="R15" i="202"/>
  <c r="Q15" i="202"/>
  <c r="N15" i="202"/>
  <c r="M15" i="202"/>
  <c r="L15" i="202"/>
  <c r="K15" i="202"/>
  <c r="I15" i="202"/>
  <c r="C15" i="202"/>
  <c r="J15" i="202" s="1"/>
  <c r="B15" i="202"/>
  <c r="B14" i="202"/>
  <c r="S128" i="202" s="1" a="1"/>
  <c r="S128" i="202" s="1"/>
  <c r="E3" i="202"/>
  <c r="E6" i="202" s="1"/>
  <c r="B192" i="200" s="1"/>
  <c r="B22" i="199"/>
  <c r="C22" i="199"/>
  <c r="B23" i="199"/>
  <c r="C23" i="199"/>
  <c r="B24" i="199"/>
  <c r="C24" i="199"/>
  <c r="J24" i="199" s="1"/>
  <c r="B25" i="199"/>
  <c r="C25" i="199"/>
  <c r="J25" i="199" s="1"/>
  <c r="B26" i="199"/>
  <c r="C26" i="199"/>
  <c r="B27" i="199"/>
  <c r="C27" i="199"/>
  <c r="B28" i="199"/>
  <c r="C28" i="199"/>
  <c r="B29" i="199"/>
  <c r="C29" i="199"/>
  <c r="B30" i="199"/>
  <c r="C30" i="199"/>
  <c r="B31" i="199"/>
  <c r="C31" i="199"/>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B18" i="199"/>
  <c r="C18" i="199"/>
  <c r="B19" i="199"/>
  <c r="I19" i="199" s="1"/>
  <c r="C19" i="199"/>
  <c r="J19" i="199" s="1"/>
  <c r="S40" i="199" s="1" a="1"/>
  <c r="S40" i="199" s="1"/>
  <c r="B44" i="200" s="1"/>
  <c r="B20" i="199"/>
  <c r="C20" i="199"/>
  <c r="B21" i="199"/>
  <c r="C21" i="199"/>
  <c r="I23" i="199"/>
  <c r="J23" i="199"/>
  <c r="S64" i="199" s="1" a="1"/>
  <c r="S64" i="199" s="1"/>
  <c r="B68" i="200" s="1"/>
  <c r="J27" i="199"/>
  <c r="S88" i="199" s="1" a="1"/>
  <c r="S88" i="199" s="1"/>
  <c r="B92" i="200" s="1"/>
  <c r="I31" i="199"/>
  <c r="J31" i="199"/>
  <c r="S112" i="199" s="1" a="1"/>
  <c r="S112" i="199" s="1"/>
  <c r="B116" i="200" s="1"/>
  <c r="C15" i="199"/>
  <c r="B15" i="199"/>
  <c r="B14" i="199"/>
  <c r="E3" i="199"/>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I29" i="199"/>
  <c r="R28" i="199"/>
  <c r="Q28" i="199"/>
  <c r="N28" i="199"/>
  <c r="M28" i="199"/>
  <c r="L28" i="199"/>
  <c r="K28" i="199"/>
  <c r="J28" i="199"/>
  <c r="R27" i="199"/>
  <c r="Q27" i="199"/>
  <c r="N27" i="199"/>
  <c r="M27" i="199"/>
  <c r="L27" i="199"/>
  <c r="K27" i="199"/>
  <c r="I27" i="199"/>
  <c r="R26" i="199"/>
  <c r="Q26" i="199"/>
  <c r="N26" i="199"/>
  <c r="M26" i="199"/>
  <c r="L26" i="199"/>
  <c r="K26" i="199"/>
  <c r="J26" i="199"/>
  <c r="R25" i="199"/>
  <c r="Q25" i="199"/>
  <c r="S25" i="199" s="1" a="1"/>
  <c r="S25" i="199" s="1"/>
  <c r="B29" i="200" s="1"/>
  <c r="N25" i="199"/>
  <c r="S80" i="199" s="1" a="1"/>
  <c r="S80" i="199" s="1"/>
  <c r="B84" i="200" s="1"/>
  <c r="M25" i="199"/>
  <c r="L25" i="199"/>
  <c r="K25" i="199"/>
  <c r="I25" i="199"/>
  <c r="R24" i="199"/>
  <c r="Q24" i="199"/>
  <c r="N24" i="199"/>
  <c r="M24" i="199"/>
  <c r="L24" i="199"/>
  <c r="S72" i="199" s="1" a="1"/>
  <c r="S72" i="199" s="1"/>
  <c r="B76" i="200" s="1"/>
  <c r="K24" i="199"/>
  <c r="R23" i="199"/>
  <c r="Q23" i="199"/>
  <c r="N23" i="199"/>
  <c r="M23" i="199"/>
  <c r="L23" i="199"/>
  <c r="K23" i="199"/>
  <c r="R22" i="199"/>
  <c r="Q22" i="199"/>
  <c r="S22" i="199" s="1" a="1"/>
  <c r="S22" i="199" s="1"/>
  <c r="B26" i="200" s="1"/>
  <c r="N22" i="199"/>
  <c r="M22" i="199"/>
  <c r="L22" i="199"/>
  <c r="K22" i="199"/>
  <c r="J22" i="199"/>
  <c r="R21" i="199"/>
  <c r="Q21" i="199"/>
  <c r="N21" i="199"/>
  <c r="S56" i="199" s="1" a="1"/>
  <c r="S56" i="199" s="1"/>
  <c r="B60" i="200" s="1"/>
  <c r="M21" i="199"/>
  <c r="L21" i="199"/>
  <c r="K21" i="199"/>
  <c r="J21" i="199"/>
  <c r="I21" i="199"/>
  <c r="R20" i="199"/>
  <c r="Q20" i="199"/>
  <c r="N20" i="199"/>
  <c r="M20" i="199"/>
  <c r="L20" i="199"/>
  <c r="S48" i="199" s="1" a="1"/>
  <c r="S48" i="199" s="1"/>
  <c r="B52" i="200" s="1"/>
  <c r="K20" i="199"/>
  <c r="J20" i="199"/>
  <c r="R19" i="199"/>
  <c r="Q19" i="199"/>
  <c r="N19" i="199"/>
  <c r="M19" i="199"/>
  <c r="L19" i="199"/>
  <c r="K19" i="199"/>
  <c r="R18" i="199"/>
  <c r="Q18" i="199"/>
  <c r="S18" i="199" s="1" a="1"/>
  <c r="S18" i="199" s="1"/>
  <c r="B22" i="200" s="1"/>
  <c r="N18" i="199"/>
  <c r="M18" i="199"/>
  <c r="L18" i="199"/>
  <c r="K18" i="199"/>
  <c r="J18" i="199"/>
  <c r="R17" i="199"/>
  <c r="Q17" i="199"/>
  <c r="N17" i="199"/>
  <c r="M17" i="199"/>
  <c r="L17" i="199"/>
  <c r="K17" i="199"/>
  <c r="J17" i="199"/>
  <c r="I17" i="199"/>
  <c r="R16" i="199"/>
  <c r="Q16" i="199"/>
  <c r="S16" i="199" s="1" a="1"/>
  <c r="S16" i="199" s="1"/>
  <c r="B20" i="200" s="1"/>
  <c r="N16" i="199"/>
  <c r="M16" i="199"/>
  <c r="L16" i="199"/>
  <c r="K16" i="199"/>
  <c r="J16" i="199"/>
  <c r="R15" i="199"/>
  <c r="Q15" i="199"/>
  <c r="S15" i="199" s="1" a="1"/>
  <c r="S15" i="199" s="1"/>
  <c r="B19" i="200" s="1"/>
  <c r="N15" i="199"/>
  <c r="M15" i="199"/>
  <c r="L15" i="199"/>
  <c r="K15" i="199"/>
  <c r="J15" i="199"/>
  <c r="I15" i="199"/>
  <c r="B14" i="200"/>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S16" i="196" s="1" a="1"/>
  <c r="S16" i="196" s="1"/>
  <c r="B20" i="198" s="1"/>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S21" i="196" s="1" a="1"/>
  <c r="S21" i="196" s="1"/>
  <c r="B25" i="198" s="1"/>
  <c r="Q22" i="196"/>
  <c r="S22" i="196" s="1" a="1"/>
  <c r="S22" i="196" s="1"/>
  <c r="B26" i="198" s="1"/>
  <c r="R22" i="196"/>
  <c r="Q23" i="196"/>
  <c r="R23" i="196"/>
  <c r="Q24" i="196"/>
  <c r="R24" i="196"/>
  <c r="Q25" i="196"/>
  <c r="R25" i="196"/>
  <c r="Q26" i="196"/>
  <c r="R26" i="196"/>
  <c r="Q27" i="196"/>
  <c r="R27" i="196"/>
  <c r="S27" i="196" s="1" a="1"/>
  <c r="S27" i="196" s="1"/>
  <c r="B31" i="198" s="1"/>
  <c r="Q28" i="196"/>
  <c r="S28" i="196" s="1" a="1"/>
  <c r="S28" i="196" s="1"/>
  <c r="B32" i="198" s="1"/>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S33" i="196" s="1" a="1"/>
  <c r="S33" i="196" s="1"/>
  <c r="B37" i="198" s="1"/>
  <c r="Q34" i="196"/>
  <c r="S34" i="196" s="1" a="1"/>
  <c r="S34" i="196" s="1"/>
  <c r="B38" i="198" s="1"/>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S39" i="196" s="1" a="1"/>
  <c r="S39" i="196" s="1"/>
  <c r="B43" i="198" s="1"/>
  <c r="Q40" i="196"/>
  <c r="S40" i="196" s="1" a="1"/>
  <c r="S40" i="196" s="1"/>
  <c r="B44" i="198" s="1"/>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S45" i="196" s="1" a="1"/>
  <c r="S45" i="196" s="1"/>
  <c r="B49" i="198" s="1"/>
  <c r="Q46" i="196"/>
  <c r="S46" i="196" s="1" a="1"/>
  <c r="S46" i="196" s="1"/>
  <c r="B50" i="198" s="1"/>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S51" i="196" s="1" a="1"/>
  <c r="S51" i="196" s="1"/>
  <c r="B55" i="198" s="1"/>
  <c r="Q52" i="196"/>
  <c r="S52" i="196" s="1" a="1"/>
  <c r="S52" i="196" s="1"/>
  <c r="B56" i="198" s="1"/>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S57" i="196" s="1" a="1"/>
  <c r="S57" i="196" s="1"/>
  <c r="B61" i="198" s="1"/>
  <c r="Q58" i="196"/>
  <c r="R58" i="196"/>
  <c r="S58" i="196" a="1"/>
  <c r="S58" i="196" s="1"/>
  <c r="B62" i="198" s="1"/>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S63" i="196" s="1" a="1"/>
  <c r="S63" i="196" s="1"/>
  <c r="B67" i="198" s="1"/>
  <c r="Q64" i="196"/>
  <c r="R64" i="196"/>
  <c r="S64" i="196" a="1"/>
  <c r="S64" i="196" s="1"/>
  <c r="B68" i="198" s="1"/>
  <c r="Q65" i="196"/>
  <c r="R65" i="196"/>
  <c r="S65" i="196" s="1" a="1"/>
  <c r="S65" i="196" s="1"/>
  <c r="B69" i="198" s="1"/>
  <c r="Q66" i="196"/>
  <c r="R66" i="196"/>
  <c r="S66" i="196" a="1"/>
  <c r="S66" i="196" s="1"/>
  <c r="B70" i="198" s="1"/>
  <c r="Q67" i="196"/>
  <c r="R67" i="196"/>
  <c r="S67" i="196" s="1" a="1"/>
  <c r="S67" i="196" s="1"/>
  <c r="B71" i="198" s="1"/>
  <c r="Q68" i="196"/>
  <c r="R68" i="196"/>
  <c r="Q69" i="196"/>
  <c r="R69" i="196"/>
  <c r="S69" i="196" s="1" a="1"/>
  <c r="S69" i="196" s="1"/>
  <c r="B73" i="198" s="1"/>
  <c r="Q70" i="196"/>
  <c r="R70" i="196"/>
  <c r="S70" i="196" a="1"/>
  <c r="S70" i="196" s="1"/>
  <c r="B74" i="198" s="1"/>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S75" i="196" s="1" a="1"/>
  <c r="S75" i="196" s="1"/>
  <c r="B79" i="198" s="1"/>
  <c r="Q76" i="196"/>
  <c r="R76" i="196"/>
  <c r="S76" i="196" a="1"/>
  <c r="S76" i="196" s="1"/>
  <c r="B80" i="198" s="1"/>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S81" i="196" s="1" a="1"/>
  <c r="S81" i="196" s="1"/>
  <c r="B85" i="198" s="1"/>
  <c r="Q82" i="196"/>
  <c r="R82" i="196"/>
  <c r="S82" i="196" a="1"/>
  <c r="S82" i="196" s="1"/>
  <c r="B86" i="198" s="1"/>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S87" i="196" s="1" a="1"/>
  <c r="S87" i="196" s="1"/>
  <c r="B91" i="198" s="1"/>
  <c r="Q88" i="196"/>
  <c r="R88" i="196"/>
  <c r="S88" i="196" a="1"/>
  <c r="S88" i="196" s="1"/>
  <c r="B92" i="198" s="1"/>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S93" i="196" s="1" a="1"/>
  <c r="S93" i="196" s="1"/>
  <c r="B97" i="198" s="1"/>
  <c r="Q94" i="196"/>
  <c r="R94" i="196"/>
  <c r="S94" i="196" a="1"/>
  <c r="S94" i="196" s="1"/>
  <c r="B98" i="198" s="1"/>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S99" i="196" s="1" a="1"/>
  <c r="S99" i="196" s="1"/>
  <c r="B103" i="198" s="1"/>
  <c r="Q100" i="196"/>
  <c r="R100" i="196"/>
  <c r="S100" i="196" a="1"/>
  <c r="S100" i="196" s="1"/>
  <c r="B104" i="198" s="1"/>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S105" i="196" s="1" a="1"/>
  <c r="S105" i="196" s="1"/>
  <c r="B109" i="198" s="1"/>
  <c r="Q106" i="196"/>
  <c r="R106" i="196"/>
  <c r="S106" i="196" a="1"/>
  <c r="S106" i="196" s="1"/>
  <c r="B110" i="198" s="1"/>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S111" i="196" s="1" a="1"/>
  <c r="S111" i="196" s="1"/>
  <c r="B115" i="198" s="1"/>
  <c r="Q112" i="196"/>
  <c r="R112" i="196"/>
  <c r="S112" i="196" a="1"/>
  <c r="S112" i="196" s="1"/>
  <c r="B116" i="198" s="1"/>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S117" i="196" s="1" a="1"/>
  <c r="S117" i="196" s="1"/>
  <c r="B121" i="198" s="1"/>
  <c r="Q118" i="196"/>
  <c r="R118" i="196"/>
  <c r="S118" i="196" a="1"/>
  <c r="S118" i="196" s="1"/>
  <c r="B122" i="198" s="1"/>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S123" i="196" s="1" a="1"/>
  <c r="S123" i="196" s="1"/>
  <c r="B127" i="198" s="1"/>
  <c r="Q124" i="196"/>
  <c r="R124" i="196"/>
  <c r="S124" i="196" a="1"/>
  <c r="S124" i="196" s="1"/>
  <c r="B128" i="198" s="1"/>
  <c r="Q125" i="196"/>
  <c r="R125" i="196"/>
  <c r="S125" i="196" s="1" a="1"/>
  <c r="S125" i="196" s="1"/>
  <c r="B129" i="198" s="1"/>
  <c r="Q126" i="196"/>
  <c r="R126" i="196"/>
  <c r="S126" i="196" a="1"/>
  <c r="S126" i="196" s="1"/>
  <c r="B130" i="198" s="1"/>
  <c r="I18" i="196"/>
  <c r="J18" i="196"/>
  <c r="K18" i="196"/>
  <c r="L18" i="196"/>
  <c r="M18" i="196"/>
  <c r="N18" i="196"/>
  <c r="I19" i="196"/>
  <c r="J19" i="196"/>
  <c r="K19" i="196"/>
  <c r="L19" i="196"/>
  <c r="M19" i="196"/>
  <c r="N19" i="196"/>
  <c r="I20" i="196"/>
  <c r="J20" i="196"/>
  <c r="K20" i="196"/>
  <c r="L20" i="196"/>
  <c r="M20" i="196"/>
  <c r="N20" i="196"/>
  <c r="I21" i="196"/>
  <c r="J21" i="196"/>
  <c r="K21" i="196"/>
  <c r="L21" i="196"/>
  <c r="M21" i="196"/>
  <c r="N21" i="196"/>
  <c r="I22" i="196"/>
  <c r="J22" i="196"/>
  <c r="K22" i="196"/>
  <c r="L22" i="196"/>
  <c r="M22" i="196"/>
  <c r="N22" i="196"/>
  <c r="I23" i="196"/>
  <c r="J23" i="196"/>
  <c r="K23" i="196"/>
  <c r="L23" i="196"/>
  <c r="M23" i="196"/>
  <c r="N23" i="196"/>
  <c r="S68" i="196" s="1" a="1"/>
  <c r="S68" i="196" s="1"/>
  <c r="B72" i="198" s="1"/>
  <c r="I24" i="196"/>
  <c r="J24" i="196"/>
  <c r="K24" i="196"/>
  <c r="L24" i="196"/>
  <c r="M24" i="196"/>
  <c r="N24" i="196"/>
  <c r="I25" i="196"/>
  <c r="J25" i="196"/>
  <c r="K25" i="196"/>
  <c r="L25" i="196"/>
  <c r="M25" i="196"/>
  <c r="N25" i="196"/>
  <c r="I26" i="196"/>
  <c r="J26" i="196"/>
  <c r="K26" i="196"/>
  <c r="L26" i="196"/>
  <c r="M26" i="196"/>
  <c r="N26" i="196"/>
  <c r="I27" i="196"/>
  <c r="J27" i="196"/>
  <c r="K27" i="196"/>
  <c r="L27" i="196"/>
  <c r="M27" i="196"/>
  <c r="N27" i="196"/>
  <c r="I28" i="196"/>
  <c r="J28" i="196"/>
  <c r="K28" i="196"/>
  <c r="L28" i="196"/>
  <c r="M28" i="196"/>
  <c r="N28" i="196"/>
  <c r="I29" i="196"/>
  <c r="J29" i="196"/>
  <c r="K29" i="196"/>
  <c r="L29" i="196"/>
  <c r="M29" i="196"/>
  <c r="N29" i="196"/>
  <c r="I30" i="196"/>
  <c r="J30" i="196"/>
  <c r="K30" i="196"/>
  <c r="L30" i="196"/>
  <c r="M30" i="196"/>
  <c r="N30" i="196"/>
  <c r="I31" i="196"/>
  <c r="J31" i="196"/>
  <c r="K31" i="196"/>
  <c r="L31" i="196"/>
  <c r="M31" i="196"/>
  <c r="N31" i="196"/>
  <c r="I32" i="196"/>
  <c r="J32" i="196"/>
  <c r="K32" i="196"/>
  <c r="L32" i="196"/>
  <c r="M32" i="196"/>
  <c r="N32" i="196"/>
  <c r="I33" i="196"/>
  <c r="J33" i="196"/>
  <c r="K33" i="196"/>
  <c r="L33" i="196"/>
  <c r="M33" i="196"/>
  <c r="N33" i="196"/>
  <c r="I16" i="196"/>
  <c r="J16" i="196"/>
  <c r="K16" i="196"/>
  <c r="L16" i="196"/>
  <c r="M16" i="196"/>
  <c r="N16" i="196"/>
  <c r="I17" i="196"/>
  <c r="J17" i="196"/>
  <c r="K17" i="196"/>
  <c r="L17" i="196"/>
  <c r="M17" i="196"/>
  <c r="N17" i="196"/>
  <c r="B16" i="196"/>
  <c r="C16" i="196"/>
  <c r="B14" i="196"/>
  <c r="B17" i="196"/>
  <c r="C17" i="196"/>
  <c r="B18" i="196"/>
  <c r="C18" i="196"/>
  <c r="B19" i="196"/>
  <c r="C19" i="196"/>
  <c r="B20" i="196"/>
  <c r="C20" i="196"/>
  <c r="B21" i="196"/>
  <c r="C21" i="196"/>
  <c r="B22" i="196"/>
  <c r="C22" i="196"/>
  <c r="B23" i="196"/>
  <c r="C23" i="196"/>
  <c r="B24" i="196"/>
  <c r="C24" i="196"/>
  <c r="B25" i="196"/>
  <c r="C25" i="196"/>
  <c r="B26" i="196"/>
  <c r="C26" i="196"/>
  <c r="B27" i="196"/>
  <c r="C27" i="196"/>
  <c r="B28" i="196"/>
  <c r="C28" i="196"/>
  <c r="B29" i="196"/>
  <c r="C29" i="196"/>
  <c r="B30" i="196"/>
  <c r="C30" i="196"/>
  <c r="B31" i="196"/>
  <c r="C31" i="196"/>
  <c r="B32" i="196"/>
  <c r="C32" i="196"/>
  <c r="B33" i="196"/>
  <c r="C33" i="196"/>
  <c r="C15" i="196"/>
  <c r="B15" i="196"/>
  <c r="E3" i="196"/>
  <c r="B14" i="198" s="1"/>
  <c r="B17" i="198"/>
  <c r="B15" i="198"/>
  <c r="B13" i="198"/>
  <c r="B12" i="198"/>
  <c r="B9" i="198"/>
  <c r="B8" i="198"/>
  <c r="B4" i="198"/>
  <c r="R15" i="196"/>
  <c r="Q15" i="196"/>
  <c r="N15" i="196"/>
  <c r="M15" i="196"/>
  <c r="L15" i="196"/>
  <c r="K15" i="196"/>
  <c r="J15" i="196"/>
  <c r="C37" i="195"/>
  <c r="C38" i="195"/>
  <c r="C39" i="195"/>
  <c r="C40" i="195"/>
  <c r="C41" i="195"/>
  <c r="C42" i="195"/>
  <c r="C43" i="195"/>
  <c r="C44" i="195"/>
  <c r="C45" i="195"/>
  <c r="C46" i="195"/>
  <c r="C47" i="195"/>
  <c r="C48" i="195"/>
  <c r="C49" i="195"/>
  <c r="C50" i="195"/>
  <c r="C51" i="195"/>
  <c r="C52" i="195"/>
  <c r="C53" i="195"/>
  <c r="C54" i="195"/>
  <c r="C55" i="195"/>
  <c r="C56" i="195"/>
  <c r="C9" i="195"/>
  <c r="C10" i="195"/>
  <c r="C11" i="195"/>
  <c r="C12" i="195"/>
  <c r="C13" i="195"/>
  <c r="C14" i="195"/>
  <c r="C15" i="195"/>
  <c r="C16" i="195"/>
  <c r="C17" i="195"/>
  <c r="C18" i="195"/>
  <c r="C19" i="195"/>
  <c r="C20" i="195"/>
  <c r="C21" i="195"/>
  <c r="C22" i="195"/>
  <c r="C23" i="195"/>
  <c r="C24" i="195"/>
  <c r="C25" i="195"/>
  <c r="C26" i="195"/>
  <c r="C27" i="195"/>
  <c r="C28" i="195"/>
  <c r="J9" i="193"/>
  <c r="L9" i="193"/>
  <c r="J10" i="193"/>
  <c r="L10" i="193" s="1"/>
  <c r="J11" i="193"/>
  <c r="L11" i="193"/>
  <c r="J12" i="193"/>
  <c r="L12" i="193"/>
  <c r="J13" i="193"/>
  <c r="L13" i="193"/>
  <c r="J14" i="193"/>
  <c r="L14" i="193" s="1"/>
  <c r="J15" i="193"/>
  <c r="L15" i="193"/>
  <c r="J16" i="193"/>
  <c r="L16" i="193"/>
  <c r="J17" i="193"/>
  <c r="L17" i="193"/>
  <c r="J18" i="193"/>
  <c r="L18" i="193" s="1"/>
  <c r="J19" i="193"/>
  <c r="L19" i="193"/>
  <c r="J20" i="193"/>
  <c r="L20" i="193"/>
  <c r="J21" i="193"/>
  <c r="L21" i="193"/>
  <c r="J22" i="193"/>
  <c r="L22" i="193" s="1"/>
  <c r="J23" i="193"/>
  <c r="L23" i="193"/>
  <c r="J24" i="193"/>
  <c r="L24" i="193"/>
  <c r="J25" i="193"/>
  <c r="L25" i="193"/>
  <c r="J26" i="193"/>
  <c r="L26" i="193" s="1"/>
  <c r="J27" i="193"/>
  <c r="L27" i="193"/>
  <c r="J28" i="193"/>
  <c r="L28" i="193"/>
  <c r="J29" i="193"/>
  <c r="L29" i="193"/>
  <c r="J30" i="193"/>
  <c r="L30" i="193" s="1"/>
  <c r="B17" i="194"/>
  <c r="E17" i="194" s="1"/>
  <c r="B11" i="194"/>
  <c r="E11" i="194" s="1"/>
  <c r="C2" i="195"/>
  <c r="C1" i="195"/>
  <c r="E98" i="194"/>
  <c r="E97" i="194"/>
  <c r="E96" i="194"/>
  <c r="B95" i="194"/>
  <c r="E95" i="194" s="1"/>
  <c r="B94" i="194"/>
  <c r="E94" i="194" s="1"/>
  <c r="B93" i="194"/>
  <c r="E93" i="194" s="1"/>
  <c r="B92" i="194"/>
  <c r="E92" i="194" s="1"/>
  <c r="B91" i="194"/>
  <c r="E91" i="194" s="1"/>
  <c r="B90" i="194"/>
  <c r="E90" i="194" s="1"/>
  <c r="B89" i="194"/>
  <c r="E89" i="194" s="1"/>
  <c r="B88" i="194"/>
  <c r="E88" i="194" s="1"/>
  <c r="B87" i="194"/>
  <c r="E87" i="194" s="1"/>
  <c r="B86" i="194"/>
  <c r="E86" i="194" s="1"/>
  <c r="B85" i="194"/>
  <c r="E85" i="194" s="1"/>
  <c r="B84" i="194"/>
  <c r="E84" i="194" s="1"/>
  <c r="B83" i="194"/>
  <c r="E83" i="194" s="1"/>
  <c r="B82" i="194"/>
  <c r="E82" i="194" s="1"/>
  <c r="B81" i="194"/>
  <c r="E81" i="194" s="1"/>
  <c r="B80" i="194"/>
  <c r="E80" i="194" s="1"/>
  <c r="B79" i="194"/>
  <c r="E79" i="194" s="1"/>
  <c r="B78" i="194"/>
  <c r="E78" i="194" s="1"/>
  <c r="E77" i="194"/>
  <c r="B77" i="194"/>
  <c r="B76" i="194"/>
  <c r="E76" i="194" s="1"/>
  <c r="B75" i="194"/>
  <c r="E75" i="194" s="1"/>
  <c r="B74" i="194"/>
  <c r="E74" i="194" s="1"/>
  <c r="B73" i="194"/>
  <c r="E73" i="194" s="1"/>
  <c r="B72" i="194"/>
  <c r="E72" i="194" s="1"/>
  <c r="B71" i="194"/>
  <c r="E71" i="194" s="1"/>
  <c r="B70" i="194"/>
  <c r="E70" i="194" s="1"/>
  <c r="E69" i="194"/>
  <c r="B69" i="194"/>
  <c r="B68" i="194"/>
  <c r="E68" i="194" s="1"/>
  <c r="B67" i="194"/>
  <c r="E67" i="194" s="1"/>
  <c r="B66" i="194"/>
  <c r="E66" i="194" s="1"/>
  <c r="B65" i="194"/>
  <c r="E65" i="194" s="1"/>
  <c r="B64" i="194"/>
  <c r="E64" i="194" s="1"/>
  <c r="B63" i="194"/>
  <c r="E63" i="194" s="1"/>
  <c r="B62" i="194"/>
  <c r="E62" i="194" s="1"/>
  <c r="B61" i="194"/>
  <c r="E61" i="194" s="1"/>
  <c r="B60" i="194"/>
  <c r="E60" i="194" s="1"/>
  <c r="B59" i="194"/>
  <c r="E59" i="194" s="1"/>
  <c r="B58" i="194"/>
  <c r="E58" i="194" s="1"/>
  <c r="B57" i="194"/>
  <c r="E57" i="194" s="1"/>
  <c r="B56" i="194"/>
  <c r="E56" i="194" s="1"/>
  <c r="B55" i="194"/>
  <c r="E55" i="194" s="1"/>
  <c r="B54" i="194"/>
  <c r="E54" i="194" s="1"/>
  <c r="B53" i="194"/>
  <c r="E53" i="194" s="1"/>
  <c r="B52" i="194"/>
  <c r="E52" i="194" s="1"/>
  <c r="B51" i="194"/>
  <c r="E51" i="194" s="1"/>
  <c r="B50" i="194"/>
  <c r="E50" i="194" s="1"/>
  <c r="B49" i="194"/>
  <c r="E49" i="194" s="1"/>
  <c r="B48" i="194"/>
  <c r="E48" i="194" s="1"/>
  <c r="B47" i="194"/>
  <c r="E47" i="194" s="1"/>
  <c r="B46" i="194"/>
  <c r="E46" i="194" s="1"/>
  <c r="E45" i="194"/>
  <c r="B45" i="194"/>
  <c r="B44" i="194"/>
  <c r="E44" i="194" s="1"/>
  <c r="B43" i="194"/>
  <c r="E43" i="194" s="1"/>
  <c r="B42" i="194"/>
  <c r="E42" i="194" s="1"/>
  <c r="B41" i="194"/>
  <c r="E41" i="194" s="1"/>
  <c r="B40" i="194"/>
  <c r="E40" i="194" s="1"/>
  <c r="B39" i="194"/>
  <c r="E39" i="194" s="1"/>
  <c r="B38" i="194"/>
  <c r="E38" i="194" s="1"/>
  <c r="E37" i="194"/>
  <c r="B37" i="194"/>
  <c r="B36" i="194"/>
  <c r="E36" i="194" s="1"/>
  <c r="B35" i="194"/>
  <c r="E35" i="194" s="1"/>
  <c r="B34" i="194"/>
  <c r="E34" i="194" s="1"/>
  <c r="B33" i="194"/>
  <c r="E33" i="194" s="1"/>
  <c r="B32" i="194"/>
  <c r="E32" i="194" s="1"/>
  <c r="B31" i="194"/>
  <c r="E31" i="194" s="1"/>
  <c r="B30" i="194"/>
  <c r="E30" i="194" s="1"/>
  <c r="B29" i="194"/>
  <c r="E29" i="194" s="1"/>
  <c r="B28" i="194"/>
  <c r="E28" i="194" s="1"/>
  <c r="B27" i="194"/>
  <c r="E27" i="194" s="1"/>
  <c r="B26" i="194"/>
  <c r="E26" i="194" s="1"/>
  <c r="B25" i="194"/>
  <c r="E25" i="194" s="1"/>
  <c r="B24" i="194"/>
  <c r="E24" i="194" s="1"/>
  <c r="B23" i="194"/>
  <c r="E23" i="194" s="1"/>
  <c r="B22" i="194"/>
  <c r="E22" i="194" s="1"/>
  <c r="B21" i="194"/>
  <c r="E21" i="194" s="1"/>
  <c r="B20" i="194"/>
  <c r="E20" i="194" s="1"/>
  <c r="B18" i="194"/>
  <c r="E18" i="194" s="1"/>
  <c r="B16" i="194"/>
  <c r="E16" i="194" s="1"/>
  <c r="B15" i="194"/>
  <c r="E15" i="194" s="1"/>
  <c r="B14" i="194"/>
  <c r="E14" i="194" s="1"/>
  <c r="B13" i="194"/>
  <c r="E13" i="194" s="1"/>
  <c r="B12" i="194"/>
  <c r="E12" i="194" s="1"/>
  <c r="B10" i="194"/>
  <c r="E10" i="194" s="1"/>
  <c r="E9" i="194"/>
  <c r="B9" i="194"/>
  <c r="C7" i="194" s="1"/>
  <c r="E7" i="194" s="1"/>
  <c r="E8" i="194"/>
  <c r="E6" i="194"/>
  <c r="E5" i="194"/>
  <c r="E4" i="194"/>
  <c r="E3" i="194"/>
  <c r="J8" i="193"/>
  <c r="C8" i="195" s="1"/>
  <c r="J7" i="193"/>
  <c r="C7" i="195" s="1"/>
  <c r="J6" i="193"/>
  <c r="C6" i="195" s="1"/>
  <c r="J5" i="193"/>
  <c r="C5" i="195" s="1"/>
  <c r="J4" i="193"/>
  <c r="C4" i="195" s="1"/>
  <c r="L3" i="193"/>
  <c r="J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C53" i="161"/>
  <c r="C54" i="161"/>
  <c r="C55" i="161"/>
  <c r="C25" i="161"/>
  <c r="C26" i="161"/>
  <c r="C27" i="161"/>
  <c r="C28" i="161"/>
  <c r="L25" i="159"/>
  <c r="L26" i="159"/>
  <c r="L27" i="159"/>
  <c r="L28" i="159"/>
  <c r="J9" i="159"/>
  <c r="C9" i="161" s="1"/>
  <c r="J10" i="159"/>
  <c r="C10" i="161" s="1"/>
  <c r="J11" i="159"/>
  <c r="L11" i="159" s="1"/>
  <c r="C39" i="161" s="1"/>
  <c r="J12" i="159"/>
  <c r="L12" i="159" s="1"/>
  <c r="C40" i="161" s="1"/>
  <c r="J13" i="159"/>
  <c r="L13" i="159" s="1"/>
  <c r="C41" i="161" s="1"/>
  <c r="J14" i="159"/>
  <c r="L14" i="159" s="1"/>
  <c r="C42" i="161" s="1"/>
  <c r="J15" i="159"/>
  <c r="C15" i="161" s="1"/>
  <c r="J16" i="159"/>
  <c r="C16" i="161" s="1"/>
  <c r="J17" i="159"/>
  <c r="C17" i="161" s="1"/>
  <c r="J18" i="159"/>
  <c r="C18" i="161" s="1"/>
  <c r="J19" i="159"/>
  <c r="L19" i="159" s="1"/>
  <c r="C47" i="161" s="1"/>
  <c r="J20" i="159"/>
  <c r="L20" i="159" s="1"/>
  <c r="C48" i="161" s="1"/>
  <c r="J21" i="159"/>
  <c r="L21" i="159" s="1"/>
  <c r="C49" i="161" s="1"/>
  <c r="J22" i="159"/>
  <c r="L22" i="159" s="1"/>
  <c r="C50" i="161" s="1"/>
  <c r="J23" i="159"/>
  <c r="C23" i="161" s="1"/>
  <c r="J24" i="159"/>
  <c r="C24" i="161" s="1"/>
  <c r="J25" i="159"/>
  <c r="J26" i="159"/>
  <c r="J27" i="159"/>
  <c r="J28" i="159"/>
  <c r="B159"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B178" i="179" s="1"/>
  <c r="S116" i="186" a="1"/>
  <c r="S116" i="186" s="1"/>
  <c r="S114" i="186" a="1"/>
  <c r="S114" i="186" s="1"/>
  <c r="S112" i="186" a="1"/>
  <c r="S112" i="186" s="1"/>
  <c r="S30" i="186" a="1"/>
  <c r="S30" i="186" s="1"/>
  <c r="B177" i="179"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B166" i="179" s="1"/>
  <c r="S44" i="186" a="1"/>
  <c r="S44" i="186" s="1"/>
  <c r="S40" i="186" a="1"/>
  <c r="S40" i="186" s="1"/>
  <c r="S18" i="186" a="1"/>
  <c r="S18" i="186" s="1"/>
  <c r="B165" i="179" s="1"/>
  <c r="R18" i="186"/>
  <c r="Q18" i="186"/>
  <c r="S36" i="186" a="1"/>
  <c r="S36" i="186" s="1"/>
  <c r="B183" i="179" s="1"/>
  <c r="S34" i="186" a="1"/>
  <c r="S34" i="186" s="1"/>
  <c r="B181" i="179" s="1"/>
  <c r="R17" i="186"/>
  <c r="Q17" i="186"/>
  <c r="S17" i="186" s="1" a="1"/>
  <c r="S17" i="186" s="1"/>
  <c r="B164" i="179" s="1"/>
  <c r="N17" i="186"/>
  <c r="S32" i="186" s="1" a="1"/>
  <c r="S32" i="186" s="1"/>
  <c r="B179" i="179" s="1"/>
  <c r="M17" i="186"/>
  <c r="L17" i="186"/>
  <c r="K17" i="186"/>
  <c r="C17" i="186"/>
  <c r="J17" i="186" s="1"/>
  <c r="S28" i="186" s="1" a="1"/>
  <c r="S28" i="186" s="1"/>
  <c r="B175" i="179" s="1"/>
  <c r="B17" i="186"/>
  <c r="R16" i="186"/>
  <c r="Q16" i="186"/>
  <c r="N16" i="186"/>
  <c r="S26" i="186" s="1" a="1"/>
  <c r="S26" i="186" s="1"/>
  <c r="B173" i="179" s="1"/>
  <c r="M16" i="186"/>
  <c r="L16" i="186"/>
  <c r="S24" i="186" s="1" a="1"/>
  <c r="S24" i="186" s="1"/>
  <c r="B171" i="179" s="1"/>
  <c r="K16" i="186"/>
  <c r="C16" i="186"/>
  <c r="J16" i="186" s="1"/>
  <c r="S22" i="186" s="1" a="1"/>
  <c r="S22" i="186" s="1"/>
  <c r="B169" i="179" s="1"/>
  <c r="B16" i="186"/>
  <c r="R15" i="186"/>
  <c r="Q15" i="186"/>
  <c r="N15" i="186"/>
  <c r="S20" i="186" s="1" a="1"/>
  <c r="S20" i="186" s="1"/>
  <c r="B167" i="179" s="1"/>
  <c r="M15" i="186"/>
  <c r="L15" i="186"/>
  <c r="K15" i="186"/>
  <c r="C15" i="186"/>
  <c r="J15" i="186" s="1"/>
  <c r="S16" i="186" s="1" a="1"/>
  <c r="S16" i="186" s="1"/>
  <c r="B163" i="179" s="1"/>
  <c r="B15" i="186"/>
  <c r="B14" i="186"/>
  <c r="E3" i="186"/>
  <c r="E6" i="186" s="1"/>
  <c r="B158"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K29" i="184"/>
  <c r="L29" i="184"/>
  <c r="M29" i="184"/>
  <c r="N29" i="184"/>
  <c r="K30" i="184"/>
  <c r="L30" i="184"/>
  <c r="M30" i="184"/>
  <c r="N30" i="184"/>
  <c r="K31" i="184"/>
  <c r="L31" i="184"/>
  <c r="M31" i="184"/>
  <c r="N31" i="184"/>
  <c r="K32" i="184"/>
  <c r="L32" i="184"/>
  <c r="M32" i="184"/>
  <c r="N32" i="184"/>
  <c r="K33" i="184"/>
  <c r="L33" i="184"/>
  <c r="M33" i="184"/>
  <c r="N33" i="184"/>
  <c r="K34" i="184"/>
  <c r="L34" i="184"/>
  <c r="M34" i="184"/>
  <c r="N34" i="184"/>
  <c r="K35" i="184"/>
  <c r="L35" i="184"/>
  <c r="M35" i="184"/>
  <c r="N35" i="184"/>
  <c r="B358" i="181"/>
  <c r="B344" i="181"/>
  <c r="Q23" i="185"/>
  <c r="R23" i="185"/>
  <c r="Q24" i="185"/>
  <c r="R24" i="185"/>
  <c r="Q25" i="185"/>
  <c r="R25" i="185"/>
  <c r="Q26" i="185"/>
  <c r="R26" i="185"/>
  <c r="B365" i="181"/>
  <c r="Q27" i="185"/>
  <c r="R27" i="185"/>
  <c r="Q28" i="185"/>
  <c r="R28" i="185"/>
  <c r="Q29" i="185"/>
  <c r="B368" i="181" s="1"/>
  <c r="R29" i="185"/>
  <c r="Q30" i="185"/>
  <c r="R30" i="185"/>
  <c r="B369" i="181"/>
  <c r="Q31" i="185"/>
  <c r="R31" i="185"/>
  <c r="Q32" i="185"/>
  <c r="R32" i="185"/>
  <c r="Q33" i="185"/>
  <c r="R33" i="185"/>
  <c r="Q34" i="185"/>
  <c r="R34" i="185"/>
  <c r="Q35" i="185"/>
  <c r="R35" i="185"/>
  <c r="Q36" i="185"/>
  <c r="R36" i="185"/>
  <c r="R22" i="185"/>
  <c r="Q22" i="185"/>
  <c r="C22" i="185"/>
  <c r="C15" i="185"/>
  <c r="J15" i="185" s="1"/>
  <c r="B15" i="185"/>
  <c r="B22" i="185"/>
  <c r="N22" i="185"/>
  <c r="M22" i="185"/>
  <c r="L22" i="185"/>
  <c r="K22" i="185"/>
  <c r="J22" i="185"/>
  <c r="R20" i="185"/>
  <c r="Q20" i="185"/>
  <c r="S20" i="185" s="1" a="1"/>
  <c r="S20" i="185" s="1"/>
  <c r="B351" i="181" s="1"/>
  <c r="N20" i="185"/>
  <c r="R19" i="185"/>
  <c r="Q19" i="185"/>
  <c r="S19" i="185" s="1" a="1"/>
  <c r="S19" i="185" s="1"/>
  <c r="B350" i="181" s="1"/>
  <c r="N19" i="185"/>
  <c r="R18" i="185"/>
  <c r="Q18" i="185"/>
  <c r="S18" i="185" s="1" a="1"/>
  <c r="S18" i="185" s="1"/>
  <c r="B349" i="181" s="1"/>
  <c r="R17" i="185"/>
  <c r="Q17" i="185"/>
  <c r="S17" i="185" s="1" a="1"/>
  <c r="S17" i="185" s="1"/>
  <c r="B348" i="181" s="1"/>
  <c r="R16" i="185"/>
  <c r="Q16" i="185"/>
  <c r="R15" i="185"/>
  <c r="Q15" i="185"/>
  <c r="N15" i="185"/>
  <c r="M15" i="185"/>
  <c r="L15" i="185"/>
  <c r="K15" i="185"/>
  <c r="B14" i="185"/>
  <c r="E3" i="185"/>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35" i="184"/>
  <c r="J29" i="184"/>
  <c r="J31" i="184"/>
  <c r="J32" i="184"/>
  <c r="J33" i="184"/>
  <c r="J24" i="184"/>
  <c r="J25" i="184"/>
  <c r="J27" i="184"/>
  <c r="J28" i="184"/>
  <c r="J16" i="184"/>
  <c r="J17" i="184"/>
  <c r="J19" i="184"/>
  <c r="J20" i="184"/>
  <c r="J21" i="184"/>
  <c r="J23" i="184"/>
  <c r="C15" i="184"/>
  <c r="B15" i="184"/>
  <c r="B207" i="181"/>
  <c r="R15" i="184"/>
  <c r="Q15" i="184"/>
  <c r="N15" i="184"/>
  <c r="M15" i="184"/>
  <c r="L15" i="184"/>
  <c r="K15" i="184"/>
  <c r="J15" i="184"/>
  <c r="B14" i="184"/>
  <c r="I21" i="184" s="1"/>
  <c r="E3" i="184"/>
  <c r="E6" i="184" s="1"/>
  <c r="B206" i="181" s="1"/>
  <c r="B183"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I15" i="183" s="1"/>
  <c r="E3" i="183"/>
  <c r="E6" i="183" s="1"/>
  <c r="B182" i="181" s="1"/>
  <c r="B137"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36" i="181" s="1"/>
  <c r="J21" i="180"/>
  <c r="J17" i="180"/>
  <c r="C15" i="180"/>
  <c r="J15" i="180" s="1"/>
  <c r="B15" i="180"/>
  <c r="B14" i="180"/>
  <c r="I22" i="180" s="1"/>
  <c r="E3" i="180"/>
  <c r="B14" i="181" s="1"/>
  <c r="B17" i="181"/>
  <c r="B15" i="181"/>
  <c r="B13" i="181"/>
  <c r="B12" i="181"/>
  <c r="B9" i="181"/>
  <c r="B8" i="181"/>
  <c r="B4" i="181"/>
  <c r="R15" i="180"/>
  <c r="Q15" i="180"/>
  <c r="N15" i="180"/>
  <c r="M15" i="180"/>
  <c r="L15" i="180"/>
  <c r="K15" i="180"/>
  <c r="B151" i="179"/>
  <c r="B152" i="179"/>
  <c r="B153" i="179"/>
  <c r="Q138" i="178"/>
  <c r="R138" i="178"/>
  <c r="Q139" i="178"/>
  <c r="R139" i="178"/>
  <c r="Q140" i="178"/>
  <c r="R140" i="178"/>
  <c r="Q141" i="178"/>
  <c r="S141" i="178" s="1" a="1"/>
  <c r="S141" i="178" s="1"/>
  <c r="B143" i="179" s="1"/>
  <c r="R141" i="178"/>
  <c r="Q142" i="178"/>
  <c r="R142" i="178"/>
  <c r="Q143" i="178"/>
  <c r="R143" i="178"/>
  <c r="Q144" i="178"/>
  <c r="R144" i="178"/>
  <c r="Q145" i="178"/>
  <c r="R145" i="178"/>
  <c r="Q146" i="178"/>
  <c r="R146" i="178"/>
  <c r="Q147" i="178"/>
  <c r="R147" i="178"/>
  <c r="Q148" i="178"/>
  <c r="R148" i="178"/>
  <c r="Q149" i="178"/>
  <c r="R149" i="178"/>
  <c r="Q150" i="178"/>
  <c r="R150" i="178"/>
  <c r="Q119" i="178"/>
  <c r="R119" i="178"/>
  <c r="Q120" i="178"/>
  <c r="R120" i="178"/>
  <c r="Q121" i="178"/>
  <c r="R121" i="178"/>
  <c r="Q122" i="178"/>
  <c r="R122" i="178"/>
  <c r="Q123" i="178"/>
  <c r="R123" i="178"/>
  <c r="Q124" i="178"/>
  <c r="R124" i="178"/>
  <c r="Q125" i="178"/>
  <c r="R125" i="178"/>
  <c r="Q126" i="178"/>
  <c r="R126" i="178"/>
  <c r="Q127" i="178"/>
  <c r="R127" i="178"/>
  <c r="Q128" i="178"/>
  <c r="R128" i="178"/>
  <c r="Q129" i="178"/>
  <c r="R129" i="178"/>
  <c r="Q130" i="178"/>
  <c r="R130" i="178"/>
  <c r="Q131" i="178"/>
  <c r="R131" i="178"/>
  <c r="Q132" i="178"/>
  <c r="R132" i="178"/>
  <c r="Q133" i="178"/>
  <c r="R133" i="178"/>
  <c r="Q134" i="178"/>
  <c r="R134" i="178"/>
  <c r="Q135" i="178"/>
  <c r="R135" i="178"/>
  <c r="Q136" i="178"/>
  <c r="R136" i="178"/>
  <c r="Q137" i="178"/>
  <c r="R137" i="178"/>
  <c r="Q103" i="178"/>
  <c r="R103" i="178"/>
  <c r="Q104" i="178"/>
  <c r="R104" i="178"/>
  <c r="Q105" i="178"/>
  <c r="R105" i="178"/>
  <c r="Q106" i="178"/>
  <c r="R106" i="178"/>
  <c r="Q107" i="178"/>
  <c r="R107" i="178"/>
  <c r="Q108" i="178"/>
  <c r="R108" i="178"/>
  <c r="Q109" i="178"/>
  <c r="R109" i="178"/>
  <c r="Q110" i="178"/>
  <c r="S110" i="178" s="1" a="1"/>
  <c r="S110" i="178" s="1"/>
  <c r="B112" i="179" s="1"/>
  <c r="R110" i="178"/>
  <c r="Q111" i="178"/>
  <c r="R111" i="178"/>
  <c r="Q112" i="178"/>
  <c r="R112" i="178"/>
  <c r="Q113" i="178"/>
  <c r="R113" i="178"/>
  <c r="Q114" i="178"/>
  <c r="R114" i="178"/>
  <c r="Q115" i="178"/>
  <c r="R115" i="178"/>
  <c r="Q116" i="178"/>
  <c r="S116" i="178" s="1" a="1"/>
  <c r="S116" i="178" s="1"/>
  <c r="B118" i="179" s="1"/>
  <c r="R116" i="178"/>
  <c r="Q117" i="178"/>
  <c r="R117" i="178"/>
  <c r="Q118" i="178"/>
  <c r="R118" i="178"/>
  <c r="Q93" i="178"/>
  <c r="R93" i="178"/>
  <c r="Q94" i="178"/>
  <c r="R94" i="178"/>
  <c r="Q95" i="178"/>
  <c r="R95" i="178"/>
  <c r="Q96" i="178"/>
  <c r="R96" i="178"/>
  <c r="Q97" i="178"/>
  <c r="R97" i="178"/>
  <c r="Q98" i="178"/>
  <c r="R98" i="178"/>
  <c r="Q99" i="178"/>
  <c r="R99" i="178"/>
  <c r="Q100" i="178"/>
  <c r="R100" i="178"/>
  <c r="Q101" i="178"/>
  <c r="R101" i="178"/>
  <c r="Q102" i="178"/>
  <c r="R102" i="178"/>
  <c r="Q74" i="178"/>
  <c r="R74" i="178"/>
  <c r="Q75" i="178"/>
  <c r="R75" i="178"/>
  <c r="Q76" i="178"/>
  <c r="R76" i="178"/>
  <c r="Q77" i="178"/>
  <c r="R77" i="178"/>
  <c r="Q78" i="178"/>
  <c r="R78" i="178"/>
  <c r="Q79" i="178"/>
  <c r="R79" i="178"/>
  <c r="Q80" i="178"/>
  <c r="R80" i="178"/>
  <c r="Q81" i="178"/>
  <c r="R81" i="178"/>
  <c r="Q82" i="178"/>
  <c r="R82" i="178"/>
  <c r="Q83" i="178"/>
  <c r="R83" i="178"/>
  <c r="Q84" i="178"/>
  <c r="R84" i="178"/>
  <c r="Q85" i="178"/>
  <c r="R85" i="178"/>
  <c r="Q86" i="178"/>
  <c r="R86" i="178"/>
  <c r="Q87" i="178"/>
  <c r="R87" i="178"/>
  <c r="Q88" i="178"/>
  <c r="R88" i="178"/>
  <c r="Q89" i="178"/>
  <c r="R89" i="178"/>
  <c r="Q90" i="178"/>
  <c r="R90" i="178"/>
  <c r="Q91" i="178"/>
  <c r="R91" i="178"/>
  <c r="Q92" i="178"/>
  <c r="R92" i="178"/>
  <c r="Q64" i="178"/>
  <c r="R64" i="178"/>
  <c r="Q65" i="178"/>
  <c r="R65" i="178"/>
  <c r="Q66" i="178"/>
  <c r="R66" i="178"/>
  <c r="Q67" i="178"/>
  <c r="R67" i="178"/>
  <c r="Q68" i="178"/>
  <c r="R68" i="178"/>
  <c r="Q69" i="178"/>
  <c r="R69" i="178"/>
  <c r="Q70" i="178"/>
  <c r="R70" i="178"/>
  <c r="Q71" i="178"/>
  <c r="R71" i="178"/>
  <c r="Q72" i="178"/>
  <c r="R72" i="178"/>
  <c r="Q73" i="178"/>
  <c r="R73" i="178"/>
  <c r="Q55" i="178"/>
  <c r="R55" i="178"/>
  <c r="Q56" i="178"/>
  <c r="R56" i="178"/>
  <c r="Q57" i="178"/>
  <c r="R57" i="178"/>
  <c r="Q58" i="178"/>
  <c r="R58" i="178"/>
  <c r="Q59" i="178"/>
  <c r="R59" i="178"/>
  <c r="Q60" i="178"/>
  <c r="R60" i="178"/>
  <c r="Q61" i="178"/>
  <c r="R61" i="178"/>
  <c r="Q62" i="178"/>
  <c r="R62" i="178"/>
  <c r="Q63" i="178"/>
  <c r="R63" i="178"/>
  <c r="Q16" i="178"/>
  <c r="R16" i="178"/>
  <c r="Q18" i="178"/>
  <c r="R18" i="178"/>
  <c r="Q19" i="178"/>
  <c r="R19" i="178"/>
  <c r="Q21" i="178"/>
  <c r="R21" i="178"/>
  <c r="Q22" i="178"/>
  <c r="R22" i="178"/>
  <c r="Q23" i="178"/>
  <c r="R23" i="178"/>
  <c r="Q24" i="178"/>
  <c r="R24" i="178"/>
  <c r="Q25" i="178"/>
  <c r="R25" i="178"/>
  <c r="Q26" i="178"/>
  <c r="R26" i="178"/>
  <c r="Q27" i="178"/>
  <c r="R27" i="178"/>
  <c r="Q28" i="178"/>
  <c r="R28" i="178"/>
  <c r="Q29" i="178"/>
  <c r="R29" i="178"/>
  <c r="Q30" i="178"/>
  <c r="R30" i="178"/>
  <c r="Q31" i="178"/>
  <c r="S31" i="178" s="1" a="1"/>
  <c r="S31" i="178" s="1"/>
  <c r="B33" i="179" s="1"/>
  <c r="R31" i="178"/>
  <c r="Q32" i="178"/>
  <c r="R32" i="178"/>
  <c r="Q33" i="178"/>
  <c r="R33" i="178"/>
  <c r="Q34" i="178"/>
  <c r="R34" i="178"/>
  <c r="Q35" i="178"/>
  <c r="R35" i="178"/>
  <c r="Q36" i="178"/>
  <c r="R36" i="178"/>
  <c r="Q37" i="178"/>
  <c r="R37" i="178"/>
  <c r="Q38" i="178"/>
  <c r="R38" i="178"/>
  <c r="Q39" i="178"/>
  <c r="S39" i="178" s="1" a="1"/>
  <c r="S39" i="178" s="1"/>
  <c r="B41" i="179" s="1"/>
  <c r="R39" i="178"/>
  <c r="Q40" i="178"/>
  <c r="R40" i="178"/>
  <c r="Q41" i="178"/>
  <c r="R41" i="178"/>
  <c r="Q42" i="178"/>
  <c r="R42" i="178"/>
  <c r="Q43" i="178"/>
  <c r="R43" i="178"/>
  <c r="Q44" i="178"/>
  <c r="R44" i="178"/>
  <c r="Q45" i="178"/>
  <c r="R45" i="178"/>
  <c r="Q46" i="178"/>
  <c r="R46" i="178"/>
  <c r="Q47" i="178"/>
  <c r="R47" i="178"/>
  <c r="Q48" i="178"/>
  <c r="R48" i="178"/>
  <c r="Q49" i="178"/>
  <c r="R49" i="178"/>
  <c r="Q50" i="178"/>
  <c r="R50" i="178"/>
  <c r="Q51" i="178"/>
  <c r="S51" i="178" s="1" a="1"/>
  <c r="S51" i="178" s="1"/>
  <c r="B53" i="179" s="1"/>
  <c r="R51" i="178"/>
  <c r="Q52" i="178"/>
  <c r="R52" i="178"/>
  <c r="Q53" i="178"/>
  <c r="R53" i="178"/>
  <c r="Q54" i="178"/>
  <c r="R54" i="178"/>
  <c r="K29" i="178"/>
  <c r="L29" i="178"/>
  <c r="M29" i="178"/>
  <c r="N29" i="178"/>
  <c r="K30" i="178"/>
  <c r="L30" i="178"/>
  <c r="M30" i="178"/>
  <c r="N30" i="178"/>
  <c r="K31" i="178"/>
  <c r="L31" i="178"/>
  <c r="M31" i="178"/>
  <c r="N31" i="178"/>
  <c r="K32" i="178"/>
  <c r="L32" i="178"/>
  <c r="M32" i="178"/>
  <c r="N32" i="178"/>
  <c r="S112" i="178" s="1" a="1"/>
  <c r="S112" i="178" s="1"/>
  <c r="B114" i="179" s="1"/>
  <c r="K33" i="178"/>
  <c r="L33" i="178"/>
  <c r="M33" i="178"/>
  <c r="N33" i="178"/>
  <c r="K34" i="178"/>
  <c r="L34" i="178"/>
  <c r="M34" i="178"/>
  <c r="N34" i="178"/>
  <c r="K35" i="178"/>
  <c r="L35" i="178"/>
  <c r="M35" i="178"/>
  <c r="N35" i="178"/>
  <c r="K36" i="178"/>
  <c r="L36" i="178"/>
  <c r="M36" i="178"/>
  <c r="N36" i="178"/>
  <c r="K37" i="178"/>
  <c r="S139" i="178" s="1" a="1"/>
  <c r="S139" i="178" s="1"/>
  <c r="B141" i="179" s="1"/>
  <c r="L37" i="178"/>
  <c r="M37" i="178"/>
  <c r="N37" i="178"/>
  <c r="K38" i="178"/>
  <c r="L38" i="178"/>
  <c r="M38" i="178"/>
  <c r="N38" i="178"/>
  <c r="K16" i="178"/>
  <c r="L16" i="178"/>
  <c r="M16" i="178"/>
  <c r="N16" i="178"/>
  <c r="K18" i="178"/>
  <c r="L18" i="178"/>
  <c r="M18" i="178"/>
  <c r="N18" i="178"/>
  <c r="K19" i="178"/>
  <c r="L19" i="178"/>
  <c r="M19" i="178"/>
  <c r="N19" i="178"/>
  <c r="K21" i="178"/>
  <c r="L21" i="178"/>
  <c r="M21" i="178"/>
  <c r="N21" i="178"/>
  <c r="K22" i="178"/>
  <c r="L22" i="178"/>
  <c r="M22" i="178"/>
  <c r="N22" i="178"/>
  <c r="K23" i="178"/>
  <c r="L23" i="178"/>
  <c r="M23" i="178"/>
  <c r="N23" i="178"/>
  <c r="K24" i="178"/>
  <c r="L24" i="178"/>
  <c r="M24" i="178"/>
  <c r="N24" i="178"/>
  <c r="K25" i="178"/>
  <c r="L25" i="178"/>
  <c r="M25" i="178"/>
  <c r="N25" i="178"/>
  <c r="K26" i="178"/>
  <c r="L26" i="178"/>
  <c r="M26" i="178"/>
  <c r="N26" i="178"/>
  <c r="K27" i="178"/>
  <c r="L27" i="178"/>
  <c r="M27" i="178"/>
  <c r="N27" i="178"/>
  <c r="K28" i="178"/>
  <c r="L28" i="178"/>
  <c r="M28" i="178"/>
  <c r="N28" i="178"/>
  <c r="B38" i="178"/>
  <c r="C38" i="178"/>
  <c r="J38" i="178" s="1"/>
  <c r="J16" i="178"/>
  <c r="C19" i="178"/>
  <c r="J19" i="178" s="1"/>
  <c r="C21" i="178"/>
  <c r="J21" i="178" s="1"/>
  <c r="B22" i="178"/>
  <c r="C22" i="178"/>
  <c r="J22" i="178" s="1"/>
  <c r="B23" i="178"/>
  <c r="C23" i="178"/>
  <c r="J23" i="178" s="1"/>
  <c r="B24" i="178"/>
  <c r="C24" i="178"/>
  <c r="J24" i="178" s="1"/>
  <c r="B25" i="178"/>
  <c r="C25" i="178"/>
  <c r="J25" i="178" s="1"/>
  <c r="B26" i="178"/>
  <c r="C26" i="178"/>
  <c r="J26" i="178" s="1"/>
  <c r="B27" i="178"/>
  <c r="C27" i="178"/>
  <c r="J27" i="178" s="1"/>
  <c r="B28" i="178"/>
  <c r="C28" i="178"/>
  <c r="J28" i="178" s="1"/>
  <c r="B29" i="178"/>
  <c r="C29" i="178"/>
  <c r="J29" i="178" s="1"/>
  <c r="B30" i="178"/>
  <c r="C30" i="178"/>
  <c r="J30" i="178" s="1"/>
  <c r="B31" i="178"/>
  <c r="C31" i="178"/>
  <c r="J31" i="178" s="1"/>
  <c r="B32" i="178"/>
  <c r="C32" i="178"/>
  <c r="J32" i="178" s="1"/>
  <c r="B33" i="178"/>
  <c r="C33" i="178"/>
  <c r="J33" i="178" s="1"/>
  <c r="B34" i="178"/>
  <c r="C34" i="178"/>
  <c r="J34" i="178" s="1"/>
  <c r="B35" i="178"/>
  <c r="C35" i="178"/>
  <c r="J35" i="178" s="1"/>
  <c r="B36" i="178"/>
  <c r="C36" i="178"/>
  <c r="J36" i="178" s="1"/>
  <c r="B37" i="178"/>
  <c r="C37" i="178"/>
  <c r="J37" i="178" s="1"/>
  <c r="C15" i="178"/>
  <c r="J15" i="178" s="1"/>
  <c r="B15" i="178"/>
  <c r="B14" i="178"/>
  <c r="I18" i="178" s="1"/>
  <c r="B17" i="179"/>
  <c r="E3" i="178"/>
  <c r="E6" i="178" s="1"/>
  <c r="B16" i="179" s="1"/>
  <c r="B15" i="179"/>
  <c r="B13" i="179"/>
  <c r="B12" i="179"/>
  <c r="B9" i="179"/>
  <c r="B8" i="179"/>
  <c r="B4" i="179"/>
  <c r="R15" i="178"/>
  <c r="Q15" i="178"/>
  <c r="N15" i="178"/>
  <c r="M15" i="178"/>
  <c r="L15" i="178"/>
  <c r="K15" i="178"/>
  <c r="L16" i="172" l="1"/>
  <c r="C77" i="174" s="1"/>
  <c r="C27" i="174"/>
  <c r="L44" i="172"/>
  <c r="C105" i="174" s="1"/>
  <c r="C43" i="174"/>
  <c r="C19" i="174"/>
  <c r="C61" i="174"/>
  <c r="L56" i="172"/>
  <c r="C117" i="174" s="1"/>
  <c r="L24" i="172"/>
  <c r="C85" i="174" s="1"/>
  <c r="C42" i="174"/>
  <c r="C34" i="174"/>
  <c r="C26" i="174"/>
  <c r="C18" i="174"/>
  <c r="C60" i="174"/>
  <c r="L36" i="172"/>
  <c r="C97" i="174" s="1"/>
  <c r="C41" i="174"/>
  <c r="C33" i="174"/>
  <c r="C25" i="174"/>
  <c r="C17" i="174"/>
  <c r="C59" i="174"/>
  <c r="C51" i="174"/>
  <c r="C40" i="174"/>
  <c r="C32" i="174"/>
  <c r="C58" i="174"/>
  <c r="C50" i="174"/>
  <c r="C39" i="174"/>
  <c r="C31" i="174"/>
  <c r="C23" i="174"/>
  <c r="C15" i="174"/>
  <c r="C57" i="174"/>
  <c r="C49" i="174"/>
  <c r="C11" i="174"/>
  <c r="C38" i="174"/>
  <c r="C30" i="174"/>
  <c r="C22" i="174"/>
  <c r="C14" i="174"/>
  <c r="L20" i="172"/>
  <c r="C81" i="174" s="1"/>
  <c r="C10" i="174"/>
  <c r="C37" i="174"/>
  <c r="C29" i="174"/>
  <c r="C21" i="174"/>
  <c r="C13" i="174"/>
  <c r="C55" i="174"/>
  <c r="C47" i="174"/>
  <c r="C9" i="174"/>
  <c r="C54" i="174"/>
  <c r="C46" i="174"/>
  <c r="S114" i="178" a="1"/>
  <c r="S114" i="178" s="1"/>
  <c r="B116" i="179" s="1"/>
  <c r="S74" i="178" a="1"/>
  <c r="S74" i="178" s="1"/>
  <c r="B76" i="179" s="1"/>
  <c r="S27" i="178" a="1"/>
  <c r="S27" i="178" s="1"/>
  <c r="B29" i="179" s="1"/>
  <c r="S18" i="178" a="1"/>
  <c r="S18" i="178" s="1"/>
  <c r="S147" i="178" a="1"/>
  <c r="S147" i="178" s="1"/>
  <c r="B149" i="179" s="1"/>
  <c r="S117" i="178" a="1"/>
  <c r="S117" i="178" s="1"/>
  <c r="B119" i="179" s="1"/>
  <c r="S58" i="178" a="1"/>
  <c r="S58" i="178" s="1"/>
  <c r="B60" i="179" s="1"/>
  <c r="S104" i="178" a="1"/>
  <c r="S104" i="178" s="1"/>
  <c r="B106" i="179" s="1"/>
  <c r="S69" i="178" a="1"/>
  <c r="S69" i="178" s="1"/>
  <c r="B71" i="179" s="1"/>
  <c r="S56" i="178" a="1"/>
  <c r="S56" i="178" s="1"/>
  <c r="B58" i="179" s="1"/>
  <c r="S146" i="178" a="1"/>
  <c r="S146" i="178" s="1"/>
  <c r="B148" i="179" s="1"/>
  <c r="S62" i="178" a="1"/>
  <c r="S62" i="178" s="1"/>
  <c r="B64" i="179" s="1"/>
  <c r="S86" i="178" a="1"/>
  <c r="S86" i="178" s="1"/>
  <c r="B88" i="179" s="1"/>
  <c r="S99" i="178" a="1"/>
  <c r="S99" i="178" s="1"/>
  <c r="B101" i="179" s="1"/>
  <c r="S33" i="178" a="1"/>
  <c r="S33" i="178" s="1"/>
  <c r="B35" i="179" s="1"/>
  <c r="S52" i="178" a="1"/>
  <c r="S52" i="178" s="1"/>
  <c r="B54" i="179" s="1"/>
  <c r="S44" i="178" a="1"/>
  <c r="S44" i="178" s="1"/>
  <c r="B46" i="179" s="1"/>
  <c r="S40" i="178" a="1"/>
  <c r="S40" i="178" s="1"/>
  <c r="B42" i="179" s="1"/>
  <c r="S32" i="178" a="1"/>
  <c r="S32" i="178" s="1"/>
  <c r="B34" i="179" s="1"/>
  <c r="S28" i="178" a="1"/>
  <c r="S28" i="178" s="1"/>
  <c r="B30" i="179" s="1"/>
  <c r="S19" i="178" a="1"/>
  <c r="S19" i="178" s="1"/>
  <c r="B22" i="179" s="1"/>
  <c r="S87" i="178" a="1"/>
  <c r="S87" i="178" s="1"/>
  <c r="B89" i="179" s="1"/>
  <c r="S75" i="178" a="1"/>
  <c r="S75" i="178" s="1"/>
  <c r="B77" i="179" s="1"/>
  <c r="S129" i="178" a="1"/>
  <c r="S129" i="178" s="1"/>
  <c r="B131" i="179" s="1"/>
  <c r="S108" i="178" a="1"/>
  <c r="S108" i="178" s="1"/>
  <c r="B110" i="179" s="1"/>
  <c r="S60" i="178" a="1"/>
  <c r="S60" i="178" s="1"/>
  <c r="B62" i="179" s="1"/>
  <c r="S134" i="178" a="1"/>
  <c r="S134" i="178" s="1"/>
  <c r="B136" i="179" s="1"/>
  <c r="S122" i="178" a="1"/>
  <c r="S122" i="178" s="1"/>
  <c r="B124" i="179" s="1"/>
  <c r="S43" i="178" a="1"/>
  <c r="S43" i="178" s="1"/>
  <c r="B45" i="179" s="1"/>
  <c r="S50" i="178" a="1"/>
  <c r="S50" i="178" s="1"/>
  <c r="B52" i="179" s="1"/>
  <c r="S46" i="178" a="1"/>
  <c r="S46" i="178" s="1"/>
  <c r="B48" i="179" s="1"/>
  <c r="S38" i="178" a="1"/>
  <c r="S38" i="178" s="1"/>
  <c r="B40" i="179" s="1"/>
  <c r="S34" i="178" a="1"/>
  <c r="S34" i="178" s="1"/>
  <c r="B36" i="179" s="1"/>
  <c r="S26" i="178" a="1"/>
  <c r="S26" i="178" s="1"/>
  <c r="B28" i="179" s="1"/>
  <c r="S22" i="178" a="1"/>
  <c r="S22" i="178" s="1"/>
  <c r="B24" i="179" s="1"/>
  <c r="S68" i="178" a="1"/>
  <c r="S68" i="178" s="1"/>
  <c r="B70" i="179" s="1"/>
  <c r="S81" i="178" a="1"/>
  <c r="S81" i="178" s="1"/>
  <c r="B83" i="179" s="1"/>
  <c r="S98" i="178" a="1"/>
  <c r="S98" i="178" s="1"/>
  <c r="B100" i="179" s="1"/>
  <c r="S94" i="178" a="1"/>
  <c r="S94" i="178" s="1"/>
  <c r="B96" i="179" s="1"/>
  <c r="S105" i="178" a="1"/>
  <c r="S105" i="178" s="1"/>
  <c r="B107" i="179" s="1"/>
  <c r="S57" i="178" a="1"/>
  <c r="S57" i="178" s="1"/>
  <c r="B59" i="179" s="1"/>
  <c r="S128" i="178" a="1"/>
  <c r="S128" i="178" s="1"/>
  <c r="B130" i="179" s="1"/>
  <c r="S145" i="178" a="1"/>
  <c r="S145" i="178" s="1"/>
  <c r="B147" i="179" s="1"/>
  <c r="S49" i="178" a="1"/>
  <c r="S49" i="178" s="1"/>
  <c r="B51" i="179" s="1"/>
  <c r="S45" i="178" a="1"/>
  <c r="S45" i="178" s="1"/>
  <c r="B47" i="179" s="1"/>
  <c r="S37" i="178" a="1"/>
  <c r="S37" i="178" s="1"/>
  <c r="B39" i="179" s="1"/>
  <c r="S25" i="178" a="1"/>
  <c r="S25" i="178" s="1"/>
  <c r="B27" i="179" s="1"/>
  <c r="S21" i="178" a="1"/>
  <c r="S21" i="178" s="1"/>
  <c r="B23" i="179" s="1"/>
  <c r="S63" i="178" a="1"/>
  <c r="S63" i="178" s="1"/>
  <c r="B65" i="179" s="1"/>
  <c r="S92" i="178" a="1"/>
  <c r="S92" i="178" s="1"/>
  <c r="B94" i="179" s="1"/>
  <c r="S80" i="178" a="1"/>
  <c r="S80" i="178" s="1"/>
  <c r="B82" i="179" s="1"/>
  <c r="S93" i="178" a="1"/>
  <c r="S93" i="178" s="1"/>
  <c r="B95" i="179" s="1"/>
  <c r="S118" i="178" a="1"/>
  <c r="S118" i="178" s="1"/>
  <c r="B120" i="179" s="1"/>
  <c r="S106" i="178" a="1"/>
  <c r="S106" i="178" s="1"/>
  <c r="B108" i="179" s="1"/>
  <c r="S111" i="178" a="1"/>
  <c r="S111" i="178" s="1"/>
  <c r="B113" i="179" s="1"/>
  <c r="S135" i="178" a="1"/>
  <c r="S135" i="178" s="1"/>
  <c r="B137" i="179" s="1"/>
  <c r="S123" i="178" a="1"/>
  <c r="S123" i="178" s="1"/>
  <c r="B125" i="179" s="1"/>
  <c r="S140" i="178" a="1"/>
  <c r="S140" i="178" s="1"/>
  <c r="B142" i="179" s="1"/>
  <c r="S126" i="178" a="1"/>
  <c r="S126" i="178" s="1"/>
  <c r="B128" i="179" s="1"/>
  <c r="I27" i="178"/>
  <c r="I21" i="178"/>
  <c r="I37" i="178"/>
  <c r="I33" i="178"/>
  <c r="I29" i="178"/>
  <c r="S90" i="178" a="1"/>
  <c r="S90" i="178" s="1"/>
  <c r="B92" i="179" s="1"/>
  <c r="S78" i="178" a="1"/>
  <c r="S78" i="178" s="1"/>
  <c r="B80" i="179" s="1"/>
  <c r="I15" i="178"/>
  <c r="S15" i="178" s="1" a="1"/>
  <c r="S15" i="178" s="1"/>
  <c r="B19" i="179" s="1"/>
  <c r="I24" i="178"/>
  <c r="I38" i="178"/>
  <c r="I34" i="178"/>
  <c r="I30" i="178"/>
  <c r="S42" i="178" a="1"/>
  <c r="S42" i="178" s="1"/>
  <c r="B44" i="179" s="1"/>
  <c r="S30" i="178" a="1"/>
  <c r="S30" i="178" s="1"/>
  <c r="B32" i="179" s="1"/>
  <c r="S16" i="178" a="1"/>
  <c r="S16" i="178" s="1"/>
  <c r="B20" i="179" s="1"/>
  <c r="S72" i="178" a="1"/>
  <c r="S72" i="178" s="1"/>
  <c r="B74" i="179" s="1"/>
  <c r="S102" i="178" a="1"/>
  <c r="S102" i="178" s="1"/>
  <c r="B104" i="179" s="1"/>
  <c r="S84" i="178" a="1"/>
  <c r="S84" i="178" s="1"/>
  <c r="B86" i="179" s="1"/>
  <c r="S138" i="178" a="1"/>
  <c r="S138" i="178" s="1"/>
  <c r="B140" i="179" s="1"/>
  <c r="I28" i="178"/>
  <c r="I35" i="178"/>
  <c r="I31" i="178"/>
  <c r="S29" i="178" a="1"/>
  <c r="S29" i="178" s="1"/>
  <c r="B31" i="179" s="1"/>
  <c r="I25" i="178"/>
  <c r="I22" i="178"/>
  <c r="S47" i="178" s="1" a="1"/>
  <c r="S47" i="178" s="1"/>
  <c r="B49" i="179" s="1"/>
  <c r="I16" i="178"/>
  <c r="S23" i="178" s="1" a="1"/>
  <c r="S23" i="178" s="1"/>
  <c r="B25" i="179" s="1"/>
  <c r="S132" i="178" a="1"/>
  <c r="S132" i="178" s="1"/>
  <c r="B134" i="179" s="1"/>
  <c r="S120" i="178" a="1"/>
  <c r="S120" i="178" s="1"/>
  <c r="B122" i="179" s="1"/>
  <c r="I19" i="178"/>
  <c r="S35" i="178" s="1" a="1"/>
  <c r="S35" i="178" s="1"/>
  <c r="B37" i="179" s="1"/>
  <c r="I36" i="178"/>
  <c r="I32" i="178"/>
  <c r="S48" i="178" a="1"/>
  <c r="S48" i="178" s="1"/>
  <c r="B50" i="179" s="1"/>
  <c r="S36" i="178" a="1"/>
  <c r="S36" i="178" s="1"/>
  <c r="B38" i="179" s="1"/>
  <c r="S24" i="178" a="1"/>
  <c r="S24" i="178" s="1"/>
  <c r="B26" i="179" s="1"/>
  <c r="S66" i="178" a="1"/>
  <c r="S66" i="178" s="1"/>
  <c r="B68" i="179" s="1"/>
  <c r="S96" i="178" a="1"/>
  <c r="S96" i="178" s="1"/>
  <c r="B98" i="179" s="1"/>
  <c r="I26" i="178"/>
  <c r="I23" i="178"/>
  <c r="S104" i="180" a="1"/>
  <c r="S104" i="180" s="1"/>
  <c r="B108" i="181" s="1"/>
  <c r="S98" i="180" a="1"/>
  <c r="S98" i="180" s="1"/>
  <c r="B102" i="181" s="1"/>
  <c r="S119" i="180" a="1"/>
  <c r="S119" i="180" s="1"/>
  <c r="B123" i="181" s="1"/>
  <c r="S113" i="180" a="1"/>
  <c r="S113" i="180" s="1"/>
  <c r="B117" i="181" s="1"/>
  <c r="S107" i="180" a="1"/>
  <c r="S107" i="180" s="1"/>
  <c r="B111" i="181" s="1"/>
  <c r="S120" i="180" a="1"/>
  <c r="S120" i="180" s="1"/>
  <c r="B124" i="181" s="1"/>
  <c r="S115" i="180" a="1"/>
  <c r="S115" i="180" s="1"/>
  <c r="B119" i="181" s="1"/>
  <c r="S109" i="180" a="1"/>
  <c r="S109" i="180" s="1"/>
  <c r="B113" i="181" s="1"/>
  <c r="S96" i="180" a="1"/>
  <c r="S96" i="180" s="1"/>
  <c r="B100" i="181" s="1"/>
  <c r="S16" i="246" a="1"/>
  <c r="S16" i="246" s="1"/>
  <c r="S18" i="246" a="1"/>
  <c r="S18" i="246" s="1"/>
  <c r="S103" i="246" a="1"/>
  <c r="S103" i="246" s="1"/>
  <c r="S107" i="246" a="1"/>
  <c r="S107" i="246" s="1"/>
  <c r="B382" i="181"/>
  <c r="B383" i="181"/>
  <c r="B381" i="181"/>
  <c r="B385" i="181"/>
  <c r="B378" i="181"/>
  <c r="B376" i="181"/>
  <c r="B379" i="181"/>
  <c r="B380" i="181"/>
  <c r="B384" i="181"/>
  <c r="B375" i="181"/>
  <c r="B367" i="181"/>
  <c r="S16" i="185" a="1"/>
  <c r="S16" i="185" s="1"/>
  <c r="B347" i="181" s="1"/>
  <c r="B366" i="181"/>
  <c r="B363" i="181"/>
  <c r="B364" i="181"/>
  <c r="E19" i="185"/>
  <c r="B357" i="181" s="1"/>
  <c r="I15" i="185"/>
  <c r="S15" i="185" s="1" a="1"/>
  <c r="S15" i="185" s="1"/>
  <c r="B346" i="181" s="1"/>
  <c r="E40" i="185"/>
  <c r="S20" i="246" a="1"/>
  <c r="S20" i="246" s="1"/>
  <c r="S25" i="246" a="1"/>
  <c r="S25" i="246" s="1"/>
  <c r="S102" i="246" a="1"/>
  <c r="S102" i="246" s="1"/>
  <c r="S104" i="246" a="1"/>
  <c r="S104" i="246" s="1"/>
  <c r="S24" i="246" a="1"/>
  <c r="S24" i="246" s="1"/>
  <c r="S28" i="246" a="1"/>
  <c r="S28" i="246" s="1"/>
  <c r="I16" i="246"/>
  <c r="S17" i="246" a="1"/>
  <c r="S17" i="246" s="1"/>
  <c r="I20" i="246"/>
  <c r="S23" i="246" a="1"/>
  <c r="S23" i="246" s="1"/>
  <c r="S31" i="246" a="1"/>
  <c r="S31" i="246" s="1"/>
  <c r="S35" i="246" a="1"/>
  <c r="S35" i="246" s="1"/>
  <c r="S43" i="246" a="1"/>
  <c r="S43" i="246" s="1"/>
  <c r="S47" i="246" a="1"/>
  <c r="S47" i="246" s="1"/>
  <c r="S55" i="246" a="1"/>
  <c r="S55" i="246" s="1"/>
  <c r="S59" i="246" a="1"/>
  <c r="S59" i="246" s="1"/>
  <c r="S67" i="246" a="1"/>
  <c r="S67" i="246" s="1"/>
  <c r="S71" i="246" a="1"/>
  <c r="S71" i="246" s="1"/>
  <c r="S79" i="246" a="1"/>
  <c r="S79" i="246" s="1"/>
  <c r="S83" i="246" a="1"/>
  <c r="S83" i="246" s="1"/>
  <c r="S91" i="246" a="1"/>
  <c r="S91" i="246" s="1"/>
  <c r="S95" i="246" a="1"/>
  <c r="S95" i="246" s="1"/>
  <c r="S99" i="246" a="1"/>
  <c r="S99" i="246" s="1"/>
  <c r="S32" i="246" a="1"/>
  <c r="S32" i="246" s="1"/>
  <c r="S36" i="246" a="1"/>
  <c r="S36" i="246" s="1"/>
  <c r="S40" i="246" a="1"/>
  <c r="S40" i="246" s="1"/>
  <c r="S44" i="246" a="1"/>
  <c r="S44" i="246" s="1"/>
  <c r="S48" i="246" a="1"/>
  <c r="S48" i="246" s="1"/>
  <c r="S52" i="246" a="1"/>
  <c r="S52" i="246" s="1"/>
  <c r="S56" i="246" a="1"/>
  <c r="S56" i="246" s="1"/>
  <c r="S60" i="246" a="1"/>
  <c r="S60" i="246" s="1"/>
  <c r="S64" i="246" a="1"/>
  <c r="S64" i="246" s="1"/>
  <c r="S68" i="246" a="1"/>
  <c r="S68" i="246" s="1"/>
  <c r="S72" i="246" a="1"/>
  <c r="S72" i="246" s="1"/>
  <c r="S76" i="246" a="1"/>
  <c r="S76" i="246" s="1"/>
  <c r="S80" i="246" a="1"/>
  <c r="S80" i="246" s="1"/>
  <c r="S84" i="246" a="1"/>
  <c r="S84" i="246" s="1"/>
  <c r="S88" i="246" a="1"/>
  <c r="S88" i="246" s="1"/>
  <c r="S92" i="246" a="1"/>
  <c r="S92" i="246" s="1"/>
  <c r="S96" i="246" a="1"/>
  <c r="S96" i="246" s="1"/>
  <c r="S100" i="246" a="1"/>
  <c r="S100" i="246" s="1"/>
  <c r="I18" i="246"/>
  <c r="S19" i="246" a="1"/>
  <c r="S19" i="246" s="1"/>
  <c r="S29" i="246" a="1"/>
  <c r="S29" i="246" s="1"/>
  <c r="S37" i="246" a="1"/>
  <c r="S37" i="246" s="1"/>
  <c r="S41" i="246" a="1"/>
  <c r="S41" i="246" s="1"/>
  <c r="S49" i="246" a="1"/>
  <c r="S49" i="246" s="1"/>
  <c r="S53" i="246" a="1"/>
  <c r="S53" i="246" s="1"/>
  <c r="S57" i="246" a="1"/>
  <c r="S57" i="246" s="1"/>
  <c r="S61" i="246" a="1"/>
  <c r="S61" i="246" s="1"/>
  <c r="S65" i="246" a="1"/>
  <c r="S65" i="246" s="1"/>
  <c r="S69" i="246" a="1"/>
  <c r="S69" i="246" s="1"/>
  <c r="S73" i="246" a="1"/>
  <c r="S73" i="246" s="1"/>
  <c r="S77" i="246" a="1"/>
  <c r="S77" i="246" s="1"/>
  <c r="S81" i="246" a="1"/>
  <c r="S81" i="246" s="1"/>
  <c r="S85" i="246" a="1"/>
  <c r="S85" i="246" s="1"/>
  <c r="S89" i="246" a="1"/>
  <c r="S89" i="246" s="1"/>
  <c r="S93" i="246" a="1"/>
  <c r="S93" i="246" s="1"/>
  <c r="S97" i="246" a="1"/>
  <c r="S97" i="246" s="1"/>
  <c r="S101" i="246" a="1"/>
  <c r="S101" i="246" s="1"/>
  <c r="S26" i="246" a="1"/>
  <c r="S26" i="246" s="1"/>
  <c r="S22" i="246" a="1"/>
  <c r="S22" i="246" s="1"/>
  <c r="S30" i="246" a="1"/>
  <c r="S30" i="246" s="1"/>
  <c r="S34" i="246" a="1"/>
  <c r="S34" i="246" s="1"/>
  <c r="S38" i="246" a="1"/>
  <c r="S38" i="246" s="1"/>
  <c r="S42" i="246" a="1"/>
  <c r="S42" i="246" s="1"/>
  <c r="S46" i="246" a="1"/>
  <c r="S46" i="246" s="1"/>
  <c r="S50" i="246" a="1"/>
  <c r="S50" i="246" s="1"/>
  <c r="S54" i="246" a="1"/>
  <c r="S54" i="246" s="1"/>
  <c r="S58" i="246" a="1"/>
  <c r="S58" i="246" s="1"/>
  <c r="S62" i="246" a="1"/>
  <c r="S62" i="246" s="1"/>
  <c r="S66" i="246" a="1"/>
  <c r="S66" i="246" s="1"/>
  <c r="S70" i="246" a="1"/>
  <c r="S70" i="246" s="1"/>
  <c r="S74" i="246" a="1"/>
  <c r="S74" i="246" s="1"/>
  <c r="S78" i="246" a="1"/>
  <c r="S78" i="246" s="1"/>
  <c r="S82" i="246" a="1"/>
  <c r="S82" i="246" s="1"/>
  <c r="S86" i="246" a="1"/>
  <c r="S86" i="246" s="1"/>
  <c r="S90" i="246" a="1"/>
  <c r="S90" i="246" s="1"/>
  <c r="S94" i="246" a="1"/>
  <c r="S94" i="246" s="1"/>
  <c r="S98" i="246" a="1"/>
  <c r="S98" i="246" s="1"/>
  <c r="S27" i="246" a="1"/>
  <c r="S27" i="246" s="1"/>
  <c r="I15" i="246"/>
  <c r="S15" i="246" s="1" a="1"/>
  <c r="S15" i="246" s="1"/>
  <c r="S39" i="246" a="1"/>
  <c r="S39" i="246" s="1"/>
  <c r="S51" i="246" a="1"/>
  <c r="S51" i="246" s="1"/>
  <c r="S63" i="246" a="1"/>
  <c r="S63" i="246" s="1"/>
  <c r="S75" i="246" a="1"/>
  <c r="S75" i="246" s="1"/>
  <c r="I17" i="246"/>
  <c r="S87" i="246" s="1" a="1"/>
  <c r="S87" i="246" s="1"/>
  <c r="C37" i="171"/>
  <c r="C45" i="171"/>
  <c r="C53" i="171"/>
  <c r="C44" i="171"/>
  <c r="C51" i="171"/>
  <c r="C43" i="171"/>
  <c r="L52" i="169"/>
  <c r="C107" i="171" s="1"/>
  <c r="L42" i="169"/>
  <c r="C97" i="171" s="1"/>
  <c r="C41" i="171"/>
  <c r="C54" i="171"/>
  <c r="L55" i="169"/>
  <c r="C110" i="171" s="1"/>
  <c r="S94" i="180" a="1"/>
  <c r="S94" i="180" s="1"/>
  <c r="B98" i="181" s="1"/>
  <c r="L17" i="169"/>
  <c r="C72" i="171" s="1"/>
  <c r="L16" i="169"/>
  <c r="C71" i="171" s="1"/>
  <c r="I16" i="182"/>
  <c r="I18" i="182"/>
  <c r="B362" i="181"/>
  <c r="S21" i="183" a="1"/>
  <c r="S21" i="183" s="1"/>
  <c r="I25" i="184"/>
  <c r="I33" i="184"/>
  <c r="I29" i="184"/>
  <c r="I17" i="180"/>
  <c r="I19" i="184"/>
  <c r="I20" i="180"/>
  <c r="I17" i="184"/>
  <c r="I19" i="180"/>
  <c r="I16" i="180"/>
  <c r="S45" i="182" a="1"/>
  <c r="S45" i="182" s="1"/>
  <c r="I17" i="182"/>
  <c r="S27" i="182" a="1"/>
  <c r="S27" i="182" s="1"/>
  <c r="I15" i="184"/>
  <c r="S15" i="184" s="1" a="1"/>
  <c r="S15" i="184" s="1"/>
  <c r="B210" i="181" s="1"/>
  <c r="I32" i="184"/>
  <c r="I28" i="184"/>
  <c r="I24" i="184"/>
  <c r="I20" i="184"/>
  <c r="I16" i="184"/>
  <c r="S16" i="183" a="1"/>
  <c r="S16" i="183" s="1"/>
  <c r="S33" i="182" a="1"/>
  <c r="S33" i="182" s="1"/>
  <c r="S21" i="182" a="1"/>
  <c r="S21" i="182" s="1"/>
  <c r="I21" i="180"/>
  <c r="I18" i="180"/>
  <c r="I34" i="184"/>
  <c r="I30" i="184"/>
  <c r="I26" i="184"/>
  <c r="I22" i="184"/>
  <c r="I18" i="184"/>
  <c r="S46" i="182" a="1"/>
  <c r="S46" i="182" s="1"/>
  <c r="I35" i="184"/>
  <c r="I31" i="184"/>
  <c r="I27" i="184"/>
  <c r="I23" i="184"/>
  <c r="S40" i="182" a="1"/>
  <c r="S40" i="182" s="1"/>
  <c r="S34" i="182" a="1"/>
  <c r="S34" i="182" s="1"/>
  <c r="S22" i="182" a="1"/>
  <c r="S22" i="182" s="1"/>
  <c r="S28" i="182" a="1"/>
  <c r="S28" i="182" s="1"/>
  <c r="S16" i="182" a="1"/>
  <c r="S16" i="182" s="1"/>
  <c r="S126" i="245" a="1"/>
  <c r="S126" i="245" s="1"/>
  <c r="S102" i="245" a="1"/>
  <c r="S102" i="245" s="1"/>
  <c r="S86" i="245" a="1"/>
  <c r="S86" i="245" s="1"/>
  <c r="S74" i="245" a="1"/>
  <c r="S74" i="245" s="1"/>
  <c r="S130" i="245" a="1"/>
  <c r="S130" i="245" s="1"/>
  <c r="S110" i="245" a="1"/>
  <c r="S110" i="245" s="1"/>
  <c r="S94" i="245" a="1"/>
  <c r="S94" i="245" s="1"/>
  <c r="S122" i="245" a="1"/>
  <c r="S122" i="245" s="1"/>
  <c r="S106" i="245" a="1"/>
  <c r="S106" i="245" s="1"/>
  <c r="S78" i="245" a="1"/>
  <c r="S78" i="245" s="1"/>
  <c r="S114" i="245" a="1"/>
  <c r="S114" i="245" s="1"/>
  <c r="S90" i="245" a="1"/>
  <c r="S90" i="245" s="1"/>
  <c r="S69" i="245" a="1"/>
  <c r="S69" i="245" s="1"/>
  <c r="S65" i="245" a="1"/>
  <c r="S65" i="245" s="1"/>
  <c r="S61" i="245" a="1"/>
  <c r="S61" i="245" s="1"/>
  <c r="S57" i="245" a="1"/>
  <c r="S57" i="245" s="1"/>
  <c r="S53" i="245" a="1"/>
  <c r="S53" i="245" s="1"/>
  <c r="S49" i="245" a="1"/>
  <c r="S49" i="245" s="1"/>
  <c r="S45" i="245" a="1"/>
  <c r="S45" i="245" s="1"/>
  <c r="S41" i="245" a="1"/>
  <c r="S41" i="245" s="1"/>
  <c r="S37" i="245" a="1"/>
  <c r="S37" i="245" s="1"/>
  <c r="S33" i="245" a="1"/>
  <c r="S33" i="245" s="1"/>
  <c r="S29" i="245" a="1"/>
  <c r="S29" i="245" s="1"/>
  <c r="S25" i="245" a="1"/>
  <c r="S25" i="245" s="1"/>
  <c r="S21" i="245" a="1"/>
  <c r="S21" i="245" s="1"/>
  <c r="S17" i="245" a="1"/>
  <c r="S17" i="245" s="1"/>
  <c r="S118" i="245" a="1"/>
  <c r="S118" i="245" s="1"/>
  <c r="S98" i="245" a="1"/>
  <c r="S98" i="245" s="1"/>
  <c r="S82" i="245" a="1"/>
  <c r="S82" i="245" s="1"/>
  <c r="S124" i="231" a="1"/>
  <c r="S124" i="231" s="1"/>
  <c r="S121" i="231" a="1"/>
  <c r="S121" i="231" s="1"/>
  <c r="S108" i="231" a="1"/>
  <c r="S108" i="231" s="1"/>
  <c r="S105" i="231" a="1"/>
  <c r="S105" i="231" s="1"/>
  <c r="S92" i="231" a="1"/>
  <c r="S92" i="231" s="1"/>
  <c r="S89" i="231" a="1"/>
  <c r="S89" i="231" s="1"/>
  <c r="S76" i="231" a="1"/>
  <c r="S76" i="231" s="1"/>
  <c r="S73" i="231" a="1"/>
  <c r="S73" i="231" s="1"/>
  <c r="S57" i="231" a="1"/>
  <c r="S57" i="231" s="1"/>
  <c r="S41" i="231" a="1"/>
  <c r="S41" i="231" s="1"/>
  <c r="S25" i="231" a="1"/>
  <c r="S25" i="231" s="1"/>
  <c r="S136" i="231" a="1"/>
  <c r="S136" i="231" s="1"/>
  <c r="S133" i="231" a="1"/>
  <c r="S133" i="231" s="1"/>
  <c r="S120" i="231" a="1"/>
  <c r="S120" i="231" s="1"/>
  <c r="S117" i="231" a="1"/>
  <c r="S117" i="231" s="1"/>
  <c r="S104" i="231" a="1"/>
  <c r="S104" i="231" s="1"/>
  <c r="S101" i="231" a="1"/>
  <c r="S101" i="231" s="1"/>
  <c r="S88" i="231" a="1"/>
  <c r="S88" i="231" s="1"/>
  <c r="S85" i="231" a="1"/>
  <c r="S85" i="231" s="1"/>
  <c r="S72" i="231" a="1"/>
  <c r="S72" i="231" s="1"/>
  <c r="S69" i="231" a="1"/>
  <c r="S69" i="231" s="1"/>
  <c r="S53" i="231" a="1"/>
  <c r="S53" i="231" s="1"/>
  <c r="S37" i="231" a="1"/>
  <c r="S37" i="231" s="1"/>
  <c r="S21" i="231" a="1"/>
  <c r="S21" i="231" s="1"/>
  <c r="S132" i="231" a="1"/>
  <c r="S132" i="231" s="1"/>
  <c r="S129" i="231" a="1"/>
  <c r="S129" i="231" s="1"/>
  <c r="S116" i="231" a="1"/>
  <c r="S116" i="231" s="1"/>
  <c r="S113" i="231" a="1"/>
  <c r="S113" i="231" s="1"/>
  <c r="S100" i="231" a="1"/>
  <c r="S100" i="231" s="1"/>
  <c r="S97" i="231" a="1"/>
  <c r="S97" i="231" s="1"/>
  <c r="S84" i="231" a="1"/>
  <c r="S84" i="231" s="1"/>
  <c r="S81" i="231" a="1"/>
  <c r="S81" i="231" s="1"/>
  <c r="S65" i="231" a="1"/>
  <c r="S65" i="231" s="1"/>
  <c r="S49" i="231" a="1"/>
  <c r="S49" i="231" s="1"/>
  <c r="S33" i="231" a="1"/>
  <c r="S33" i="231" s="1"/>
  <c r="S135" i="231" a="1"/>
  <c r="S135" i="231" s="1"/>
  <c r="S122" i="231" a="1"/>
  <c r="S122" i="231" s="1"/>
  <c r="S119" i="231" a="1"/>
  <c r="S119" i="231" s="1"/>
  <c r="S106" i="231" a="1"/>
  <c r="S106" i="231" s="1"/>
  <c r="S103" i="231" a="1"/>
  <c r="S103" i="231" s="1"/>
  <c r="S90" i="231" a="1"/>
  <c r="S90" i="231" s="1"/>
  <c r="S87" i="231" a="1"/>
  <c r="S87" i="231" s="1"/>
  <c r="S74" i="231" a="1"/>
  <c r="S74" i="231" s="1"/>
  <c r="S71" i="231" a="1"/>
  <c r="S71" i="231" s="1"/>
  <c r="S55" i="231" a="1"/>
  <c r="S55" i="231" s="1"/>
  <c r="S39" i="231" a="1"/>
  <c r="S39" i="231" s="1"/>
  <c r="S23" i="231" a="1"/>
  <c r="S23" i="231" s="1"/>
  <c r="L12" i="229"/>
  <c r="C38" i="230" s="1"/>
  <c r="S82" i="178" a="1"/>
  <c r="S82" i="178" s="1"/>
  <c r="B84" i="179" s="1"/>
  <c r="S124" i="178" a="1"/>
  <c r="S124" i="178" s="1"/>
  <c r="B126" i="179" s="1"/>
  <c r="S64" i="178" a="1"/>
  <c r="S64" i="178" s="1"/>
  <c r="B66" i="179" s="1"/>
  <c r="S88" i="178" a="1"/>
  <c r="S88" i="178" s="1"/>
  <c r="B90" i="179" s="1"/>
  <c r="S76" i="178" a="1"/>
  <c r="S76" i="178" s="1"/>
  <c r="B78" i="179" s="1"/>
  <c r="S130" i="178" a="1"/>
  <c r="S130" i="178" s="1"/>
  <c r="B132" i="179" s="1"/>
  <c r="S70" i="178" a="1"/>
  <c r="S70" i="178" s="1"/>
  <c r="B72" i="179" s="1"/>
  <c r="S100" i="178" a="1"/>
  <c r="S100" i="178" s="1"/>
  <c r="B102" i="179" s="1"/>
  <c r="S61" i="178" a="1"/>
  <c r="S61" i="178" s="1"/>
  <c r="B63" i="179" s="1"/>
  <c r="S73" i="178" a="1"/>
  <c r="S73" i="178" s="1"/>
  <c r="B75" i="179" s="1"/>
  <c r="S85" i="178" a="1"/>
  <c r="S85" i="178" s="1"/>
  <c r="B87" i="179" s="1"/>
  <c r="S67" i="178" a="1"/>
  <c r="S67" i="178" s="1"/>
  <c r="B69" i="179" s="1"/>
  <c r="S97" i="178" a="1"/>
  <c r="S97" i="178" s="1"/>
  <c r="B99" i="179" s="1"/>
  <c r="S103" i="178" a="1"/>
  <c r="S103" i="178" s="1"/>
  <c r="B105" i="179" s="1"/>
  <c r="S109" i="178" a="1"/>
  <c r="S109" i="178" s="1"/>
  <c r="B111" i="179" s="1"/>
  <c r="S91" i="178" a="1"/>
  <c r="S91" i="178" s="1"/>
  <c r="B93" i="179" s="1"/>
  <c r="S79" i="178" a="1"/>
  <c r="S79" i="178" s="1"/>
  <c r="B81" i="179" s="1"/>
  <c r="S115" i="178" a="1"/>
  <c r="S115" i="178" s="1"/>
  <c r="B117" i="179" s="1"/>
  <c r="S121" i="178" a="1"/>
  <c r="S121" i="178" s="1"/>
  <c r="B123" i="179" s="1"/>
  <c r="S55" i="178" a="1"/>
  <c r="S55" i="178" s="1"/>
  <c r="B57" i="179"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S159" i="215" a="1"/>
  <c r="S159" i="215" s="1"/>
  <c r="B163" i="216" s="1"/>
  <c r="S147" i="215" a="1"/>
  <c r="S147" i="215" s="1"/>
  <c r="B151" i="216" s="1"/>
  <c r="S135" i="215" a="1"/>
  <c r="S135" i="215" s="1"/>
  <c r="B139" i="216" s="1"/>
  <c r="S123" i="215" a="1"/>
  <c r="S123" i="215" s="1"/>
  <c r="B127" i="216" s="1"/>
  <c r="S111" i="215" a="1"/>
  <c r="S111" i="215" s="1"/>
  <c r="B115" i="216" s="1"/>
  <c r="S99" i="215" a="1"/>
  <c r="S99" i="215" s="1"/>
  <c r="B103" i="216" s="1"/>
  <c r="S87" i="215" a="1"/>
  <c r="S87" i="215" s="1"/>
  <c r="B91" i="216" s="1"/>
  <c r="S75" i="215" a="1"/>
  <c r="S75" i="215" s="1"/>
  <c r="B79" i="216" s="1"/>
  <c r="S63" i="215" a="1"/>
  <c r="S63" i="215" s="1"/>
  <c r="B67" i="216" s="1"/>
  <c r="S51" i="215" a="1"/>
  <c r="S51" i="215" s="1"/>
  <c r="B55" i="216" s="1"/>
  <c r="S39" i="215" a="1"/>
  <c r="S39" i="215" s="1"/>
  <c r="B43" i="216" s="1"/>
  <c r="S27" i="215" a="1"/>
  <c r="S27" i="215" s="1"/>
  <c r="B31" i="216" s="1"/>
  <c r="S153" i="215" a="1"/>
  <c r="S153" i="215" s="1"/>
  <c r="B157" i="216" s="1"/>
  <c r="S141" i="215" a="1"/>
  <c r="S141" i="215" s="1"/>
  <c r="B145" i="216" s="1"/>
  <c r="S129" i="215" a="1"/>
  <c r="S129" i="215" s="1"/>
  <c r="B133" i="216" s="1"/>
  <c r="S117" i="215" a="1"/>
  <c r="S117" i="215" s="1"/>
  <c r="B121" i="216" s="1"/>
  <c r="S105" i="215" a="1"/>
  <c r="S105" i="215" s="1"/>
  <c r="B109" i="216" s="1"/>
  <c r="S93" i="215" a="1"/>
  <c r="S93" i="215" s="1"/>
  <c r="B97" i="216" s="1"/>
  <c r="S81" i="215" a="1"/>
  <c r="S81" i="215" s="1"/>
  <c r="B85" i="216" s="1"/>
  <c r="S69" i="215" a="1"/>
  <c r="S69" i="215" s="1"/>
  <c r="B73" i="216" s="1"/>
  <c r="S57" i="215" a="1"/>
  <c r="S57" i="215" s="1"/>
  <c r="B61" i="216" s="1"/>
  <c r="S45" i="215" a="1"/>
  <c r="S45" i="215" s="1"/>
  <c r="B49" i="216" s="1"/>
  <c r="S33" i="215" a="1"/>
  <c r="S33" i="215" s="1"/>
  <c r="B37" i="216" s="1"/>
  <c r="S21" i="215" a="1"/>
  <c r="S21" i="215" s="1"/>
  <c r="B25" i="216" s="1"/>
  <c r="I32" i="213"/>
  <c r="I23" i="213"/>
  <c r="I31" i="213"/>
  <c r="I22" i="213"/>
  <c r="S57" i="213" s="1" a="1"/>
  <c r="S57" i="213" s="1"/>
  <c r="B61" i="214" s="1"/>
  <c r="I30" i="213"/>
  <c r="S105" i="213" s="1" a="1"/>
  <c r="S105" i="213" s="1"/>
  <c r="B109" i="214" s="1"/>
  <c r="I37" i="213"/>
  <c r="S147" i="213" s="1" a="1"/>
  <c r="S147" i="213" s="1"/>
  <c r="B151" i="214" s="1"/>
  <c r="I15" i="213"/>
  <c r="I21" i="213"/>
  <c r="S51" i="213" s="1" a="1"/>
  <c r="S51" i="213" s="1"/>
  <c r="B55" i="214" s="1"/>
  <c r="I29" i="213"/>
  <c r="I36" i="213"/>
  <c r="I38" i="213"/>
  <c r="I20" i="213"/>
  <c r="I28" i="213"/>
  <c r="I35" i="213"/>
  <c r="I27" i="213"/>
  <c r="S87" i="213" s="1" a="1"/>
  <c r="S87" i="213" s="1"/>
  <c r="B91" i="214" s="1"/>
  <c r="I19" i="213"/>
  <c r="S39" i="213" s="1" a="1"/>
  <c r="S39" i="213" s="1"/>
  <c r="B43" i="214" s="1"/>
  <c r="I26" i="213"/>
  <c r="I18" i="213"/>
  <c r="I25" i="213"/>
  <c r="I17" i="213"/>
  <c r="I33" i="213"/>
  <c r="I24" i="213"/>
  <c r="I16" i="213"/>
  <c r="S21" i="213" s="1" a="1"/>
  <c r="S21" i="213" s="1"/>
  <c r="B25" i="214" s="1"/>
  <c r="E6" i="204"/>
  <c r="B16" i="208" s="1"/>
  <c r="E3" i="227"/>
  <c r="S30" i="243" a="1"/>
  <c r="S30" i="243" s="1"/>
  <c r="B34" i="244" s="1"/>
  <c r="S50" i="243" a="1"/>
  <c r="S50" i="243" s="1"/>
  <c r="B54" i="244" s="1"/>
  <c r="S98" i="243" a="1"/>
  <c r="S98" i="243" s="1"/>
  <c r="B102" i="244" s="1"/>
  <c r="S34" i="243" a="1"/>
  <c r="S34" i="243" s="1"/>
  <c r="B38" i="244" s="1"/>
  <c r="S102" i="243" a="1"/>
  <c r="S102" i="243" s="1"/>
  <c r="B106" i="244" s="1"/>
  <c r="I38" i="243"/>
  <c r="S153" i="243" s="1" a="1"/>
  <c r="S153" i="243" s="1"/>
  <c r="B157" i="244" s="1"/>
  <c r="I34" i="243"/>
  <c r="S129" i="243" s="1" a="1"/>
  <c r="S129" i="243" s="1"/>
  <c r="B133" i="244" s="1"/>
  <c r="I30" i="243"/>
  <c r="S105" i="243" s="1" a="1"/>
  <c r="S105" i="243" s="1"/>
  <c r="B109" i="244" s="1"/>
  <c r="I26" i="243"/>
  <c r="S81" i="243" s="1" a="1"/>
  <c r="S81" i="243" s="1"/>
  <c r="B85" i="244" s="1"/>
  <c r="I22" i="243"/>
  <c r="S57" i="243" s="1" a="1"/>
  <c r="S57" i="243" s="1"/>
  <c r="B61" i="244" s="1"/>
  <c r="I18" i="243"/>
  <c r="S33" i="243" s="1" a="1"/>
  <c r="S33" i="243" s="1"/>
  <c r="B37" i="244" s="1"/>
  <c r="I19" i="243"/>
  <c r="S39" i="243" s="1" a="1"/>
  <c r="S39" i="243" s="1"/>
  <c r="B43" i="244" s="1"/>
  <c r="I35" i="243"/>
  <c r="S135" i="243" s="1" a="1"/>
  <c r="S135" i="243" s="1"/>
  <c r="B139" i="244" s="1"/>
  <c r="I23" i="243"/>
  <c r="S63" i="243" s="1" a="1"/>
  <c r="S63" i="243" s="1"/>
  <c r="B67" i="244" s="1"/>
  <c r="I41" i="243"/>
  <c r="S171" i="243" s="1" a="1"/>
  <c r="S171" i="243" s="1"/>
  <c r="B175" i="244" s="1"/>
  <c r="I37" i="243"/>
  <c r="S147" i="243" s="1" a="1"/>
  <c r="S147" i="243" s="1"/>
  <c r="B151" i="244" s="1"/>
  <c r="I33" i="243"/>
  <c r="S123" i="243" s="1" a="1"/>
  <c r="S123" i="243" s="1"/>
  <c r="B127" i="244" s="1"/>
  <c r="I29" i="243"/>
  <c r="S99" i="243" s="1" a="1"/>
  <c r="S99" i="243" s="1"/>
  <c r="B103" i="244" s="1"/>
  <c r="I25" i="243"/>
  <c r="S75" i="243" s="1" a="1"/>
  <c r="S75" i="243" s="1"/>
  <c r="B79" i="244" s="1"/>
  <c r="I21" i="243"/>
  <c r="S51" i="243" s="1" a="1"/>
  <c r="S51" i="243" s="1"/>
  <c r="B55" i="244" s="1"/>
  <c r="I17" i="243"/>
  <c r="S27" i="243" s="1" a="1"/>
  <c r="S27" i="243" s="1"/>
  <c r="B31" i="244" s="1"/>
  <c r="E3" i="243"/>
  <c r="I31" i="243"/>
  <c r="S111" i="243" s="1" a="1"/>
  <c r="S111" i="243" s="1"/>
  <c r="B115" i="244" s="1"/>
  <c r="I27" i="243"/>
  <c r="S87" i="243" s="1" a="1"/>
  <c r="S87" i="243" s="1"/>
  <c r="B91" i="244" s="1"/>
  <c r="I39" i="243"/>
  <c r="S159" i="243" s="1" a="1"/>
  <c r="S159" i="243" s="1"/>
  <c r="B163" i="244" s="1"/>
  <c r="I15" i="243"/>
  <c r="S15" i="243" s="1" a="1"/>
  <c r="S15" i="243" s="1"/>
  <c r="B19" i="244" s="1"/>
  <c r="I40" i="243"/>
  <c r="I36" i="243"/>
  <c r="S141" i="243" s="1" a="1"/>
  <c r="S141" i="243" s="1"/>
  <c r="B145" i="244" s="1"/>
  <c r="I32" i="243"/>
  <c r="S117" i="243" s="1" a="1"/>
  <c r="S117" i="243" s="1"/>
  <c r="B121" i="244" s="1"/>
  <c r="I28" i="243"/>
  <c r="S93" i="243" s="1" a="1"/>
  <c r="S93" i="243" s="1"/>
  <c r="B97" i="244" s="1"/>
  <c r="I24" i="243"/>
  <c r="S69" i="243" s="1" a="1"/>
  <c r="S69" i="243" s="1"/>
  <c r="B73" i="244" s="1"/>
  <c r="I20" i="243"/>
  <c r="S45" i="243" s="1" a="1"/>
  <c r="S45" i="243" s="1"/>
  <c r="B49" i="244" s="1"/>
  <c r="I16" i="243"/>
  <c r="S21" i="243" s="1" a="1"/>
  <c r="S21" i="243" s="1"/>
  <c r="B25" i="244" s="1"/>
  <c r="S131" i="243" a="1"/>
  <c r="S131" i="243" s="1"/>
  <c r="B135" i="244" s="1"/>
  <c r="S122" i="243" a="1"/>
  <c r="S122" i="243" s="1"/>
  <c r="B126" i="244" s="1"/>
  <c r="S116" i="243" a="1"/>
  <c r="S116" i="243" s="1"/>
  <c r="B120" i="244" s="1"/>
  <c r="S119" i="243" a="1"/>
  <c r="S119" i="243" s="1"/>
  <c r="B123" i="244" s="1"/>
  <c r="S132" i="243" a="1"/>
  <c r="S132" i="243" s="1"/>
  <c r="B136" i="244" s="1"/>
  <c r="S148" i="243" a="1"/>
  <c r="S148" i="243" s="1"/>
  <c r="B152" i="244" s="1"/>
  <c r="S151" i="243" a="1"/>
  <c r="S151" i="243" s="1"/>
  <c r="B155" i="244" s="1"/>
  <c r="S164" i="243" a="1"/>
  <c r="S164" i="243" s="1"/>
  <c r="B168" i="244" s="1"/>
  <c r="S167" i="243" a="1"/>
  <c r="S167" i="243" s="1"/>
  <c r="B171" i="244" s="1"/>
  <c r="S183" i="243" a="1"/>
  <c r="S183" i="243" s="1"/>
  <c r="C8" i="242"/>
  <c r="S154" i="243" a="1"/>
  <c r="S154" i="243" s="1"/>
  <c r="B158" i="244" s="1"/>
  <c r="S170" i="243" a="1"/>
  <c r="S170" i="243" s="1"/>
  <c r="B174" i="244" s="1"/>
  <c r="S110" i="243" a="1"/>
  <c r="S110" i="243" s="1"/>
  <c r="B114" i="244" s="1"/>
  <c r="S126" i="243" a="1"/>
  <c r="S126" i="243" s="1"/>
  <c r="B130" i="244" s="1"/>
  <c r="S142" i="243" a="1"/>
  <c r="S142" i="243" s="1"/>
  <c r="B146" i="244" s="1"/>
  <c r="S158" i="243" a="1"/>
  <c r="S158" i="243" s="1"/>
  <c r="B162" i="244" s="1"/>
  <c r="S174" i="243" a="1"/>
  <c r="S174" i="243" s="1"/>
  <c r="B178" i="244" s="1"/>
  <c r="S150" i="243" a="1"/>
  <c r="S150" i="243" s="1"/>
  <c r="B154" i="244" s="1"/>
  <c r="S120" i="243" a="1"/>
  <c r="S120" i="243" s="1"/>
  <c r="B124" i="244" s="1"/>
  <c r="S136" i="243" a="1"/>
  <c r="S136" i="243" s="1"/>
  <c r="B140" i="244" s="1"/>
  <c r="S139" i="243" a="1"/>
  <c r="S139" i="243" s="1"/>
  <c r="B143" i="244" s="1"/>
  <c r="S152" i="243" a="1"/>
  <c r="S152" i="243" s="1"/>
  <c r="B156" i="244" s="1"/>
  <c r="S155" i="243" a="1"/>
  <c r="S155" i="243" s="1"/>
  <c r="B159" i="244" s="1"/>
  <c r="S168" i="243" a="1"/>
  <c r="S168" i="243" s="1"/>
  <c r="B172" i="244" s="1"/>
  <c r="S114" i="243" a="1"/>
  <c r="S114" i="243" s="1"/>
  <c r="B118" i="244" s="1"/>
  <c r="S130" i="243" a="1"/>
  <c r="S130" i="243" s="1"/>
  <c r="B134" i="244" s="1"/>
  <c r="S133" i="243" a="1"/>
  <c r="S133" i="243" s="1"/>
  <c r="B137" i="244" s="1"/>
  <c r="S146" i="243" a="1"/>
  <c r="S146" i="243" s="1"/>
  <c r="B150" i="244" s="1"/>
  <c r="S149" i="243" a="1"/>
  <c r="S149" i="243" s="1"/>
  <c r="B153" i="244" s="1"/>
  <c r="S162" i="243" a="1"/>
  <c r="S162" i="243" s="1"/>
  <c r="B166" i="244" s="1"/>
  <c r="S165" i="243" a="1"/>
  <c r="S165" i="243" s="1"/>
  <c r="B169" i="244" s="1"/>
  <c r="S181" i="243" a="1"/>
  <c r="S181" i="243" s="1"/>
  <c r="S124" i="243" a="1"/>
  <c r="S124" i="243" s="1"/>
  <c r="B128" i="244" s="1"/>
  <c r="S127" i="243" a="1"/>
  <c r="S127" i="243" s="1"/>
  <c r="B131" i="244" s="1"/>
  <c r="S140" i="243" a="1"/>
  <c r="S140" i="243" s="1"/>
  <c r="B144" i="244" s="1"/>
  <c r="S143" i="243" a="1"/>
  <c r="S143" i="243" s="1"/>
  <c r="B147" i="244" s="1"/>
  <c r="S156" i="243" a="1"/>
  <c r="S156" i="243" s="1"/>
  <c r="B160" i="244" s="1"/>
  <c r="S172" i="243" a="1"/>
  <c r="S172" i="243" s="1"/>
  <c r="B176" i="244" s="1"/>
  <c r="S175" i="243" a="1"/>
  <c r="S175" i="243" s="1"/>
  <c r="B179" i="244" s="1"/>
  <c r="I41" i="239"/>
  <c r="S171" i="239" s="1" a="1"/>
  <c r="S171" i="239" s="1"/>
  <c r="B175" i="240" s="1"/>
  <c r="I25" i="239"/>
  <c r="S75" i="239" s="1" a="1"/>
  <c r="S75" i="239" s="1"/>
  <c r="B79" i="240" s="1"/>
  <c r="I37" i="239"/>
  <c r="S147" i="239" s="1" a="1"/>
  <c r="S147" i="239" s="1"/>
  <c r="B151" i="240" s="1"/>
  <c r="I21" i="239"/>
  <c r="S51" i="239" s="1" a="1"/>
  <c r="S51" i="239" s="1"/>
  <c r="B55" i="240" s="1"/>
  <c r="S99" i="239" a="1"/>
  <c r="S99" i="239" s="1"/>
  <c r="B103" i="240" s="1"/>
  <c r="I16" i="239"/>
  <c r="S21" i="239" s="1" a="1"/>
  <c r="S21" i="239" s="1"/>
  <c r="B25" i="240" s="1"/>
  <c r="I17" i="239"/>
  <c r="S27" i="239" s="1" a="1"/>
  <c r="S27" i="239" s="1"/>
  <c r="B31" i="240" s="1"/>
  <c r="I33" i="239"/>
  <c r="S123" i="239" s="1" a="1"/>
  <c r="S123" i="239" s="1"/>
  <c r="B127" i="240" s="1"/>
  <c r="S165" i="239" a="1"/>
  <c r="S165" i="239" s="1"/>
  <c r="B169" i="240" s="1"/>
  <c r="I18" i="239"/>
  <c r="S33" i="239" s="1" a="1"/>
  <c r="S33" i="239" s="1"/>
  <c r="B37" i="240" s="1"/>
  <c r="I22" i="239"/>
  <c r="S57" i="239" s="1" a="1"/>
  <c r="S57" i="239" s="1"/>
  <c r="B61" i="240" s="1"/>
  <c r="I26" i="239"/>
  <c r="S81" i="239" s="1" a="1"/>
  <c r="S81" i="239" s="1"/>
  <c r="B85" i="240" s="1"/>
  <c r="I30" i="239"/>
  <c r="S105" i="239" s="1" a="1"/>
  <c r="S105" i="239" s="1"/>
  <c r="B109" i="240" s="1"/>
  <c r="I34" i="239"/>
  <c r="S129" i="239" s="1" a="1"/>
  <c r="S129" i="239" s="1"/>
  <c r="B133" i="240" s="1"/>
  <c r="I38" i="239"/>
  <c r="S153" i="239" s="1" a="1"/>
  <c r="S153" i="239" s="1"/>
  <c r="B157" i="240" s="1"/>
  <c r="S168" i="239" a="1"/>
  <c r="S168" i="239" s="1"/>
  <c r="B172" i="240" s="1"/>
  <c r="S150" i="239" a="1"/>
  <c r="S150" i="239" s="1"/>
  <c r="B154" i="240" s="1"/>
  <c r="S158" i="239" a="1"/>
  <c r="S158" i="239" s="1"/>
  <c r="B162" i="240" s="1"/>
  <c r="S166" i="239" a="1"/>
  <c r="S166" i="239" s="1"/>
  <c r="B170" i="240" s="1"/>
  <c r="S174" i="239" a="1"/>
  <c r="S174" i="239" s="1"/>
  <c r="B178" i="240" s="1"/>
  <c r="I15" i="239"/>
  <c r="S15" i="239" s="1" a="1"/>
  <c r="S15" i="239" s="1"/>
  <c r="B19" i="240" s="1"/>
  <c r="I19" i="239"/>
  <c r="S39" i="239" s="1" a="1"/>
  <c r="S39" i="239" s="1"/>
  <c r="B43" i="240" s="1"/>
  <c r="I23" i="239"/>
  <c r="S63" i="239" s="1" a="1"/>
  <c r="S63" i="239" s="1"/>
  <c r="B67" i="240" s="1"/>
  <c r="I27" i="239"/>
  <c r="S87" i="239" s="1" a="1"/>
  <c r="S87" i="239" s="1"/>
  <c r="B91" i="240" s="1"/>
  <c r="I31" i="239"/>
  <c r="S111" i="239" s="1" a="1"/>
  <c r="S111" i="239" s="1"/>
  <c r="B115" i="240" s="1"/>
  <c r="I35" i="239"/>
  <c r="S135" i="239" s="1" a="1"/>
  <c r="S135" i="239" s="1"/>
  <c r="B139" i="240" s="1"/>
  <c r="I39" i="239"/>
  <c r="S159" i="239" s="1" a="1"/>
  <c r="S159" i="239" s="1"/>
  <c r="B163" i="240" s="1"/>
  <c r="L8" i="237"/>
  <c r="C34" i="238" s="1"/>
  <c r="S156" i="239" a="1"/>
  <c r="S156" i="239" s="1"/>
  <c r="B160" i="240" s="1"/>
  <c r="S164" i="239" a="1"/>
  <c r="S164" i="239" s="1"/>
  <c r="B168" i="240" s="1"/>
  <c r="S172" i="239" a="1"/>
  <c r="S172" i="239" s="1"/>
  <c r="B176" i="240" s="1"/>
  <c r="I20" i="239"/>
  <c r="S45" i="239" s="1" a="1"/>
  <c r="S45" i="239" s="1"/>
  <c r="B49" i="240" s="1"/>
  <c r="I24" i="239"/>
  <c r="S69" i="239" s="1" a="1"/>
  <c r="S69" i="239" s="1"/>
  <c r="B73" i="240" s="1"/>
  <c r="I28" i="239"/>
  <c r="S93" i="239" s="1" a="1"/>
  <c r="S93" i="239" s="1"/>
  <c r="B97" i="240" s="1"/>
  <c r="I32" i="239"/>
  <c r="S117" i="239" s="1" a="1"/>
  <c r="S117" i="239" s="1"/>
  <c r="B121" i="240" s="1"/>
  <c r="I36" i="239"/>
  <c r="S141" i="239" s="1" a="1"/>
  <c r="S141" i="239" s="1"/>
  <c r="B145" i="240" s="1"/>
  <c r="E6" i="239"/>
  <c r="B16" i="240" s="1"/>
  <c r="S154" i="239" a="1"/>
  <c r="S154" i="239" s="1"/>
  <c r="B158" i="240" s="1"/>
  <c r="S162" i="239" a="1"/>
  <c r="S162" i="239" s="1"/>
  <c r="B166" i="240" s="1"/>
  <c r="S170" i="239" a="1"/>
  <c r="S170" i="239" s="1"/>
  <c r="B174"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L8" i="233"/>
  <c r="C34"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L18" i="229"/>
  <c r="E3" i="231"/>
  <c r="C18" i="230"/>
  <c r="L19" i="229"/>
  <c r="C22" i="230"/>
  <c r="L23" i="229"/>
  <c r="C23" i="230"/>
  <c r="L8" i="229"/>
  <c r="C34" i="230" s="1"/>
  <c r="C24" i="230"/>
  <c r="L33" i="225"/>
  <c r="L25" i="225"/>
  <c r="L39" i="225"/>
  <c r="L21" i="225"/>
  <c r="C13" i="226"/>
  <c r="C15" i="226"/>
  <c r="L29" i="225"/>
  <c r="C22" i="226"/>
  <c r="C23" i="226"/>
  <c r="L37" i="225"/>
  <c r="L8" i="225"/>
  <c r="C34" i="226" s="1"/>
  <c r="C14" i="226"/>
  <c r="C38" i="226"/>
  <c r="C17" i="226"/>
  <c r="L26" i="225"/>
  <c r="C21" i="226"/>
  <c r="B14" i="228"/>
  <c r="E6" i="227"/>
  <c r="B16" i="228" s="1"/>
  <c r="L34" i="225"/>
  <c r="L28" i="225"/>
  <c r="L36" i="225"/>
  <c r="I15" i="227"/>
  <c r="S15" i="227" s="1" a="1"/>
  <c r="S15" i="227" s="1"/>
  <c r="B19" i="228" s="1"/>
  <c r="S29" i="215" a="1"/>
  <c r="S29" i="215" s="1"/>
  <c r="B33" i="216" s="1"/>
  <c r="S47" i="215" a="1"/>
  <c r="S47" i="215" s="1"/>
  <c r="B51" i="216" s="1"/>
  <c r="S49" i="215" a="1"/>
  <c r="S49" i="215" s="1"/>
  <c r="B53" i="216" s="1"/>
  <c r="S48" i="215" a="1"/>
  <c r="S48" i="215" s="1"/>
  <c r="B52" i="216" s="1"/>
  <c r="S17" i="215" a="1"/>
  <c r="S17" i="215" s="1"/>
  <c r="B21" i="216" s="1"/>
  <c r="S19" i="215" a="1"/>
  <c r="S19" i="215" s="1"/>
  <c r="B23" i="216" s="1"/>
  <c r="S18" i="215" a="1"/>
  <c r="S18" i="215" s="1"/>
  <c r="B22" i="216" s="1"/>
  <c r="S65" i="215" a="1"/>
  <c r="S65" i="215" s="1"/>
  <c r="B69" i="216" s="1"/>
  <c r="I15" i="217"/>
  <c r="S15" i="217" s="1" a="1"/>
  <c r="S15" i="217" s="1"/>
  <c r="B19" i="218" s="1"/>
  <c r="B14" i="218"/>
  <c r="L29" i="209"/>
  <c r="C62" i="210" s="1"/>
  <c r="S141" i="213" a="1"/>
  <c r="S141" i="213" s="1"/>
  <c r="B145" i="214" s="1"/>
  <c r="C30" i="210"/>
  <c r="L24" i="209"/>
  <c r="C57" i="210" s="1"/>
  <c r="L27" i="209"/>
  <c r="C60" i="210" s="1"/>
  <c r="L26" i="209"/>
  <c r="C59" i="210" s="1"/>
  <c r="S129" i="213" a="1"/>
  <c r="S129" i="213" s="1"/>
  <c r="B133" i="214" s="1"/>
  <c r="C23" i="210"/>
  <c r="S144" i="178" a="1"/>
  <c r="S144" i="178" s="1"/>
  <c r="B146" i="179" s="1"/>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L14" i="209"/>
  <c r="C47" i="210" s="1"/>
  <c r="S54" i="178" a="1"/>
  <c r="S54" i="178" s="1"/>
  <c r="B56" i="179" s="1"/>
  <c r="E6" i="215"/>
  <c r="B16" i="216" s="1"/>
  <c r="S15" i="215" a="1"/>
  <c r="S15" i="215" s="1"/>
  <c r="B19" i="216" s="1"/>
  <c r="S153" i="213" a="1"/>
  <c r="S153" i="213" s="1"/>
  <c r="B157" i="214" s="1"/>
  <c r="S136" i="213" a="1"/>
  <c r="S136" i="213" s="1"/>
  <c r="B140" i="214" s="1"/>
  <c r="S151" i="213" a="1"/>
  <c r="S151" i="213" s="1"/>
  <c r="B155" i="214" s="1"/>
  <c r="S152" i="213" a="1"/>
  <c r="S152" i="213" s="1"/>
  <c r="B156" i="214" s="1"/>
  <c r="S159" i="213" a="1"/>
  <c r="S159" i="213" s="1"/>
  <c r="B163" i="214" s="1"/>
  <c r="S160" i="213" a="1"/>
  <c r="S160" i="213" s="1"/>
  <c r="B164" i="214" s="1"/>
  <c r="S135" i="213" a="1"/>
  <c r="S135" i="213" s="1"/>
  <c r="B139"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93" i="213" a="1"/>
  <c r="S93" i="213" s="1"/>
  <c r="B97" i="214" s="1"/>
  <c r="S45" i="213" a="1"/>
  <c r="S45" i="213" s="1"/>
  <c r="B49" i="214" s="1"/>
  <c r="S69" i="213" a="1"/>
  <c r="S69" i="213" s="1"/>
  <c r="B73" i="214" s="1"/>
  <c r="S81" i="213" a="1"/>
  <c r="S81" i="213" s="1"/>
  <c r="B85" i="214" s="1"/>
  <c r="S33" i="213" a="1"/>
  <c r="S33" i="213" s="1"/>
  <c r="B37" i="214" s="1"/>
  <c r="S118" i="213" a="1"/>
  <c r="S118" i="213" s="1"/>
  <c r="B122" i="214" s="1"/>
  <c r="S111" i="213" a="1"/>
  <c r="S111" i="213" s="1"/>
  <c r="B115" i="214" s="1"/>
  <c r="S117" i="213" a="1"/>
  <c r="S117" i="213" s="1"/>
  <c r="B121" i="214" s="1"/>
  <c r="S123" i="213" a="1"/>
  <c r="S123" i="213" s="1"/>
  <c r="B127" i="214" s="1"/>
  <c r="S15" i="213" a="1"/>
  <c r="S15" i="213" s="1"/>
  <c r="B19" i="214" s="1"/>
  <c r="S27" i="213" a="1"/>
  <c r="S27" i="213" s="1"/>
  <c r="B31" i="214" s="1"/>
  <c r="S63" i="213" a="1"/>
  <c r="S63" i="213" s="1"/>
  <c r="B67" i="214" s="1"/>
  <c r="S75" i="213" a="1"/>
  <c r="S75" i="213" s="1"/>
  <c r="B79" i="214" s="1"/>
  <c r="S99" i="213" a="1"/>
  <c r="S99" i="213" s="1"/>
  <c r="B103" i="214" s="1"/>
  <c r="C19" i="212"/>
  <c r="C18" i="212"/>
  <c r="C11" i="212"/>
  <c r="C10" i="212"/>
  <c r="L12" i="211"/>
  <c r="C55" i="212" s="1"/>
  <c r="C26" i="212"/>
  <c r="C17" i="212"/>
  <c r="C9" i="212"/>
  <c r="L24" i="211"/>
  <c r="C67" i="212" s="1"/>
  <c r="C34" i="212"/>
  <c r="C25" i="212"/>
  <c r="C16" i="212"/>
  <c r="C33" i="212"/>
  <c r="C23" i="212"/>
  <c r="C14" i="212"/>
  <c r="C31" i="212"/>
  <c r="C21" i="212"/>
  <c r="C13" i="212"/>
  <c r="C27" i="212"/>
  <c r="C30" i="212"/>
  <c r="L22" i="209"/>
  <c r="C55" i="210" s="1"/>
  <c r="L28" i="211"/>
  <c r="C71" i="212" s="1"/>
  <c r="C22" i="212"/>
  <c r="L15" i="211"/>
  <c r="C58" i="212" s="1"/>
  <c r="L15" i="164"/>
  <c r="C43" i="166" s="1"/>
  <c r="C8" i="210"/>
  <c r="L8" i="211"/>
  <c r="C51"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S33" i="203" a="1"/>
  <c r="S33" i="203" s="1"/>
  <c r="S19" i="203" a="1"/>
  <c r="S19" i="203" s="1"/>
  <c r="S38" i="203" a="1"/>
  <c r="S38" i="203" s="1"/>
  <c r="S31" i="203" a="1"/>
  <c r="S31" i="203" s="1"/>
  <c r="I15" i="203"/>
  <c r="S15" i="203" s="1" a="1"/>
  <c r="S15" i="203" s="1"/>
  <c r="S24" i="203" a="1"/>
  <c r="S24" i="203" s="1"/>
  <c r="I17" i="203"/>
  <c r="S27" i="203" s="1" a="1"/>
  <c r="S27" i="203" s="1"/>
  <c r="I16" i="203"/>
  <c r="S21" i="203" s="1" a="1"/>
  <c r="S21" i="203" s="1"/>
  <c r="S25" i="203" a="1"/>
  <c r="S25" i="203" s="1"/>
  <c r="S40" i="203" a="1"/>
  <c r="S40" i="203" s="1"/>
  <c r="S23" i="203" a="1"/>
  <c r="S23" i="203" s="1"/>
  <c r="S30" i="203" a="1"/>
  <c r="S30" i="203" s="1"/>
  <c r="S35" i="203" a="1"/>
  <c r="S35" i="203" s="1"/>
  <c r="S18" i="203" a="1"/>
  <c r="S18" i="203" s="1"/>
  <c r="S36" i="203" a="1"/>
  <c r="S36" i="203" s="1"/>
  <c r="S43" i="203" a="1"/>
  <c r="S43" i="203" s="1"/>
  <c r="S22" i="203" a="1"/>
  <c r="S22" i="203" s="1"/>
  <c r="S16" i="203" a="1"/>
  <c r="S16" i="203" s="1"/>
  <c r="S18" i="202" a="1"/>
  <c r="S18" i="202" s="1"/>
  <c r="S33" i="202" a="1"/>
  <c r="S33" i="202" s="1"/>
  <c r="S39" i="202" a="1"/>
  <c r="S39" i="202" s="1"/>
  <c r="S59" i="202" a="1"/>
  <c r="S59" i="202" s="1"/>
  <c r="S73" i="202" a="1"/>
  <c r="S73" i="202" s="1"/>
  <c r="S103" i="202" a="1"/>
  <c r="S103" i="202" s="1"/>
  <c r="S127" i="202" a="1"/>
  <c r="S127" i="202" s="1"/>
  <c r="S151" i="202" a="1"/>
  <c r="S151" i="202" s="1"/>
  <c r="S27" i="202" a="1"/>
  <c r="S27" i="202" s="1"/>
  <c r="S32" i="202" a="1"/>
  <c r="S32" i="202" s="1"/>
  <c r="S29" i="202" a="1"/>
  <c r="S29" i="202" s="1"/>
  <c r="S34" i="202" a="1"/>
  <c r="S34" i="202" s="1"/>
  <c r="S37" i="202" a="1"/>
  <c r="S37" i="202" s="1"/>
  <c r="S57" i="202" a="1"/>
  <c r="S57" i="202" s="1"/>
  <c r="S71" i="202" a="1"/>
  <c r="S71" i="202" s="1"/>
  <c r="S91" i="202" a="1"/>
  <c r="S91" i="202" s="1"/>
  <c r="S101" i="202" a="1"/>
  <c r="S101" i="202" s="1"/>
  <c r="S115" i="202" a="1"/>
  <c r="S115" i="202" s="1"/>
  <c r="S125" i="202" a="1"/>
  <c r="S125" i="202" s="1"/>
  <c r="S139" i="202" a="1"/>
  <c r="S139" i="202" s="1"/>
  <c r="S149" i="202" a="1"/>
  <c r="S149" i="202" s="1"/>
  <c r="S15" i="202" a="1"/>
  <c r="S15" i="202" s="1"/>
  <c r="S33" i="201" a="1"/>
  <c r="S33" i="201" s="1"/>
  <c r="S30" i="201" a="1"/>
  <c r="S30" i="201" s="1"/>
  <c r="S17" i="201" a="1"/>
  <c r="S17" i="201" s="1"/>
  <c r="S24" i="201" a="1"/>
  <c r="S24" i="201" s="1"/>
  <c r="S23" i="201" a="1"/>
  <c r="S23" i="201" s="1"/>
  <c r="S18" i="201" a="1"/>
  <c r="S18" i="201" s="1"/>
  <c r="S28" i="201" a="1"/>
  <c r="S28" i="201" s="1"/>
  <c r="S32" i="203" a="1"/>
  <c r="S32" i="203" s="1"/>
  <c r="S42" i="203" a="1"/>
  <c r="S42" i="203" s="1"/>
  <c r="S28" i="203" a="1"/>
  <c r="S28" i="203" s="1"/>
  <c r="S20" i="203" a="1"/>
  <c r="S20" i="203" s="1"/>
  <c r="S21" i="202" a="1"/>
  <c r="S21" i="202" s="1"/>
  <c r="S104" i="202" a="1"/>
  <c r="S104" i="202" s="1"/>
  <c r="S34" i="201" a="1"/>
  <c r="S34" i="201" s="1"/>
  <c r="S36" i="201" a="1"/>
  <c r="S36" i="201" s="1"/>
  <c r="S19" i="201" a="1"/>
  <c r="S19" i="201" s="1"/>
  <c r="S16" i="201" a="1"/>
  <c r="S16" i="201" s="1"/>
  <c r="S35" i="201" a="1"/>
  <c r="S35" i="201" s="1"/>
  <c r="I15" i="201"/>
  <c r="S15" i="201" s="1" a="1"/>
  <c r="S15" i="201" s="1"/>
  <c r="I16" i="201"/>
  <c r="S21" i="201" s="1" a="1"/>
  <c r="S21" i="201" s="1"/>
  <c r="S31" i="201" a="1"/>
  <c r="S31" i="201" s="1"/>
  <c r="I17" i="201"/>
  <c r="S27" i="201" s="1" a="1"/>
  <c r="S27" i="201" s="1"/>
  <c r="S22" i="201" a="1"/>
  <c r="S22" i="201" s="1"/>
  <c r="S25" i="201" a="1"/>
  <c r="S25" i="201" s="1"/>
  <c r="S29" i="201" a="1"/>
  <c r="S29" i="201"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39" i="199" a="1"/>
  <c r="S39" i="199" s="1"/>
  <c r="B43" i="200" s="1"/>
  <c r="S47" i="199" a="1"/>
  <c r="S47" i="199" s="1"/>
  <c r="B51" i="200" s="1"/>
  <c r="S63" i="199" a="1"/>
  <c r="S63" i="199" s="1"/>
  <c r="B67"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B19" i="194"/>
  <c r="E19" i="194" s="1"/>
  <c r="L8" i="193"/>
  <c r="C36" i="195" s="1"/>
  <c r="L18" i="159"/>
  <c r="C46" i="161" s="1"/>
  <c r="C22" i="161"/>
  <c r="C14" i="161"/>
  <c r="L9" i="159"/>
  <c r="C37" i="161" s="1"/>
  <c r="C13" i="161"/>
  <c r="L24" i="159"/>
  <c r="C52" i="161" s="1"/>
  <c r="L16" i="159"/>
  <c r="C44" i="161" s="1"/>
  <c r="C20" i="161"/>
  <c r="C12" i="161"/>
  <c r="L10" i="159"/>
  <c r="C38" i="161" s="1"/>
  <c r="L17" i="159"/>
  <c r="C45" i="161" s="1"/>
  <c r="C21" i="161"/>
  <c r="L23" i="159"/>
  <c r="C51" i="161" s="1"/>
  <c r="L15" i="159"/>
  <c r="C43" i="161" s="1"/>
  <c r="C19" i="161"/>
  <c r="C11" i="161"/>
  <c r="L9" i="189"/>
  <c r="L25" i="189"/>
  <c r="L14" i="189"/>
  <c r="L26" i="189"/>
  <c r="L20" i="189"/>
  <c r="L22" i="189"/>
  <c r="L18" i="189"/>
  <c r="L17" i="189"/>
  <c r="L13" i="189"/>
  <c r="L21" i="189"/>
  <c r="L15" i="189"/>
  <c r="L23" i="189"/>
  <c r="L8" i="189"/>
  <c r="C36" i="191" s="1"/>
  <c r="L16" i="189"/>
  <c r="L24" i="189"/>
  <c r="S148" i="178" a="1"/>
  <c r="S148" i="178" s="1"/>
  <c r="B150" i="179" s="1"/>
  <c r="S142" i="178" a="1"/>
  <c r="S142" i="178" s="1"/>
  <c r="B144" i="179" s="1"/>
  <c r="S136" i="178" a="1"/>
  <c r="S136" i="178" s="1"/>
  <c r="B138" i="179" s="1"/>
  <c r="S127" i="178" a="1"/>
  <c r="S127" i="178" s="1"/>
  <c r="B129" i="179" s="1"/>
  <c r="S133" i="178" a="1"/>
  <c r="S133"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B182" i="179"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B176" i="179" s="1"/>
  <c r="S25" i="186" a="1"/>
  <c r="S25" i="186" s="1"/>
  <c r="B172" i="179" s="1"/>
  <c r="S23" i="186" a="1"/>
  <c r="S23" i="186" s="1"/>
  <c r="B170" i="179" s="1"/>
  <c r="S135" i="186" a="1"/>
  <c r="S135" i="186" s="1"/>
  <c r="S111" i="186" a="1"/>
  <c r="S111" i="186" s="1"/>
  <c r="I16" i="186"/>
  <c r="S21" i="186" s="1" a="1"/>
  <c r="S21" i="186" s="1"/>
  <c r="B168" i="179" s="1"/>
  <c r="S33" i="186" a="1"/>
  <c r="S33" i="186" s="1"/>
  <c r="B180" i="179"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S15" i="186" s="1" a="1"/>
  <c r="S15" i="186" s="1"/>
  <c r="B162" i="179" s="1"/>
  <c r="I17" i="186"/>
  <c r="S27" i="186" s="1" a="1"/>
  <c r="S27" i="186" s="1"/>
  <c r="B174" i="179" s="1"/>
  <c r="S39" i="186" a="1"/>
  <c r="S39" i="186" s="1"/>
  <c r="S51" i="186" a="1"/>
  <c r="S51" i="186" s="1"/>
  <c r="S63" i="186" a="1"/>
  <c r="S63" i="186" s="1"/>
  <c r="S75" i="186" a="1"/>
  <c r="S75" i="186" s="1"/>
  <c r="S87" i="186" a="1"/>
  <c r="S87" i="186" s="1"/>
  <c r="S99" i="186" a="1"/>
  <c r="S99" i="186" s="1"/>
  <c r="S123" i="186" a="1"/>
  <c r="S123" i="186" s="1"/>
  <c r="E6" i="185"/>
  <c r="B343" i="181" s="1"/>
  <c r="I22" i="185"/>
  <c r="B361" i="181" s="1"/>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86"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39" i="181" s="1"/>
  <c r="E6" i="180"/>
  <c r="B16" i="181" s="1"/>
  <c r="I15" i="180"/>
  <c r="S15" i="180" s="1" a="1"/>
  <c r="S15" i="180" s="1"/>
  <c r="B19" i="181" s="1"/>
  <c r="B21" i="179"/>
  <c r="B14" i="179"/>
  <c r="S143" i="178" l="1" a="1"/>
  <c r="S143" i="178" s="1"/>
  <c r="B145" i="179" s="1"/>
  <c r="S41" i="178" a="1"/>
  <c r="S41" i="178" s="1"/>
  <c r="B43" i="179" s="1"/>
  <c r="S113" i="178" a="1"/>
  <c r="S113" i="178" s="1"/>
  <c r="B115" i="179" s="1"/>
  <c r="S95" i="178" a="1"/>
  <c r="S95" i="178" s="1"/>
  <c r="B97" i="179" s="1"/>
  <c r="S65" i="178" a="1"/>
  <c r="S65" i="178" s="1"/>
  <c r="B67" i="179" s="1"/>
  <c r="S77" i="178" a="1"/>
  <c r="S77" i="178" s="1"/>
  <c r="B79" i="179" s="1"/>
  <c r="S59" i="178" a="1"/>
  <c r="S59" i="178" s="1"/>
  <c r="B61" i="179" s="1"/>
  <c r="S107" i="178" a="1"/>
  <c r="S107" i="178" s="1"/>
  <c r="B109" i="179" s="1"/>
  <c r="S131" i="178" a="1"/>
  <c r="S131" i="178" s="1"/>
  <c r="B133" i="179" s="1"/>
  <c r="S119" i="178" a="1"/>
  <c r="S119" i="178" s="1"/>
  <c r="B121" i="179" s="1"/>
  <c r="S137" i="178" a="1"/>
  <c r="S137" i="178" s="1"/>
  <c r="B139" i="179" s="1"/>
  <c r="S53" i="178" a="1"/>
  <c r="S53" i="178" s="1"/>
  <c r="B55" i="179" s="1"/>
  <c r="S101" i="178" a="1"/>
  <c r="S101" i="178" s="1"/>
  <c r="B103" i="179" s="1"/>
  <c r="S71" i="178" a="1"/>
  <c r="S71" i="178" s="1"/>
  <c r="B73" i="179" s="1"/>
  <c r="S125" i="178" a="1"/>
  <c r="S125" i="178" s="1"/>
  <c r="B127" i="179" s="1"/>
  <c r="S83" i="178" a="1"/>
  <c r="S83" i="178" s="1"/>
  <c r="B85" i="179" s="1"/>
  <c r="S89" i="178" a="1"/>
  <c r="S89" i="178" s="1"/>
  <c r="B91" i="179" s="1"/>
  <c r="S45" i="246" a="1"/>
  <c r="S45" i="246" s="1"/>
  <c r="S21" i="246" a="1"/>
  <c r="S21" i="246" s="1"/>
  <c r="S33" i="246" a="1"/>
  <c r="S33" i="246" s="1"/>
  <c r="B14" i="244"/>
  <c r="E6" i="243"/>
  <c r="B16" i="244" s="1"/>
  <c r="B14" i="236"/>
  <c r="E6" i="235"/>
  <c r="B16" i="236" s="1"/>
  <c r="B14" i="232"/>
  <c r="E6" i="231"/>
  <c r="S32" i="201" a="1"/>
  <c r="S32" i="201" s="1"/>
  <c r="S26" i="201" a="1"/>
  <c r="S26" i="201" s="1"/>
  <c r="S20" i="201" a="1"/>
  <c r="S20" i="201" s="1"/>
  <c r="H29" i="175"/>
  <c r="H30" i="175"/>
  <c r="H31" i="175"/>
  <c r="H32" i="175"/>
  <c r="H33" i="175"/>
  <c r="H34" i="175"/>
  <c r="H35" i="175"/>
  <c r="H36" i="175"/>
  <c r="H37" i="175"/>
  <c r="H38" i="175"/>
  <c r="H39" i="175"/>
  <c r="H40" i="175"/>
  <c r="H41" i="175"/>
  <c r="H42" i="175"/>
  <c r="H43" i="175"/>
  <c r="H44" i="175"/>
  <c r="H45" i="175"/>
  <c r="H46" i="175"/>
  <c r="H47" i="175"/>
  <c r="H48" i="175"/>
  <c r="H28" i="175"/>
  <c r="G29" i="175"/>
  <c r="G30" i="175"/>
  <c r="G31" i="175"/>
  <c r="G32" i="175"/>
  <c r="G33" i="175"/>
  <c r="G34" i="175"/>
  <c r="G35" i="175"/>
  <c r="G36" i="175"/>
  <c r="G37" i="175"/>
  <c r="G38" i="175"/>
  <c r="G39" i="175"/>
  <c r="G40" i="175"/>
  <c r="G41" i="175"/>
  <c r="G42" i="175"/>
  <c r="G43" i="175"/>
  <c r="G44" i="175"/>
  <c r="G45" i="175"/>
  <c r="G46" i="175"/>
  <c r="G47" i="175"/>
  <c r="G48" i="175"/>
  <c r="G28" i="175"/>
  <c r="E29" i="175"/>
  <c r="F29" i="175"/>
  <c r="E30" i="175"/>
  <c r="F30" i="175"/>
  <c r="E31" i="175"/>
  <c r="F31" i="175"/>
  <c r="E32" i="175"/>
  <c r="F32" i="175"/>
  <c r="E33" i="175"/>
  <c r="F33" i="175"/>
  <c r="E34" i="175"/>
  <c r="F34" i="175"/>
  <c r="E35" i="175"/>
  <c r="F35" i="175"/>
  <c r="E36" i="175"/>
  <c r="F36" i="175"/>
  <c r="E37" i="175"/>
  <c r="F37" i="175"/>
  <c r="E38" i="175"/>
  <c r="F38" i="175"/>
  <c r="E39" i="175"/>
  <c r="F39" i="175"/>
  <c r="E40" i="175"/>
  <c r="F40" i="175"/>
  <c r="E41" i="175"/>
  <c r="F41" i="175"/>
  <c r="E42" i="175"/>
  <c r="F42" i="175"/>
  <c r="E43" i="175"/>
  <c r="F43" i="175"/>
  <c r="E44" i="175"/>
  <c r="F44" i="175"/>
  <c r="E45" i="175"/>
  <c r="F45" i="175"/>
  <c r="E46" i="175"/>
  <c r="F46" i="175"/>
  <c r="E47" i="175"/>
  <c r="F47" i="175"/>
  <c r="E48" i="175"/>
  <c r="F48" i="175"/>
  <c r="F28" i="175"/>
  <c r="E28" i="175"/>
  <c r="C28" i="175"/>
  <c r="D28" i="175"/>
  <c r="C29" i="175"/>
  <c r="D29" i="175"/>
  <c r="C30" i="175"/>
  <c r="D30" i="175"/>
  <c r="C31" i="175"/>
  <c r="D31" i="175"/>
  <c r="C32" i="175"/>
  <c r="D32" i="175"/>
  <c r="C33" i="175"/>
  <c r="D33" i="175"/>
  <c r="C34" i="175"/>
  <c r="D34" i="175"/>
  <c r="C35" i="175"/>
  <c r="D35" i="175"/>
  <c r="C36" i="175"/>
  <c r="D36" i="175"/>
  <c r="C37" i="175"/>
  <c r="D37" i="175"/>
  <c r="C38" i="175"/>
  <c r="D38" i="175"/>
  <c r="C39" i="175"/>
  <c r="D39" i="175"/>
  <c r="C40" i="175"/>
  <c r="D40" i="175"/>
  <c r="C41" i="175"/>
  <c r="D41" i="175"/>
  <c r="C42" i="175"/>
  <c r="D42" i="175"/>
  <c r="C43" i="175"/>
  <c r="D43" i="175"/>
  <c r="C44" i="175"/>
  <c r="D44" i="175"/>
  <c r="C45" i="175"/>
  <c r="D45" i="175"/>
  <c r="C46" i="175"/>
  <c r="D46" i="175"/>
  <c r="C47" i="175"/>
  <c r="D47" i="175"/>
  <c r="C48" i="175"/>
  <c r="D48" i="175"/>
  <c r="C49" i="175"/>
  <c r="D49" i="175"/>
  <c r="B29" i="175"/>
  <c r="B30" i="175"/>
  <c r="B31" i="175"/>
  <c r="B32" i="175"/>
  <c r="B33" i="175"/>
  <c r="B34" i="175"/>
  <c r="B35" i="175"/>
  <c r="B36" i="175"/>
  <c r="B37" i="175"/>
  <c r="B38" i="175"/>
  <c r="B39" i="175"/>
  <c r="B40" i="175"/>
  <c r="B41" i="175"/>
  <c r="B42" i="175"/>
  <c r="B43" i="175"/>
  <c r="B44" i="175"/>
  <c r="B45" i="175"/>
  <c r="B46" i="175"/>
  <c r="B47" i="175"/>
  <c r="B48" i="175"/>
  <c r="B49" i="175"/>
  <c r="B28" i="175"/>
  <c r="C2" i="174"/>
  <c r="C1" i="174"/>
  <c r="J8" i="172"/>
  <c r="C8" i="174" s="1"/>
  <c r="J7" i="172"/>
  <c r="C7" i="174" s="1"/>
  <c r="J6" i="172"/>
  <c r="C6" i="174" s="1"/>
  <c r="J5" i="172"/>
  <c r="C5" i="174" s="1"/>
  <c r="J4" i="172"/>
  <c r="C4" i="174" s="1"/>
  <c r="L3" i="172"/>
  <c r="J3" i="172"/>
  <c r="C3" i="174" s="1"/>
  <c r="E41" i="170"/>
  <c r="E42" i="170"/>
  <c r="E43" i="170"/>
  <c r="E44" i="170"/>
  <c r="E45" i="170"/>
  <c r="E46" i="170"/>
  <c r="E47" i="170"/>
  <c r="E48" i="170"/>
  <c r="E49" i="170"/>
  <c r="B11" i="170"/>
  <c r="E11" i="170" s="1"/>
  <c r="B12" i="170"/>
  <c r="E12" i="170" s="1"/>
  <c r="B13" i="170"/>
  <c r="E13" i="170" s="1"/>
  <c r="B14" i="170"/>
  <c r="E14" i="170" s="1"/>
  <c r="B15" i="170"/>
  <c r="E15" i="170" s="1"/>
  <c r="B16" i="170"/>
  <c r="E16" i="170" s="1"/>
  <c r="B17" i="170"/>
  <c r="E17" i="170" s="1"/>
  <c r="B18" i="170"/>
  <c r="E18" i="170" s="1"/>
  <c r="B19" i="170"/>
  <c r="E19" i="170" s="1"/>
  <c r="B20" i="170"/>
  <c r="E20" i="170" s="1"/>
  <c r="B21" i="170"/>
  <c r="E21" i="170" s="1"/>
  <c r="B22" i="170"/>
  <c r="E22" i="170" s="1"/>
  <c r="B23" i="170"/>
  <c r="E23" i="170" s="1"/>
  <c r="B24" i="170"/>
  <c r="E24" i="170" s="1"/>
  <c r="B25" i="170"/>
  <c r="E25" i="170" s="1"/>
  <c r="B26" i="170"/>
  <c r="E26" i="170" s="1"/>
  <c r="B27" i="170"/>
  <c r="E27" i="170" s="1"/>
  <c r="B28" i="170"/>
  <c r="E28" i="170" s="1"/>
  <c r="B29" i="170"/>
  <c r="E29" i="170" s="1"/>
  <c r="B30" i="170"/>
  <c r="E30" i="170" s="1"/>
  <c r="B31" i="170"/>
  <c r="E31" i="170" s="1"/>
  <c r="B32" i="170"/>
  <c r="E32" i="170" s="1"/>
  <c r="B33" i="170"/>
  <c r="E33" i="170" s="1"/>
  <c r="B34" i="170"/>
  <c r="E34" i="170" s="1"/>
  <c r="B35" i="170"/>
  <c r="E35" i="170" s="1"/>
  <c r="B36" i="170"/>
  <c r="E36" i="170" s="1"/>
  <c r="B37" i="170"/>
  <c r="E37" i="170" s="1"/>
  <c r="B38" i="170"/>
  <c r="E38" i="170" s="1"/>
  <c r="B39" i="170"/>
  <c r="E39" i="170" s="1"/>
  <c r="B40" i="170"/>
  <c r="E40" i="170" s="1"/>
  <c r="C2" i="171"/>
  <c r="C1" i="171"/>
  <c r="B10" i="170"/>
  <c r="E10" i="170" s="1"/>
  <c r="E9" i="170"/>
  <c r="B9" i="170"/>
  <c r="C7" i="170" s="1"/>
  <c r="E7" i="170" s="1"/>
  <c r="E8" i="170"/>
  <c r="E6" i="170"/>
  <c r="E5" i="170"/>
  <c r="C4" i="170"/>
  <c r="E4" i="170" s="1"/>
  <c r="E3" i="170"/>
  <c r="J8" i="169"/>
  <c r="C8" i="171" s="1"/>
  <c r="J7" i="169"/>
  <c r="C7" i="171" s="1"/>
  <c r="J6" i="169"/>
  <c r="C6" i="171" s="1"/>
  <c r="J5" i="169"/>
  <c r="C5" i="171" s="1"/>
  <c r="J4" i="169"/>
  <c r="C4" i="171" s="1"/>
  <c r="L3" i="169"/>
  <c r="J3" i="169"/>
  <c r="C3" i="171" s="1"/>
  <c r="L8" i="172" l="1"/>
  <c r="C69" i="174" s="1"/>
  <c r="L8" i="169"/>
  <c r="C63" i="171" s="1"/>
  <c r="C2" i="166" l="1"/>
  <c r="C1" i="166"/>
  <c r="J8" i="164"/>
  <c r="C8" i="166" s="1"/>
  <c r="J7" i="164"/>
  <c r="C7" i="166" s="1"/>
  <c r="J6" i="164"/>
  <c r="C6" i="166" s="1"/>
  <c r="J5" i="164"/>
  <c r="C5" i="166" s="1"/>
  <c r="J4" i="164"/>
  <c r="C4" i="166" s="1"/>
  <c r="L3" i="164"/>
  <c r="J3" i="164"/>
  <c r="C3" i="166" s="1"/>
  <c r="E97" i="160"/>
  <c r="E98" i="160"/>
  <c r="E82" i="160"/>
  <c r="E91" i="160"/>
  <c r="E95" i="160"/>
  <c r="E96" i="160"/>
  <c r="B90" i="160"/>
  <c r="E90" i="160" s="1"/>
  <c r="B91" i="160"/>
  <c r="B92" i="160"/>
  <c r="E92" i="160" s="1"/>
  <c r="B93" i="160"/>
  <c r="E93" i="160" s="1"/>
  <c r="B94" i="160"/>
  <c r="E94" i="160" s="1"/>
  <c r="B95" i="160"/>
  <c r="B77" i="160"/>
  <c r="E77" i="160" s="1"/>
  <c r="B78" i="160"/>
  <c r="E78" i="160" s="1"/>
  <c r="B79" i="160"/>
  <c r="E79" i="160" s="1"/>
  <c r="B80" i="160"/>
  <c r="E80" i="160" s="1"/>
  <c r="B81" i="160"/>
  <c r="E81" i="160" s="1"/>
  <c r="B82" i="160"/>
  <c r="B83" i="160"/>
  <c r="E83" i="160" s="1"/>
  <c r="B84" i="160"/>
  <c r="E84" i="160" s="1"/>
  <c r="B85" i="160"/>
  <c r="E85" i="160" s="1"/>
  <c r="B86" i="160"/>
  <c r="E86" i="160" s="1"/>
  <c r="B87" i="160"/>
  <c r="E87" i="160" s="1"/>
  <c r="B88" i="160"/>
  <c r="E88" i="160" s="1"/>
  <c r="B89" i="160"/>
  <c r="E89" i="160" s="1"/>
  <c r="B66" i="160"/>
  <c r="E66" i="160" s="1"/>
  <c r="B67" i="160"/>
  <c r="E67" i="160" s="1"/>
  <c r="B68" i="160"/>
  <c r="E68" i="160" s="1"/>
  <c r="B69" i="160"/>
  <c r="E69" i="160" s="1"/>
  <c r="B70" i="160"/>
  <c r="E70" i="160" s="1"/>
  <c r="B71" i="160"/>
  <c r="E71" i="160" s="1"/>
  <c r="B72" i="160"/>
  <c r="E72" i="160" s="1"/>
  <c r="B73" i="160"/>
  <c r="E73" i="160" s="1"/>
  <c r="B74" i="160"/>
  <c r="E74" i="160" s="1"/>
  <c r="B75" i="160"/>
  <c r="E75" i="160" s="1"/>
  <c r="B76" i="160"/>
  <c r="E76" i="160" s="1"/>
  <c r="B46" i="160"/>
  <c r="E46" i="160" s="1"/>
  <c r="B47" i="160"/>
  <c r="E47" i="160" s="1"/>
  <c r="B48" i="160"/>
  <c r="E48" i="160" s="1"/>
  <c r="B49" i="160"/>
  <c r="E49" i="160" s="1"/>
  <c r="B50" i="160"/>
  <c r="E50" i="160" s="1"/>
  <c r="B51" i="160"/>
  <c r="E51" i="160" s="1"/>
  <c r="B52" i="160"/>
  <c r="E52" i="160" s="1"/>
  <c r="B53" i="160"/>
  <c r="E53" i="160" s="1"/>
  <c r="B54" i="160"/>
  <c r="E54" i="160" s="1"/>
  <c r="B55" i="160"/>
  <c r="E55" i="160" s="1"/>
  <c r="B56" i="160"/>
  <c r="E56" i="160" s="1"/>
  <c r="B57" i="160"/>
  <c r="E57" i="160" s="1"/>
  <c r="B58" i="160"/>
  <c r="E58" i="160" s="1"/>
  <c r="B59" i="160"/>
  <c r="E59" i="160" s="1"/>
  <c r="B60" i="160"/>
  <c r="E60" i="160" s="1"/>
  <c r="B61" i="160"/>
  <c r="E61" i="160" s="1"/>
  <c r="B62" i="160"/>
  <c r="E62" i="160" s="1"/>
  <c r="B63" i="160"/>
  <c r="E63" i="160" s="1"/>
  <c r="B64" i="160"/>
  <c r="E64" i="160" s="1"/>
  <c r="B65" i="160"/>
  <c r="E65" i="160" s="1"/>
  <c r="B11" i="160"/>
  <c r="E11" i="160" s="1"/>
  <c r="B12" i="160"/>
  <c r="E12" i="160" s="1"/>
  <c r="B13" i="160"/>
  <c r="E13" i="160" s="1"/>
  <c r="B14" i="160"/>
  <c r="E14" i="160" s="1"/>
  <c r="B15" i="160"/>
  <c r="E15" i="160" s="1"/>
  <c r="B16" i="160"/>
  <c r="E16" i="160" s="1"/>
  <c r="B17" i="160"/>
  <c r="E17" i="160" s="1"/>
  <c r="B18" i="160"/>
  <c r="E18" i="160" s="1"/>
  <c r="B19" i="160"/>
  <c r="B20" i="160"/>
  <c r="E20" i="160" s="1"/>
  <c r="B21" i="160"/>
  <c r="E21" i="160" s="1"/>
  <c r="B22" i="160"/>
  <c r="E22" i="160" s="1"/>
  <c r="B23" i="160"/>
  <c r="E23" i="160" s="1"/>
  <c r="B24" i="160"/>
  <c r="E24" i="160" s="1"/>
  <c r="B25" i="160"/>
  <c r="E25" i="160" s="1"/>
  <c r="B26" i="160"/>
  <c r="E26" i="160" s="1"/>
  <c r="B27" i="160"/>
  <c r="E27" i="160" s="1"/>
  <c r="B28" i="160"/>
  <c r="B29" i="160"/>
  <c r="B30" i="160"/>
  <c r="E30" i="160" s="1"/>
  <c r="B31" i="160"/>
  <c r="E31" i="160" s="1"/>
  <c r="B32" i="160"/>
  <c r="E32" i="160" s="1"/>
  <c r="B33" i="160"/>
  <c r="E33" i="160" s="1"/>
  <c r="B34" i="160"/>
  <c r="E34" i="160" s="1"/>
  <c r="B35" i="160"/>
  <c r="B36" i="160"/>
  <c r="B37" i="160"/>
  <c r="B38" i="160"/>
  <c r="E38" i="160" s="1"/>
  <c r="B39" i="160"/>
  <c r="E39" i="160" s="1"/>
  <c r="B40" i="160"/>
  <c r="E40" i="160" s="1"/>
  <c r="B41" i="160"/>
  <c r="E41" i="160" s="1"/>
  <c r="B42" i="160"/>
  <c r="E42" i="160" s="1"/>
  <c r="B43" i="160"/>
  <c r="E43" i="160" s="1"/>
  <c r="B44" i="160"/>
  <c r="B45" i="160"/>
  <c r="E45" i="160" s="1"/>
  <c r="C2" i="161"/>
  <c r="C1" i="161"/>
  <c r="E44" i="160"/>
  <c r="E37" i="160"/>
  <c r="E36" i="160"/>
  <c r="E35" i="160"/>
  <c r="E29" i="160"/>
  <c r="E28" i="160"/>
  <c r="E19" i="160"/>
  <c r="B10" i="160"/>
  <c r="E10" i="160" s="1"/>
  <c r="E9" i="160"/>
  <c r="B9" i="160"/>
  <c r="C7" i="160" s="1"/>
  <c r="E7" i="160" s="1"/>
  <c r="E8" i="160"/>
  <c r="E6" i="160"/>
  <c r="E5" i="160"/>
  <c r="E4" i="160"/>
  <c r="E3" i="160"/>
  <c r="J8" i="159"/>
  <c r="C8" i="161" s="1"/>
  <c r="J7" i="159"/>
  <c r="C7" i="161" s="1"/>
  <c r="J6" i="159"/>
  <c r="C6" i="161" s="1"/>
  <c r="J5" i="159"/>
  <c r="C5" i="161" s="1"/>
  <c r="J4" i="159"/>
  <c r="C4" i="161" s="1"/>
  <c r="L3" i="159"/>
  <c r="J3" i="159"/>
  <c r="C3" i="161"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8" i="164" l="1"/>
  <c r="C36" i="166" s="1"/>
  <c r="L8" i="159"/>
  <c r="C36"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tc={8742CF20-EAE1-4276-8417-9D0780BA39BA}</author>
  </authors>
  <commentList>
    <comment ref="B22" authorId="0" shapeId="0" xr:uid="{8742CF20-EAE1-4276-8417-9D0780BA39B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Verify the actual concepts used, if they are real histology/morphology classificaitons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A16" authorId="2"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tc={BF9EDB8B-052D-49B6-974D-8AC291B0FC9F}</author>
  </authors>
  <commentList>
    <comment ref="B17" authorId="0" shapeId="0" xr:uid="{BF9EDB8B-052D-49B6-974D-8AC291B0FC9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tc={79D6B2D8-218A-49F0-9B1D-F0055C24EC9E}</author>
    <author>tc={485806D1-996C-46F8-A4DB-E576C771CD8F}</author>
  </authors>
  <commentList>
    <comment ref="B17" authorId="0" shapeId="0" xr:uid="{79D6B2D8-218A-49F0-9B1D-F0055C24EC9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 ref="B20" authorId="1"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<sst xmlns="http://schemas.openxmlformats.org/spreadsheetml/2006/main" count="7489" uniqueCount="2560">
  <si>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</si>
  <si>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</si>
  <si>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</si>
  <si>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</si>
  <si>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</si>
  <si>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</si>
  <si>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</si>
  <si>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</si>
  <si>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</si>
  <si>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</si>
  <si>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</si>
  <si>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</si>
  <si>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</si>
  <si>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</si>
  <si>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</si>
  <si>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</si>
  <si>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</si>
  <si>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</si>
  <si>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</si>
  <si>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</si>
  <si>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</si>
  <si>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</si>
  <si>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</si>
  <si>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</si>
  <si>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</si>
  <si>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</si>
  <si>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</si>
  <si>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</si>
  <si>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</si>
  <si>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</si>
  <si>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</si>
  <si>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</si>
  <si>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</si>
  <si>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</si>
  <si>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</si>
  <si>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</si>
  <si>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</si>
  <si>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</si>
  <si>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</si>
  <si>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</si>
  <si>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</si>
  <si>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</si>
  <si>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</si>
  <si>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</si>
  <si>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</si>
  <si>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</si>
  <si>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</si>
  <si>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</si>
  <si>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</si>
  <si>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</si>
  <si>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</si>
  <si>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</si>
  <si>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</si>
  <si>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</si>
  <si>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</si>
  <si>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</si>
  <si>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</si>
  <si>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</si>
  <si>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</si>
  <si>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</si>
  <si>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</si>
  <si>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</si>
  <si>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</si>
  <si>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</si>
  <si>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</si>
  <si>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</si>
  <si>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</si>
  <si>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</si>
  <si>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</si>
  <si>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</si>
  <si>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</si>
  <si>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</si>
  <si>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</si>
  <si>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</si>
  <si>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</si>
  <si>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</si>
  <si>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</si>
  <si>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</si>
  <si>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</si>
  <si>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</si>
  <si>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</si>
  <si>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</si>
  <si>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</si>
  <si>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</si>
  <si>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</si>
  <si>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</si>
  <si>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</si>
  <si>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</si>
  <si>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</si>
  <si>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</si>
  <si>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</si>
  <si>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</si>
  <si>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</si>
  <si>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</si>
  <si>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</si>
  <si>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</si>
  <si>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</si>
  <si>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</si>
  <si>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</si>
  <si>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</si>
  <si>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</si>
  <si>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</si>
  <si>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</si>
  <si>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</si>
  <si>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</si>
  <si>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</si>
  <si>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</si>
  <si>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</si>
  <si>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</si>
  <si>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</si>
  <si>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</si>
  <si>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</si>
  <si>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</si>
  <si>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</si>
  <si>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</si>
  <si>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</si>
  <si>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</si>
  <si>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</si>
  <si>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</si>
  <si>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</si>
  <si>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</si>
  <si>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</si>
  <si>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</si>
  <si>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</si>
  <si>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</si>
  <si>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</si>
  <si>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</si>
  <si>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</si>
  <si>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</si>
  <si>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</si>
  <si>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</si>
  <si>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</si>
  <si>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</si>
  <si>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</si>
  <si>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</si>
  <si>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</si>
  <si>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</si>
  <si>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</si>
  <si>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</si>
  <si>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</si>
  <si>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</si>
  <si>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</si>
  <si>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</si>
  <si>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</si>
  <si>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</si>
  <si>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</si>
  <si>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</si>
  <si>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</si>
  <si>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</si>
  <si>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</si>
  <si>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</si>
  <si>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</si>
  <si>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</si>
  <si>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</si>
  <si>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</si>
  <si>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</si>
  <si>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</si>
  <si>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</si>
  <si>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</si>
  <si>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</si>
  <si>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</si>
  <si>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</si>
  <si>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</si>
  <si>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</si>
  <si>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</si>
  <si>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</si>
  <si>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</si>
  <si>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</si>
  <si>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</si>
  <si>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</si>
  <si>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</si>
  <si>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</si>
  <si>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</si>
  <si>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</si>
  <si>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</si>
  <si>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</si>
  <si>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</si>
  <si>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</si>
  <si>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</si>
  <si>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</si>
  <si>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</si>
  <si>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</si>
  <si>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</si>
  <si>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</si>
  <si>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</si>
  <si>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</si>
  <si>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</si>
  <si>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</si>
  <si>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</si>
  <si>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</si>
  <si>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</si>
  <si>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</si>
  <si>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</si>
  <si>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</si>
  <si>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</si>
  <si>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</si>
  <si>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</si>
  <si>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</si>
  <si>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</si>
  <si>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</si>
  <si>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</si>
  <si>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</si>
  <si>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</si>
  <si>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</si>
  <si>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</si>
  <si>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</si>
  <si>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</si>
  <si>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</si>
  <si>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</si>
  <si>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</si>
  <si>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</si>
  <si>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</si>
  <si>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</si>
  <si>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</si>
  <si>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</si>
  <si>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</si>
  <si>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</si>
  <si>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</si>
  <si>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</si>
  <si>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</si>
  <si>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</si>
  <si>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</si>
  <si>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</si>
  <si>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</si>
  <si>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</si>
  <si>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</si>
  <si>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</si>
  <si>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</si>
  <si>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</si>
  <si>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</si>
  <si>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</si>
  <si>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</si>
  <si>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</si>
  <si>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</si>
  <si>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</si>
  <si>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</si>
  <si>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</si>
  <si>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</si>
  <si>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</si>
  <si>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</si>
  <si>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</si>
  <si>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</si>
  <si>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</si>
  <si>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</si>
  <si>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</si>
  <si>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</si>
  <si>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</si>
  <si>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</si>
  <si>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</si>
  <si>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</si>
  <si>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</si>
  <si>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</si>
  <si>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</si>
  <si>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</si>
  <si>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</si>
  <si>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</si>
  <si>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</si>
  <si>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</si>
  <si>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</si>
  <si>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</si>
  <si>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</si>
  <si>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</si>
  <si>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</si>
  <si>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</si>
  <si>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</si>
  <si>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</si>
  <si>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</si>
  <si>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</si>
  <si>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</si>
  <si>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</si>
  <si>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</si>
  <si>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</si>
  <si>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</si>
  <si>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</si>
  <si>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</si>
  <si>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</si>
  <si>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</si>
  <si>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</si>
  <si>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</si>
  <si>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</si>
  <si>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</si>
  <si>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</si>
  <si>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</si>
  <si>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</si>
  <si>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</si>
  <si>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</si>
  <si>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</si>
  <si>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</si>
  <si>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</si>
  <si>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</si>
  <si>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</si>
  <si>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</si>
  <si>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</si>
  <si>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</si>
  <si>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</si>
  <si>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</si>
  <si>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</si>
  <si>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</si>
  <si>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</si>
  <si>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</si>
  <si>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</si>
  <si>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</si>
  <si>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</si>
  <si>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</si>
  <si>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</si>
  <si>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</si>
  <si>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</si>
  <si>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</si>
  <si>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</si>
  <si>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</si>
  <si>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</si>
  <si>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</si>
  <si>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</si>
  <si>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</si>
  <si>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</si>
  <si>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</si>
  <si>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</si>
  <si>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</si>
  <si>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</si>
  <si>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</si>
  <si>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</si>
  <si>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</si>
  <si>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</si>
  <si>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</si>
  <si>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</si>
  <si>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</si>
  <si>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</si>
  <si>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</si>
  <si>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</si>
  <si>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</si>
  <si>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</si>
  <si>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</si>
  <si>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</si>
  <si>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</si>
  <si>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</si>
  <si>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</si>
  <si>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</si>
  <si>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</si>
  <si>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</si>
  <si>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</si>
  <si>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</si>
  <si>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</si>
  <si>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</si>
  <si>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</si>
  <si>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</si>
  <si>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</si>
  <si>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</si>
  <si>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</si>
  <si>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</si>
  <si>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</si>
  <si>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</si>
  <si>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</si>
  <si>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</si>
  <si>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</si>
  <si>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</si>
  <si>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</si>
  <si>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</si>
  <si>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</si>
  <si>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</si>
  <si>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</si>
  <si>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</si>
  <si>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</si>
  <si>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</si>
  <si>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</si>
  <si>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</si>
  <si>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</si>
  <si>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</si>
  <si>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</si>
  <si>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</si>
  <si>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</si>
  <si>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</si>
  <si>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</si>
  <si>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</si>
  <si>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</si>
  <si>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</si>
  <si>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</si>
  <si>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</si>
  <si>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</si>
  <si>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</si>
  <si>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</si>
  <si>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</si>
  <si>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</si>
  <si>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</si>
  <si>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</si>
  <si>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</si>
  <si>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</si>
  <si>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</si>
  <si>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</si>
  <si>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</si>
  <si>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</si>
  <si>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</si>
  <si>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</si>
  <si>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</si>
  <si>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</si>
  <si>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</si>
  <si>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</si>
  <si>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</si>
  <si>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</si>
  <si>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</si>
  <si>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</si>
  <si>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</si>
  <si>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</si>
  <si>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</si>
  <si>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</si>
  <si>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</si>
  <si>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</si>
  <si>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</si>
  <si>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</si>
  <si>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</si>
  <si>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</si>
  <si>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</si>
  <si>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</si>
  <si>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</si>
  <si>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</si>
  <si>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</si>
  <si>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</si>
  <si>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</si>
  <si>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</si>
  <si>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</si>
  <si>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</si>
  <si>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</si>
  <si>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</si>
  <si>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</si>
  <si>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</si>
  <si>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</si>
  <si>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</si>
  <si>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</si>
  <si>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</si>
  <si>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</si>
  <si>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</si>
  <si>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</si>
  <si>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</si>
  <si>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</si>
  <si>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</si>
  <si>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</si>
  <si>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</si>
  <si>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</si>
  <si>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</si>
  <si>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</si>
  <si>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</si>
  <si>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</si>
  <si>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</si>
  <si>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</si>
  <si>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</si>
  <si>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</si>
  <si>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</si>
  <si>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</si>
  <si>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</si>
  <si>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</si>
  <si>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</si>
  <si>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</si>
  <si>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</si>
  <si>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</si>
  <si>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</si>
  <si>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</si>
  <si>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</si>
  <si>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</si>
  <si>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</si>
  <si>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</si>
  <si>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</si>
  <si>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</si>
  <si>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</si>
  <si>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</si>
  <si>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</si>
  <si>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</si>
  <si>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</si>
  <si>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</si>
  <si>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</si>
  <si>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</si>
  <si>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</si>
  <si>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</si>
  <si>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</si>
  <si>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</si>
  <si>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</si>
  <si>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</si>
  <si>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</si>
  <si>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</si>
  <si>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</si>
  <si>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</si>
  <si>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</si>
  <si>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</si>
  <si>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</si>
  <si>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</si>
  <si>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</si>
  <si>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</si>
  <si>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</si>
  <si>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</si>
  <si>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</si>
  <si>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</si>
  <si>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</si>
  <si>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</si>
  <si>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</si>
  <si>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</si>
  <si>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</si>
  <si>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</si>
  <si>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</si>
  <si>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</si>
  <si>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</si>
  <si>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</si>
  <si>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</si>
  <si>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</si>
  <si>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</si>
  <si>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</si>
  <si>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</si>
  <si>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</si>
  <si>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</si>
  <si>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</si>
  <si>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</si>
  <si>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</si>
  <si>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</si>
  <si>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</si>
  <si>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</si>
  <si>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</si>
  <si>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</si>
  <si>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</si>
  <si>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</si>
  <si>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</si>
  <si>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</si>
  <si>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</si>
  <si>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</si>
  <si>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</si>
  <si>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</si>
  <si>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</si>
  <si>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</si>
  <si>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</si>
  <si>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</si>
  <si>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</si>
  <si>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</si>
  <si>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</si>
  <si>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</si>
  <si>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</si>
  <si>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</si>
  <si>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</si>
  <si>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</si>
  <si>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</si>
  <si>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</si>
  <si>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</si>
  <si>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</si>
  <si>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</si>
  <si>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</si>
  <si>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</si>
  <si>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</si>
  <si>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</si>
  <si>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</si>
  <si>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</si>
  <si>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</si>
  <si>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</si>
  <si>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</si>
  <si>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</si>
  <si>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</si>
  <si>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</si>
  <si>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</si>
  <si>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</si>
  <si>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</si>
  <si>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</si>
  <si>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</si>
  <si>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</si>
  <si>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</si>
  <si>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</si>
  <si>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</si>
  <si>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</si>
  <si>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</si>
  <si>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</si>
  <si>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</si>
  <si>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</si>
  <si>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</si>
  <si>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</si>
  <si>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</si>
  <si>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</si>
  <si>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</si>
  <si>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</si>
  <si>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</si>
  <si>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</si>
  <si>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</si>
  <si>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</si>
  <si>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</si>
  <si>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</si>
  <si>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</si>
  <si>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</si>
  <si>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</si>
  <si>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</si>
  <si>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</si>
  <si>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</si>
  <si>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</si>
  <si>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</si>
  <si>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</si>
  <si>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</si>
  <si>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</si>
  <si>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</si>
  <si>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</si>
  <si>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</si>
  <si>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</si>
  <si>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</si>
  <si>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</si>
  <si>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</si>
  <si>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</si>
  <si>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</si>
  <si>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</si>
  <si>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</si>
  <si>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</si>
  <si>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</si>
  <si>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</si>
  <si>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</si>
  <si>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</si>
  <si>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</si>
  <si>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</si>
  <si>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</si>
  <si>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</si>
  <si>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</si>
  <si>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</si>
  <si>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</si>
  <si>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</si>
  <si>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</si>
  <si>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</si>
  <si>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</si>
  <si>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</si>
  <si>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</si>
  <si>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</si>
  <si>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</si>
  <si>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</si>
  <si>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</si>
  <si>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</si>
  <si>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</si>
  <si>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</si>
  <si>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</si>
  <si>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</si>
  <si>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</si>
  <si>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</si>
  <si>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</si>
  <si>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</si>
  <si>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</si>
  <si>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</si>
  <si>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</si>
  <si>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</si>
  <si>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</si>
  <si>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</si>
  <si>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</si>
  <si>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</si>
  <si>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</si>
  <si>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</si>
  <si>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</si>
  <si>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</si>
  <si>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</si>
  <si>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</si>
  <si>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</si>
  <si>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</si>
  <si>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</si>
  <si>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</si>
  <si>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</si>
  <si>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</si>
  <si>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</si>
  <si>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</si>
  <si>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</si>
  <si>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</si>
  <si>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</si>
  <si>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</si>
  <si>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</si>
  <si>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</si>
  <si>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</si>
  <si>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</si>
  <si>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</si>
  <si>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</si>
  <si>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</si>
  <si>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</si>
  <si>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</si>
  <si>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</si>
  <si>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</si>
  <si>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</si>
  <si>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</si>
  <si>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</si>
  <si>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</si>
  <si>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</si>
  <si>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</si>
  <si>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</si>
  <si>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</si>
  <si>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</si>
  <si>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</si>
  <si>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</si>
  <si>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</si>
  <si>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</si>
  <si>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</si>
  <si>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</si>
  <si>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</si>
  <si>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</si>
  <si>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</si>
  <si>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</si>
  <si>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</si>
  <si>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</si>
  <si>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</si>
  <si>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</si>
  <si>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</si>
  <si>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</si>
  <si>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</si>
  <si>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</si>
  <si>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</si>
  <si>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</si>
  <si>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</si>
  <si>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</si>
  <si>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</si>
  <si>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</si>
  <si>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</si>
  <si>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</si>
  <si>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</si>
  <si>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</si>
  <si>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</si>
  <si>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</si>
  <si>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</si>
  <si>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</si>
  <si>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</si>
  <si>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</si>
  <si>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</si>
  <si>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</si>
  <si>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</si>
  <si>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</si>
  <si>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</si>
  <si>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</si>
  <si>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</si>
  <si>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</si>
  <si>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</si>
  <si>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</si>
  <si>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</si>
  <si>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</si>
  <si>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</si>
  <si>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</si>
  <si>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</si>
  <si>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</si>
  <si>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</si>
  <si>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</si>
  <si>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</si>
  <si>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</si>
  <si>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</si>
  <si>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</si>
  <si>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</si>
  <si>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</si>
  <si>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</si>
  <si>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</si>
  <si>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</si>
  <si>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</si>
  <si>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</si>
  <si>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</si>
  <si>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</si>
  <si>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</si>
  <si>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</si>
  <si>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</si>
  <si>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</si>
  <si>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</si>
  <si>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</si>
  <si>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</si>
  <si>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</si>
  <si>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</si>
  <si>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</si>
  <si>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</si>
  <si>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</si>
  <si>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</si>
  <si>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</si>
  <si>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</si>
  <si>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</si>
  <si>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</si>
  <si>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</si>
  <si>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</si>
  <si>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</si>
  <si>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</si>
  <si>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</si>
  <si>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</si>
  <si>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</si>
  <si>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</si>
  <si>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</si>
  <si>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</si>
  <si>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</si>
  <si>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</si>
  <si>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</si>
  <si>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</si>
  <si>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</si>
  <si>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</si>
  <si>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</si>
  <si>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</si>
  <si>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</si>
  <si>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</si>
  <si>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</si>
  <si>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</si>
  <si>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</si>
  <si>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</si>
  <si>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</si>
  <si>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</si>
  <si>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</si>
  <si>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</si>
  <si>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</si>
  <si>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</si>
  <si>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</si>
  <si>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</si>
  <si>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</si>
  <si>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</si>
  <si>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</si>
  <si>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</si>
  <si>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</si>
  <si>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</si>
  <si>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</si>
  <si>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</si>
  <si>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</si>
  <si>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</si>
  <si>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</si>
  <si>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</si>
  <si>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</si>
  <si>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</si>
  <si>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</si>
  <si>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</si>
  <si>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</si>
  <si>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</si>
  <si>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</si>
  <si>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</si>
  <si>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</si>
  <si>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</si>
  <si>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</si>
  <si>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</si>
  <si>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</si>
  <si>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</si>
  <si>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</si>
  <si>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</si>
  <si>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</si>
  <si>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</si>
  <si>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</si>
  <si>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</si>
  <si>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</si>
  <si>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</si>
  <si>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</si>
  <si>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</si>
  <si>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</si>
  <si>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</si>
  <si>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</si>
  <si>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</si>
  <si>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</si>
  <si>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</si>
  <si>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</si>
  <si>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</si>
  <si>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</si>
  <si>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</si>
  <si>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</si>
  <si>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</si>
  <si>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</si>
  <si>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</si>
  <si>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</si>
  <si>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</si>
  <si>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</si>
  <si>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</si>
  <si>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</si>
  <si>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</si>
  <si>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</si>
  <si>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</si>
  <si>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</si>
  <si>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</si>
  <si>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</si>
  <si>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</si>
  <si>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</si>
  <si>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</si>
  <si>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</si>
  <si>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</si>
  <si>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</si>
  <si>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</si>
  <si>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</si>
  <si>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</si>
  <si>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</si>
  <si>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</si>
  <si>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</si>
  <si>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</si>
  <si>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</si>
  <si>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</si>
  <si>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</si>
  <si>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</si>
  <si>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</si>
  <si>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</si>
  <si>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</si>
  <si>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</si>
  <si>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</si>
  <si>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</si>
  <si>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</si>
  <si>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</si>
  <si>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</si>
  <si>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</si>
  <si>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</si>
  <si>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</si>
  <si>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</si>
  <si>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</si>
  <si>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</si>
  <si>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</si>
  <si>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</si>
  <si>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</si>
  <si>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</si>
  <si>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</si>
  <si>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</si>
  <si>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</si>
  <si>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</si>
  <si>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</si>
  <si>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</si>
  <si>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</si>
  <si>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</si>
  <si>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</si>
  <si>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</si>
  <si>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</si>
  <si>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</si>
  <si>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</si>
  <si>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</si>
  <si>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</si>
  <si>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</si>
  <si>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</si>
  <si>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</si>
  <si>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</si>
  <si>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</si>
  <si>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</si>
  <si>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</si>
  <si>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</si>
  <si>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</si>
  <si>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</si>
  <si>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</si>
  <si>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</si>
  <si>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</si>
  <si>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</si>
  <si>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</si>
  <si>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</si>
  <si>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</si>
  <si>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</si>
  <si>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</si>
  <si>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</si>
  <si>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</si>
  <si>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</si>
  <si>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</si>
  <si>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</si>
  <si>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</si>
  <si>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</si>
  <si>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</si>
  <si>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</si>
  <si>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</si>
  <si>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</si>
  <si>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</si>
  <si>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</si>
  <si>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</si>
  <si>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</si>
  <si>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</si>
  <si>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</si>
  <si>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</si>
  <si>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</si>
  <si>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</si>
  <si>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</si>
  <si>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</si>
  <si>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</si>
  <si>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</si>
  <si>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</si>
  <si>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</si>
  <si>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</si>
  <si>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</si>
  <si>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</si>
  <si>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</si>
  <si>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</si>
  <si>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</si>
  <si>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</si>
  <si>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</si>
  <si>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</si>
  <si>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</si>
  <si>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</si>
  <si>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</si>
  <si>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</si>
  <si>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</si>
  <si>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</si>
  <si>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</si>
  <si>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</si>
  <si>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</si>
  <si>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</si>
  <si>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</si>
  <si>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</si>
  <si>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</si>
  <si>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</si>
  <si>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</si>
  <si>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</si>
  <si>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</si>
  <si>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</si>
  <si>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</si>
  <si>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</si>
  <si>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</si>
  <si>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</si>
  <si>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</si>
  <si>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</si>
  <si>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</si>
  <si>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</si>
  <si>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</si>
  <si>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</si>
  <si>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</si>
  <si>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</si>
  <si>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</si>
  <si>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</si>
  <si>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</si>
  <si>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</si>
  <si>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</si>
  <si>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</si>
  <si>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</si>
  <si>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</si>
  <si>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</si>
  <si>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</si>
  <si>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</si>
  <si>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</si>
  <si>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</si>
  <si>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</si>
  <si>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</si>
  <si>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</si>
  <si>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</si>
  <si>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</si>
  <si>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</si>
  <si>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</si>
  <si>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</si>
  <si>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</si>
  <si>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</si>
  <si>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</si>
  <si>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</si>
  <si>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</si>
  <si>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</si>
  <si>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</si>
  <si>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</si>
  <si>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</si>
  <si>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</si>
  <si>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</si>
  <si>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</si>
  <si>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</si>
  <si>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</si>
  <si>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</si>
  <si>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</si>
  <si>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</si>
  <si>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</si>
  <si>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</si>
  <si>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</si>
  <si>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</si>
  <si>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</si>
  <si>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</si>
  <si>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</si>
  <si>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</si>
  <si>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</si>
  <si>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</si>
  <si>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</si>
  <si>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</si>
  <si>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</si>
  <si>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</si>
  <si>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</si>
  <si>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</si>
  <si>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</si>
  <si>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</si>
  <si>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</si>
  <si>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</si>
  <si>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</si>
  <si>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</si>
  <si>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</si>
  <si>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</si>
  <si>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</si>
  <si>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</si>
  <si>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</si>
  <si>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</si>
  <si>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</si>
  <si>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</si>
  <si>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</si>
  <si>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</si>
  <si>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</si>
  <si>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</si>
  <si>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</si>
  <si>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</si>
  <si>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</si>
  <si>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</si>
  <si>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</si>
  <si>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</si>
  <si>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</si>
  <si>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</si>
  <si>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</si>
  <si>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</si>
  <si>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</si>
  <si>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</si>
  <si>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</si>
  <si>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</si>
  <si>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</si>
  <si>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</si>
  <si>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</si>
  <si>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</si>
  <si>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</si>
  <si>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</si>
  <si>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</si>
  <si>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</si>
  <si>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</si>
  <si>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</si>
  <si>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</si>
  <si>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</si>
  <si>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</si>
  <si>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</si>
  <si>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</si>
  <si>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</si>
  <si>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</si>
  <si>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</si>
  <si>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</si>
  <si>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</si>
  <si>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</si>
  <si>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</si>
  <si>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</si>
  <si>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</si>
  <si>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</si>
  <si>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</si>
  <si>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</si>
  <si>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</si>
  <si>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</si>
  <si>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</si>
  <si>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</si>
  <si>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</si>
  <si>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</si>
  <si>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</si>
  <si>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</si>
  <si>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</si>
  <si>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</si>
  <si>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</si>
  <si>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</si>
  <si>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</si>
  <si>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</si>
  <si>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</si>
  <si>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</si>
  <si>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</si>
  <si>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</si>
  <si>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</si>
  <si>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</si>
  <si>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</si>
  <si>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</si>
  <si>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</si>
  <si>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</si>
  <si>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</si>
  <si>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</si>
  <si>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</si>
  <si>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</si>
  <si>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</si>
  <si>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</si>
  <si>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</si>
  <si>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</si>
  <si>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</si>
  <si>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</si>
  <si>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</si>
  <si>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</si>
  <si>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</si>
  <si>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</si>
  <si>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</si>
  <si>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</si>
  <si>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</si>
  <si>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</si>
  <si>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</si>
  <si>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</si>
  <si>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</si>
  <si>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</si>
  <si>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</si>
  <si>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</si>
  <si>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</si>
  <si>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</si>
  <si>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</si>
  <si>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</si>
  <si>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</si>
  <si>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</si>
  <si>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</si>
  <si>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</si>
  <si>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</si>
  <si>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</si>
  <si>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</si>
  <si>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</si>
  <si>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</si>
  <si>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</si>
  <si>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</si>
  <si>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</si>
  <si>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</si>
  <si>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</si>
  <si>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</si>
  <si>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</si>
  <si>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</si>
  <si>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</si>
  <si>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</si>
  <si>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</si>
  <si>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</si>
  <si>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</si>
  <si>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</si>
  <si>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</si>
  <si>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</si>
  <si>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</si>
  <si>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</si>
  <si>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</si>
  <si>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</si>
  <si>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</si>
  <si>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</si>
  <si>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</si>
  <si>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</si>
  <si>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</si>
  <si>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</si>
  <si>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</si>
  <si>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</si>
  <si>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</si>
  <si>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</si>
  <si>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</si>
  <si>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</si>
  <si>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</si>
  <si>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</si>
  <si>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</si>
  <si>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</si>
  <si>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</si>
  <si>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</si>
  <si>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</si>
  <si>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</si>
  <si>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</si>
  <si>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</si>
  <si>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</si>
  <si>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</si>
  <si>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</si>
  <si>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</si>
  <si>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</si>
  <si>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</si>
  <si>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</si>
  <si>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</si>
  <si>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</si>
  <si>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</si>
  <si>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</si>
  <si>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</si>
  <si>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</si>
  <si>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</si>
  <si>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</si>
  <si>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</si>
  <si>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</si>
  <si>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</si>
  <si>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</si>
  <si>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</si>
  <si>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</si>
  <si>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</si>
  <si>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</si>
  <si>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</si>
  <si>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</si>
  <si>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</si>
  <si>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</si>
  <si>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</si>
  <si>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</si>
  <si>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</si>
  <si>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</si>
  <si>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</si>
  <si>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</si>
  <si>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</si>
  <si>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</si>
  <si>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</si>
  <si>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</si>
  <si>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</si>
  <si>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</si>
  <si>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</si>
  <si>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</si>
  <si>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</si>
  <si>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</si>
  <si>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</si>
  <si>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</si>
  <si>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</si>
  <si>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</si>
  <si>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</si>
  <si>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</si>
  <si>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</si>
  <si>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</si>
  <si>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</si>
  <si>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</si>
  <si>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</si>
  <si>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</si>
  <si>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</si>
  <si>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</si>
  <si>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</si>
  <si>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</si>
  <si>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</si>
  <si>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</si>
  <si>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</si>
  <si>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</si>
  <si>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</si>
  <si>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</si>
  <si>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</si>
  <si>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</si>
  <si>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</si>
  <si>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</si>
  <si>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</si>
  <si>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</si>
  <si>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</si>
  <si>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</si>
  <si>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</si>
  <si>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</si>
  <si>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</si>
  <si>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</si>
  <si>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</si>
  <si>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</si>
  <si>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</si>
  <si>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</si>
  <si>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</si>
  <si>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</si>
  <si>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</si>
  <si>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</si>
  <si>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</si>
  <si>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</si>
  <si>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</si>
  <si>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</si>
  <si>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</si>
  <si>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</si>
  <si>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</si>
  <si>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</si>
  <si>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</si>
  <si>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</si>
  <si>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</si>
  <si>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</si>
  <si>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</si>
  <si>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</si>
  <si>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</si>
  <si>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</si>
  <si>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</si>
  <si>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</si>
  <si>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</si>
  <si>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</si>
  <si>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</si>
  <si>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</si>
  <si>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</si>
  <si>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</si>
  <si>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</si>
  <si>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</si>
  <si>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</si>
  <si>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</si>
  <si>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</si>
  <si>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</si>
  <si>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</si>
  <si>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</si>
  <si>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</si>
  <si>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</si>
  <si>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</si>
  <si>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</si>
  <si>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</si>
  <si>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</si>
  <si>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</si>
  <si>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</si>
  <si>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</si>
  <si>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</si>
  <si>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</si>
  <si>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</si>
  <si>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</si>
  <si>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</si>
  <si>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</si>
  <si>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</si>
  <si>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</si>
  <si>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</si>
  <si>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</si>
  <si>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</si>
  <si>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</si>
  <si>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</si>
  <si>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</si>
  <si>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</si>
  <si>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</si>
  <si>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</si>
  <si>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</si>
  <si>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</si>
  <si>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</si>
  <si>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</si>
  <si>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</si>
  <si>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</si>
  <si>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</si>
  <si>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</si>
  <si>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</si>
  <si>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</si>
  <si>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</si>
  <si>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</si>
  <si>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</si>
  <si>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</si>
  <si>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</si>
  <si>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</si>
  <si>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</si>
  <si>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</si>
  <si>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</si>
  <si>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</si>
  <si>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</si>
  <si>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</si>
  <si>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</si>
  <si>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</si>
  <si>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</si>
  <si>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</si>
  <si>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</si>
  <si>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</si>
  <si>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</si>
  <si>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</si>
  <si>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</si>
  <si>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</si>
  <si>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</si>
  <si>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</si>
  <si>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</si>
  <si>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</si>
  <si>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</si>
  <si>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</si>
  <si>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</si>
  <si>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</si>
  <si>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</si>
  <si>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</si>
  <si>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</si>
  <si>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</si>
  <si>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</si>
  <si>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</si>
  <si>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</si>
  <si>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</si>
  <si>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</si>
  <si>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</si>
  <si>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</si>
  <si>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</si>
  <si>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</si>
  <si>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</si>
  <si>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</si>
  <si>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</si>
  <si>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</si>
  <si>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</si>
  <si>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</si>
  <si>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</si>
  <si>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</si>
  <si>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</si>
  <si>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</si>
  <si>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</si>
  <si>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</si>
  <si>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</si>
  <si>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</si>
  <si>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</si>
  <si>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</si>
  <si>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</si>
  <si>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</si>
  <si>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</si>
  <si>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</si>
  <si>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</si>
  <si>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</si>
  <si>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</si>
  <si>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</si>
  <si>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</si>
  <si>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</si>
  <si>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</si>
  <si>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</si>
  <si>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</si>
  <si>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</si>
  <si>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</si>
  <si>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</si>
  <si>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</si>
  <si>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</si>
  <si>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</si>
  <si>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</si>
  <si>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</si>
  <si>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</si>
  <si>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</si>
  <si>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</si>
  <si>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</si>
  <si>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</si>
  <si>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</si>
  <si>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</si>
  <si>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</si>
  <si>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</si>
  <si>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</si>
  <si>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</si>
  <si>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</si>
  <si>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</si>
  <si>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</si>
  <si>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</si>
  <si>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</si>
  <si>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</si>
  <si>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</si>
  <si>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</si>
  <si>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</si>
  <si>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</si>
  <si>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</si>
  <si>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</si>
  <si>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</si>
  <si>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</si>
  <si>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</si>
  <si>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</si>
  <si>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</si>
  <si>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</si>
  <si>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</si>
  <si>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</si>
  <si>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</si>
  <si>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</si>
  <si>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</si>
  <si>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</si>
  <si>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</si>
  <si>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</si>
  <si>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</si>
  <si>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</si>
  <si>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</si>
  <si>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</si>
  <si>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</si>
  <si>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</si>
  <si>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</si>
  <si>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</si>
  <si>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</si>
  <si>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</si>
  <si>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</si>
  <si>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</si>
  <si>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</si>
  <si>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</si>
  <si>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</si>
  <si>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</si>
  <si>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</si>
  <si>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</si>
  <si>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</si>
  <si>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</si>
  <si>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</si>
  <si>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</si>
  <si>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</si>
  <si>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</si>
  <si>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</si>
  <si>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</si>
  <si>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</si>
  <si>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</si>
  <si>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</si>
  <si>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</si>
  <si>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</si>
  <si>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</si>
  <si>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</si>
  <si>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</si>
  <si>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</si>
  <si>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</si>
  <si>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</si>
  <si>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</si>
  <si>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</si>
  <si>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</si>
  <si>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</si>
  <si>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</si>
  <si>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</si>
  <si>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</si>
  <si>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</si>
  <si>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</si>
  <si>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</si>
  <si>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</si>
  <si>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</si>
  <si>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</si>
  <si>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</si>
  <si>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</si>
  <si>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</si>
  <si>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</si>
  <si>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</si>
  <si>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</si>
  <si>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</si>
  <si>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</si>
  <si>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</si>
  <si>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</si>
  <si>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</si>
  <si>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</si>
  <si>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</si>
  <si>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</si>
  <si>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</si>
  <si>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</si>
  <si>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</si>
  <si>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</si>
  <si>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</si>
  <si>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</si>
  <si>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</si>
  <si>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</si>
  <si>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</si>
  <si>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</si>
  <si>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</si>
  <si>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</si>
  <si>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</si>
  <si>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</si>
  <si>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</si>
  <si>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</si>
  <si>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</si>
  <si>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</si>
  <si>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</si>
  <si>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</si>
  <si>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</si>
  <si>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</si>
  <si>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</si>
  <si>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</si>
  <si>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</si>
  <si>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</si>
  <si>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</si>
  <si>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</si>
  <si>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</si>
  <si>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</si>
  <si>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</si>
  <si>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</si>
  <si>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</si>
  <si>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</si>
  <si>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</si>
  <si>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</si>
  <si>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</si>
  <si>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</si>
  <si>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</si>
  <si>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</si>
  <si>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</si>
  <si>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</si>
  <si>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</si>
  <si>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</si>
  <si>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</si>
  <si>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</si>
  <si>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</si>
  <si>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</si>
  <si>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</si>
  <si>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</si>
  <si>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</si>
  <si>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</si>
  <si>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</si>
  <si>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</si>
  <si>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</si>
  <si>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</si>
  <si>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</si>
  <si>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</si>
  <si>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</si>
  <si>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</si>
  <si>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</si>
  <si>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</si>
  <si>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</si>
  <si>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</si>
  <si>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</si>
  <si>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</si>
  <si>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</si>
  <si>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</si>
  <si>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</si>
  <si>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</si>
  <si>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</si>
  <si>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</si>
  <si>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integer</t>
  </si>
  <si>
    <t>TBD</t>
  </si>
  <si>
    <t>Comment</t>
  </si>
  <si>
    <t>//  Comments</t>
  </si>
  <si>
    <t>//===================================================</t>
  </si>
  <si>
    <t>//--------------------------------------------------------------------------------</t>
  </si>
  <si>
    <t>cT</t>
  </si>
  <si>
    <t>Specifies the clinical T</t>
  </si>
  <si>
    <t>cN</t>
  </si>
  <si>
    <t>Specifies the clinical N</t>
  </si>
  <si>
    <t>cM</t>
  </si>
  <si>
    <t>Specifies the clinical M</t>
  </si>
  <si>
    <t>Clinical staging</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</si>
  <si>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</si>
  <si>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</si>
  <si>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</si>
  <si>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</si>
  <si>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</si>
  <si>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</si>
  <si>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</si>
  <si>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</si>
  <si>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</si>
  <si>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</si>
  <si>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</si>
  <si>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</si>
  <si>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</si>
  <si>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</si>
  <si>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</si>
  <si>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</si>
  <si>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</si>
  <si>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</si>
  <si>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</si>
  <si>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</si>
  <si>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</si>
  <si>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</si>
  <si>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</si>
  <si>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</si>
  <si>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</si>
  <si>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</si>
  <si>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</si>
  <si>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</si>
  <si>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</si>
  <si>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</si>
  <si>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</si>
  <si>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I4RCStaging2Fhir</t>
  </si>
  <si>
    <t>Idea4RC Staging model to FHIR R4 Map</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</si>
  <si>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</si>
  <si>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</si>
  <si>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</si>
  <si>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</si>
  <si>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</si>
  <si>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</si>
  <si>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</si>
  <si>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</si>
  <si>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</si>
  <si>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</si>
  <si>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</si>
  <si>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</si>
  <si>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</si>
  <si>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</si>
  <si>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</si>
  <si>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</si>
  <si>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</si>
  <si>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</si>
  <si>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</si>
  <si>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</si>
  <si>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treatmentResponseBasedOnImagingAloneNoRecistOrOtherCriteria</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</si>
  <si>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</si>
  <si>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</si>
  <si>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</si>
  <si>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</si>
  <si>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</si>
  <si>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</si>
  <si>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</si>
  <si>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</si>
  <si>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</si>
  <si>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</si>
  <si>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</si>
  <si>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</si>
  <si>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</si>
  <si>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</si>
  <si>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</si>
  <si>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</si>
  <si>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</si>
  <si>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</si>
  <si>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</si>
  <si>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</si>
  <si>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Hospital Discharge Report model to FHIR R4 Map</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</si>
  <si>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</si>
  <si>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</si>
  <si>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</si>
  <si>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</si>
  <si>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</si>
  <si>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</si>
  <si>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 xml:space="preserve"> Positive - 9191
 Negative - 9189
not tested - 45878602</t>
  </si>
  <si>
    <t>CUS.Crp–CReactiveProteinTested</t>
  </si>
  <si>
    <t>CUS.HpvStatus</t>
  </si>
  <si>
    <t>CUS.PlasmaticEbvDnaAtBaseline</t>
  </si>
  <si>
    <t>External lower lip - 4027546
External upper lip - 4134589
External lip, NOS - 4027545
Mucosa of upper lip -  36769700
Mucosa of lower lip - 36768548
Mucosa of lip, NOS - 4245168
Commissure of lip - 4307358</t>
  </si>
  <si>
    <t>CUS.LipSubsite</t>
  </si>
  <si>
    <t xml:space="preserve">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</si>
  <si>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CUS.OralCavitySubsite</t>
  </si>
  <si>
    <t xml:space="preserve">Glottis - 4047227
Supraglottis - 4001049
Subglottis - 4002724
Laryngeal cartilage - 4279711
</t>
  </si>
  <si>
    <t xml:space="preserve">AJCC 8th Edition Cancer Staging Manual
Glottis;Supraglottis;Subglottis;Laryngeal cartilage
</t>
  </si>
  <si>
    <t>CUS.LarynxSubsite</t>
  </si>
  <si>
    <t xml:space="preserve">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</si>
  <si>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t>
  </si>
  <si>
    <t>CUS.OropharynxSubsite</t>
  </si>
  <si>
    <t xml:space="preserve">Postcricoid region - 4147741
 Hypopharyngeal aspect of aryepiglottic fold - 4262980
Posterior wall of hypopharynx - 4102600
Pyriform sinus - 4268741
</t>
  </si>
  <si>
    <t xml:space="preserve">AJCC 8th Edition Cancer Staging Manual
Postcricoid region; Hypopharyngeal aspect of aryepiglottic fold;
Posterior wall of hypopharynx;Pyriform sinus
</t>
  </si>
  <si>
    <t>CUS.HypopharynxSubsite</t>
  </si>
  <si>
    <t>Superior wall of nasopharynx - 4068978
Posterior wall of nasopharynx - 4146741
Lateral wall of nasopharynx - 4323979
Anterior wall of nasopharynx - 4220236</t>
  </si>
  <si>
    <t>AJCC 8th Edition Cancer Staging Manual
Superior wall of nasopharynx;Posterior wall of nasopharynx;Lateral wall of nasopharynx;Anterior wall of nasopharynx</t>
  </si>
  <si>
    <t>CUS.NasopharynxSubsite</t>
  </si>
  <si>
    <t>Nasal cavity - 4088327
Maxillary sinus - 4050631
Ethmoid sinus - 4182234
Frontal sinus - 4204534
Sphenoid sinus - 4097172</t>
  </si>
  <si>
    <t>AJCC 8th Edition Cancer Staging Manual
Nasal cavity;Maxillary sinus;Ethmoid sinus;Frontal sinus;Sphenoid sinus</t>
  </si>
  <si>
    <t>CUS.NasalCavityAndParanasalSinusesSubsite</t>
  </si>
  <si>
    <t>SMARCB1 (INI-1)-deficient Sinonasal undifferentiated Carcinoma
Sinonasal SMARCA4 deficient carcinoma
IDH2-mutated sinonasal undifferentiated neoplasm</t>
  </si>
  <si>
    <t xml:space="preserve">
SMARCB1 (INI-1)-deficient Sinonasal undifferentiated Carcinoma;Sinonasal SMARCA4 deficient carcinoma;IDH2-mutated sinonasal undifferentiated neoplasm</t>
  </si>
  <si>
    <t>CUS.HistologySNUC</t>
  </si>
  <si>
    <t>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</si>
  <si>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</si>
  <si>
    <t>CUS.HistologyOdontogenicCarcinoma</t>
  </si>
  <si>
    <t>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</si>
  <si>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</si>
  <si>
    <t>CUS.HistologyNeuroendocrine</t>
  </si>
  <si>
    <t xml:space="preserve">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</si>
  <si>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</si>
  <si>
    <t>CUS.HistologyAdenocarcinoma</t>
  </si>
  <si>
    <t>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</si>
  <si>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</si>
  <si>
    <t>CUS.HistologySquamous</t>
  </si>
  <si>
    <t>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</si>
  <si>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</si>
  <si>
    <t>CancerEpisode.Histology(Who2017)Group</t>
  </si>
  <si>
    <t>Check this</t>
  </si>
  <si>
    <t>Grading of the cancer</t>
  </si>
  <si>
    <t>Grading</t>
  </si>
  <si>
    <t>CancerEpisode.Grading</t>
  </si>
  <si>
    <t>CancerEpisode.AgeAtDiagnosis</t>
  </si>
  <si>
    <t>The hospital; A different hospital</t>
  </si>
  <si>
    <t>CustomCode</t>
  </si>
  <si>
    <t>Describes the institution where diagnostic procedure was performed</t>
  </si>
  <si>
    <t>CancerEpisode.BiopsyDoneBy</t>
  </si>
  <si>
    <t>CancerEpisode.DateOfDiagnosis(BiopsyOrSurgicalPiece)</t>
  </si>
  <si>
    <t>A patient element data</t>
  </si>
  <si>
    <t>ElementReference</t>
  </si>
  <si>
    <t>Patient element containing the data regarding the patient followed by the hospital</t>
  </si>
  <si>
    <t>CancerEpisode.Patient</t>
  </si>
  <si>
    <t>Vocabulary</t>
  </si>
  <si>
    <t>DataElement</t>
  </si>
  <si>
    <t>id</t>
  </si>
  <si>
    <t>index</t>
  </si>
  <si>
    <t>http://hl7.eu/fhir/ig/idea4rc/StructureDefinition/Subject</t>
  </si>
  <si>
    <t xml:space="preserve">integer </t>
  </si>
  <si>
    <t>Histology Subgroups</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</si>
  <si>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</si>
  <si>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</si>
  <si>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</si>
  <si>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</si>
  <si>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</si>
  <si>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</si>
  <si>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</si>
  <si>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</si>
  <si>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</si>
  <si>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</si>
  <si>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</si>
  <si>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</si>
  <si>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</si>
  <si>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</si>
  <si>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</si>
  <si>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</si>
  <si>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</si>
  <si>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</si>
  <si>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</si>
  <si>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</si>
  <si>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</si>
  <si>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</si>
  <si>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</si>
  <si>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</si>
  <si>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histologySubGroup</t>
  </si>
  <si>
    <t>histologySubGroup.histologySquamous</t>
  </si>
  <si>
    <t>histologySubGroup.histologyAdenocarcinoma</t>
  </si>
  <si>
    <t>histologySubGroup.histologyNeuroendocrine</t>
  </si>
  <si>
    <t>histologySubGroup.histologyOdontogenicCarcinoma</t>
  </si>
  <si>
    <t>histologySubGroup.histologySNUC</t>
  </si>
  <si>
    <t>plasmaticEbvDnaAtBaseline</t>
  </si>
  <si>
    <t>hpvStatus</t>
  </si>
  <si>
    <t>crpCReactiveProteinTested</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</si>
  <si>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</si>
  <si>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</si>
  <si>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</si>
  <si>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</si>
  <si>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</si>
  <si>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</si>
  <si>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</si>
  <si>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</si>
  <si>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</si>
  <si>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</si>
  <si>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</si>
  <si>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</si>
  <si>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</si>
  <si>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</si>
  <si>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</si>
  <si>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</si>
  <si>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</si>
  <si>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</si>
  <si>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</si>
  <si>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</si>
  <si>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</si>
  <si>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</si>
  <si>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</si>
  <si>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</si>
  <si>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</si>
  <si>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</si>
  <si>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</si>
  <si>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</si>
  <si>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</si>
  <si>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</si>
  <si>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</si>
  <si>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</si>
  <si>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</si>
  <si>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</si>
  <si>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</si>
  <si>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</si>
  <si>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</si>
  <si>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</si>
  <si>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</si>
  <si>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</si>
  <si>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</si>
  <si>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</si>
  <si>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</si>
  <si>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</si>
  <si>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</si>
  <si>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</si>
  <si>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</si>
  <si>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</si>
  <si>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</si>
  <si>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</si>
  <si>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</si>
  <si>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</si>
  <si>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</si>
  <si>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</si>
  <si>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</si>
  <si>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</si>
  <si>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</si>
  <si>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</si>
  <si>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</si>
  <si>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</si>
  <si>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</si>
  <si>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</si>
  <si>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</si>
  <si>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</si>
  <si>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</si>
  <si>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</si>
  <si>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</si>
  <si>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</si>
  <si>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</si>
  <si>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</si>
  <si>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</si>
  <si>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</si>
  <si>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</si>
  <si>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</si>
  <si>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</si>
  <si>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</si>
  <si>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</si>
  <si>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</si>
  <si>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</si>
  <si>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</si>
  <si>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Tx; Tis; T0;T1;T2; T3; T4; T4a; T4b;Tx - 4282467
 Tis - 4195922
T0 - 4243213
T1 -  4052407
T2 - 4194614
 T3 - 4032012
 T4 - 4278513
 T4a - 4127612
 T4b - 4129920</t>
  </si>
  <si>
    <t>Nx; N0;N1;N2;N2a;N2b;N2c;N3; N3a;N3b;Nx - 4195718
N0 - 4266674
N1 - 4203608
N2 - 4263599
N2a - 4135247
N2b - 4119012
N2c - 4118508
N3 - 4239307
N3a - 4240556
N3b - 4240557</t>
  </si>
  <si>
    <t>ENE-; ENE+;ENE- - 36769946
ENE+ - 36770618</t>
  </si>
  <si>
    <t>M0; M1;M0 -  4149726
M1 - 4205430</t>
  </si>
  <si>
    <t>0;I;II;III;IV;IVA;IVB;IVC;0 - 4127500
I - 4121054
II - 4106768
III - 4121176
IV - 4123017
IVA - 4129915
IVB - 4130412
IVC - 4196439</t>
  </si>
  <si>
    <t xml:space="preserve">8th,9th,10th,11th8th - 1634449
9th - 
10th - 
11th - </t>
  </si>
  <si>
    <t>ClinicalStage</t>
  </si>
  <si>
    <t>Clinical Stage</t>
  </si>
  <si>
    <t>clinicalStaging</t>
  </si>
  <si>
    <t>episodeEvent</t>
  </si>
  <si>
    <t>Episode Event</t>
  </si>
  <si>
    <t>i4rc-clinicalStage.fsh</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</si>
  <si>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</si>
  <si>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</si>
  <si>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</si>
  <si>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</si>
  <si>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</si>
  <si>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</si>
  <si>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</si>
  <si>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</si>
  <si>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</si>
  <si>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</si>
  <si>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</si>
  <si>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</si>
  <si>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</si>
  <si>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</si>
  <si>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</si>
  <si>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</si>
  <si>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</si>
  <si>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</si>
  <si>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</si>
  <si>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</si>
  <si>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</si>
  <si>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</si>
  <si>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</si>
  <si>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</si>
  <si>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</si>
  <si>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</si>
  <si>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</si>
  <si>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</si>
  <si>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</si>
  <si>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radiologicalExtraNodalExtension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</si>
  <si>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</si>
  <si>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</si>
  <si>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</si>
  <si>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</si>
  <si>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</si>
  <si>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</si>
  <si>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</si>
  <si>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</si>
  <si>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</si>
  <si>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Is local</t>
  </si>
  <si>
    <t>Describes if the progression /recurrence or persistent disease is local</t>
  </si>
  <si>
    <t>Is regional</t>
  </si>
  <si>
    <t>Describes if the progression /recurrence or persistent disease is regional</t>
  </si>
  <si>
    <t>Is metastatic</t>
  </si>
  <si>
    <t>Describes if the progression /recurrence or persistent disease is metastatic</t>
  </si>
  <si>
    <t>Site of metastasis_soft tissue</t>
  </si>
  <si>
    <t>Site of metastasis_distant lymph nodes</t>
  </si>
  <si>
    <t>Site of metastasis_lung</t>
  </si>
  <si>
    <t>Site of metastasis_bone</t>
  </si>
  <si>
    <t>Site of metastasis_liver</t>
  </si>
  <si>
    <t>Site of metastasis_pleura</t>
  </si>
  <si>
    <t>Site of metastasis_peritoneum</t>
  </si>
  <si>
    <t>Site of  metastasis_brain</t>
  </si>
  <si>
    <t>Site of  metastasis_other viscera</t>
  </si>
  <si>
    <t>Site of  metastasis_unknown</t>
  </si>
  <si>
    <t xml:space="preserve">Baseline; Progression; Recurrence; Persistent diseaseBaseline -  4190366
Progression - 4168352
Recurrence - 4097297
Persistent disease - </t>
  </si>
  <si>
    <t>the hospital; a different hospitalCustom</t>
  </si>
  <si>
    <t>Yes; No; UnknownYes - 4188539
No -  4188540
Unknown - 4129922</t>
  </si>
  <si>
    <t>EpisodeEvent</t>
  </si>
  <si>
    <t>cancerEpisode</t>
  </si>
  <si>
    <t>siteOfMetastasis.softTissue</t>
  </si>
  <si>
    <t>siteOfMetastasis.bone</t>
  </si>
  <si>
    <t>siteOfMetastasis.brain</t>
  </si>
  <si>
    <t>siteOfMetastasis.lung</t>
  </si>
  <si>
    <t>siteOfMetastasis.liver</t>
  </si>
  <si>
    <t>siteOfMetastasis.pleura</t>
  </si>
  <si>
    <t>siteOfMetastasis.peritoneum</t>
  </si>
  <si>
    <t>siteOfMetastasis.distantLymphNodes</t>
  </si>
  <si>
    <t>siteOfMetastasis.otherViscera</t>
  </si>
  <si>
    <t>siteOfMetastasis.unknown</t>
  </si>
  <si>
    <t>isLocal</t>
  </si>
  <si>
    <t>isRegional</t>
  </si>
  <si>
    <t>isMetastatic</t>
  </si>
  <si>
    <t>eventType</t>
  </si>
  <si>
    <t>definedAt</t>
  </si>
  <si>
    <t>dateOfEpisode</t>
  </si>
  <si>
    <t>http://hl7.eu/fhir/ig/idea4rc/StructureDefinition/CancerEpisode</t>
  </si>
  <si>
    <t>i4rc-episodeEvent.fsh</t>
  </si>
  <si>
    <t>siteOfMetastasis</t>
  </si>
  <si>
    <t>Site of metastasis</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</si>
  <si>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</si>
  <si>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</si>
  <si>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</si>
  <si>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</si>
  <si>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</si>
  <si>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</si>
  <si>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</si>
  <si>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</si>
  <si>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</si>
  <si>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</si>
  <si>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</si>
  <si>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</si>
  <si>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</si>
  <si>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</si>
  <si>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</si>
  <si>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</si>
  <si>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</si>
  <si>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</si>
  <si>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</si>
  <si>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</si>
  <si>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</si>
  <si>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</si>
  <si>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</si>
  <si>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</si>
  <si>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</si>
  <si>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</si>
  <si>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</si>
  <si>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</si>
  <si>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</si>
  <si>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</si>
  <si>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</si>
  <si>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</si>
  <si>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</si>
  <si>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</si>
  <si>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</si>
  <si>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</si>
  <si>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</si>
  <si>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</si>
  <si>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</si>
  <si>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</si>
  <si>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</si>
  <si>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</si>
  <si>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</si>
  <si>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</si>
  <si>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</si>
  <si>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</si>
  <si>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</si>
  <si>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</si>
  <si>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</si>
  <si>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</si>
  <si>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</si>
  <si>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</si>
  <si>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</si>
  <si>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</si>
  <si>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</si>
  <si>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</si>
  <si>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</si>
  <si>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</si>
  <si>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</si>
  <si>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</si>
  <si>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</si>
  <si>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</si>
  <si>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</si>
  <si>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</si>
  <si>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</si>
  <si>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</si>
  <si>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</si>
  <si>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</si>
  <si>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</si>
  <si>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</si>
  <si>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</si>
  <si>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</si>
  <si>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dateOfSurgery</t>
  </si>
  <si>
    <t>Date of surgery</t>
  </si>
  <si>
    <t>Date of the surgery for primary tumor with or without neck surgery</t>
  </si>
  <si>
    <t>surgeryIntention</t>
  </si>
  <si>
    <t>Surgery intention</t>
  </si>
  <si>
    <t>Palliative: surgery performed with the intent of improving quality of life or relieving symptoms caused by advanced disease.
Curative: surgery performed with the intend of oncologic cure, regardless of its result (R0 / R1/R2)</t>
  </si>
  <si>
    <t>Palliative; Curative; Unknown
Palliative - 4179711
Curative - 
Unknown - 4129922</t>
  </si>
  <si>
    <t>typeOfSurgicalApproachOnTumour</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</si>
  <si>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</si>
  <si>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</si>
  <si>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</si>
  <si>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</si>
  <si>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</si>
  <si>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</si>
  <si>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R0 (microscopic negative); R1 (microscopic positive); R2 (macroscopic positive); Unknown
R0 (microscopic negative) - 4121182
R1 (microscopic positive) -  4175704
R2 (macroscopic positive) - 4081832
Unknown - 4129922</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</si>
  <si>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</si>
  <si>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</si>
  <si>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</si>
  <si>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</si>
  <si>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</si>
  <si>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</si>
  <si>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</si>
  <si>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</si>
  <si>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</si>
  <si>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</si>
  <si>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</si>
  <si>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</si>
  <si>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</si>
  <si>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</si>
  <si>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</si>
  <si>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</si>
  <si>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</si>
  <si>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</si>
  <si>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</si>
  <si>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</si>
  <si>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</si>
  <si>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</si>
  <si>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</si>
  <si>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</si>
  <si>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</si>
  <si>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</si>
  <si>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</si>
  <si>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</si>
  <si>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</si>
  <si>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</si>
  <si>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</si>
  <si>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</si>
  <si>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</si>
  <si>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</si>
  <si>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</si>
  <si>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</si>
  <si>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</si>
  <si>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</si>
  <si>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</si>
  <si>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</si>
  <si>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surgicalComplicationsClavienDindoClassification</t>
  </si>
  <si>
    <t>Surgical complications (Clavien-Dindo Classification)</t>
  </si>
  <si>
    <t>Describes presence and grade of complications after a surgical procedure,</t>
  </si>
  <si>
    <t>No complication; Grade I-V; unknown.
No complication -  4188540
Grade I - 40459832
Grade II - 40459833
Grade III - 40459834
Grade IV - 40459835
Grade V - 40459836 
Unknown - 4129922</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</si>
  <si>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</si>
  <si>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</si>
  <si>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</si>
  <si>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</si>
  <si>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</si>
  <si>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</si>
  <si>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</si>
  <si>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</si>
  <si>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</si>
  <si>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</si>
  <si>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</si>
  <si>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</si>
  <si>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</si>
  <si>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</si>
  <si>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</si>
  <si>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</si>
  <si>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</si>
  <si>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</si>
  <si>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</si>
  <si>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</si>
  <si>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</si>
  <si>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</si>
  <si>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</si>
  <si>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</si>
  <si>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</si>
  <si>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</si>
  <si>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</si>
  <si>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</si>
  <si>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</si>
  <si>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</si>
  <si>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</si>
  <si>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</si>
  <si>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</si>
  <si>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</si>
  <si>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</si>
  <si>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</si>
  <si>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</si>
  <si>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</si>
  <si>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</si>
  <si>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</si>
  <si>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</si>
  <si>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</si>
  <si>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</si>
  <si>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</si>
  <si>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</si>
  <si>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</si>
  <si>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</si>
  <si>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</si>
  <si>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</si>
  <si>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</si>
  <si>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</si>
  <si>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</si>
  <si>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</si>
  <si>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</si>
  <si>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</si>
  <si>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</si>
  <si>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</si>
  <si>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</si>
  <si>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</si>
  <si>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</si>
  <si>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</si>
  <si>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</si>
  <si>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</si>
  <si>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</si>
  <si>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</si>
  <si>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</si>
  <si>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</si>
  <si>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</si>
  <si>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</si>
  <si>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</si>
  <si>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</si>
  <si>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</si>
  <si>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</si>
  <si>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</si>
  <si>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Describes the site of surgery on metastasis</t>
  </si>
  <si>
    <t>siteOfSurgeryOnMetastasis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</si>
  <si>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</si>
  <si>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</si>
  <si>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</si>
  <si>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</si>
  <si>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</si>
  <si>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</si>
  <si>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</si>
  <si>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</si>
  <si>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 performedDateTime</t>
  </si>
  <si>
    <t>to be analyzed: add a slice to the category.coding or derive this from a combination of elements or use other cathegories (R5 extension)</t>
  </si>
  <si>
    <t>to be analized: add a slice to code or consider to define an extension for this (or cathegories (R5 extension)) ?</t>
  </si>
  <si>
    <t>extension:procedure-approachBodyStructure</t>
  </si>
  <si>
    <t>to be analized: the traget is a bodyStructure.. Maybe too much for justconveying a code ?</t>
  </si>
  <si>
    <t>outcome</t>
  </si>
  <si>
    <t>TO BE ANALIZED</t>
  </si>
  <si>
    <t>a surgical proceudre exists with bodySite = neck</t>
  </si>
  <si>
    <t>how this differs fomr the dateOfSurgery ?</t>
  </si>
  <si>
    <t>bodySite.extension:laterality</t>
  </si>
  <si>
    <t>TO BE ANALYZED:
a surgical proceudre exists with resonReference the metstatic condition
or a surgical proceudre exists with  reasonCode = metastatis</t>
  </si>
  <si>
    <t>complication</t>
  </si>
  <si>
    <t>surgery-to-fhir-map.fsh</t>
  </si>
  <si>
    <t>extension:ProcedureCategoryR5</t>
  </si>
  <si>
    <t>radiotherapy2FHIR</t>
  </si>
  <si>
    <t>Radiotherapy Model to this guide Map</t>
  </si>
  <si>
    <t>It shows how the Radiotherapy model is mapped into this guide</t>
  </si>
  <si>
    <t>to be analyzed: derive this from a combination of elements or use other cathegories (R5 extension)</t>
  </si>
  <si>
    <t>CLARIFY MAPPING</t>
  </si>
  <si>
    <t>CRP - C reactive protein tested</t>
  </si>
  <si>
    <t>siteOfSurgeryOnMetastasis.softTissue</t>
  </si>
  <si>
    <t>siteOfSurgeryOnMetastasis.distantLymphNodes</t>
  </si>
  <si>
    <t>siteOfSurgeryOnMetastasis.lung</t>
  </si>
  <si>
    <t>siteOfSurgeryOnMetastasis.liver</t>
  </si>
  <si>
    <t>siteOfSurgeryOnMetastasis.pleura</t>
  </si>
  <si>
    <t>siteOfSurgeryOnMetastasis.peritoneum</t>
  </si>
  <si>
    <t>siteOfSurgeryOnMetastasis.bone</t>
  </si>
  <si>
    <t>siteOfSurgeryOnMetastasis.brain</t>
  </si>
  <si>
    <t>siteOfSurgeryOnMetastasis.unknown</t>
  </si>
  <si>
    <t>siteOfSurgeryOnMetastasis.otherViscera</t>
  </si>
  <si>
    <t>extension:procedureIntent.valueCodeableConcept</t>
  </si>
  <si>
    <t>extension:modalityAndTechnique.extension:technique.valueCodeableConcept</t>
  </si>
  <si>
    <t>extension:doseToVolume.extension:totalDoseDelivered</t>
  </si>
  <si>
    <t>fractionsDelivered</t>
  </si>
  <si>
    <t>check if this can be derived form TD and number of fractions</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</si>
  <si>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</si>
  <si>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</si>
  <si>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</si>
  <si>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</si>
  <si>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</si>
  <si>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</si>
  <si>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to be reviewed; extension to be localized to change the used value set. Chack if the statusReason can be sued for this scope</t>
  </si>
  <si>
    <t>extension:procedureCategoryR5</t>
  </si>
  <si>
    <t>radiotherapy-to-fhir-map.fsh</t>
  </si>
  <si>
    <t>systemicTreatment2FHIR</t>
  </si>
  <si>
    <t>Systemic Treatment to this guide Map</t>
  </si>
  <si>
    <t>It shows how the Systemic Treatment model is mapped into this guide</t>
  </si>
  <si>
    <t>category</t>
  </si>
  <si>
    <t>extension:intent</t>
  </si>
  <si>
    <t>extension</t>
  </si>
  <si>
    <t>effectivePeriod.end</t>
  </si>
  <si>
    <t>medication[x]</t>
  </si>
  <si>
    <t>statusReason</t>
  </si>
  <si>
    <t>extension:outcome</t>
  </si>
  <si>
    <t>to be checked, consdier if we should use procedure + amdinistration ; or careplan ..tbd..</t>
  </si>
  <si>
    <t xml:space="preserve">TO BE ANALYZED IF THIS IS REPRESENTED BY USING A MedicationAdministration OR IT IS A PROCEDURE COMPOSED BY ONE OR MORE </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</si>
  <si>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</si>
  <si>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</si>
  <si>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</si>
  <si>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</si>
  <si>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</si>
  <si>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</si>
  <si>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</si>
  <si>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</si>
  <si>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</si>
  <si>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</si>
  <si>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</si>
  <si>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</si>
  <si>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</si>
  <si>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</si>
  <si>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</si>
  <si>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</si>
  <si>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</si>
  <si>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</si>
  <si>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</si>
  <si>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</si>
  <si>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</si>
  <si>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</si>
  <si>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</si>
  <si>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</si>
  <si>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</si>
  <si>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</si>
  <si>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</si>
  <si>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</si>
  <si>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</si>
  <si>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</si>
  <si>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</si>
  <si>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</si>
  <si>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</si>
  <si>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</si>
  <si>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</si>
  <si>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</si>
  <si>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</si>
  <si>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</si>
  <si>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</si>
  <si>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</si>
  <si>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</si>
  <si>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</si>
  <si>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cancerEpisodeReference</t>
  </si>
  <si>
    <t>Cancer Episode reference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</si>
  <si>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</si>
  <si>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Complete response; partial response; stable disease; progression; unknown
Complete response - 4163135
Partial response -  4161302
Stable disease - 4241442
Progression - 4168352
Unknown - 4129922</t>
  </si>
  <si>
    <t>Treatment response defined/done</t>
  </si>
  <si>
    <t>refers to whether overall treatment reponse was assessed at the registering hospital or another.</t>
  </si>
  <si>
    <t>At the hospital; At a different hospital
Custom</t>
  </si>
  <si>
    <t>whereDone</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</si>
  <si>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</si>
  <si>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</si>
  <si>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</si>
  <si>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</si>
  <si>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</si>
  <si>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occurredAt</t>
  </si>
  <si>
    <t>Occurred at</t>
  </si>
  <si>
    <t>specifies which phase (baseline, progression) of the disease the adverse event is related to</t>
  </si>
  <si>
    <t>Adverse event related to</t>
  </si>
  <si>
    <t>specifies which treatment the adverse event is related to</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</si>
  <si>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</si>
  <si>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</si>
  <si>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</si>
  <si>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</si>
  <si>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</si>
  <si>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referstothepatientsfirstadverseevent</t>
  </si>
  <si>
    <t>Adverse Event</t>
  </si>
  <si>
    <t>type</t>
  </si>
  <si>
    <t>relatedTo</t>
  </si>
  <si>
    <t>eventStartingDate</t>
  </si>
  <si>
    <t>eventDuration</t>
  </si>
  <si>
    <t>Reference</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</si>
  <si>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</si>
  <si>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</si>
  <si>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</si>
  <si>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</si>
  <si>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</si>
  <si>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</si>
  <si>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</si>
  <si>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</si>
  <si>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</si>
  <si>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</si>
  <si>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</si>
  <si>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</si>
  <si>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</si>
  <si>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</si>
  <si>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</si>
  <si>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</si>
  <si>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nextGenerationSequencingNgsPerformed</t>
  </si>
  <si>
    <t>Clarifies whether a NGS analysis is performed</t>
  </si>
  <si>
    <t>dateOfNgs</t>
  </si>
  <si>
    <t>Date of the NGS analysis</t>
  </si>
  <si>
    <t>polymeraseChainReactionPcrTestPerformed</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</si>
  <si>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</si>
  <si>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</si>
  <si>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</si>
  <si>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</si>
  <si>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</si>
  <si>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</si>
  <si>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</si>
  <si>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circulatingTumourDnaCtdnaPerformed</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</si>
  <si>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</si>
  <si>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</si>
  <si>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</si>
  <si>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</si>
  <si>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</si>
  <si>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</si>
  <si>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</si>
  <si>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</si>
  <si>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</si>
  <si>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</si>
  <si>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ClinicalStageI4rc</t>
  </si>
  <si>
    <t>PathologicalStageI4rc</t>
  </si>
  <si>
    <t>SystemicTreatmentI4rc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</si>
  <si>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</si>
  <si>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</si>
  <si>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</si>
  <si>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</si>
  <si>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</si>
  <si>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</si>
  <si>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</si>
  <si>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</si>
  <si>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</si>
  <si>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</si>
  <si>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To be checked, linked to the code since the concpet includes both morhphology and topography</t>
  </si>
  <si>
    <t>http://hl7.org/fhir/StrcutureDefinition/DomainResource</t>
  </si>
  <si>
    <t>followup2FHIR</t>
  </si>
  <si>
    <t>Patient Follow up Model to this guide Map</t>
  </si>
  <si>
    <t>It shows how the Patient Follow up model is mapped into this guide</t>
  </si>
  <si>
    <t>Encounter</t>
  </si>
  <si>
    <t>CLARIFY THE MEANING OF THE MODEL ELEMENT</t>
  </si>
  <si>
    <t>period.end</t>
  </si>
  <si>
    <t>check if the period end is the appropriate date</t>
  </si>
  <si>
    <t>If  extension:condition-occurredFollowing exists, this is a new primary cancer diagnosis identified during a follow up</t>
  </si>
  <si>
    <t>extension:assertedDate</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</si>
  <si>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</si>
  <si>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</si>
  <si>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</si>
  <si>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</si>
  <si>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</si>
  <si>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</si>
  <si>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</si>
  <si>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</si>
  <si>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Describes whether the patient was diagnosed before treatment of at least one of the comorbidities listed  next or not</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</si>
  <si>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</si>
  <si>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</si>
  <si>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</si>
  <si>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</si>
  <si>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</si>
  <si>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</si>
  <si>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</si>
  <si>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</si>
  <si>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</si>
  <si>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</si>
  <si>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</si>
  <si>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</si>
  <si>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</si>
  <si>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</si>
  <si>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</si>
  <si>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</si>
  <si>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</si>
  <si>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</si>
  <si>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</si>
  <si>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</si>
  <si>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</si>
  <si>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</si>
  <si>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</si>
  <si>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olliersDisease</t>
  </si>
  <si>
    <t>Olliers disease</t>
  </si>
  <si>
    <t>maffuciSyndrome</t>
  </si>
  <si>
    <t>Maffuci syndrome</t>
  </si>
  <si>
    <t>liFraumeniSyndrome</t>
  </si>
  <si>
    <t>Li-Fraumeni syndrome</t>
  </si>
  <si>
    <t>mcCuneAlbrightSyndrome</t>
  </si>
  <si>
    <t>McCune-Albright syndrome</t>
  </si>
  <si>
    <t>multipleOsteochondromas</t>
  </si>
  <si>
    <t>Multiple osteochondromas</t>
  </si>
  <si>
    <t>neurofibromatosisType1</t>
  </si>
  <si>
    <t>Neurofibromatosis type 1</t>
  </si>
  <si>
    <t>rothmundThomsonSyndrome</t>
  </si>
  <si>
    <t>Rothmund-Thomson syndrome</t>
  </si>
  <si>
    <t>wernerSyndrome</t>
  </si>
  <si>
    <t>Werner syndrome</t>
  </si>
  <si>
    <t>retinoblastoma</t>
  </si>
  <si>
    <t>Retinoblastoma</t>
  </si>
  <si>
    <t>pagetDisease</t>
  </si>
  <si>
    <t>Paget disease</t>
  </si>
  <si>
    <t>otherGeneticSyndromeWho2020</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</si>
  <si>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</si>
  <si>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</si>
  <si>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</si>
  <si>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</si>
  <si>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</si>
  <si>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</si>
  <si>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</si>
  <si>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</si>
  <si>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</si>
  <si>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</si>
  <si>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</si>
  <si>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</si>
  <si>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</si>
  <si>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</si>
  <si>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</si>
  <si>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</si>
  <si>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</si>
  <si>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</si>
  <si>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</si>
  <si>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TO BE MAPPED</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</si>
  <si>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</si>
  <si>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</si>
  <si>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</si>
  <si>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</si>
  <si>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</si>
  <si>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</si>
  <si>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</si>
  <si>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</si>
  <si>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</si>
  <si>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</si>
  <si>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</si>
  <si>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</si>
  <si>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</si>
  <si>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</si>
  <si>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</si>
  <si>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</si>
  <si>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</si>
  <si>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</si>
  <si>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</si>
  <si>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</si>
  <si>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</si>
  <si>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</si>
  <si>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</si>
  <si>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</si>
  <si>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</si>
  <si>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</si>
  <si>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</si>
  <si>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</si>
  <si>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</si>
  <si>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</si>
  <si>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</si>
  <si>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</si>
  <si>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</si>
  <si>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</si>
  <si>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</si>
  <si>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</si>
  <si>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</si>
  <si>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</si>
  <si>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</si>
  <si>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</si>
  <si>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subsites.nasalCavityAndParanasalSinusesSubsite</t>
  </si>
  <si>
    <t>subsites.nasopharynxSubsite</t>
  </si>
  <si>
    <t>subsites.hypopharynxSubsite</t>
  </si>
  <si>
    <t>subsites.oropharynxSubsite</t>
  </si>
  <si>
    <t>subsites.larynxSubsite</t>
  </si>
  <si>
    <t>subsites.oralCavitySubsite</t>
  </si>
  <si>
    <t>subsites.lipSubsite</t>
  </si>
  <si>
    <t>subsites.upperAndLowerLimbsSubsite</t>
  </si>
  <si>
    <t>subsites.trunkWallSubsite</t>
  </si>
  <si>
    <t>subsites.intraAbdominalSubsite</t>
  </si>
  <si>
    <t>subsites.intraThoracicSubsite</t>
  </si>
  <si>
    <t>subsites.genitoUrinarySubsite</t>
  </si>
  <si>
    <t>subsites.headAndNeckSubsite</t>
  </si>
  <si>
    <t>subsites.breastSubsite</t>
  </si>
  <si>
    <t>subsites.otherSubsite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</si>
  <si>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</si>
  <si>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</si>
  <si>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</si>
  <si>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</si>
  <si>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</si>
  <si>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</si>
  <si>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</si>
  <si>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</si>
  <si>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</si>
  <si>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</si>
  <si>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</si>
  <si>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</si>
  <si>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</si>
  <si>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</si>
  <si>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</si>
  <si>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</si>
  <si>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</si>
  <si>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</si>
  <si>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</si>
  <si>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</si>
  <si>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</si>
  <si>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</si>
  <si>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</si>
  <si>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</si>
  <si>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</si>
  <si>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</si>
  <si>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</si>
  <si>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</si>
  <si>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</si>
  <si>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</si>
  <si>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</si>
  <si>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</si>
  <si>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</si>
  <si>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</si>
  <si>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</si>
  <si>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</si>
  <si>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</si>
  <si>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</si>
  <si>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</si>
  <si>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</si>
  <si>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tumorGroup</t>
  </si>
  <si>
    <t>Tumor group (TBD)</t>
  </si>
  <si>
    <t>TO BE CHECKED . Added tpo group other tumors</t>
  </si>
  <si>
    <t>tumorGroup.vascularTumours</t>
  </si>
  <si>
    <t>tumorGroup.pericyticPerivascularTumours</t>
  </si>
  <si>
    <t>tumorGroup.smoothMuscleTumours</t>
  </si>
  <si>
    <t>tumorGroup.skeletalMuscleTumours</t>
  </si>
  <si>
    <t>tumorGroup.chondroOsseousTumours</t>
  </si>
  <si>
    <t>tumorGroup.peripheralNerveSheathTumours</t>
  </si>
  <si>
    <t>tumorGroup.tumoursOfUncertainDifferentiation</t>
  </si>
  <si>
    <t>tumorGroup.undifSmallRCelSarcBonAndSofTis</t>
  </si>
  <si>
    <t>tumorGroup.miscellaniousMesenchimalTumors</t>
  </si>
  <si>
    <t>tumorGroup.mixedEpithelialAndMesenchymalTumours</t>
  </si>
  <si>
    <t>tumorGroup.endStrAndRelatedTumours</t>
  </si>
  <si>
    <t>histologySubGroup.adipocyticTumours</t>
  </si>
  <si>
    <t>histologySubGroup.fmtTumours</t>
  </si>
  <si>
    <t>histologySubGroup.socalledFibrohistiocyticTumours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</si>
</sst>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8">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
      <sz val="11"/>
      <color rgb="FF9C5700"/>
      <name val="Calibri"/>
      <family val="2"/>
      <scheme val="minor"/>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s>
  <fills count="2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rgb="FFFFEB9C"/>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s>
  <borders count="3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1" applyNumberFormat="0" applyFont="0" applyAlignment="0" applyProtection="0"/>
    <xf numFmtId="0" fontId="19" fillId="0" borderId="0"/>
    <xf numFmtId="0" fontId="42" fillId="21" borderId="0" applyNumberFormat="0" applyBorder="0" applyAlignment="0" applyProtection="0"/>
  </cellStyleXfs>
  <cellXfs count="194">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1"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2" xfId="5" applyFont="1" applyFill="1" applyBorder="1" applyAlignment="1">
      <alignment horizontal="center" vertical="center" wrapText="1"/>
    </xf>
    <xf numFmtId="0" fontId="25" fillId="13" borderId="23" xfId="5" applyFont="1" applyFill="1" applyBorder="1" applyAlignment="1">
      <alignment horizontal="center" vertical="center" wrapText="1"/>
    </xf>
    <xf numFmtId="0" fontId="24" fillId="13" borderId="23"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41" fillId="0" borderId="1" xfId="0" applyFont="1" applyBorder="1" applyAlignment="1">
      <alignment horizontal="center" vertical="top"/>
    </xf>
    <xf numFmtId="0" fontId="41"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5" xfId="0" applyBorder="1" applyAlignment="1">
      <alignment wrapText="1"/>
    </xf>
    <xf numFmtId="0" fontId="6" fillId="8" borderId="2" xfId="3" applyBorder="1" applyAlignment="1">
      <alignment wrapText="1"/>
    </xf>
    <xf numFmtId="0" fontId="0" fillId="0" borderId="25" xfId="0" applyBorder="1"/>
    <xf numFmtId="0" fontId="0" fillId="19" borderId="1" xfId="0" applyFill="1" applyBorder="1"/>
    <xf numFmtId="0" fontId="0" fillId="19" borderId="1" xfId="0" applyFill="1" applyBorder="1" applyAlignment="1">
      <alignment wrapText="1"/>
    </xf>
    <xf numFmtId="0" fontId="0" fillId="20" borderId="1" xfId="0" applyFill="1" applyBorder="1"/>
    <xf numFmtId="0" fontId="0" fillId="17" borderId="1" xfId="0" applyFill="1" applyBorder="1"/>
    <xf numFmtId="0" fontId="0" fillId="17" borderId="1" xfId="0" applyFill="1" applyBorder="1" applyAlignment="1">
      <alignment wrapText="1"/>
    </xf>
    <xf numFmtId="0" fontId="42" fillId="21" borderId="0" xfId="6"/>
    <xf numFmtId="0" fontId="2" fillId="22" borderId="1" xfId="1" applyFill="1" applyBorder="1" applyAlignment="1">
      <alignment wrapText="1"/>
    </xf>
    <xf numFmtId="0" fontId="0" fillId="20" borderId="1" xfId="0" applyFill="1" applyBorder="1" applyAlignment="1">
      <alignment wrapText="1"/>
    </xf>
    <xf numFmtId="0" fontId="0" fillId="3" borderId="15" xfId="0" applyFill="1" applyBorder="1"/>
    <xf numFmtId="0" fontId="0" fillId="23"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24"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4" fillId="10" borderId="1" xfId="0" applyFont="1" applyFill="1" applyBorder="1"/>
    <xf numFmtId="0" fontId="3" fillId="2" borderId="1" xfId="0" applyFont="1" applyFill="1" applyBorder="1"/>
    <xf numFmtId="0" fontId="0" fillId="0" borderId="26" xfId="0" applyBorder="1"/>
    <xf numFmtId="0" fontId="1" fillId="17" borderId="1" xfId="0" applyFont="1" applyFill="1" applyBorder="1" applyAlignment="1">
      <alignment wrapText="1"/>
    </xf>
    <xf numFmtId="0" fontId="1" fillId="17" borderId="1" xfId="0" applyFont="1" applyFill="1" applyBorder="1"/>
    <xf numFmtId="49" fontId="1" fillId="17" borderId="1" xfId="0" applyNumberFormat="1" applyFont="1" applyFill="1" applyBorder="1"/>
    <xf numFmtId="49" fontId="1" fillId="17" borderId="1" xfId="0" applyNumberFormat="1" applyFont="1" applyFill="1" applyBorder="1" applyAlignment="1">
      <alignment wrapText="1"/>
    </xf>
    <xf numFmtId="49" fontId="0" fillId="24" borderId="1" xfId="0" applyNumberFormat="1" applyFill="1" applyBorder="1" applyAlignment="1">
      <alignment wrapText="1"/>
    </xf>
    <xf numFmtId="0" fontId="41" fillId="0" borderId="20" xfId="0" applyFont="1" applyBorder="1" applyAlignment="1">
      <alignment horizontal="center" vertical="top"/>
    </xf>
    <xf numFmtId="0" fontId="0" fillId="18" borderId="1" xfId="0" applyFill="1" applyBorder="1"/>
    <xf numFmtId="0" fontId="3" fillId="3" borderId="1" xfId="0" applyFont="1" applyFill="1" applyBorder="1"/>
    <xf numFmtId="49" fontId="0" fillId="19"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3" fillId="9" borderId="1" xfId="0" applyFont="1" applyFill="1" applyBorder="1" applyAlignment="1">
      <alignment wrapText="1"/>
    </xf>
    <xf numFmtId="0" fontId="0" fillId="0" borderId="30" xfId="0" applyBorder="1"/>
    <xf numFmtId="0" fontId="41" fillId="25" borderId="1" xfId="0" applyFont="1" applyFill="1" applyBorder="1" applyAlignment="1">
      <alignment horizontal="center" vertical="top"/>
    </xf>
    <xf numFmtId="0" fontId="0" fillId="26" borderId="1" xfId="0" applyFill="1" applyBorder="1"/>
    <xf numFmtId="0" fontId="8" fillId="7" borderId="31" xfId="2" applyFont="1" applyBorder="1" applyAlignment="1">
      <alignment wrapText="1"/>
    </xf>
    <xf numFmtId="0" fontId="1" fillId="0" borderId="26" xfId="0" applyFont="1" applyBorder="1" applyAlignment="1">
      <alignment wrapText="1"/>
    </xf>
    <xf numFmtId="0" fontId="0" fillId="0" borderId="26" xfId="0" applyBorder="1" applyAlignment="1">
      <alignment wrapText="1"/>
    </xf>
    <xf numFmtId="0" fontId="41" fillId="0" borderId="0" xfId="0" applyFont="1" applyAlignment="1">
      <alignment horizontal="center" vertical="top"/>
    </xf>
    <xf numFmtId="0" fontId="0" fillId="0" borderId="0" xfId="0" applyAlignment="1">
      <alignment horizontal="left"/>
    </xf>
    <xf numFmtId="0" fontId="0" fillId="3" borderId="2" xfId="0" applyFill="1" applyBorder="1"/>
    <xf numFmtId="0" fontId="0" fillId="19" borderId="2" xfId="0" applyFill="1" applyBorder="1"/>
    <xf numFmtId="0" fontId="0" fillId="19"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4"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4"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43" fillId="10" borderId="1" xfId="0" applyFont="1" applyFill="1" applyBorder="1" applyAlignment="1">
      <alignment wrapText="1"/>
    </xf>
    <xf numFmtId="0" fontId="47" fillId="0" borderId="1" xfId="0" applyFont="1" applyBorder="1"/>
    <xf numFmtId="0" fontId="0" fillId="23" borderId="2" xfId="0" applyFill="1" applyBorder="1"/>
    <xf numFmtId="0" fontId="0" fillId="0" borderId="32" xfId="0" applyBorder="1"/>
    <xf numFmtId="0" fontId="0" fillId="23" borderId="20" xfId="0" applyFill="1" applyBorder="1"/>
    <xf numFmtId="0" fontId="0" fillId="20" borderId="20" xfId="0" applyFill="1" applyBorder="1" applyAlignment="1">
      <alignment wrapText="1"/>
    </xf>
    <xf numFmtId="0" fontId="0" fillId="0" borderId="33" xfId="0" applyBorder="1"/>
    <xf numFmtId="0" fontId="0" fillId="0" borderId="20" xfId="0" applyBorder="1" applyAlignment="1">
      <alignment wrapText="1"/>
    </xf>
    <xf numFmtId="0" fontId="0" fillId="20" borderId="20" xfId="0" applyFill="1" applyBorder="1"/>
    <xf numFmtId="0" fontId="20" fillId="0" borderId="0" xfId="5" applyFont="1" applyAlignment="1">
      <alignment vertical="center" wrapText="1"/>
    </xf>
    <xf numFmtId="0" fontId="19" fillId="0" borderId="0" xfId="5"/>
    <xf numFmtId="0" fontId="31" fillId="0" borderId="23" xfId="5" applyFont="1" applyBorder="1" applyAlignment="1">
      <alignment horizontal="center" vertical="center" wrapText="1"/>
    </xf>
    <xf numFmtId="0" fontId="32" fillId="0" borderId="23" xfId="5" applyFont="1" applyBorder="1"/>
    <xf numFmtId="0" fontId="36" fillId="0" borderId="23"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xf numFmtId="0" fontId="2" fillId="0" borderId="0" xfId="1"/>
    <xf numFmtId="0" fontId="0" fillId="0" borderId="0" xfId="0"/>
    <xf numFmtId="0" fontId="2" fillId="3" borderId="27" xfId="1" applyFill="1" applyBorder="1" applyAlignment="1">
      <alignment horizontal="center"/>
    </xf>
    <xf numFmtId="0" fontId="2" fillId="3" borderId="28" xfId="1" applyFill="1" applyBorder="1" applyAlignment="1">
      <alignment horizontal="center"/>
    </xf>
    <xf numFmtId="0" fontId="2" fillId="3" borderId="29" xfId="1" applyFill="1" applyBorder="1" applyAlignment="1">
      <alignment horizontal="center"/>
    </xf>
    <xf numFmtId="0" fontId="17" fillId="0" borderId="0" xfId="0" applyFont="1"/>
    <xf numFmtId="0" fontId="0" fillId="20" borderId="2" xfId="0" applyFill="1" applyBorder="1"/>
    <xf numFmtId="0" fontId="0" fillId="0" borderId="2" xfId="0" applyBorder="1" applyAlignment="1">
      <alignment wrapText="1"/>
    </xf>
    <xf numFmtId="0" fontId="0" fillId="20" borderId="2" xfId="0" applyFill="1" applyBorder="1" applyAlignment="1">
      <alignment wrapText="1"/>
    </xf>
    <xf numFmtId="0" fontId="0" fillId="3" borderId="20" xfId="0" applyFill="1" applyBorder="1"/>
  </cellXfs>
  <cellStyles count="7">
    <cellStyle name="Collegamento ipertestuale" xfId="1" builtinId="8"/>
    <cellStyle name="Colore 1" xfId="2" builtinId="29"/>
    <cellStyle name="Colore 2" xfId="3" builtinId="33"/>
    <cellStyle name="Neutrale" xfId="6" builtinId="28"/>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styles" Target="styles.xml"/><Relationship Id="rId89" Type="http://schemas.openxmlformats.org/officeDocument/2006/relationships/customXml" Target="../customXml/item1.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microsoft.com/office/2006/relationships/vbaProject" Target="vbaProject.bin"/><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connections" Target="connections.xml"/><Relationship Id="rId88"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externalLink" Target="externalLinks/externalLink1.xml"/><Relationship Id="rId86"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microsoft.com/office/2017/10/relationships/person" Target="persons/person.xml"/><Relationship Id="rId61" Type="http://schemas.openxmlformats.org/officeDocument/2006/relationships/worksheet" Target="worksheets/sheet61.xml"/><Relationship Id="rId82" Type="http://schemas.openxmlformats.org/officeDocument/2006/relationships/theme" Target="theme/theme1.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5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8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B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2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5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5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7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A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A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1F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21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21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26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219</xdr:row>
          <xdr:rowOff>171450</xdr:rowOff>
        </xdr:from>
        <xdr:to>
          <xdr:col>2</xdr:col>
          <xdr:colOff>1117600</xdr:colOff>
          <xdr:row>221</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8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8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2A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223</xdr:row>
          <xdr:rowOff>171450</xdr:rowOff>
        </xdr:from>
        <xdr:to>
          <xdr:col>2</xdr:col>
          <xdr:colOff>1117600</xdr:colOff>
          <xdr:row>225</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C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C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E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234</xdr:row>
          <xdr:rowOff>171450</xdr:rowOff>
        </xdr:from>
        <xdr:to>
          <xdr:col>2</xdr:col>
          <xdr:colOff>1117600</xdr:colOff>
          <xdr:row>236</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0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0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2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35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37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39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3C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E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40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2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4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46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48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B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C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C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E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file:///C:\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2" dT="2023-07-28T08:31:03.06" personId="{8C97C38B-B0BE-4B1E-B806-EA0CCA3C4B1C}" id="{8742CF20-EAE1-4276-8417-9D0780BA39BA}">
    <text>Verify the actual concepts used, if they are real histology/morphology classificaitons</text>
  </threadedComment>
</ThreadedComments>
</file>

<file path=xl/threadedComments/threadedComment2.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3.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A16" dT="2023-07-20T06:33:23.49" personId="{8C97C38B-B0BE-4B1E-B806-EA0CCA3C4B1C}" id="{C4499273-60D5-479F-9FDB-FC0A49B44300}">
    <text>Why drug 1,2 and 3 and not simply drug 1…*</text>
  </threadedComment>
</ThreadedComments>
</file>

<file path=xl/threadedComments/threadedComment4.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23" dT="2023-07-20T06:44:09.43" personId="{8C97C38B-B0BE-4B1E-B806-EA0CCA3C4B1C}" id="{554B81CC-74C7-43E5-83FA-81470E9DE750}">
    <text>Which site is primary ?</text>
  </threadedComment>
</ThreadedComments>
</file>

<file path=xl/threadedComments/threadedComment5.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6.xml><?xml version="1.0" encoding="utf-8"?>
<ThreadedComments xmlns="http://schemas.microsoft.com/office/spreadsheetml/2018/threadedcomments" xmlns:x="http://schemas.openxmlformats.org/spreadsheetml/2006/main">
  <threadedComment ref="B17" dT="2023-09-18T14:16:48.05" personId="{8C97C38B-B0BE-4B1E-B806-EA0CCA3C4B1C}" id="{BF9EDB8B-052D-49B6-974D-8AC291B0FC9F}">
    <text>Date or period ?</text>
  </threadedComment>
</ThreadedComments>
</file>

<file path=xl/threadedComments/threadedComment7.xml><?xml version="1.0" encoding="utf-8"?>
<ThreadedComments xmlns="http://schemas.microsoft.com/office/spreadsheetml/2018/threadedcomments" xmlns:x="http://schemas.openxmlformats.org/spreadsheetml/2006/main">
  <threadedComment ref="B17" dT="2023-09-18T14:16:48.05" personId="{8C97C38B-B0BE-4B1E-B806-EA0CCA3C4B1C}" id="{79D6B2D8-218A-49F0-9B1D-F0055C24EC9E}">
    <text>Date or period ?</text>
  </threadedComment>
  <threadedComment ref="B20" dT="2023-09-18T14:50:15.88" personId="{8C97C38B-B0BE-4B1E-B806-EA0CCA3C4B1C}" id="{485806D1-996C-46F8-A4DB-E576C771CD8F}">
    <text>To be clarified</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hl7.eu/fhir/ig/idea4rc/StructureDefinition/Subjec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2.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3.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4.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trlProp" Target="../ctrlProps/ctrlProp7.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0.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1.vml"/><Relationship Id="rId1" Type="http://schemas.openxmlformats.org/officeDocument/2006/relationships/printerSettings" Target="../printerSettings/printerSettings14.bin"/><Relationship Id="rId4" Type="http://schemas.microsoft.com/office/2017/10/relationships/threadedComment" Target="../threadedComments/threadedComment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13.xml"/></Relationships>
</file>

<file path=xl/worksheets/_rels/sheet4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4.vml"/><Relationship Id="rId1" Type="http://schemas.openxmlformats.org/officeDocument/2006/relationships/printerSettings" Target="../printerSettings/printerSettings17.bin"/><Relationship Id="rId4" Type="http://schemas.microsoft.com/office/2017/10/relationships/threadedComment" Target="../threadedComments/threadedComment3.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16.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6.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9.xml"/></Relationships>
</file>

<file path=xl/worksheets/_rels/sheet4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9.vml"/><Relationship Id="rId1" Type="http://schemas.openxmlformats.org/officeDocument/2006/relationships/printerSettings" Target="../printerSettings/printerSettings23.bin"/><Relationship Id="rId4" Type="http://schemas.microsoft.com/office/2017/10/relationships/threadedComment" Target="../threadedComments/threadedComment4.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4.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6.xml"/><Relationship Id="rId1" Type="http://schemas.openxmlformats.org/officeDocument/2006/relationships/printerSettings" Target="../printerSettings/printerSettings25.bin"/><Relationship Id="rId4" Type="http://schemas.openxmlformats.org/officeDocument/2006/relationships/ctrlProp" Target="../ctrlProps/ctrlProp22.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printerSettings" Target="../printerSettings/printerSettings26.bin"/><Relationship Id="rId1" Type="http://schemas.openxmlformats.org/officeDocument/2006/relationships/hyperlink" Target="http://hl7.eu/fhir/ig/idea4rc/StructureDefinition/Subject" TargetMode="External"/><Relationship Id="rId4" Type="http://schemas.openxmlformats.org/officeDocument/2006/relationships/comments" Target="../comments6.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23.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24.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printerSettings" Target="../printerSettings/printerSettings29.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5.xml"/><Relationship Id="rId4" Type="http://schemas.openxmlformats.org/officeDocument/2006/relationships/comments" Target="../comments7.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9.xml"/><Relationship Id="rId1" Type="http://schemas.openxmlformats.org/officeDocument/2006/relationships/printerSettings" Target="../printerSettings/printerSettings30.bin"/><Relationship Id="rId4" Type="http://schemas.openxmlformats.org/officeDocument/2006/relationships/ctrlProp" Target="../ctrlProps/ctrlProp25.xml"/></Relationships>
</file>

<file path=xl/worksheets/_rels/sheet59.xml.rels><?xml version="1.0" encoding="UTF-8" standalone="yes"?>
<Relationships xmlns="http://schemas.openxmlformats.org/package/2006/relationships"><Relationship Id="rId8" Type="http://schemas.microsoft.com/office/2017/10/relationships/threadedComment" Target="../threadedComments/threadedComment6.xml"/><Relationship Id="rId3" Type="http://schemas.openxmlformats.org/officeDocument/2006/relationships/hyperlink" Target="http://hl7.eu/fhir/ig/idea4rc/StructureDefinition/" TargetMode="External"/><Relationship Id="rId7" Type="http://schemas.openxmlformats.org/officeDocument/2006/relationships/comments" Target="../comments8.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7.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60.xml.rels><?xml version="1.0" encoding="UTF-8" standalone="yes"?>
<Relationships xmlns="http://schemas.openxmlformats.org/package/2006/relationships"><Relationship Id="rId8" Type="http://schemas.microsoft.com/office/2017/10/relationships/threadedComment" Target="../threadedComments/threadedComment7.xml"/><Relationship Id="rId3" Type="http://schemas.openxmlformats.org/officeDocument/2006/relationships/hyperlink" Target="http://hl7.eu/fhir/ig/idea4rc/StructureDefinition/" TargetMode="External"/><Relationship Id="rId7" Type="http://schemas.openxmlformats.org/officeDocument/2006/relationships/comments" Target="../comments9.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0.xml"/><Relationship Id="rId1" Type="http://schemas.openxmlformats.org/officeDocument/2006/relationships/printerSettings" Target="../printerSettings/printerSettings31.bin"/><Relationship Id="rId4" Type="http://schemas.openxmlformats.org/officeDocument/2006/relationships/ctrlProp" Target="../ctrlProps/ctrlProp26.xml"/></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1.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6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8.xml"/></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3.xml"/><Relationship Id="rId1" Type="http://schemas.openxmlformats.org/officeDocument/2006/relationships/printerSettings" Target="../printerSettings/printerSettings36.bin"/><Relationship Id="rId4" Type="http://schemas.openxmlformats.org/officeDocument/2006/relationships/ctrlProp" Target="../ctrlProps/ctrlProp29.xml"/></Relationships>
</file>

<file path=xl/worksheets/_rels/sheet6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7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8.xml"/><Relationship Id="rId1" Type="http://schemas.openxmlformats.org/officeDocument/2006/relationships/printerSettings" Target="../printerSettings/printerSettings43.bin"/><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79.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9.xml"/><Relationship Id="rId1" Type="http://schemas.openxmlformats.org/officeDocument/2006/relationships/printerSettings" Target="../printerSettings/printerSettings44.bin"/><Relationship Id="rId4"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4" customWidth="1"/>
    <col min="2" max="2" width="17.36328125" style="74" customWidth="1"/>
    <col min="3" max="3" width="21" style="74" customWidth="1"/>
    <col min="4" max="4" width="23.7265625" style="74" customWidth="1"/>
    <col min="5" max="5" width="29.1328125" style="74" customWidth="1"/>
    <col min="6" max="6" width="31.2265625" style="74" customWidth="1"/>
    <col min="7" max="7" width="30.36328125" style="74" customWidth="1"/>
    <col min="8" max="8" width="14.5" style="74" customWidth="1"/>
    <col min="9" max="9" width="38.6328125" style="74" customWidth="1"/>
    <col min="10" max="10" width="34.5" style="74" customWidth="1"/>
    <col min="11" max="11" width="12.6328125" style="74"/>
    <col min="12" max="12" width="21.86328125" style="74" customWidth="1"/>
    <col min="13" max="16384" width="12.6328125" style="74"/>
  </cols>
  <sheetData>
    <row r="1" spans="1:26" ht="74.25" customHeight="1">
      <c r="A1" s="177" t="s">
        <v>1462</v>
      </c>
      <c r="B1" s="178"/>
      <c r="C1" s="178"/>
      <c r="D1" s="178"/>
      <c r="E1" s="178"/>
      <c r="F1" s="178"/>
      <c r="G1" s="178"/>
      <c r="H1" s="178"/>
      <c r="I1" s="178"/>
      <c r="J1" s="178"/>
      <c r="K1" s="178"/>
      <c r="L1" s="178"/>
      <c r="M1" s="75"/>
      <c r="N1" s="75"/>
      <c r="O1" s="75"/>
      <c r="P1" s="75"/>
      <c r="Q1" s="75"/>
      <c r="R1" s="75"/>
      <c r="S1" s="75"/>
      <c r="T1" s="75"/>
      <c r="U1" s="75"/>
      <c r="V1" s="75"/>
      <c r="W1" s="75"/>
      <c r="X1" s="75"/>
      <c r="Y1" s="75"/>
      <c r="Z1" s="75"/>
    </row>
    <row r="2" spans="1:26" ht="13.5">
      <c r="A2" s="76"/>
    </row>
    <row r="3" spans="1:26" ht="30.75" customHeight="1">
      <c r="A3" s="77" t="s">
        <v>1463</v>
      </c>
      <c r="B3" s="78" t="s">
        <v>168</v>
      </c>
      <c r="C3" s="78" t="s">
        <v>1464</v>
      </c>
      <c r="D3" s="78" t="s">
        <v>1465</v>
      </c>
      <c r="E3" s="78" t="s">
        <v>1466</v>
      </c>
      <c r="F3" s="78" t="s">
        <v>178</v>
      </c>
      <c r="G3" s="78" t="s">
        <v>1467</v>
      </c>
      <c r="H3" s="78" t="s">
        <v>176</v>
      </c>
      <c r="I3" s="78" t="s">
        <v>1468</v>
      </c>
      <c r="J3" s="78" t="s">
        <v>1469</v>
      </c>
      <c r="K3" s="78" t="s">
        <v>1470</v>
      </c>
      <c r="L3" s="78" t="s">
        <v>1471</v>
      </c>
      <c r="M3" s="79"/>
      <c r="N3" s="79"/>
      <c r="O3" s="79"/>
      <c r="P3" s="79"/>
      <c r="Q3" s="79"/>
      <c r="R3" s="79"/>
      <c r="S3" s="79"/>
      <c r="T3" s="79"/>
      <c r="U3" s="79"/>
      <c r="V3" s="79"/>
      <c r="W3" s="79"/>
      <c r="X3" s="79"/>
      <c r="Y3" s="79"/>
      <c r="Z3" s="80"/>
    </row>
    <row r="4" spans="1:26" ht="65.25" customHeight="1">
      <c r="A4" s="81" t="s">
        <v>1472</v>
      </c>
      <c r="B4" s="82" t="s">
        <v>1473</v>
      </c>
      <c r="C4" s="82" t="s">
        <v>282</v>
      </c>
      <c r="D4" s="82" t="str">
        <f t="array" ref="D4">"CUS_"&amp;C4</f>
        <v>CUS_DiagnosisDate</v>
      </c>
      <c r="E4" s="82" t="s">
        <v>1474</v>
      </c>
      <c r="F4" s="82" t="s">
        <v>1475</v>
      </c>
      <c r="G4" s="82" t="s">
        <v>209</v>
      </c>
      <c r="H4" s="82" t="s">
        <v>201</v>
      </c>
      <c r="I4" s="82" t="s">
        <v>1476</v>
      </c>
      <c r="J4" s="82" t="s">
        <v>1477</v>
      </c>
      <c r="K4" s="82" t="s">
        <v>213</v>
      </c>
      <c r="L4" s="83"/>
      <c r="M4" s="83"/>
      <c r="N4" s="83"/>
      <c r="O4" s="83"/>
      <c r="P4" s="83"/>
      <c r="Q4" s="83"/>
      <c r="R4" s="83"/>
      <c r="S4" s="83"/>
      <c r="T4" s="83"/>
      <c r="U4" s="83"/>
      <c r="V4" s="83"/>
      <c r="W4" s="83"/>
      <c r="X4" s="83"/>
      <c r="Y4" s="83"/>
      <c r="Z4" s="83"/>
    </row>
    <row r="5" spans="1:26" ht="65.25" customHeight="1">
      <c r="A5" s="84" t="s">
        <v>1478</v>
      </c>
      <c r="B5" s="85" t="s">
        <v>1473</v>
      </c>
      <c r="C5" s="85"/>
      <c r="D5" s="85"/>
      <c r="E5" s="85"/>
      <c r="F5" s="85"/>
      <c r="G5" s="85"/>
      <c r="H5" s="85"/>
      <c r="I5" s="85"/>
      <c r="J5" s="85"/>
      <c r="K5" s="85"/>
      <c r="L5" s="86"/>
      <c r="M5" s="86"/>
      <c r="N5" s="86"/>
      <c r="O5" s="86"/>
      <c r="P5" s="86"/>
      <c r="Q5" s="86"/>
      <c r="R5" s="86"/>
      <c r="S5" s="86"/>
      <c r="T5" s="86"/>
      <c r="U5" s="86"/>
      <c r="V5" s="86"/>
      <c r="W5" s="86"/>
      <c r="X5" s="86"/>
      <c r="Y5" s="86"/>
      <c r="Z5" s="86"/>
    </row>
    <row r="6" spans="1:26" ht="65.25" customHeight="1">
      <c r="A6" s="87" t="s">
        <v>1479</v>
      </c>
      <c r="B6" s="88" t="s">
        <v>1473</v>
      </c>
      <c r="C6" s="88" t="s">
        <v>1480</v>
      </c>
      <c r="D6" s="88" t="str">
        <f t="array" ref="D6">"CUS_ "&amp;C6</f>
        <v>CUS_ BiopsyDoneBy</v>
      </c>
      <c r="E6" s="88"/>
      <c r="F6" s="88"/>
      <c r="G6" s="88"/>
      <c r="H6" s="88"/>
      <c r="I6" s="88"/>
      <c r="J6" s="88"/>
      <c r="K6" s="88"/>
      <c r="L6" s="89"/>
      <c r="M6" s="89"/>
      <c r="N6" s="89"/>
      <c r="O6" s="89"/>
      <c r="P6" s="89"/>
      <c r="Q6" s="89"/>
      <c r="R6" s="89"/>
      <c r="S6" s="89"/>
      <c r="T6" s="89"/>
      <c r="U6" s="89"/>
      <c r="V6" s="89"/>
      <c r="W6" s="89"/>
      <c r="X6" s="89"/>
      <c r="Y6" s="89"/>
      <c r="Z6" s="89"/>
    </row>
    <row r="7" spans="1:26" ht="65.25" customHeight="1">
      <c r="A7" s="81" t="s">
        <v>1481</v>
      </c>
      <c r="B7" s="82" t="s">
        <v>1473</v>
      </c>
      <c r="C7" s="82" t="s">
        <v>1482</v>
      </c>
      <c r="D7" s="82" t="str">
        <f t="array" ref="D7">"CUS_"&amp;C7</f>
        <v>CUS_AgeAtDiagnosis</v>
      </c>
      <c r="E7" s="82" t="s">
        <v>1483</v>
      </c>
      <c r="F7" s="82" t="s">
        <v>1484</v>
      </c>
      <c r="G7" s="82" t="s">
        <v>1485</v>
      </c>
      <c r="H7" s="82" t="s">
        <v>1486</v>
      </c>
      <c r="I7" s="82" t="s">
        <v>1487</v>
      </c>
      <c r="J7" s="82" t="s">
        <v>1488</v>
      </c>
      <c r="K7" s="82">
        <v>62</v>
      </c>
      <c r="L7" s="83"/>
      <c r="M7" s="83"/>
      <c r="N7" s="83"/>
      <c r="O7" s="83"/>
      <c r="P7" s="83"/>
      <c r="Q7" s="83"/>
      <c r="R7" s="83"/>
      <c r="S7" s="83"/>
      <c r="T7" s="83"/>
      <c r="U7" s="83"/>
      <c r="V7" s="83"/>
      <c r="W7" s="83"/>
      <c r="X7" s="83"/>
      <c r="Y7" s="83"/>
      <c r="Z7" s="83"/>
    </row>
    <row r="8" spans="1:26" ht="65.25" customHeight="1">
      <c r="A8" s="84" t="s">
        <v>1481</v>
      </c>
      <c r="B8" s="85" t="s">
        <v>1473</v>
      </c>
      <c r="C8" s="85"/>
      <c r="D8" s="85" t="str">
        <f t="array" ref="D8">"CUS_ "&amp;C8</f>
        <v xml:space="preserve">CUS_ </v>
      </c>
      <c r="E8" s="85"/>
      <c r="F8" s="85"/>
      <c r="G8" s="85"/>
      <c r="H8" s="85"/>
      <c r="I8" s="85"/>
      <c r="J8" s="85"/>
      <c r="K8" s="85"/>
      <c r="L8" s="86"/>
      <c r="M8" s="86"/>
      <c r="N8" s="86"/>
      <c r="O8" s="86"/>
      <c r="P8" s="86"/>
      <c r="Q8" s="86"/>
      <c r="R8" s="86"/>
      <c r="S8" s="86"/>
      <c r="T8" s="86"/>
      <c r="U8" s="86"/>
      <c r="V8" s="86"/>
      <c r="W8" s="86"/>
      <c r="X8" s="86"/>
      <c r="Y8" s="86"/>
      <c r="Z8" s="86"/>
    </row>
    <row r="9" spans="1:26" ht="138.75" customHeight="1">
      <c r="A9" s="81" t="s">
        <v>1489</v>
      </c>
      <c r="B9" s="82" t="s">
        <v>1473</v>
      </c>
      <c r="C9" s="82" t="s">
        <v>1490</v>
      </c>
      <c r="D9" s="82" t="str">
        <f t="array" ref="D9">"CUS_"&amp;C9</f>
        <v>CUS_HistologyGroup</v>
      </c>
      <c r="E9" s="82" t="s">
        <v>1489</v>
      </c>
      <c r="F9" s="82" t="s">
        <v>1491</v>
      </c>
      <c r="G9" s="82" t="s">
        <v>185</v>
      </c>
      <c r="H9" s="82" t="s">
        <v>201</v>
      </c>
      <c r="I9" s="82" t="s">
        <v>1492</v>
      </c>
      <c r="J9" s="90" t="s">
        <v>1493</v>
      </c>
      <c r="K9" s="82" t="s">
        <v>1494</v>
      </c>
      <c r="L9" s="91" t="s">
        <v>1495</v>
      </c>
      <c r="M9" s="83"/>
      <c r="N9" s="83"/>
      <c r="O9" s="83"/>
      <c r="P9" s="83"/>
      <c r="Q9" s="83"/>
      <c r="R9" s="83"/>
      <c r="S9" s="83"/>
      <c r="T9" s="83"/>
      <c r="U9" s="83"/>
      <c r="V9" s="83"/>
      <c r="W9" s="83"/>
      <c r="X9" s="83"/>
      <c r="Y9" s="83"/>
      <c r="Z9" s="83"/>
    </row>
    <row r="10" spans="1:26" ht="65.25" customHeight="1">
      <c r="A10" s="179" t="s">
        <v>1496</v>
      </c>
      <c r="B10" s="180"/>
      <c r="C10" s="180"/>
      <c r="D10" s="180"/>
      <c r="E10" s="180"/>
      <c r="F10" s="180"/>
      <c r="G10" s="180"/>
      <c r="H10" s="180"/>
      <c r="I10" s="180"/>
      <c r="J10" s="180"/>
      <c r="K10" s="180"/>
      <c r="L10" s="83"/>
      <c r="M10" s="83"/>
      <c r="N10" s="83"/>
      <c r="O10" s="83"/>
      <c r="P10" s="83"/>
      <c r="Q10" s="83"/>
      <c r="R10" s="83"/>
      <c r="S10" s="83"/>
      <c r="T10" s="83"/>
      <c r="U10" s="83"/>
      <c r="V10" s="83"/>
      <c r="W10" s="83"/>
      <c r="X10" s="83"/>
      <c r="Y10" s="83"/>
      <c r="Z10" s="83"/>
    </row>
    <row r="11" spans="1:26" ht="65.25" customHeight="1">
      <c r="A11" s="81" t="s">
        <v>1497</v>
      </c>
      <c r="B11" s="82" t="s">
        <v>1490</v>
      </c>
      <c r="C11" s="82" t="s">
        <v>1498</v>
      </c>
      <c r="D11" s="82" t="str">
        <f t="array" ref="D11">"CUS_"&amp;C11</f>
        <v>CUS_HistologySquamous</v>
      </c>
      <c r="E11" s="82" t="s">
        <v>1499</v>
      </c>
      <c r="F11" s="82" t="s">
        <v>1500</v>
      </c>
      <c r="G11" s="82" t="s">
        <v>185</v>
      </c>
      <c r="H11" s="82" t="s">
        <v>201</v>
      </c>
      <c r="I11" s="82" t="s">
        <v>1501</v>
      </c>
      <c r="J11" s="90" t="s">
        <v>1502</v>
      </c>
      <c r="K11" s="82"/>
      <c r="L11" s="91" t="s">
        <v>1495</v>
      </c>
      <c r="M11" s="83"/>
      <c r="N11" s="83"/>
      <c r="O11" s="83"/>
      <c r="P11" s="83"/>
      <c r="Q11" s="83"/>
      <c r="R11" s="83"/>
      <c r="S11" s="83"/>
      <c r="T11" s="83"/>
      <c r="U11" s="83"/>
      <c r="V11" s="83"/>
      <c r="W11" s="83"/>
      <c r="X11" s="83"/>
      <c r="Y11" s="83"/>
      <c r="Z11" s="83"/>
    </row>
    <row r="12" spans="1:26" ht="65.25" customHeight="1">
      <c r="A12" s="81" t="s">
        <v>1503</v>
      </c>
      <c r="B12" s="82" t="s">
        <v>1490</v>
      </c>
      <c r="C12" s="82" t="s">
        <v>1504</v>
      </c>
      <c r="D12" s="82" t="str">
        <f t="array" ref="D12">"CUS_"&amp;C12</f>
        <v>CUS_HistologyAdenocarcinoma</v>
      </c>
      <c r="E12" s="82" t="s">
        <v>1505</v>
      </c>
      <c r="F12" s="92" t="s">
        <v>1506</v>
      </c>
      <c r="G12" s="82" t="s">
        <v>185</v>
      </c>
      <c r="H12" s="82" t="s">
        <v>201</v>
      </c>
      <c r="I12" s="82" t="s">
        <v>1507</v>
      </c>
      <c r="J12" s="90" t="s">
        <v>1508</v>
      </c>
      <c r="K12" s="82"/>
      <c r="L12" s="91" t="s">
        <v>1495</v>
      </c>
      <c r="M12" s="83"/>
      <c r="N12" s="83"/>
      <c r="O12" s="83"/>
      <c r="P12" s="83"/>
      <c r="Q12" s="83"/>
      <c r="R12" s="83"/>
      <c r="S12" s="83"/>
      <c r="T12" s="83"/>
      <c r="U12" s="83"/>
      <c r="V12" s="83"/>
      <c r="W12" s="83"/>
      <c r="X12" s="83"/>
      <c r="Y12" s="83"/>
      <c r="Z12" s="83"/>
    </row>
    <row r="13" spans="1:26" ht="65.25" customHeight="1">
      <c r="A13" s="81" t="s">
        <v>1509</v>
      </c>
      <c r="B13" s="82" t="s">
        <v>1490</v>
      </c>
      <c r="C13" s="82" t="s">
        <v>1510</v>
      </c>
      <c r="D13" s="82" t="str">
        <f t="array" ref="D13">"CUS_"&amp;C13</f>
        <v>CUS_HistologyNeuroendocrine</v>
      </c>
      <c r="E13" s="82" t="s">
        <v>1511</v>
      </c>
      <c r="F13" s="93" t="s">
        <v>1512</v>
      </c>
      <c r="G13" s="82" t="s">
        <v>185</v>
      </c>
      <c r="H13" s="82" t="s">
        <v>201</v>
      </c>
      <c r="I13" s="82" t="s">
        <v>1513</v>
      </c>
      <c r="J13" s="90" t="s">
        <v>1514</v>
      </c>
      <c r="K13" s="82"/>
      <c r="L13" s="91" t="s">
        <v>1495</v>
      </c>
      <c r="M13" s="83"/>
      <c r="N13" s="83"/>
      <c r="O13" s="83"/>
      <c r="P13" s="83"/>
      <c r="Q13" s="83"/>
      <c r="R13" s="83"/>
      <c r="S13" s="83"/>
      <c r="T13" s="83"/>
      <c r="U13" s="83"/>
      <c r="V13" s="83"/>
      <c r="W13" s="83"/>
      <c r="X13" s="83"/>
      <c r="Y13" s="83"/>
      <c r="Z13" s="83"/>
    </row>
    <row r="14" spans="1:26" ht="65.25" customHeight="1">
      <c r="A14" s="81" t="s">
        <v>1515</v>
      </c>
      <c r="B14" s="82" t="s">
        <v>1490</v>
      </c>
      <c r="C14" s="82" t="s">
        <v>1516</v>
      </c>
      <c r="D14" s="82" t="str">
        <f t="array" ref="D14">"CUS_"&amp;C14</f>
        <v>CUS_HistologyOdontogenicCarcinoma</v>
      </c>
      <c r="E14" s="82" t="s">
        <v>1517</v>
      </c>
      <c r="F14" s="93" t="s">
        <v>1518</v>
      </c>
      <c r="G14" s="82" t="s">
        <v>185</v>
      </c>
      <c r="H14" s="82" t="s">
        <v>201</v>
      </c>
      <c r="I14" s="82" t="s">
        <v>1519</v>
      </c>
      <c r="J14" s="90" t="s">
        <v>1520</v>
      </c>
      <c r="K14" s="82"/>
      <c r="L14" s="91" t="s">
        <v>1495</v>
      </c>
      <c r="M14" s="83"/>
      <c r="N14" s="83"/>
      <c r="O14" s="83"/>
      <c r="P14" s="83"/>
      <c r="Q14" s="83"/>
      <c r="R14" s="83"/>
      <c r="S14" s="83"/>
      <c r="T14" s="83"/>
      <c r="U14" s="83"/>
      <c r="V14" s="83"/>
      <c r="W14" s="83"/>
      <c r="X14" s="83"/>
      <c r="Y14" s="83"/>
      <c r="Z14" s="83"/>
    </row>
    <row r="15" spans="1:26" ht="65.25" customHeight="1">
      <c r="A15" s="81" t="s">
        <v>1521</v>
      </c>
      <c r="B15" s="82" t="s">
        <v>1490</v>
      </c>
      <c r="C15" s="82" t="s">
        <v>1522</v>
      </c>
      <c r="D15" s="82" t="str">
        <f t="array" ref="D15">"CUS_"&amp;C15</f>
        <v>CUS_HistologySNUC</v>
      </c>
      <c r="E15" s="82" t="s">
        <v>1523</v>
      </c>
      <c r="F15" s="93" t="s">
        <v>1524</v>
      </c>
      <c r="G15" s="82" t="s">
        <v>185</v>
      </c>
      <c r="H15" s="82" t="s">
        <v>201</v>
      </c>
      <c r="I15" s="82" t="s">
        <v>1525</v>
      </c>
      <c r="J15" s="90" t="s">
        <v>1526</v>
      </c>
      <c r="K15" s="82"/>
      <c r="L15" s="91" t="s">
        <v>1495</v>
      </c>
      <c r="M15" s="83"/>
      <c r="N15" s="83"/>
      <c r="O15" s="83"/>
      <c r="P15" s="83"/>
      <c r="Q15" s="83"/>
      <c r="R15" s="83"/>
      <c r="S15" s="83"/>
      <c r="T15" s="83"/>
      <c r="U15" s="83"/>
      <c r="V15" s="83"/>
      <c r="W15" s="83"/>
      <c r="X15" s="83"/>
      <c r="Y15" s="83"/>
      <c r="Z15" s="83"/>
    </row>
    <row r="16" spans="1:26" ht="65.25" customHeight="1">
      <c r="A16" s="81" t="s">
        <v>1527</v>
      </c>
      <c r="B16" s="82" t="s">
        <v>1473</v>
      </c>
      <c r="C16" s="82" t="s">
        <v>1528</v>
      </c>
      <c r="D16" s="82" t="str">
        <f t="array" ref="D16">"CUS_"&amp;C16</f>
        <v>CUS_SiteRare</v>
      </c>
      <c r="E16" s="82" t="s">
        <v>1529</v>
      </c>
      <c r="F16" s="94" t="s">
        <v>1530</v>
      </c>
      <c r="G16" s="82" t="s">
        <v>185</v>
      </c>
      <c r="H16" s="82" t="s">
        <v>201</v>
      </c>
      <c r="I16" s="82" t="s">
        <v>1531</v>
      </c>
      <c r="J16" s="90" t="s">
        <v>1532</v>
      </c>
      <c r="K16" s="82"/>
      <c r="L16" s="91" t="s">
        <v>1533</v>
      </c>
      <c r="M16" s="83"/>
      <c r="N16" s="83"/>
      <c r="O16" s="83"/>
      <c r="P16" s="83"/>
      <c r="Q16" s="83"/>
      <c r="R16" s="83"/>
      <c r="S16" s="83"/>
      <c r="T16" s="83"/>
      <c r="U16" s="83"/>
      <c r="V16" s="83"/>
      <c r="W16" s="83"/>
      <c r="X16" s="83"/>
      <c r="Y16" s="83"/>
      <c r="Z16" s="83"/>
    </row>
    <row r="17" spans="1:26" ht="65.25" customHeight="1">
      <c r="A17" s="81" t="s">
        <v>1534</v>
      </c>
      <c r="B17" s="82" t="s">
        <v>1473</v>
      </c>
      <c r="C17" s="82" t="s">
        <v>1535</v>
      </c>
      <c r="D17" s="82" t="str">
        <f t="array" ref="D17">"CUS_"&amp;C17</f>
        <v>CUS_SiteCommonAndRare</v>
      </c>
      <c r="E17" s="82" t="s">
        <v>1536</v>
      </c>
      <c r="F17" s="94" t="s">
        <v>1530</v>
      </c>
      <c r="G17" s="82" t="s">
        <v>185</v>
      </c>
      <c r="H17" s="82" t="s">
        <v>201</v>
      </c>
      <c r="I17" s="82" t="s">
        <v>1531</v>
      </c>
      <c r="J17" s="90" t="s">
        <v>1537</v>
      </c>
      <c r="K17" s="82"/>
      <c r="L17" s="91" t="s">
        <v>1533</v>
      </c>
      <c r="M17" s="83"/>
      <c r="N17" s="83"/>
      <c r="O17" s="83"/>
      <c r="P17" s="83"/>
      <c r="Q17" s="83"/>
      <c r="R17" s="83"/>
      <c r="S17" s="83"/>
      <c r="T17" s="83"/>
      <c r="U17" s="83"/>
      <c r="V17" s="83"/>
      <c r="W17" s="83"/>
      <c r="X17" s="83"/>
      <c r="Y17" s="83"/>
      <c r="Z17" s="83"/>
    </row>
    <row r="18" spans="1:26" ht="65.25" customHeight="1">
      <c r="A18" s="181" t="s">
        <v>1538</v>
      </c>
      <c r="B18" s="180"/>
      <c r="C18" s="180"/>
      <c r="D18" s="180"/>
      <c r="E18" s="180"/>
      <c r="F18" s="180"/>
      <c r="G18" s="180"/>
      <c r="H18" s="180"/>
      <c r="I18" s="180"/>
      <c r="J18" s="180"/>
      <c r="K18" s="82"/>
      <c r="L18" s="83"/>
      <c r="M18" s="83"/>
      <c r="N18" s="83"/>
      <c r="O18" s="83"/>
      <c r="P18" s="83"/>
      <c r="Q18" s="83"/>
      <c r="R18" s="83"/>
      <c r="S18" s="83"/>
      <c r="T18" s="83"/>
      <c r="U18" s="83"/>
      <c r="V18" s="83"/>
      <c r="W18" s="83"/>
      <c r="X18" s="83"/>
      <c r="Y18" s="83"/>
      <c r="Z18" s="83"/>
    </row>
    <row r="19" spans="1:26" ht="65.25" customHeight="1">
      <c r="A19" s="81" t="s">
        <v>1539</v>
      </c>
      <c r="B19" s="82" t="s">
        <v>1540</v>
      </c>
      <c r="C19" s="82" t="str">
        <f t="shared" ref="C19:C39" si="0">SUBSTITUTE(PROPER(A19), " ","")</f>
        <v>NasalCavityAndParanasalSinusesSubsite</v>
      </c>
      <c r="D19" s="82" t="str">
        <f t="array" ref="D19">"CUS_"&amp;C19</f>
        <v>CUS_NasalCavityAndParanasalSinusesSubsite</v>
      </c>
      <c r="E19" s="82" t="s">
        <v>1539</v>
      </c>
      <c r="F19" s="82" t="s">
        <v>1541</v>
      </c>
      <c r="G19" s="82" t="s">
        <v>185</v>
      </c>
      <c r="H19" s="82" t="s">
        <v>201</v>
      </c>
      <c r="I19" s="82" t="s">
        <v>1542</v>
      </c>
      <c r="J19" s="90" t="s">
        <v>1543</v>
      </c>
      <c r="K19" s="82"/>
      <c r="L19" s="91" t="s">
        <v>1533</v>
      </c>
      <c r="M19" s="91" t="s">
        <v>1544</v>
      </c>
      <c r="N19" s="83"/>
      <c r="O19" s="83"/>
      <c r="P19" s="83"/>
      <c r="Q19" s="83"/>
      <c r="R19" s="83"/>
      <c r="S19" s="83"/>
      <c r="T19" s="83"/>
      <c r="U19" s="83"/>
      <c r="V19" s="83"/>
      <c r="W19" s="83"/>
      <c r="X19" s="83"/>
      <c r="Y19" s="83"/>
      <c r="Z19" s="83"/>
    </row>
    <row r="20" spans="1:26" ht="65.25" customHeight="1">
      <c r="A20" s="81" t="s">
        <v>1545</v>
      </c>
      <c r="B20" s="82" t="s">
        <v>1540</v>
      </c>
      <c r="C20" s="82" t="str">
        <f t="shared" si="0"/>
        <v>NasopharynxSubsite</v>
      </c>
      <c r="D20" s="82" t="str">
        <f t="array" ref="D20">"CUS_"&amp;C20</f>
        <v>CUS_NasopharynxSubsite</v>
      </c>
      <c r="E20" s="82" t="s">
        <v>1545</v>
      </c>
      <c r="F20" s="82" t="s">
        <v>1546</v>
      </c>
      <c r="G20" s="82" t="s">
        <v>185</v>
      </c>
      <c r="H20" s="82" t="s">
        <v>201</v>
      </c>
      <c r="I20" s="82" t="s">
        <v>1542</v>
      </c>
      <c r="J20" s="95" t="s">
        <v>1547</v>
      </c>
      <c r="K20" s="82"/>
      <c r="L20" s="91" t="s">
        <v>1533</v>
      </c>
      <c r="M20" s="83"/>
      <c r="N20" s="83"/>
      <c r="O20" s="83"/>
      <c r="P20" s="83"/>
      <c r="Q20" s="83"/>
      <c r="R20" s="83"/>
      <c r="S20" s="83"/>
      <c r="T20" s="83"/>
      <c r="U20" s="83"/>
      <c r="V20" s="83"/>
      <c r="W20" s="83"/>
      <c r="X20" s="83"/>
      <c r="Y20" s="83"/>
      <c r="Z20" s="83"/>
    </row>
    <row r="21" spans="1:26" ht="65.25" customHeight="1">
      <c r="A21" s="81" t="s">
        <v>1548</v>
      </c>
      <c r="B21" s="82" t="s">
        <v>1540</v>
      </c>
      <c r="C21" s="82" t="str">
        <f t="shared" si="0"/>
        <v>HypopharynxSubsite</v>
      </c>
      <c r="D21" s="82" t="str">
        <f t="array" ref="D21">"CUS_"&amp;C21</f>
        <v>CUS_HypopharynxSubsite</v>
      </c>
      <c r="E21" s="82" t="s">
        <v>1548</v>
      </c>
      <c r="F21" s="82" t="s">
        <v>1549</v>
      </c>
      <c r="G21" s="82" t="s">
        <v>185</v>
      </c>
      <c r="H21" s="82" t="s">
        <v>201</v>
      </c>
      <c r="I21" s="82" t="s">
        <v>1542</v>
      </c>
      <c r="J21" s="95" t="s">
        <v>1550</v>
      </c>
      <c r="K21" s="82"/>
      <c r="L21" s="91" t="s">
        <v>1533</v>
      </c>
      <c r="M21" s="83"/>
      <c r="N21" s="83"/>
      <c r="O21" s="83"/>
      <c r="P21" s="83"/>
      <c r="Q21" s="83"/>
      <c r="R21" s="83"/>
      <c r="S21" s="83"/>
      <c r="T21" s="83"/>
      <c r="U21" s="83"/>
      <c r="V21" s="83"/>
      <c r="W21" s="83"/>
      <c r="X21" s="83"/>
      <c r="Y21" s="83"/>
      <c r="Z21" s="83"/>
    </row>
    <row r="22" spans="1:26" ht="65.25" customHeight="1">
      <c r="A22" s="81" t="s">
        <v>1551</v>
      </c>
      <c r="B22" s="82" t="s">
        <v>1540</v>
      </c>
      <c r="C22" s="82" t="str">
        <f t="shared" si="0"/>
        <v>OropharynxSubsite</v>
      </c>
      <c r="D22" s="82" t="str">
        <f t="array" ref="D22">"CUS_"&amp;C22</f>
        <v>CUS_OropharynxSubsite</v>
      </c>
      <c r="E22" s="82" t="s">
        <v>1551</v>
      </c>
      <c r="F22" s="82" t="s">
        <v>1552</v>
      </c>
      <c r="G22" s="82" t="s">
        <v>185</v>
      </c>
      <c r="H22" s="82" t="s">
        <v>201</v>
      </c>
      <c r="I22" s="82" t="s">
        <v>1542</v>
      </c>
      <c r="J22" s="95" t="s">
        <v>1553</v>
      </c>
      <c r="K22" s="82"/>
      <c r="L22" s="91" t="s">
        <v>1533</v>
      </c>
      <c r="M22" s="83"/>
      <c r="N22" s="83"/>
      <c r="O22" s="83"/>
      <c r="P22" s="83"/>
      <c r="Q22" s="83"/>
      <c r="R22" s="83"/>
      <c r="S22" s="83"/>
      <c r="T22" s="83"/>
      <c r="U22" s="83"/>
      <c r="V22" s="83"/>
      <c r="W22" s="83"/>
      <c r="X22" s="83"/>
      <c r="Y22" s="83"/>
      <c r="Z22" s="83"/>
    </row>
    <row r="23" spans="1:26" ht="65.25" customHeight="1">
      <c r="A23" s="81" t="s">
        <v>1554</v>
      </c>
      <c r="B23" s="82" t="s">
        <v>1540</v>
      </c>
      <c r="C23" s="82" t="str">
        <f t="shared" si="0"/>
        <v>LarynxSubsite</v>
      </c>
      <c r="D23" s="82" t="str">
        <f t="array" ref="D23">"CUS_"&amp;C23</f>
        <v>CUS_LarynxSubsite</v>
      </c>
      <c r="E23" s="82" t="s">
        <v>1554</v>
      </c>
      <c r="F23" s="82" t="s">
        <v>1555</v>
      </c>
      <c r="G23" s="82" t="s">
        <v>185</v>
      </c>
      <c r="H23" s="82" t="s">
        <v>201</v>
      </c>
      <c r="I23" s="82" t="s">
        <v>1542</v>
      </c>
      <c r="J23" s="95" t="s">
        <v>1556</v>
      </c>
      <c r="K23" s="82"/>
      <c r="L23" s="91" t="s">
        <v>1533</v>
      </c>
      <c r="M23" s="83"/>
      <c r="N23" s="83"/>
      <c r="O23" s="83"/>
      <c r="P23" s="83"/>
      <c r="Q23" s="83"/>
      <c r="R23" s="83"/>
      <c r="S23" s="83"/>
      <c r="T23" s="83"/>
      <c r="U23" s="83"/>
      <c r="V23" s="83"/>
      <c r="W23" s="83"/>
      <c r="X23" s="83"/>
      <c r="Y23" s="83"/>
      <c r="Z23" s="83"/>
    </row>
    <row r="24" spans="1:26" ht="65.25" customHeight="1">
      <c r="A24" s="81" t="s">
        <v>1557</v>
      </c>
      <c r="B24" s="82" t="s">
        <v>1540</v>
      </c>
      <c r="C24" s="82" t="str">
        <f t="shared" si="0"/>
        <v>OralCavitySubsite</v>
      </c>
      <c r="D24" s="82" t="str">
        <f t="array" ref="D24">"CUS_"&amp;C24</f>
        <v>CUS_OralCavitySubsite</v>
      </c>
      <c r="E24" s="82" t="s">
        <v>1557</v>
      </c>
      <c r="F24" s="82" t="s">
        <v>1558</v>
      </c>
      <c r="G24" s="82" t="s">
        <v>185</v>
      </c>
      <c r="H24" s="82" t="s">
        <v>201</v>
      </c>
      <c r="I24" s="82" t="s">
        <v>1542</v>
      </c>
      <c r="J24" s="96" t="s">
        <v>1559</v>
      </c>
      <c r="K24" s="82"/>
      <c r="L24" s="91" t="s">
        <v>1533</v>
      </c>
      <c r="M24" s="83"/>
      <c r="N24" s="83"/>
      <c r="O24" s="83"/>
      <c r="P24" s="83"/>
      <c r="Q24" s="83"/>
      <c r="R24" s="83"/>
      <c r="S24" s="83"/>
      <c r="T24" s="83"/>
      <c r="U24" s="83"/>
      <c r="V24" s="83"/>
      <c r="W24" s="83"/>
      <c r="X24" s="83"/>
      <c r="Y24" s="83"/>
      <c r="Z24" s="83"/>
    </row>
    <row r="25" spans="1:26" ht="65.25" customHeight="1">
      <c r="A25" s="81" t="s">
        <v>1560</v>
      </c>
      <c r="B25" s="82" t="s">
        <v>1540</v>
      </c>
      <c r="C25" s="82" t="str">
        <f t="shared" si="0"/>
        <v>LipSubsite</v>
      </c>
      <c r="D25" s="82" t="str">
        <f t="array" ref="D25">"CUS_"&amp;C25</f>
        <v>CUS_LipSubsite</v>
      </c>
      <c r="E25" s="82" t="s">
        <v>1560</v>
      </c>
      <c r="F25" s="82" t="s">
        <v>1561</v>
      </c>
      <c r="G25" s="82" t="s">
        <v>185</v>
      </c>
      <c r="H25" s="82" t="s">
        <v>201</v>
      </c>
      <c r="I25" s="82" t="s">
        <v>1542</v>
      </c>
      <c r="J25" s="96" t="s">
        <v>1562</v>
      </c>
      <c r="K25" s="82"/>
      <c r="L25" s="91" t="s">
        <v>1533</v>
      </c>
      <c r="M25" s="83"/>
      <c r="N25" s="83"/>
      <c r="O25" s="83"/>
      <c r="P25" s="83"/>
      <c r="Q25" s="83"/>
      <c r="R25" s="83"/>
      <c r="S25" s="83"/>
      <c r="T25" s="83"/>
      <c r="U25" s="83"/>
      <c r="V25" s="83"/>
      <c r="W25" s="83"/>
      <c r="X25" s="83"/>
      <c r="Y25" s="83"/>
      <c r="Z25" s="83"/>
    </row>
    <row r="26" spans="1:26" ht="65.25" customHeight="1">
      <c r="A26" s="81" t="s">
        <v>1563</v>
      </c>
      <c r="B26" s="82" t="s">
        <v>1473</v>
      </c>
      <c r="C26" s="82" t="str">
        <f t="shared" si="0"/>
        <v>PlasmaticEbvDnaAtBaseline</v>
      </c>
      <c r="D26" s="82" t="str">
        <f t="array" ref="D26">"CUS_"&amp;C26</f>
        <v>CUS_PlasmaticEbvDnaAtBaseline</v>
      </c>
      <c r="E26" s="82" t="s">
        <v>1563</v>
      </c>
      <c r="F26" s="82" t="s">
        <v>1564</v>
      </c>
      <c r="G26" s="82" t="s">
        <v>185</v>
      </c>
      <c r="H26" s="82" t="s">
        <v>201</v>
      </c>
      <c r="I26" s="82" t="s">
        <v>1565</v>
      </c>
      <c r="J26" s="82" t="s">
        <v>1566</v>
      </c>
      <c r="K26" s="82"/>
      <c r="L26" s="83"/>
      <c r="M26" s="83"/>
      <c r="N26" s="83"/>
      <c r="O26" s="83"/>
      <c r="P26" s="83"/>
      <c r="Q26" s="83"/>
      <c r="R26" s="83"/>
      <c r="S26" s="83"/>
      <c r="T26" s="83"/>
      <c r="U26" s="83"/>
      <c r="V26" s="83"/>
      <c r="W26" s="83"/>
      <c r="X26" s="83"/>
      <c r="Y26" s="83"/>
      <c r="Z26" s="83"/>
    </row>
    <row r="27" spans="1:26" ht="65.25" customHeight="1">
      <c r="A27" s="81" t="s">
        <v>1567</v>
      </c>
      <c r="B27" s="82" t="s">
        <v>1473</v>
      </c>
      <c r="C27" s="82" t="str">
        <f t="shared" si="0"/>
        <v>PrimerType</v>
      </c>
      <c r="D27" s="82" t="str">
        <f t="array" ref="D27">"CUS_"&amp;C27</f>
        <v>CUS_PrimerType</v>
      </c>
      <c r="E27" s="82" t="s">
        <v>1567</v>
      </c>
      <c r="F27" s="82" t="s">
        <v>1568</v>
      </c>
      <c r="G27" s="82" t="s">
        <v>185</v>
      </c>
      <c r="H27" s="82" t="s">
        <v>201</v>
      </c>
      <c r="I27" s="82" t="s">
        <v>1569</v>
      </c>
      <c r="J27" s="82" t="s">
        <v>1570</v>
      </c>
      <c r="K27" s="82"/>
      <c r="L27" s="83"/>
      <c r="M27" s="83"/>
      <c r="N27" s="83"/>
      <c r="O27" s="83"/>
      <c r="P27" s="83"/>
      <c r="Q27" s="83"/>
      <c r="R27" s="83"/>
      <c r="S27" s="83"/>
      <c r="T27" s="83"/>
      <c r="U27" s="83"/>
      <c r="V27" s="83"/>
      <c r="W27" s="83"/>
      <c r="X27" s="83"/>
      <c r="Y27" s="83"/>
      <c r="Z27" s="83"/>
    </row>
    <row r="28" spans="1:26" ht="65.25" customHeight="1">
      <c r="A28" s="97" t="s">
        <v>1571</v>
      </c>
      <c r="B28" s="98"/>
      <c r="C28" s="98" t="str">
        <f t="shared" si="0"/>
        <v>Other(PleaseSpecify)</v>
      </c>
      <c r="D28" s="98" t="str">
        <f t="array" ref="D28">"CUS_"&amp;C28</f>
        <v>CUS_Other(PleaseSpecify)</v>
      </c>
      <c r="E28" s="98"/>
      <c r="F28" s="98"/>
      <c r="G28" s="98"/>
      <c r="H28" s="98"/>
      <c r="I28" s="98"/>
      <c r="J28" s="98"/>
      <c r="K28" s="98"/>
      <c r="L28" s="99"/>
      <c r="M28" s="99"/>
      <c r="N28" s="99"/>
      <c r="O28" s="99"/>
      <c r="P28" s="99"/>
      <c r="Q28" s="99"/>
      <c r="R28" s="99"/>
      <c r="S28" s="99"/>
      <c r="T28" s="99"/>
      <c r="U28" s="99"/>
      <c r="V28" s="99"/>
      <c r="W28" s="99"/>
      <c r="X28" s="99"/>
      <c r="Y28" s="99"/>
      <c r="Z28" s="99"/>
    </row>
    <row r="29" spans="1:26" ht="65.25" customHeight="1">
      <c r="A29" s="81" t="s">
        <v>866</v>
      </c>
      <c r="B29" s="82" t="s">
        <v>1473</v>
      </c>
      <c r="C29" s="82" t="str">
        <f t="shared" si="0"/>
        <v>CopyNumber</v>
      </c>
      <c r="D29" s="82" t="str">
        <f t="array" ref="D29">"CUS_"&amp;C29</f>
        <v>CUS_CopyNumber</v>
      </c>
      <c r="E29" s="82" t="s">
        <v>866</v>
      </c>
      <c r="F29" s="82" t="s">
        <v>1572</v>
      </c>
      <c r="G29" s="82" t="s">
        <v>344</v>
      </c>
      <c r="H29" s="82" t="s">
        <v>201</v>
      </c>
      <c r="I29" s="82" t="s">
        <v>1573</v>
      </c>
      <c r="J29" s="82" t="s">
        <v>344</v>
      </c>
      <c r="K29" s="82"/>
      <c r="L29" s="83"/>
      <c r="M29" s="83"/>
      <c r="N29" s="83"/>
      <c r="O29" s="83"/>
      <c r="P29" s="83"/>
      <c r="Q29" s="83"/>
      <c r="R29" s="83"/>
      <c r="S29" s="83"/>
      <c r="T29" s="83"/>
      <c r="U29" s="83"/>
      <c r="V29" s="83"/>
      <c r="W29" s="83"/>
      <c r="X29" s="83"/>
      <c r="Y29" s="83"/>
      <c r="Z29" s="83"/>
    </row>
    <row r="30" spans="1:26" ht="65.25" customHeight="1">
      <c r="A30" s="81" t="s">
        <v>1574</v>
      </c>
      <c r="B30" s="82" t="s">
        <v>1473</v>
      </c>
      <c r="C30" s="82" t="str">
        <f t="shared" si="0"/>
        <v>HpvStatus</v>
      </c>
      <c r="D30" s="82" t="str">
        <f t="array" ref="D30">"CUS_"&amp;C30</f>
        <v>CUS_HpvStatus</v>
      </c>
      <c r="E30" s="82" t="s">
        <v>1574</v>
      </c>
      <c r="F30" s="82" t="s">
        <v>1575</v>
      </c>
      <c r="G30" s="82" t="s">
        <v>185</v>
      </c>
      <c r="H30" s="82" t="s">
        <v>201</v>
      </c>
      <c r="I30" s="82" t="s">
        <v>1576</v>
      </c>
      <c r="J30" s="82" t="s">
        <v>1577</v>
      </c>
      <c r="K30" s="82"/>
      <c r="L30" s="83"/>
      <c r="M30" s="83"/>
      <c r="N30" s="83"/>
      <c r="O30" s="83"/>
      <c r="P30" s="83"/>
      <c r="Q30" s="83"/>
      <c r="R30" s="83"/>
      <c r="S30" s="83"/>
      <c r="T30" s="83"/>
      <c r="U30" s="83"/>
      <c r="V30" s="83"/>
      <c r="W30" s="83"/>
      <c r="X30" s="83"/>
      <c r="Y30" s="83"/>
      <c r="Z30" s="83"/>
    </row>
    <row r="31" spans="1:26" ht="65.25" customHeight="1">
      <c r="A31" s="81" t="s">
        <v>1578</v>
      </c>
      <c r="B31" s="82" t="s">
        <v>1473</v>
      </c>
      <c r="C31" s="82" t="str">
        <f t="shared" si="0"/>
        <v>HpvStatusDetectedBy</v>
      </c>
      <c r="D31" s="82" t="str">
        <f t="array" ref="D31">"CUS_"&amp;C31</f>
        <v>CUS_HpvStatusDetectedBy</v>
      </c>
      <c r="E31" s="82" t="s">
        <v>1579</v>
      </c>
      <c r="F31" s="82" t="s">
        <v>1580</v>
      </c>
      <c r="G31" s="82" t="s">
        <v>185</v>
      </c>
      <c r="H31" s="82" t="s">
        <v>201</v>
      </c>
      <c r="I31" s="82" t="s">
        <v>1581</v>
      </c>
      <c r="J31" s="82" t="s">
        <v>1582</v>
      </c>
      <c r="K31" s="82"/>
      <c r="L31" s="83"/>
      <c r="M31" s="83"/>
      <c r="N31" s="83"/>
      <c r="O31" s="83"/>
      <c r="P31" s="83"/>
      <c r="Q31" s="83"/>
      <c r="R31" s="83"/>
      <c r="S31" s="83"/>
      <c r="T31" s="83"/>
      <c r="U31" s="83"/>
      <c r="V31" s="83"/>
      <c r="W31" s="83"/>
      <c r="X31" s="83"/>
      <c r="Y31" s="83"/>
      <c r="Z31" s="83"/>
    </row>
    <row r="32" spans="1:26" ht="65.25" customHeight="1">
      <c r="A32" s="81" t="s">
        <v>1583</v>
      </c>
      <c r="B32" s="82" t="s">
        <v>1473</v>
      </c>
      <c r="C32" s="82" t="str">
        <f t="shared" si="0"/>
        <v>P16</v>
      </c>
      <c r="D32" s="82" t="str">
        <f t="array" ref="D32">"CUS_"&amp;C32</f>
        <v>CUS_P16</v>
      </c>
      <c r="E32" s="82" t="s">
        <v>1583</v>
      </c>
      <c r="F32" s="82" t="s">
        <v>1584</v>
      </c>
      <c r="G32" s="82" t="s">
        <v>185</v>
      </c>
      <c r="H32" s="82" t="s">
        <v>201</v>
      </c>
      <c r="I32" s="82" t="s">
        <v>1576</v>
      </c>
      <c r="J32" s="82" t="s">
        <v>1585</v>
      </c>
      <c r="K32" s="82"/>
      <c r="L32" s="83"/>
      <c r="M32" s="83"/>
      <c r="N32" s="83"/>
      <c r="O32" s="83"/>
      <c r="P32" s="83"/>
      <c r="Q32" s="83"/>
      <c r="R32" s="83"/>
      <c r="S32" s="83"/>
      <c r="T32" s="83"/>
      <c r="U32" s="83"/>
      <c r="V32" s="83"/>
      <c r="W32" s="83"/>
      <c r="X32" s="83"/>
      <c r="Y32" s="83"/>
      <c r="Z32" s="83"/>
    </row>
    <row r="33" spans="1:26" ht="65.25" customHeight="1">
      <c r="A33" s="81" t="s">
        <v>1586</v>
      </c>
      <c r="B33" s="82" t="s">
        <v>1473</v>
      </c>
      <c r="C33" s="82" t="str">
        <f t="shared" si="0"/>
        <v>Pd-L1</v>
      </c>
      <c r="D33" s="82" t="str">
        <f t="array" ref="D33">"CUS_"&amp;C33</f>
        <v>CUS_Pd-L1</v>
      </c>
      <c r="E33" s="82" t="s">
        <v>1586</v>
      </c>
      <c r="F33" s="82" t="s">
        <v>1587</v>
      </c>
      <c r="G33" s="82" t="s">
        <v>185</v>
      </c>
      <c r="H33" s="82" t="s">
        <v>201</v>
      </c>
      <c r="I33" s="82" t="s">
        <v>1576</v>
      </c>
      <c r="J33" s="82" t="s">
        <v>1588</v>
      </c>
      <c r="K33" s="82"/>
      <c r="L33" s="83"/>
      <c r="M33" s="83"/>
      <c r="N33" s="83"/>
      <c r="O33" s="83"/>
      <c r="P33" s="83"/>
      <c r="Q33" s="83"/>
      <c r="R33" s="83"/>
      <c r="S33" s="83"/>
      <c r="T33" s="83"/>
      <c r="U33" s="83"/>
      <c r="V33" s="83"/>
      <c r="W33" s="83"/>
      <c r="X33" s="83"/>
      <c r="Y33" s="83"/>
      <c r="Z33" s="83"/>
    </row>
    <row r="34" spans="1:26" ht="65.25" customHeight="1">
      <c r="A34" s="81" t="s">
        <v>1589</v>
      </c>
      <c r="B34" s="82" t="s">
        <v>1473</v>
      </c>
      <c r="C34" s="82" t="str">
        <f t="shared" si="0"/>
        <v>Pd-L1Method</v>
      </c>
      <c r="D34" s="82" t="str">
        <f t="array" ref="D34">"CUS_"&amp;C34</f>
        <v>CUS_Pd-L1Method</v>
      </c>
      <c r="E34" s="82" t="s">
        <v>1589</v>
      </c>
      <c r="F34" s="82" t="s">
        <v>1590</v>
      </c>
      <c r="G34" s="82" t="s">
        <v>185</v>
      </c>
      <c r="H34" s="82" t="s">
        <v>201</v>
      </c>
      <c r="I34" s="82" t="s">
        <v>1581</v>
      </c>
      <c r="J34" s="82" t="s">
        <v>1591</v>
      </c>
      <c r="K34" s="82"/>
      <c r="L34" s="83"/>
      <c r="M34" s="83"/>
      <c r="N34" s="83"/>
      <c r="O34" s="83"/>
      <c r="P34" s="83"/>
      <c r="Q34" s="83"/>
      <c r="R34" s="83"/>
      <c r="S34" s="83"/>
      <c r="T34" s="83"/>
      <c r="U34" s="83"/>
      <c r="V34" s="83"/>
      <c r="W34" s="83"/>
      <c r="X34" s="83"/>
      <c r="Y34" s="83"/>
      <c r="Z34" s="83"/>
    </row>
    <row r="35" spans="1:26" ht="65.25" customHeight="1">
      <c r="A35" s="81" t="s">
        <v>1592</v>
      </c>
      <c r="B35" s="82" t="s">
        <v>1473</v>
      </c>
      <c r="C35" s="82" t="str">
        <f t="shared" si="0"/>
        <v>Pd-L1CpsValue</v>
      </c>
      <c r="D35" s="82" t="str">
        <f t="array" ref="D35">"CUS_"&amp;C35</f>
        <v>CUS_Pd-L1CpsValue</v>
      </c>
      <c r="E35" s="82" t="s">
        <v>1593</v>
      </c>
      <c r="F35" s="82" t="s">
        <v>1594</v>
      </c>
      <c r="G35" s="82" t="s">
        <v>344</v>
      </c>
      <c r="H35" s="82" t="s">
        <v>201</v>
      </c>
      <c r="I35" s="82" t="s">
        <v>1595</v>
      </c>
      <c r="J35" s="82" t="s">
        <v>80</v>
      </c>
      <c r="K35" s="82"/>
      <c r="L35" s="83"/>
      <c r="M35" s="83"/>
      <c r="N35" s="83"/>
      <c r="O35" s="83"/>
      <c r="P35" s="83"/>
      <c r="Q35" s="83"/>
      <c r="R35" s="83"/>
      <c r="S35" s="83"/>
      <c r="T35" s="83"/>
      <c r="U35" s="83"/>
      <c r="V35" s="83"/>
      <c r="W35" s="83"/>
      <c r="X35" s="83"/>
      <c r="Y35" s="83"/>
      <c r="Z35" s="83"/>
    </row>
    <row r="36" spans="1:26" ht="65.25" customHeight="1">
      <c r="A36" s="81" t="s">
        <v>1596</v>
      </c>
      <c r="B36" s="82" t="s">
        <v>1473</v>
      </c>
      <c r="C36" s="82" t="str">
        <f t="shared" si="0"/>
        <v>Pd-L1TpsValue</v>
      </c>
      <c r="D36" s="82" t="str">
        <f t="array" ref="D36">"CUS_"&amp;C36</f>
        <v>CUS_Pd-L1TpsValue</v>
      </c>
      <c r="E36" s="82" t="s">
        <v>1597</v>
      </c>
      <c r="F36" s="82" t="s">
        <v>1598</v>
      </c>
      <c r="G36" s="82" t="s">
        <v>344</v>
      </c>
      <c r="H36" s="82" t="s">
        <v>201</v>
      </c>
      <c r="I36" s="82" t="s">
        <v>1599</v>
      </c>
      <c r="J36" s="82" t="s">
        <v>80</v>
      </c>
      <c r="K36" s="82"/>
      <c r="L36" s="83"/>
      <c r="M36" s="83"/>
      <c r="N36" s="83"/>
      <c r="O36" s="83"/>
      <c r="P36" s="83"/>
      <c r="Q36" s="83"/>
      <c r="R36" s="83"/>
      <c r="S36" s="83"/>
      <c r="T36" s="83"/>
      <c r="U36" s="83"/>
      <c r="V36" s="83"/>
      <c r="W36" s="83"/>
      <c r="X36" s="83"/>
      <c r="Y36" s="83"/>
      <c r="Z36" s="83"/>
    </row>
    <row r="37" spans="1:26" ht="65.25" customHeight="1">
      <c r="A37" s="81" t="s">
        <v>1600</v>
      </c>
      <c r="B37" s="82"/>
      <c r="C37" s="82" t="str">
        <f t="shared" si="0"/>
        <v>Crp–CReactiveProteinTested</v>
      </c>
      <c r="D37" s="82" t="str">
        <f t="array" ref="D37">"CUS_"&amp;C37</f>
        <v>CUS_Crp–CReactiveProteinTested</v>
      </c>
      <c r="E37" s="82" t="s">
        <v>1600</v>
      </c>
      <c r="F37" s="82" t="s">
        <v>1601</v>
      </c>
      <c r="G37" s="82" t="s">
        <v>185</v>
      </c>
      <c r="H37" s="82" t="s">
        <v>201</v>
      </c>
      <c r="I37" s="82" t="s">
        <v>1576</v>
      </c>
      <c r="J37" s="82" t="s">
        <v>1585</v>
      </c>
      <c r="K37" s="82"/>
      <c r="L37" s="83"/>
      <c r="M37" s="83"/>
      <c r="N37" s="83"/>
      <c r="O37" s="83"/>
      <c r="P37" s="83"/>
      <c r="Q37" s="83"/>
      <c r="R37" s="83"/>
      <c r="S37" s="83"/>
      <c r="T37" s="83"/>
      <c r="U37" s="83"/>
      <c r="V37" s="83"/>
      <c r="W37" s="83"/>
      <c r="X37" s="83"/>
      <c r="Y37" s="83"/>
      <c r="Z37" s="83"/>
    </row>
    <row r="38" spans="1:26" ht="65.25" customHeight="1">
      <c r="A38" s="81" t="s">
        <v>1602</v>
      </c>
      <c r="B38" s="82"/>
      <c r="C38" s="82" t="str">
        <f t="shared" si="0"/>
        <v>CReactiveProtein-Crp(Mg/Dl)</v>
      </c>
      <c r="D38" s="82" t="str">
        <f t="array" ref="D38">"CUS_"&amp;C38</f>
        <v>CUS_CReactiveProtein-Crp(Mg/Dl)</v>
      </c>
      <c r="E38" s="82" t="s">
        <v>1602</v>
      </c>
      <c r="F38" s="82" t="s">
        <v>1603</v>
      </c>
      <c r="G38" s="82" t="s">
        <v>185</v>
      </c>
      <c r="H38" s="82" t="s">
        <v>201</v>
      </c>
      <c r="I38" s="82" t="s">
        <v>1604</v>
      </c>
      <c r="J38" s="82" t="s">
        <v>80</v>
      </c>
      <c r="K38" s="82"/>
      <c r="L38" s="83"/>
      <c r="M38" s="83"/>
      <c r="N38" s="83"/>
      <c r="O38" s="83"/>
      <c r="P38" s="83"/>
      <c r="Q38" s="83"/>
      <c r="R38" s="83"/>
      <c r="S38" s="83"/>
      <c r="T38" s="83"/>
      <c r="U38" s="83"/>
      <c r="V38" s="83"/>
      <c r="W38" s="83"/>
      <c r="X38" s="83"/>
      <c r="Y38" s="83"/>
      <c r="Z38" s="83"/>
    </row>
    <row r="39" spans="1:26" ht="65.25" customHeight="1">
      <c r="A39" s="81" t="s">
        <v>1605</v>
      </c>
      <c r="B39" s="82"/>
      <c r="C39" s="82" t="str">
        <f t="shared" si="0"/>
        <v>InstrumentStatus</v>
      </c>
      <c r="D39" s="82" t="str">
        <f t="array" ref="D39">"CUS_"&amp;C39</f>
        <v>CUS_InstrumentStatus</v>
      </c>
      <c r="E39" s="82" t="s">
        <v>1605</v>
      </c>
      <c r="F39" s="82" t="s">
        <v>152</v>
      </c>
      <c r="G39" s="82" t="s">
        <v>1606</v>
      </c>
      <c r="H39" s="82" t="s">
        <v>201</v>
      </c>
      <c r="I39" s="82" t="s">
        <v>1607</v>
      </c>
      <c r="J39" s="82" t="s">
        <v>151</v>
      </c>
      <c r="K39" s="82"/>
      <c r="L39" s="83"/>
      <c r="M39" s="83"/>
      <c r="N39" s="83"/>
      <c r="O39" s="83"/>
      <c r="P39" s="83"/>
      <c r="Q39" s="83"/>
      <c r="R39" s="83"/>
      <c r="S39" s="83"/>
      <c r="T39" s="83"/>
      <c r="U39" s="83"/>
      <c r="V39" s="83"/>
      <c r="W39" s="83"/>
      <c r="X39" s="83"/>
      <c r="Y39" s="83"/>
      <c r="Z39" s="83"/>
    </row>
    <row r="40" spans="1:26" ht="13.5">
      <c r="A40" s="76"/>
    </row>
    <row r="41" spans="1:26" ht="13.5">
      <c r="A41" s="76"/>
    </row>
    <row r="42" spans="1:26" ht="13.5">
      <c r="A42" s="76"/>
    </row>
    <row r="43" spans="1:26" ht="13.5">
      <c r="A43" s="76"/>
    </row>
    <row r="44" spans="1:26" ht="13.5">
      <c r="A44" s="76"/>
    </row>
    <row r="45" spans="1:26" ht="13.5">
      <c r="A45" s="76"/>
    </row>
    <row r="46" spans="1:26" ht="13.5">
      <c r="A46" s="76"/>
    </row>
    <row r="47" spans="1:26" ht="13.5">
      <c r="A47" s="76"/>
    </row>
    <row r="48" spans="1:26" ht="13.5">
      <c r="A48" s="76"/>
    </row>
    <row r="49" spans="1:1" ht="13.5">
      <c r="A49" s="76"/>
    </row>
    <row r="50" spans="1:1" ht="13.5">
      <c r="A50" s="76"/>
    </row>
    <row r="51" spans="1:1" ht="13.5">
      <c r="A51" s="76"/>
    </row>
    <row r="52" spans="1:1" ht="13.5">
      <c r="A52" s="76"/>
    </row>
    <row r="53" spans="1:1" ht="13.5">
      <c r="A53" s="76"/>
    </row>
    <row r="54" spans="1:1" ht="13.5">
      <c r="A54" s="76"/>
    </row>
    <row r="55" spans="1:1" ht="13.5">
      <c r="A55" s="76"/>
    </row>
    <row r="56" spans="1:1" ht="13.5">
      <c r="A56" s="76"/>
    </row>
    <row r="57" spans="1:1" ht="13.5">
      <c r="A57" s="76"/>
    </row>
    <row r="58" spans="1:1" ht="13.5">
      <c r="A58" s="76"/>
    </row>
    <row r="59" spans="1:1" ht="13.5">
      <c r="A59" s="76"/>
    </row>
    <row r="60" spans="1:1" ht="13.5">
      <c r="A60" s="76"/>
    </row>
    <row r="61" spans="1:1" ht="13.5">
      <c r="A61" s="76"/>
    </row>
    <row r="62" spans="1:1" ht="13.5">
      <c r="A62" s="76"/>
    </row>
    <row r="63" spans="1:1" ht="13.5">
      <c r="A63" s="76"/>
    </row>
    <row r="64" spans="1:1" ht="13.5">
      <c r="A64" s="76"/>
    </row>
    <row r="65" spans="1:1" ht="13.5">
      <c r="A65" s="76"/>
    </row>
    <row r="66" spans="1:1" ht="13.5">
      <c r="A66" s="76"/>
    </row>
    <row r="67" spans="1:1" ht="13.5">
      <c r="A67" s="76"/>
    </row>
    <row r="68" spans="1:1" ht="13.5">
      <c r="A68" s="76"/>
    </row>
    <row r="69" spans="1:1" ht="13.5">
      <c r="A69" s="76"/>
    </row>
    <row r="70" spans="1:1" ht="13.5">
      <c r="A70" s="76"/>
    </row>
    <row r="71" spans="1:1" ht="13.5">
      <c r="A71" s="76"/>
    </row>
    <row r="72" spans="1:1" ht="13.5">
      <c r="A72" s="76"/>
    </row>
    <row r="73" spans="1:1" ht="13.5">
      <c r="A73" s="76"/>
    </row>
    <row r="74" spans="1:1" ht="13.5">
      <c r="A74" s="76"/>
    </row>
    <row r="75" spans="1:1" ht="13.5">
      <c r="A75" s="76"/>
    </row>
    <row r="76" spans="1:1" ht="13.5">
      <c r="A76" s="76"/>
    </row>
    <row r="77" spans="1:1" ht="13.5">
      <c r="A77" s="76"/>
    </row>
    <row r="78" spans="1:1" ht="13.5">
      <c r="A78" s="76"/>
    </row>
    <row r="79" spans="1:1" ht="13.5">
      <c r="A79" s="76"/>
    </row>
    <row r="80" spans="1:1" ht="13.5">
      <c r="A80" s="76"/>
    </row>
    <row r="81" spans="1:1" ht="13.5">
      <c r="A81" s="76"/>
    </row>
    <row r="82" spans="1:1" ht="13.5">
      <c r="A82" s="76"/>
    </row>
    <row r="83" spans="1:1" ht="13.5">
      <c r="A83" s="76"/>
    </row>
    <row r="84" spans="1:1" ht="13.5">
      <c r="A84" s="76"/>
    </row>
    <row r="85" spans="1:1" ht="13.5">
      <c r="A85" s="76"/>
    </row>
    <row r="86" spans="1:1" ht="13.5">
      <c r="A86" s="76"/>
    </row>
    <row r="87" spans="1:1" ht="13.5">
      <c r="A87" s="76"/>
    </row>
    <row r="88" spans="1:1" ht="13.5">
      <c r="A88" s="76"/>
    </row>
    <row r="89" spans="1:1" ht="13.5">
      <c r="A89" s="76"/>
    </row>
    <row r="90" spans="1:1" ht="13.5">
      <c r="A90" s="76"/>
    </row>
    <row r="91" spans="1:1" ht="13.5">
      <c r="A91" s="76"/>
    </row>
    <row r="92" spans="1:1" ht="13.5">
      <c r="A92" s="76"/>
    </row>
    <row r="93" spans="1:1" ht="13.5">
      <c r="A93" s="76"/>
    </row>
    <row r="94" spans="1:1" ht="13.5">
      <c r="A94" s="76"/>
    </row>
    <row r="95" spans="1:1" ht="13.5">
      <c r="A95" s="76"/>
    </row>
    <row r="96" spans="1:1" ht="13.5">
      <c r="A96" s="76"/>
    </row>
    <row r="97" spans="1:1" ht="13.5">
      <c r="A97" s="76"/>
    </row>
    <row r="98" spans="1:1" ht="13.5">
      <c r="A98" s="76"/>
    </row>
    <row r="99" spans="1:1" ht="13.5">
      <c r="A99" s="76"/>
    </row>
    <row r="100" spans="1:1" ht="13.5">
      <c r="A100" s="76"/>
    </row>
    <row r="101" spans="1:1" ht="13.5">
      <c r="A101" s="76"/>
    </row>
    <row r="102" spans="1:1" ht="13.5">
      <c r="A102" s="76"/>
    </row>
    <row r="103" spans="1:1" ht="13.5">
      <c r="A103" s="76"/>
    </row>
    <row r="104" spans="1:1" ht="13.5">
      <c r="A104" s="76"/>
    </row>
    <row r="105" spans="1:1" ht="13.5">
      <c r="A105" s="76"/>
    </row>
    <row r="106" spans="1:1" ht="13.5">
      <c r="A106" s="76"/>
    </row>
    <row r="107" spans="1:1" ht="13.5">
      <c r="A107" s="76"/>
    </row>
    <row r="108" spans="1:1" ht="13.5">
      <c r="A108" s="76"/>
    </row>
    <row r="109" spans="1:1" ht="13.5">
      <c r="A109" s="76"/>
    </row>
    <row r="110" spans="1:1" ht="13.5">
      <c r="A110" s="76"/>
    </row>
    <row r="111" spans="1:1" ht="13.5">
      <c r="A111" s="76"/>
    </row>
    <row r="112" spans="1:1" ht="13.5">
      <c r="A112" s="76"/>
    </row>
    <row r="113" spans="1:1" ht="13.5">
      <c r="A113" s="76"/>
    </row>
    <row r="114" spans="1:1" ht="13.5">
      <c r="A114" s="76"/>
    </row>
    <row r="115" spans="1:1" ht="13.5">
      <c r="A115" s="76"/>
    </row>
    <row r="116" spans="1:1" ht="13.5">
      <c r="A116" s="76"/>
    </row>
    <row r="117" spans="1:1" ht="13.5">
      <c r="A117" s="76"/>
    </row>
    <row r="118" spans="1:1" ht="13.5">
      <c r="A118" s="76"/>
    </row>
    <row r="119" spans="1:1" ht="13.5">
      <c r="A119" s="76"/>
    </row>
    <row r="120" spans="1:1" ht="13.5">
      <c r="A120" s="76"/>
    </row>
    <row r="121" spans="1:1" ht="13.5">
      <c r="A121" s="76"/>
    </row>
    <row r="122" spans="1:1" ht="13.5">
      <c r="A122" s="76"/>
    </row>
    <row r="123" spans="1:1" ht="13.5">
      <c r="A123" s="76"/>
    </row>
    <row r="124" spans="1:1" ht="13.5">
      <c r="A124" s="76"/>
    </row>
    <row r="125" spans="1:1" ht="13.5">
      <c r="A125" s="76"/>
    </row>
    <row r="126" spans="1:1" ht="13.5">
      <c r="A126" s="76"/>
    </row>
    <row r="127" spans="1:1" ht="13.5">
      <c r="A127" s="76"/>
    </row>
    <row r="128" spans="1:1" ht="13.5">
      <c r="A128" s="76"/>
    </row>
    <row r="129" spans="1:1" ht="13.5">
      <c r="A129" s="76"/>
    </row>
    <row r="130" spans="1:1" ht="13.5">
      <c r="A130" s="76"/>
    </row>
    <row r="131" spans="1:1" ht="13.5">
      <c r="A131" s="76"/>
    </row>
    <row r="132" spans="1:1" ht="13.5">
      <c r="A132" s="76"/>
    </row>
    <row r="133" spans="1:1" ht="13.5">
      <c r="A133" s="76"/>
    </row>
    <row r="134" spans="1:1" ht="13.5">
      <c r="A134" s="76"/>
    </row>
    <row r="135" spans="1:1" ht="13.5">
      <c r="A135" s="76"/>
    </row>
    <row r="136" spans="1:1" ht="13.5">
      <c r="A136" s="76"/>
    </row>
    <row r="137" spans="1:1" ht="13.5">
      <c r="A137" s="76"/>
    </row>
    <row r="138" spans="1:1" ht="13.5">
      <c r="A138" s="76"/>
    </row>
    <row r="139" spans="1:1" ht="13.5">
      <c r="A139" s="76"/>
    </row>
    <row r="140" spans="1:1" ht="13.5">
      <c r="A140" s="76"/>
    </row>
    <row r="141" spans="1:1" ht="13.5">
      <c r="A141" s="76"/>
    </row>
    <row r="142" spans="1:1" ht="13.5">
      <c r="A142" s="76"/>
    </row>
    <row r="143" spans="1:1" ht="13.5">
      <c r="A143" s="76"/>
    </row>
    <row r="144" spans="1:1" ht="13.5">
      <c r="A144" s="76"/>
    </row>
    <row r="145" spans="1:1" ht="13.5">
      <c r="A145" s="76"/>
    </row>
    <row r="146" spans="1:1" ht="13.5">
      <c r="A146" s="76"/>
    </row>
    <row r="147" spans="1:1" ht="13.5">
      <c r="A147" s="76"/>
    </row>
    <row r="148" spans="1:1" ht="13.5">
      <c r="A148" s="76"/>
    </row>
    <row r="149" spans="1:1" ht="13.5">
      <c r="A149" s="76"/>
    </row>
    <row r="150" spans="1:1" ht="13.5">
      <c r="A150" s="76"/>
    </row>
    <row r="151" spans="1:1" ht="13.5">
      <c r="A151" s="76"/>
    </row>
    <row r="152" spans="1:1" ht="13.5">
      <c r="A152" s="76"/>
    </row>
    <row r="153" spans="1:1" ht="13.5">
      <c r="A153" s="76"/>
    </row>
    <row r="154" spans="1:1" ht="13.5">
      <c r="A154" s="76"/>
    </row>
    <row r="155" spans="1:1" ht="13.5">
      <c r="A155" s="76"/>
    </row>
    <row r="156" spans="1:1" ht="13.5">
      <c r="A156" s="76"/>
    </row>
    <row r="157" spans="1:1" ht="13.5">
      <c r="A157" s="76"/>
    </row>
    <row r="158" spans="1:1" ht="13.5">
      <c r="A158" s="76"/>
    </row>
    <row r="159" spans="1:1" ht="13.5">
      <c r="A159" s="76"/>
    </row>
    <row r="160" spans="1:1" ht="13.5">
      <c r="A160" s="76"/>
    </row>
    <row r="161" spans="1:1" ht="13.5">
      <c r="A161" s="76"/>
    </row>
    <row r="162" spans="1:1" ht="13.5">
      <c r="A162" s="76"/>
    </row>
    <row r="163" spans="1:1" ht="13.5">
      <c r="A163" s="76"/>
    </row>
    <row r="164" spans="1:1" ht="13.5">
      <c r="A164" s="76"/>
    </row>
    <row r="165" spans="1:1" ht="13.5">
      <c r="A165" s="76"/>
    </row>
    <row r="166" spans="1:1" ht="13.5">
      <c r="A166" s="76"/>
    </row>
    <row r="167" spans="1:1" ht="13.5">
      <c r="A167" s="76"/>
    </row>
    <row r="168" spans="1:1" ht="13.5">
      <c r="A168" s="76"/>
    </row>
    <row r="169" spans="1:1" ht="13.5">
      <c r="A169" s="76"/>
    </row>
    <row r="170" spans="1:1" ht="13.5">
      <c r="A170" s="76"/>
    </row>
    <row r="171" spans="1:1" ht="13.5">
      <c r="A171" s="76"/>
    </row>
    <row r="172" spans="1:1" ht="13.5">
      <c r="A172" s="76"/>
    </row>
    <row r="173" spans="1:1" ht="13.5">
      <c r="A173" s="76"/>
    </row>
    <row r="174" spans="1:1" ht="13.5">
      <c r="A174" s="76"/>
    </row>
    <row r="175" spans="1:1" ht="13.5">
      <c r="A175" s="76"/>
    </row>
    <row r="176" spans="1:1" ht="13.5">
      <c r="A176" s="76"/>
    </row>
    <row r="177" spans="1:1" ht="13.5">
      <c r="A177" s="76"/>
    </row>
    <row r="178" spans="1:1" ht="13.5">
      <c r="A178" s="76"/>
    </row>
    <row r="179" spans="1:1" ht="13.5">
      <c r="A179" s="76"/>
    </row>
    <row r="180" spans="1:1" ht="13.5">
      <c r="A180" s="76"/>
    </row>
    <row r="181" spans="1:1" ht="13.5">
      <c r="A181" s="76"/>
    </row>
    <row r="182" spans="1:1" ht="13.5">
      <c r="A182" s="76"/>
    </row>
    <row r="183" spans="1:1" ht="13.5">
      <c r="A183" s="76"/>
    </row>
    <row r="184" spans="1:1" ht="13.5">
      <c r="A184" s="76"/>
    </row>
    <row r="185" spans="1:1" ht="13.5">
      <c r="A185" s="76"/>
    </row>
    <row r="186" spans="1:1" ht="13.5">
      <c r="A186" s="76"/>
    </row>
    <row r="187" spans="1:1" ht="13.5">
      <c r="A187" s="76"/>
    </row>
    <row r="188" spans="1:1" ht="13.5">
      <c r="A188" s="76"/>
    </row>
    <row r="189" spans="1:1" ht="13.5">
      <c r="A189" s="76"/>
    </row>
    <row r="190" spans="1:1" ht="13.5">
      <c r="A190" s="76"/>
    </row>
    <row r="191" spans="1:1" ht="13.5">
      <c r="A191" s="76"/>
    </row>
    <row r="192" spans="1:1" ht="13.5">
      <c r="A192" s="76"/>
    </row>
    <row r="193" spans="1:1" ht="13.5">
      <c r="A193" s="76"/>
    </row>
    <row r="194" spans="1:1" ht="13.5">
      <c r="A194" s="76"/>
    </row>
    <row r="195" spans="1:1" ht="13.5">
      <c r="A195" s="76"/>
    </row>
    <row r="196" spans="1:1" ht="13.5">
      <c r="A196" s="76"/>
    </row>
    <row r="197" spans="1:1" ht="13.5">
      <c r="A197" s="76"/>
    </row>
    <row r="198" spans="1:1" ht="13.5">
      <c r="A198" s="76"/>
    </row>
    <row r="199" spans="1:1" ht="13.5">
      <c r="A199" s="76"/>
    </row>
    <row r="200" spans="1:1" ht="13.5">
      <c r="A200" s="76"/>
    </row>
    <row r="201" spans="1:1" ht="13.5">
      <c r="A201" s="76"/>
    </row>
    <row r="202" spans="1:1" ht="13.5">
      <c r="A202" s="76"/>
    </row>
    <row r="203" spans="1:1" ht="13.5">
      <c r="A203" s="76"/>
    </row>
    <row r="204" spans="1:1" ht="13.5">
      <c r="A204" s="76"/>
    </row>
    <row r="205" spans="1:1" ht="13.5">
      <c r="A205" s="76"/>
    </row>
    <row r="206" spans="1:1" ht="13.5">
      <c r="A206" s="76"/>
    </row>
    <row r="207" spans="1:1" ht="13.5">
      <c r="A207" s="76"/>
    </row>
    <row r="208" spans="1:1" ht="13.5">
      <c r="A208" s="76"/>
    </row>
    <row r="209" spans="1:1" ht="13.5">
      <c r="A209" s="76"/>
    </row>
    <row r="210" spans="1:1" ht="13.5">
      <c r="A210" s="76"/>
    </row>
    <row r="211" spans="1:1" ht="13.5">
      <c r="A211" s="76"/>
    </row>
    <row r="212" spans="1:1" ht="13.5">
      <c r="A212" s="76"/>
    </row>
    <row r="213" spans="1:1" ht="13.5">
      <c r="A213" s="76"/>
    </row>
    <row r="214" spans="1:1" ht="13.5">
      <c r="A214" s="76"/>
    </row>
    <row r="215" spans="1:1" ht="13.5">
      <c r="A215" s="76"/>
    </row>
    <row r="216" spans="1:1" ht="13.5">
      <c r="A216" s="76"/>
    </row>
    <row r="217" spans="1:1" ht="13.5">
      <c r="A217" s="76"/>
    </row>
    <row r="218" spans="1:1" ht="13.5">
      <c r="A218" s="76"/>
    </row>
    <row r="219" spans="1:1" ht="13.5">
      <c r="A219" s="76"/>
    </row>
    <row r="220" spans="1:1" ht="13.5">
      <c r="A220" s="76"/>
    </row>
    <row r="221" spans="1:1" ht="13.5">
      <c r="A221" s="76"/>
    </row>
    <row r="222" spans="1:1" ht="13.5">
      <c r="A222" s="76"/>
    </row>
    <row r="223" spans="1:1" ht="13.5">
      <c r="A223" s="76"/>
    </row>
    <row r="224" spans="1:1" ht="13.5">
      <c r="A224" s="76"/>
    </row>
    <row r="225" spans="1:1" ht="13.5">
      <c r="A225" s="76"/>
    </row>
    <row r="226" spans="1:1" ht="13.5">
      <c r="A226" s="76"/>
    </row>
    <row r="227" spans="1:1" ht="13.5">
      <c r="A227" s="76"/>
    </row>
    <row r="228" spans="1:1" ht="13.5">
      <c r="A228" s="76"/>
    </row>
    <row r="229" spans="1:1" ht="13.5">
      <c r="A229" s="76"/>
    </row>
    <row r="230" spans="1:1" ht="13.5">
      <c r="A230" s="76"/>
    </row>
    <row r="231" spans="1:1" ht="13.5">
      <c r="A231" s="76"/>
    </row>
    <row r="232" spans="1:1" ht="13.5">
      <c r="A232" s="76"/>
    </row>
    <row r="233" spans="1:1" ht="13.5">
      <c r="A233" s="76"/>
    </row>
    <row r="234" spans="1:1" ht="13.5">
      <c r="A234" s="76"/>
    </row>
    <row r="235" spans="1:1" ht="13.5">
      <c r="A235" s="76"/>
    </row>
    <row r="236" spans="1:1" ht="13.5">
      <c r="A236" s="76"/>
    </row>
    <row r="237" spans="1:1" ht="13.5">
      <c r="A237" s="76"/>
    </row>
    <row r="238" spans="1:1" ht="13.5">
      <c r="A238" s="76"/>
    </row>
    <row r="239" spans="1:1" ht="13.5">
      <c r="A239" s="76"/>
    </row>
    <row r="240" spans="1:1" ht="13.5">
      <c r="A240" s="76"/>
    </row>
    <row r="241" spans="1:1" ht="13.5">
      <c r="A241" s="76"/>
    </row>
    <row r="242" spans="1:1" ht="13.5">
      <c r="A242" s="76"/>
    </row>
    <row r="243" spans="1:1" ht="13.5">
      <c r="A243" s="76"/>
    </row>
    <row r="244" spans="1:1" ht="13.5">
      <c r="A244" s="76"/>
    </row>
    <row r="245" spans="1:1" ht="13.5">
      <c r="A245" s="76"/>
    </row>
    <row r="246" spans="1:1" ht="13.5">
      <c r="A246" s="76"/>
    </row>
    <row r="247" spans="1:1" ht="13.5">
      <c r="A247" s="76"/>
    </row>
    <row r="248" spans="1:1" ht="13.5">
      <c r="A248" s="76"/>
    </row>
    <row r="249" spans="1:1" ht="13.5">
      <c r="A249" s="76"/>
    </row>
    <row r="250" spans="1:1" ht="13.5">
      <c r="A250" s="76"/>
    </row>
    <row r="251" spans="1:1" ht="13.5">
      <c r="A251" s="76"/>
    </row>
    <row r="252" spans="1:1" ht="13.5">
      <c r="A252" s="76"/>
    </row>
    <row r="253" spans="1:1" ht="13.5">
      <c r="A253" s="76"/>
    </row>
    <row r="254" spans="1:1" ht="13.5">
      <c r="A254" s="76"/>
    </row>
    <row r="255" spans="1:1" ht="13.5">
      <c r="A255" s="76"/>
    </row>
    <row r="256" spans="1:1" ht="13.5">
      <c r="A256" s="76"/>
    </row>
    <row r="257" spans="1:1" ht="13.5">
      <c r="A257" s="76"/>
    </row>
    <row r="258" spans="1:1" ht="13.5">
      <c r="A258" s="76"/>
    </row>
    <row r="259" spans="1:1" ht="13.5">
      <c r="A259" s="76"/>
    </row>
    <row r="260" spans="1:1" ht="13.5">
      <c r="A260" s="76"/>
    </row>
    <row r="261" spans="1:1" ht="13.5">
      <c r="A261" s="76"/>
    </row>
    <row r="262" spans="1:1" ht="13.5">
      <c r="A262" s="76"/>
    </row>
    <row r="263" spans="1:1" ht="13.5">
      <c r="A263" s="76"/>
    </row>
    <row r="264" spans="1:1" ht="13.5">
      <c r="A264" s="76"/>
    </row>
    <row r="265" spans="1:1" ht="13.5">
      <c r="A265" s="76"/>
    </row>
    <row r="266" spans="1:1" ht="13.5">
      <c r="A266" s="76"/>
    </row>
    <row r="267" spans="1:1" ht="13.5">
      <c r="A267" s="76"/>
    </row>
    <row r="268" spans="1:1" ht="13.5">
      <c r="A268" s="76"/>
    </row>
    <row r="269" spans="1:1" ht="13.5">
      <c r="A269" s="76"/>
    </row>
    <row r="270" spans="1:1" ht="13.5">
      <c r="A270" s="76"/>
    </row>
    <row r="271" spans="1:1" ht="13.5">
      <c r="A271" s="76"/>
    </row>
    <row r="272" spans="1:1" ht="13.5">
      <c r="A272" s="76"/>
    </row>
    <row r="273" spans="1:1" ht="13.5">
      <c r="A273" s="76"/>
    </row>
    <row r="274" spans="1:1" ht="13.5">
      <c r="A274" s="76"/>
    </row>
    <row r="275" spans="1:1" ht="13.5">
      <c r="A275" s="76"/>
    </row>
    <row r="276" spans="1:1" ht="13.5">
      <c r="A276" s="76"/>
    </row>
    <row r="277" spans="1:1" ht="13.5">
      <c r="A277" s="76"/>
    </row>
    <row r="278" spans="1:1" ht="13.5">
      <c r="A278" s="76"/>
    </row>
    <row r="279" spans="1:1" ht="13.5">
      <c r="A279" s="76"/>
    </row>
    <row r="280" spans="1:1" ht="13.5">
      <c r="A280" s="76"/>
    </row>
    <row r="281" spans="1:1" ht="13.5">
      <c r="A281" s="76"/>
    </row>
    <row r="282" spans="1:1" ht="13.5">
      <c r="A282" s="76"/>
    </row>
    <row r="283" spans="1:1" ht="13.5">
      <c r="A283" s="76"/>
    </row>
    <row r="284" spans="1:1" ht="13.5">
      <c r="A284" s="76"/>
    </row>
    <row r="285" spans="1:1" ht="13.5">
      <c r="A285" s="76"/>
    </row>
    <row r="286" spans="1:1" ht="13.5">
      <c r="A286" s="76"/>
    </row>
    <row r="287" spans="1:1" ht="13.5">
      <c r="A287" s="76"/>
    </row>
    <row r="288" spans="1:1" ht="13.5">
      <c r="A288" s="76"/>
    </row>
    <row r="289" spans="1:1" ht="13.5">
      <c r="A289" s="76"/>
    </row>
    <row r="290" spans="1:1" ht="13.5">
      <c r="A290" s="76"/>
    </row>
    <row r="291" spans="1:1" ht="13.5">
      <c r="A291" s="76"/>
    </row>
    <row r="292" spans="1:1" ht="13.5">
      <c r="A292" s="76"/>
    </row>
    <row r="293" spans="1:1" ht="13.5">
      <c r="A293" s="76"/>
    </row>
    <row r="294" spans="1:1" ht="13.5">
      <c r="A294" s="76"/>
    </row>
    <row r="295" spans="1:1" ht="13.5">
      <c r="A295" s="76"/>
    </row>
    <row r="296" spans="1:1" ht="13.5">
      <c r="A296" s="76"/>
    </row>
    <row r="297" spans="1:1" ht="13.5">
      <c r="A297" s="76"/>
    </row>
    <row r="298" spans="1:1" ht="13.5">
      <c r="A298" s="76"/>
    </row>
    <row r="299" spans="1:1" ht="13.5">
      <c r="A299" s="76"/>
    </row>
    <row r="300" spans="1:1" ht="13.5">
      <c r="A300" s="76"/>
    </row>
    <row r="301" spans="1:1" ht="13.5">
      <c r="A301" s="76"/>
    </row>
    <row r="302" spans="1:1" ht="13.5">
      <c r="A302" s="76"/>
    </row>
    <row r="303" spans="1:1" ht="13.5">
      <c r="A303" s="76"/>
    </row>
    <row r="304" spans="1:1" ht="13.5">
      <c r="A304" s="76"/>
    </row>
    <row r="305" spans="1:1" ht="13.5">
      <c r="A305" s="76"/>
    </row>
    <row r="306" spans="1:1" ht="13.5">
      <c r="A306" s="76"/>
    </row>
    <row r="307" spans="1:1" ht="13.5">
      <c r="A307" s="76"/>
    </row>
    <row r="308" spans="1:1" ht="13.5">
      <c r="A308" s="76"/>
    </row>
    <row r="309" spans="1:1" ht="13.5">
      <c r="A309" s="76"/>
    </row>
    <row r="310" spans="1:1" ht="13.5">
      <c r="A310" s="76"/>
    </row>
    <row r="311" spans="1:1" ht="13.5">
      <c r="A311" s="76"/>
    </row>
    <row r="312" spans="1:1" ht="13.5">
      <c r="A312" s="76"/>
    </row>
    <row r="313" spans="1:1" ht="13.5">
      <c r="A313" s="76"/>
    </row>
    <row r="314" spans="1:1" ht="13.5">
      <c r="A314" s="76"/>
    </row>
    <row r="315" spans="1:1" ht="13.5">
      <c r="A315" s="76"/>
    </row>
    <row r="316" spans="1:1" ht="13.5">
      <c r="A316" s="76"/>
    </row>
    <row r="317" spans="1:1" ht="13.5">
      <c r="A317" s="76"/>
    </row>
    <row r="318" spans="1:1" ht="13.5">
      <c r="A318" s="76"/>
    </row>
    <row r="319" spans="1:1" ht="13.5">
      <c r="A319" s="76"/>
    </row>
    <row r="320" spans="1:1" ht="13.5">
      <c r="A320" s="76"/>
    </row>
    <row r="321" spans="1:1" ht="13.5">
      <c r="A321" s="76"/>
    </row>
    <row r="322" spans="1:1" ht="13.5">
      <c r="A322" s="76"/>
    </row>
    <row r="323" spans="1:1" ht="13.5">
      <c r="A323" s="76"/>
    </row>
    <row r="324" spans="1:1" ht="13.5">
      <c r="A324" s="76"/>
    </row>
    <row r="325" spans="1:1" ht="13.5">
      <c r="A325" s="76"/>
    </row>
    <row r="326" spans="1:1" ht="13.5">
      <c r="A326" s="76"/>
    </row>
    <row r="327" spans="1:1" ht="13.5">
      <c r="A327" s="76"/>
    </row>
    <row r="328" spans="1:1" ht="13.5">
      <c r="A328" s="76"/>
    </row>
    <row r="329" spans="1:1" ht="13.5">
      <c r="A329" s="76"/>
    </row>
    <row r="330" spans="1:1" ht="13.5">
      <c r="A330" s="76"/>
    </row>
    <row r="331" spans="1:1" ht="13.5">
      <c r="A331" s="76"/>
    </row>
    <row r="332" spans="1:1" ht="13.5">
      <c r="A332" s="76"/>
    </row>
    <row r="333" spans="1:1" ht="13.5">
      <c r="A333" s="76"/>
    </row>
    <row r="334" spans="1:1" ht="13.5">
      <c r="A334" s="76"/>
    </row>
    <row r="335" spans="1:1" ht="13.5">
      <c r="A335" s="76"/>
    </row>
    <row r="336" spans="1:1" ht="13.5">
      <c r="A336" s="76"/>
    </row>
    <row r="337" spans="1:1" ht="13.5">
      <c r="A337" s="76"/>
    </row>
    <row r="338" spans="1:1" ht="13.5">
      <c r="A338" s="76"/>
    </row>
    <row r="339" spans="1:1" ht="13.5">
      <c r="A339" s="76"/>
    </row>
    <row r="340" spans="1:1" ht="13.5">
      <c r="A340" s="76"/>
    </row>
    <row r="341" spans="1:1" ht="13.5">
      <c r="A341" s="76"/>
    </row>
    <row r="342" spans="1:1" ht="13.5">
      <c r="A342" s="76"/>
    </row>
    <row r="343" spans="1:1" ht="13.5">
      <c r="A343" s="76"/>
    </row>
    <row r="344" spans="1:1" ht="13.5">
      <c r="A344" s="76"/>
    </row>
    <row r="345" spans="1:1" ht="13.5">
      <c r="A345" s="76"/>
    </row>
    <row r="346" spans="1:1" ht="13.5">
      <c r="A346" s="76"/>
    </row>
    <row r="347" spans="1:1" ht="13.5">
      <c r="A347" s="76"/>
    </row>
    <row r="348" spans="1:1" ht="13.5">
      <c r="A348" s="76"/>
    </row>
    <row r="349" spans="1:1" ht="13.5">
      <c r="A349" s="76"/>
    </row>
    <row r="350" spans="1:1" ht="13.5">
      <c r="A350" s="76"/>
    </row>
    <row r="351" spans="1:1" ht="13.5">
      <c r="A351" s="76"/>
    </row>
    <row r="352" spans="1:1" ht="13.5">
      <c r="A352" s="76"/>
    </row>
    <row r="353" spans="1:1" ht="13.5">
      <c r="A353" s="76"/>
    </row>
    <row r="354" spans="1:1" ht="13.5">
      <c r="A354" s="76"/>
    </row>
    <row r="355" spans="1:1" ht="13.5">
      <c r="A355" s="76"/>
    </row>
    <row r="356" spans="1:1" ht="13.5">
      <c r="A356" s="76"/>
    </row>
    <row r="357" spans="1:1" ht="13.5">
      <c r="A357" s="76"/>
    </row>
    <row r="358" spans="1:1" ht="13.5">
      <c r="A358" s="76"/>
    </row>
    <row r="359" spans="1:1" ht="13.5">
      <c r="A359" s="76"/>
    </row>
    <row r="360" spans="1:1" ht="13.5">
      <c r="A360" s="76"/>
    </row>
    <row r="361" spans="1:1" ht="13.5">
      <c r="A361" s="76"/>
    </row>
    <row r="362" spans="1:1" ht="13.5">
      <c r="A362" s="76"/>
    </row>
    <row r="363" spans="1:1" ht="13.5">
      <c r="A363" s="76"/>
    </row>
    <row r="364" spans="1:1" ht="13.5">
      <c r="A364" s="76"/>
    </row>
    <row r="365" spans="1:1" ht="13.5">
      <c r="A365" s="76"/>
    </row>
    <row r="366" spans="1:1" ht="13.5">
      <c r="A366" s="76"/>
    </row>
    <row r="367" spans="1:1" ht="13.5">
      <c r="A367" s="76"/>
    </row>
    <row r="368" spans="1:1" ht="13.5">
      <c r="A368" s="76"/>
    </row>
    <row r="369" spans="1:1" ht="13.5">
      <c r="A369" s="76"/>
    </row>
    <row r="370" spans="1:1" ht="13.5">
      <c r="A370" s="76"/>
    </row>
    <row r="371" spans="1:1" ht="13.5">
      <c r="A371" s="76"/>
    </row>
    <row r="372" spans="1:1" ht="13.5">
      <c r="A372" s="76"/>
    </row>
    <row r="373" spans="1:1" ht="13.5">
      <c r="A373" s="76"/>
    </row>
    <row r="374" spans="1:1" ht="13.5">
      <c r="A374" s="76"/>
    </row>
    <row r="375" spans="1:1" ht="13.5">
      <c r="A375" s="76"/>
    </row>
    <row r="376" spans="1:1" ht="13.5">
      <c r="A376" s="76"/>
    </row>
    <row r="377" spans="1:1" ht="13.5">
      <c r="A377" s="76"/>
    </row>
    <row r="378" spans="1:1" ht="13.5">
      <c r="A378" s="76"/>
    </row>
    <row r="379" spans="1:1" ht="13.5">
      <c r="A379" s="76"/>
    </row>
    <row r="380" spans="1:1" ht="13.5">
      <c r="A380" s="76"/>
    </row>
    <row r="381" spans="1:1" ht="13.5">
      <c r="A381" s="76"/>
    </row>
    <row r="382" spans="1:1" ht="13.5">
      <c r="A382" s="76"/>
    </row>
    <row r="383" spans="1:1" ht="13.5">
      <c r="A383" s="76"/>
    </row>
    <row r="384" spans="1:1" ht="13.5">
      <c r="A384" s="76"/>
    </row>
    <row r="385" spans="1:1" ht="13.5">
      <c r="A385" s="76"/>
    </row>
    <row r="386" spans="1:1" ht="13.5">
      <c r="A386" s="76"/>
    </row>
    <row r="387" spans="1:1" ht="13.5">
      <c r="A387" s="76"/>
    </row>
    <row r="388" spans="1:1" ht="13.5">
      <c r="A388" s="76"/>
    </row>
    <row r="389" spans="1:1" ht="13.5">
      <c r="A389" s="76"/>
    </row>
    <row r="390" spans="1:1" ht="13.5">
      <c r="A390" s="76"/>
    </row>
    <row r="391" spans="1:1" ht="13.5">
      <c r="A391" s="76"/>
    </row>
    <row r="392" spans="1:1" ht="13.5">
      <c r="A392" s="76"/>
    </row>
    <row r="393" spans="1:1" ht="13.5">
      <c r="A393" s="76"/>
    </row>
    <row r="394" spans="1:1" ht="13.5">
      <c r="A394" s="76"/>
    </row>
    <row r="395" spans="1:1" ht="13.5">
      <c r="A395" s="76"/>
    </row>
    <row r="396" spans="1:1" ht="13.5">
      <c r="A396" s="76"/>
    </row>
    <row r="397" spans="1:1" ht="13.5">
      <c r="A397" s="76"/>
    </row>
    <row r="398" spans="1:1" ht="13.5">
      <c r="A398" s="76"/>
    </row>
    <row r="399" spans="1:1" ht="13.5">
      <c r="A399" s="76"/>
    </row>
    <row r="400" spans="1:1" ht="13.5">
      <c r="A400" s="76"/>
    </row>
    <row r="401" spans="1:1" ht="13.5">
      <c r="A401" s="76"/>
    </row>
    <row r="402" spans="1:1" ht="13.5">
      <c r="A402" s="76"/>
    </row>
    <row r="403" spans="1:1" ht="13.5">
      <c r="A403" s="76"/>
    </row>
    <row r="404" spans="1:1" ht="13.5">
      <c r="A404" s="76"/>
    </row>
    <row r="405" spans="1:1" ht="13.5">
      <c r="A405" s="76"/>
    </row>
    <row r="406" spans="1:1" ht="13.5">
      <c r="A406" s="76"/>
    </row>
    <row r="407" spans="1:1" ht="13.5">
      <c r="A407" s="76"/>
    </row>
    <row r="408" spans="1:1" ht="13.5">
      <c r="A408" s="76"/>
    </row>
    <row r="409" spans="1:1" ht="13.5">
      <c r="A409" s="76"/>
    </row>
    <row r="410" spans="1:1" ht="13.5">
      <c r="A410" s="76"/>
    </row>
    <row r="411" spans="1:1" ht="13.5">
      <c r="A411" s="76"/>
    </row>
    <row r="412" spans="1:1" ht="13.5">
      <c r="A412" s="76"/>
    </row>
    <row r="413" spans="1:1" ht="13.5">
      <c r="A413" s="76"/>
    </row>
    <row r="414" spans="1:1" ht="13.5">
      <c r="A414" s="76"/>
    </row>
    <row r="415" spans="1:1" ht="13.5">
      <c r="A415" s="76"/>
    </row>
    <row r="416" spans="1:1" ht="13.5">
      <c r="A416" s="76"/>
    </row>
    <row r="417" spans="1:1" ht="13.5">
      <c r="A417" s="76"/>
    </row>
    <row r="418" spans="1:1" ht="13.5">
      <c r="A418" s="76"/>
    </row>
    <row r="419" spans="1:1" ht="13.5">
      <c r="A419" s="76"/>
    </row>
    <row r="420" spans="1:1" ht="13.5">
      <c r="A420" s="76"/>
    </row>
    <row r="421" spans="1:1" ht="13.5">
      <c r="A421" s="76"/>
    </row>
    <row r="422" spans="1:1" ht="13.5">
      <c r="A422" s="76"/>
    </row>
    <row r="423" spans="1:1" ht="13.5">
      <c r="A423" s="76"/>
    </row>
    <row r="424" spans="1:1" ht="13.5">
      <c r="A424" s="76"/>
    </row>
    <row r="425" spans="1:1" ht="13.5">
      <c r="A425" s="76"/>
    </row>
    <row r="426" spans="1:1" ht="13.5">
      <c r="A426" s="76"/>
    </row>
    <row r="427" spans="1:1" ht="13.5">
      <c r="A427" s="76"/>
    </row>
    <row r="428" spans="1:1" ht="13.5">
      <c r="A428" s="76"/>
    </row>
    <row r="429" spans="1:1" ht="13.5">
      <c r="A429" s="76"/>
    </row>
    <row r="430" spans="1:1" ht="13.5">
      <c r="A430" s="76"/>
    </row>
    <row r="431" spans="1:1" ht="13.5">
      <c r="A431" s="76"/>
    </row>
    <row r="432" spans="1:1" ht="13.5">
      <c r="A432" s="76"/>
    </row>
    <row r="433" spans="1:1" ht="13.5">
      <c r="A433" s="76"/>
    </row>
    <row r="434" spans="1:1" ht="13.5">
      <c r="A434" s="76"/>
    </row>
    <row r="435" spans="1:1" ht="13.5">
      <c r="A435" s="76"/>
    </row>
    <row r="436" spans="1:1" ht="13.5">
      <c r="A436" s="76"/>
    </row>
    <row r="437" spans="1:1" ht="13.5">
      <c r="A437" s="76"/>
    </row>
    <row r="438" spans="1:1" ht="13.5">
      <c r="A438" s="76"/>
    </row>
    <row r="439" spans="1:1" ht="13.5">
      <c r="A439" s="76"/>
    </row>
    <row r="440" spans="1:1" ht="13.5">
      <c r="A440" s="76"/>
    </row>
    <row r="441" spans="1:1" ht="13.5">
      <c r="A441" s="76"/>
    </row>
    <row r="442" spans="1:1" ht="13.5">
      <c r="A442" s="76"/>
    </row>
    <row r="443" spans="1:1" ht="13.5">
      <c r="A443" s="76"/>
    </row>
    <row r="444" spans="1:1" ht="13.5">
      <c r="A444" s="76"/>
    </row>
    <row r="445" spans="1:1" ht="13.5">
      <c r="A445" s="76"/>
    </row>
    <row r="446" spans="1:1" ht="13.5">
      <c r="A446" s="76"/>
    </row>
    <row r="447" spans="1:1" ht="13.5">
      <c r="A447" s="76"/>
    </row>
    <row r="448" spans="1:1" ht="13.5">
      <c r="A448" s="76"/>
    </row>
    <row r="449" spans="1:1" ht="13.5">
      <c r="A449" s="76"/>
    </row>
    <row r="450" spans="1:1" ht="13.5">
      <c r="A450" s="76"/>
    </row>
    <row r="451" spans="1:1" ht="13.5">
      <c r="A451" s="76"/>
    </row>
    <row r="452" spans="1:1" ht="13.5">
      <c r="A452" s="76"/>
    </row>
    <row r="453" spans="1:1" ht="13.5">
      <c r="A453" s="76"/>
    </row>
    <row r="454" spans="1:1" ht="13.5">
      <c r="A454" s="76"/>
    </row>
    <row r="455" spans="1:1" ht="13.5">
      <c r="A455" s="76"/>
    </row>
    <row r="456" spans="1:1" ht="13.5">
      <c r="A456" s="76"/>
    </row>
    <row r="457" spans="1:1" ht="13.5">
      <c r="A457" s="76"/>
    </row>
    <row r="458" spans="1:1" ht="13.5">
      <c r="A458" s="76"/>
    </row>
    <row r="459" spans="1:1" ht="13.5">
      <c r="A459" s="76"/>
    </row>
    <row r="460" spans="1:1" ht="13.5">
      <c r="A460" s="76"/>
    </row>
    <row r="461" spans="1:1" ht="13.5">
      <c r="A461" s="76"/>
    </row>
    <row r="462" spans="1:1" ht="13.5">
      <c r="A462" s="76"/>
    </row>
    <row r="463" spans="1:1" ht="13.5">
      <c r="A463" s="76"/>
    </row>
    <row r="464" spans="1:1" ht="13.5">
      <c r="A464" s="76"/>
    </row>
    <row r="465" spans="1:1" ht="13.5">
      <c r="A465" s="76"/>
    </row>
    <row r="466" spans="1:1" ht="13.5">
      <c r="A466" s="76"/>
    </row>
    <row r="467" spans="1:1" ht="13.5">
      <c r="A467" s="76"/>
    </row>
    <row r="468" spans="1:1" ht="13.5">
      <c r="A468" s="76"/>
    </row>
    <row r="469" spans="1:1" ht="13.5">
      <c r="A469" s="76"/>
    </row>
    <row r="470" spans="1:1" ht="13.5">
      <c r="A470" s="76"/>
    </row>
    <row r="471" spans="1:1" ht="13.5">
      <c r="A471" s="76"/>
    </row>
    <row r="472" spans="1:1" ht="13.5">
      <c r="A472" s="76"/>
    </row>
    <row r="473" spans="1:1" ht="13.5">
      <c r="A473" s="76"/>
    </row>
    <row r="474" spans="1:1" ht="13.5">
      <c r="A474" s="76"/>
    </row>
    <row r="475" spans="1:1" ht="13.5">
      <c r="A475" s="76"/>
    </row>
    <row r="476" spans="1:1" ht="13.5">
      <c r="A476" s="76"/>
    </row>
    <row r="477" spans="1:1" ht="13.5">
      <c r="A477" s="76"/>
    </row>
    <row r="478" spans="1:1" ht="13.5">
      <c r="A478" s="76"/>
    </row>
    <row r="479" spans="1:1" ht="13.5">
      <c r="A479" s="76"/>
    </row>
    <row r="480" spans="1:1" ht="13.5">
      <c r="A480" s="76"/>
    </row>
    <row r="481" spans="1:1" ht="13.5">
      <c r="A481" s="76"/>
    </row>
    <row r="482" spans="1:1" ht="13.5">
      <c r="A482" s="76"/>
    </row>
    <row r="483" spans="1:1" ht="13.5">
      <c r="A483" s="76"/>
    </row>
    <row r="484" spans="1:1" ht="13.5">
      <c r="A484" s="76"/>
    </row>
    <row r="485" spans="1:1" ht="13.5">
      <c r="A485" s="76"/>
    </row>
    <row r="486" spans="1:1" ht="13.5">
      <c r="A486" s="76"/>
    </row>
    <row r="487" spans="1:1" ht="13.5">
      <c r="A487" s="76"/>
    </row>
    <row r="488" spans="1:1" ht="13.5">
      <c r="A488" s="76"/>
    </row>
    <row r="489" spans="1:1" ht="13.5">
      <c r="A489" s="76"/>
    </row>
    <row r="490" spans="1:1" ht="13.5">
      <c r="A490" s="76"/>
    </row>
    <row r="491" spans="1:1" ht="13.5">
      <c r="A491" s="76"/>
    </row>
    <row r="492" spans="1:1" ht="13.5">
      <c r="A492" s="76"/>
    </row>
    <row r="493" spans="1:1" ht="13.5">
      <c r="A493" s="76"/>
    </row>
    <row r="494" spans="1:1" ht="13.5">
      <c r="A494" s="76"/>
    </row>
    <row r="495" spans="1:1" ht="13.5">
      <c r="A495" s="76"/>
    </row>
    <row r="496" spans="1:1" ht="13.5">
      <c r="A496" s="76"/>
    </row>
    <row r="497" spans="1:1" ht="13.5">
      <c r="A497" s="76"/>
    </row>
    <row r="498" spans="1:1" ht="13.5">
      <c r="A498" s="76"/>
    </row>
    <row r="499" spans="1:1" ht="13.5">
      <c r="A499" s="76"/>
    </row>
    <row r="500" spans="1:1" ht="13.5">
      <c r="A500" s="76"/>
    </row>
    <row r="501" spans="1:1" ht="13.5">
      <c r="A501" s="76"/>
    </row>
    <row r="502" spans="1:1" ht="13.5">
      <c r="A502" s="76"/>
    </row>
    <row r="503" spans="1:1" ht="13.5">
      <c r="A503" s="76"/>
    </row>
    <row r="504" spans="1:1" ht="13.5">
      <c r="A504" s="76"/>
    </row>
    <row r="505" spans="1:1" ht="13.5">
      <c r="A505" s="76"/>
    </row>
    <row r="506" spans="1:1" ht="13.5">
      <c r="A506" s="76"/>
    </row>
    <row r="507" spans="1:1" ht="13.5">
      <c r="A507" s="76"/>
    </row>
    <row r="508" spans="1:1" ht="13.5">
      <c r="A508" s="76"/>
    </row>
    <row r="509" spans="1:1" ht="13.5">
      <c r="A509" s="76"/>
    </row>
    <row r="510" spans="1:1" ht="13.5">
      <c r="A510" s="76"/>
    </row>
    <row r="511" spans="1:1" ht="13.5">
      <c r="A511" s="76"/>
    </row>
    <row r="512" spans="1:1" ht="13.5">
      <c r="A512" s="76"/>
    </row>
    <row r="513" spans="1:1" ht="13.5">
      <c r="A513" s="76"/>
    </row>
    <row r="514" spans="1:1" ht="13.5">
      <c r="A514" s="76"/>
    </row>
    <row r="515" spans="1:1" ht="13.5">
      <c r="A515" s="76"/>
    </row>
    <row r="516" spans="1:1" ht="13.5">
      <c r="A516" s="76"/>
    </row>
    <row r="517" spans="1:1" ht="13.5">
      <c r="A517" s="76"/>
    </row>
    <row r="518" spans="1:1" ht="13.5">
      <c r="A518" s="76"/>
    </row>
    <row r="519" spans="1:1" ht="13.5">
      <c r="A519" s="76"/>
    </row>
    <row r="520" spans="1:1" ht="13.5">
      <c r="A520" s="76"/>
    </row>
    <row r="521" spans="1:1" ht="13.5">
      <c r="A521" s="76"/>
    </row>
    <row r="522" spans="1:1" ht="13.5">
      <c r="A522" s="76"/>
    </row>
    <row r="523" spans="1:1" ht="13.5">
      <c r="A523" s="76"/>
    </row>
    <row r="524" spans="1:1" ht="13.5">
      <c r="A524" s="76"/>
    </row>
    <row r="525" spans="1:1" ht="13.5">
      <c r="A525" s="76"/>
    </row>
    <row r="526" spans="1:1" ht="13.5">
      <c r="A526" s="76"/>
    </row>
    <row r="527" spans="1:1" ht="13.5">
      <c r="A527" s="76"/>
    </row>
    <row r="528" spans="1:1" ht="13.5">
      <c r="A528" s="76"/>
    </row>
    <row r="529" spans="1:1" ht="13.5">
      <c r="A529" s="76"/>
    </row>
    <row r="530" spans="1:1" ht="13.5">
      <c r="A530" s="76"/>
    </row>
    <row r="531" spans="1:1" ht="13.5">
      <c r="A531" s="76"/>
    </row>
    <row r="532" spans="1:1" ht="13.5">
      <c r="A532" s="76"/>
    </row>
    <row r="533" spans="1:1" ht="13.5">
      <c r="A533" s="76"/>
    </row>
    <row r="534" spans="1:1" ht="13.5">
      <c r="A534" s="76"/>
    </row>
    <row r="535" spans="1:1" ht="13.5">
      <c r="A535" s="76"/>
    </row>
    <row r="536" spans="1:1" ht="13.5">
      <c r="A536" s="76"/>
    </row>
    <row r="537" spans="1:1" ht="13.5">
      <c r="A537" s="76"/>
    </row>
    <row r="538" spans="1:1" ht="13.5">
      <c r="A538" s="76"/>
    </row>
    <row r="539" spans="1:1" ht="13.5">
      <c r="A539" s="76"/>
    </row>
    <row r="540" spans="1:1" ht="13.5">
      <c r="A540" s="76"/>
    </row>
    <row r="541" spans="1:1" ht="13.5">
      <c r="A541" s="76"/>
    </row>
    <row r="542" spans="1:1" ht="13.5">
      <c r="A542" s="76"/>
    </row>
    <row r="543" spans="1:1" ht="13.5">
      <c r="A543" s="76"/>
    </row>
    <row r="544" spans="1:1" ht="13.5">
      <c r="A544" s="76"/>
    </row>
    <row r="545" spans="1:1" ht="13.5">
      <c r="A545" s="76"/>
    </row>
    <row r="546" spans="1:1" ht="13.5">
      <c r="A546" s="76"/>
    </row>
    <row r="547" spans="1:1" ht="13.5">
      <c r="A547" s="76"/>
    </row>
    <row r="548" spans="1:1" ht="13.5">
      <c r="A548" s="76"/>
    </row>
    <row r="549" spans="1:1" ht="13.5">
      <c r="A549" s="76"/>
    </row>
    <row r="550" spans="1:1" ht="13.5">
      <c r="A550" s="76"/>
    </row>
    <row r="551" spans="1:1" ht="13.5">
      <c r="A551" s="76"/>
    </row>
    <row r="552" spans="1:1" ht="13.5">
      <c r="A552" s="76"/>
    </row>
    <row r="553" spans="1:1" ht="13.5">
      <c r="A553" s="76"/>
    </row>
    <row r="554" spans="1:1" ht="13.5">
      <c r="A554" s="76"/>
    </row>
    <row r="555" spans="1:1" ht="13.5">
      <c r="A555" s="76"/>
    </row>
    <row r="556" spans="1:1" ht="13.5">
      <c r="A556" s="76"/>
    </row>
    <row r="557" spans="1:1" ht="13.5">
      <c r="A557" s="76"/>
    </row>
    <row r="558" spans="1:1" ht="13.5">
      <c r="A558" s="76"/>
    </row>
    <row r="559" spans="1:1" ht="13.5">
      <c r="A559" s="76"/>
    </row>
    <row r="560" spans="1:1" ht="13.5">
      <c r="A560" s="76"/>
    </row>
    <row r="561" spans="1:1" ht="13.5">
      <c r="A561" s="76"/>
    </row>
    <row r="562" spans="1:1" ht="13.5">
      <c r="A562" s="76"/>
    </row>
    <row r="563" spans="1:1" ht="13.5">
      <c r="A563" s="76"/>
    </row>
    <row r="564" spans="1:1" ht="13.5">
      <c r="A564" s="76"/>
    </row>
    <row r="565" spans="1:1" ht="13.5">
      <c r="A565" s="76"/>
    </row>
    <row r="566" spans="1:1" ht="13.5">
      <c r="A566" s="76"/>
    </row>
    <row r="567" spans="1:1" ht="13.5">
      <c r="A567" s="76"/>
    </row>
    <row r="568" spans="1:1" ht="13.5">
      <c r="A568" s="76"/>
    </row>
    <row r="569" spans="1:1" ht="13.5">
      <c r="A569" s="76"/>
    </row>
    <row r="570" spans="1:1" ht="13.5">
      <c r="A570" s="76"/>
    </row>
    <row r="571" spans="1:1" ht="13.5">
      <c r="A571" s="76"/>
    </row>
    <row r="572" spans="1:1" ht="13.5">
      <c r="A572" s="76"/>
    </row>
    <row r="573" spans="1:1" ht="13.5">
      <c r="A573" s="76"/>
    </row>
    <row r="574" spans="1:1" ht="13.5">
      <c r="A574" s="76"/>
    </row>
    <row r="575" spans="1:1" ht="13.5">
      <c r="A575" s="76"/>
    </row>
    <row r="576" spans="1:1" ht="13.5">
      <c r="A576" s="76"/>
    </row>
    <row r="577" spans="1:1" ht="13.5">
      <c r="A577" s="76"/>
    </row>
    <row r="578" spans="1:1" ht="13.5">
      <c r="A578" s="76"/>
    </row>
    <row r="579" spans="1:1" ht="13.5">
      <c r="A579" s="76"/>
    </row>
    <row r="580" spans="1:1" ht="13.5">
      <c r="A580" s="76"/>
    </row>
    <row r="581" spans="1:1" ht="13.5">
      <c r="A581" s="76"/>
    </row>
    <row r="582" spans="1:1" ht="13.5">
      <c r="A582" s="76"/>
    </row>
    <row r="583" spans="1:1" ht="13.5">
      <c r="A583" s="76"/>
    </row>
    <row r="584" spans="1:1" ht="13.5">
      <c r="A584" s="76"/>
    </row>
    <row r="585" spans="1:1" ht="13.5">
      <c r="A585" s="76"/>
    </row>
    <row r="586" spans="1:1" ht="13.5">
      <c r="A586" s="76"/>
    </row>
    <row r="587" spans="1:1" ht="13.5">
      <c r="A587" s="76"/>
    </row>
    <row r="588" spans="1:1" ht="13.5">
      <c r="A588" s="76"/>
    </row>
    <row r="589" spans="1:1" ht="13.5">
      <c r="A589" s="76"/>
    </row>
    <row r="590" spans="1:1" ht="13.5">
      <c r="A590" s="76"/>
    </row>
    <row r="591" spans="1:1" ht="13.5">
      <c r="A591" s="76"/>
    </row>
    <row r="592" spans="1:1" ht="13.5">
      <c r="A592" s="76"/>
    </row>
    <row r="593" spans="1:1" ht="13.5">
      <c r="A593" s="76"/>
    </row>
    <row r="594" spans="1:1" ht="13.5">
      <c r="A594" s="76"/>
    </row>
    <row r="595" spans="1:1" ht="13.5">
      <c r="A595" s="76"/>
    </row>
    <row r="596" spans="1:1" ht="13.5">
      <c r="A596" s="76"/>
    </row>
    <row r="597" spans="1:1" ht="13.5">
      <c r="A597" s="76"/>
    </row>
    <row r="598" spans="1:1" ht="13.5">
      <c r="A598" s="76"/>
    </row>
    <row r="599" spans="1:1" ht="13.5">
      <c r="A599" s="76"/>
    </row>
    <row r="600" spans="1:1" ht="13.5">
      <c r="A600" s="76"/>
    </row>
    <row r="601" spans="1:1" ht="13.5">
      <c r="A601" s="76"/>
    </row>
    <row r="602" spans="1:1" ht="13.5">
      <c r="A602" s="76"/>
    </row>
    <row r="603" spans="1:1" ht="13.5">
      <c r="A603" s="76"/>
    </row>
    <row r="604" spans="1:1" ht="13.5">
      <c r="A604" s="76"/>
    </row>
    <row r="605" spans="1:1" ht="13.5">
      <c r="A605" s="76"/>
    </row>
    <row r="606" spans="1:1" ht="13.5">
      <c r="A606" s="76"/>
    </row>
    <row r="607" spans="1:1" ht="13.5">
      <c r="A607" s="76"/>
    </row>
    <row r="608" spans="1:1" ht="13.5">
      <c r="A608" s="76"/>
    </row>
    <row r="609" spans="1:1" ht="13.5">
      <c r="A609" s="76"/>
    </row>
    <row r="610" spans="1:1" ht="13.5">
      <c r="A610" s="76"/>
    </row>
    <row r="611" spans="1:1" ht="13.5">
      <c r="A611" s="76"/>
    </row>
    <row r="612" spans="1:1" ht="13.5">
      <c r="A612" s="76"/>
    </row>
    <row r="613" spans="1:1" ht="13.5">
      <c r="A613" s="76"/>
    </row>
    <row r="614" spans="1:1" ht="13.5">
      <c r="A614" s="76"/>
    </row>
    <row r="615" spans="1:1" ht="13.5">
      <c r="A615" s="76"/>
    </row>
    <row r="616" spans="1:1" ht="13.5">
      <c r="A616" s="76"/>
    </row>
    <row r="617" spans="1:1" ht="13.5">
      <c r="A617" s="76"/>
    </row>
    <row r="618" spans="1:1" ht="13.5">
      <c r="A618" s="76"/>
    </row>
    <row r="619" spans="1:1" ht="13.5">
      <c r="A619" s="76"/>
    </row>
    <row r="620" spans="1:1" ht="13.5">
      <c r="A620" s="76"/>
    </row>
    <row r="621" spans="1:1" ht="13.5">
      <c r="A621" s="76"/>
    </row>
    <row r="622" spans="1:1" ht="13.5">
      <c r="A622" s="76"/>
    </row>
    <row r="623" spans="1:1" ht="13.5">
      <c r="A623" s="76"/>
    </row>
    <row r="624" spans="1:1" ht="13.5">
      <c r="A624" s="76"/>
    </row>
    <row r="625" spans="1:1" ht="13.5">
      <c r="A625" s="76"/>
    </row>
    <row r="626" spans="1:1" ht="13.5">
      <c r="A626" s="76"/>
    </row>
    <row r="627" spans="1:1" ht="13.5">
      <c r="A627" s="76"/>
    </row>
    <row r="628" spans="1:1" ht="13.5">
      <c r="A628" s="76"/>
    </row>
    <row r="629" spans="1:1" ht="13.5">
      <c r="A629" s="76"/>
    </row>
    <row r="630" spans="1:1" ht="13.5">
      <c r="A630" s="76"/>
    </row>
    <row r="631" spans="1:1" ht="13.5">
      <c r="A631" s="76"/>
    </row>
    <row r="632" spans="1:1" ht="13.5">
      <c r="A632" s="76"/>
    </row>
    <row r="633" spans="1:1" ht="13.5">
      <c r="A633" s="76"/>
    </row>
    <row r="634" spans="1:1" ht="13.5">
      <c r="A634" s="76"/>
    </row>
    <row r="635" spans="1:1" ht="13.5">
      <c r="A635" s="76"/>
    </row>
    <row r="636" spans="1:1" ht="13.5">
      <c r="A636" s="76"/>
    </row>
    <row r="637" spans="1:1" ht="13.5">
      <c r="A637" s="76"/>
    </row>
    <row r="638" spans="1:1" ht="13.5">
      <c r="A638" s="76"/>
    </row>
    <row r="639" spans="1:1" ht="13.5">
      <c r="A639" s="76"/>
    </row>
    <row r="640" spans="1:1" ht="13.5">
      <c r="A640" s="76"/>
    </row>
    <row r="641" spans="1:1" ht="13.5">
      <c r="A641" s="76"/>
    </row>
    <row r="642" spans="1:1" ht="13.5">
      <c r="A642" s="76"/>
    </row>
    <row r="643" spans="1:1" ht="13.5">
      <c r="A643" s="76"/>
    </row>
    <row r="644" spans="1:1" ht="13.5">
      <c r="A644" s="76"/>
    </row>
    <row r="645" spans="1:1" ht="13.5">
      <c r="A645" s="76"/>
    </row>
    <row r="646" spans="1:1" ht="13.5">
      <c r="A646" s="76"/>
    </row>
    <row r="647" spans="1:1" ht="13.5">
      <c r="A647" s="76"/>
    </row>
    <row r="648" spans="1:1" ht="13.5">
      <c r="A648" s="76"/>
    </row>
    <row r="649" spans="1:1" ht="13.5">
      <c r="A649" s="76"/>
    </row>
    <row r="650" spans="1:1" ht="13.5">
      <c r="A650" s="76"/>
    </row>
    <row r="651" spans="1:1" ht="13.5">
      <c r="A651" s="76"/>
    </row>
    <row r="652" spans="1:1" ht="13.5">
      <c r="A652" s="76"/>
    </row>
    <row r="653" spans="1:1" ht="13.5">
      <c r="A653" s="76"/>
    </row>
    <row r="654" spans="1:1" ht="13.5">
      <c r="A654" s="76"/>
    </row>
    <row r="655" spans="1:1" ht="13.5">
      <c r="A655" s="76"/>
    </row>
    <row r="656" spans="1:1" ht="13.5">
      <c r="A656" s="76"/>
    </row>
    <row r="657" spans="1:1" ht="13.5">
      <c r="A657" s="76"/>
    </row>
    <row r="658" spans="1:1" ht="13.5">
      <c r="A658" s="76"/>
    </row>
    <row r="659" spans="1:1" ht="13.5">
      <c r="A659" s="76"/>
    </row>
    <row r="660" spans="1:1" ht="13.5">
      <c r="A660" s="76"/>
    </row>
    <row r="661" spans="1:1" ht="13.5">
      <c r="A661" s="76"/>
    </row>
    <row r="662" spans="1:1" ht="13.5">
      <c r="A662" s="76"/>
    </row>
    <row r="663" spans="1:1" ht="13.5">
      <c r="A663" s="76"/>
    </row>
    <row r="664" spans="1:1" ht="13.5">
      <c r="A664" s="76"/>
    </row>
    <row r="665" spans="1:1" ht="13.5">
      <c r="A665" s="76"/>
    </row>
    <row r="666" spans="1:1" ht="13.5">
      <c r="A666" s="76"/>
    </row>
    <row r="667" spans="1:1" ht="13.5">
      <c r="A667" s="76"/>
    </row>
    <row r="668" spans="1:1" ht="13.5">
      <c r="A668" s="76"/>
    </row>
    <row r="669" spans="1:1" ht="13.5">
      <c r="A669" s="76"/>
    </row>
    <row r="670" spans="1:1" ht="13.5">
      <c r="A670" s="76"/>
    </row>
    <row r="671" spans="1:1" ht="13.5">
      <c r="A671" s="76"/>
    </row>
    <row r="672" spans="1:1" ht="13.5">
      <c r="A672" s="76"/>
    </row>
    <row r="673" spans="1:1" ht="13.5">
      <c r="A673" s="76"/>
    </row>
    <row r="674" spans="1:1" ht="13.5">
      <c r="A674" s="76"/>
    </row>
    <row r="675" spans="1:1" ht="13.5">
      <c r="A675" s="76"/>
    </row>
    <row r="676" spans="1:1" ht="13.5">
      <c r="A676" s="76"/>
    </row>
    <row r="677" spans="1:1" ht="13.5">
      <c r="A677" s="76"/>
    </row>
    <row r="678" spans="1:1" ht="13.5">
      <c r="A678" s="76"/>
    </row>
    <row r="679" spans="1:1" ht="13.5">
      <c r="A679" s="76"/>
    </row>
    <row r="680" spans="1:1" ht="13.5">
      <c r="A680" s="76"/>
    </row>
    <row r="681" spans="1:1" ht="13.5">
      <c r="A681" s="76"/>
    </row>
    <row r="682" spans="1:1" ht="13.5">
      <c r="A682" s="76"/>
    </row>
    <row r="683" spans="1:1" ht="13.5">
      <c r="A683" s="76"/>
    </row>
    <row r="684" spans="1:1" ht="13.5">
      <c r="A684" s="76"/>
    </row>
    <row r="685" spans="1:1" ht="13.5">
      <c r="A685" s="76"/>
    </row>
    <row r="686" spans="1:1" ht="13.5">
      <c r="A686" s="76"/>
    </row>
    <row r="687" spans="1:1" ht="13.5">
      <c r="A687" s="76"/>
    </row>
    <row r="688" spans="1:1" ht="13.5">
      <c r="A688" s="76"/>
    </row>
    <row r="689" spans="1:1" ht="13.5">
      <c r="A689" s="76"/>
    </row>
    <row r="690" spans="1:1" ht="13.5">
      <c r="A690" s="76"/>
    </row>
    <row r="691" spans="1:1" ht="13.5">
      <c r="A691" s="76"/>
    </row>
    <row r="692" spans="1:1" ht="13.5">
      <c r="A692" s="76"/>
    </row>
    <row r="693" spans="1:1" ht="13.5">
      <c r="A693" s="76"/>
    </row>
    <row r="694" spans="1:1" ht="13.5">
      <c r="A694" s="76"/>
    </row>
    <row r="695" spans="1:1" ht="13.5">
      <c r="A695" s="76"/>
    </row>
    <row r="696" spans="1:1" ht="13.5">
      <c r="A696" s="76"/>
    </row>
    <row r="697" spans="1:1" ht="13.5">
      <c r="A697" s="76"/>
    </row>
    <row r="698" spans="1:1" ht="13.5">
      <c r="A698" s="76"/>
    </row>
    <row r="699" spans="1:1" ht="13.5">
      <c r="A699" s="76"/>
    </row>
    <row r="700" spans="1:1" ht="13.5">
      <c r="A700" s="76"/>
    </row>
    <row r="701" spans="1:1" ht="13.5">
      <c r="A701" s="76"/>
    </row>
    <row r="702" spans="1:1" ht="13.5">
      <c r="A702" s="76"/>
    </row>
    <row r="703" spans="1:1" ht="13.5">
      <c r="A703" s="76"/>
    </row>
    <row r="704" spans="1:1" ht="13.5">
      <c r="A704" s="76"/>
    </row>
    <row r="705" spans="1:1" ht="13.5">
      <c r="A705" s="76"/>
    </row>
    <row r="706" spans="1:1" ht="13.5">
      <c r="A706" s="76"/>
    </row>
    <row r="707" spans="1:1" ht="13.5">
      <c r="A707" s="76"/>
    </row>
    <row r="708" spans="1:1" ht="13.5">
      <c r="A708" s="76"/>
    </row>
    <row r="709" spans="1:1" ht="13.5">
      <c r="A709" s="76"/>
    </row>
    <row r="710" spans="1:1" ht="13.5">
      <c r="A710" s="76"/>
    </row>
    <row r="711" spans="1:1" ht="13.5">
      <c r="A711" s="76"/>
    </row>
    <row r="712" spans="1:1" ht="13.5">
      <c r="A712" s="76"/>
    </row>
    <row r="713" spans="1:1" ht="13.5">
      <c r="A713" s="76"/>
    </row>
    <row r="714" spans="1:1" ht="13.5">
      <c r="A714" s="76"/>
    </row>
    <row r="715" spans="1:1" ht="13.5">
      <c r="A715" s="76"/>
    </row>
    <row r="716" spans="1:1" ht="13.5">
      <c r="A716" s="76"/>
    </row>
    <row r="717" spans="1:1" ht="13.5">
      <c r="A717" s="76"/>
    </row>
    <row r="718" spans="1:1" ht="13.5">
      <c r="A718" s="76"/>
    </row>
    <row r="719" spans="1:1" ht="13.5">
      <c r="A719" s="76"/>
    </row>
    <row r="720" spans="1:1" ht="13.5">
      <c r="A720" s="76"/>
    </row>
    <row r="721" spans="1:1" ht="13.5">
      <c r="A721" s="76"/>
    </row>
    <row r="722" spans="1:1" ht="13.5">
      <c r="A722" s="76"/>
    </row>
    <row r="723" spans="1:1" ht="13.5">
      <c r="A723" s="76"/>
    </row>
    <row r="724" spans="1:1" ht="13.5">
      <c r="A724" s="76"/>
    </row>
    <row r="725" spans="1:1" ht="13.5">
      <c r="A725" s="76"/>
    </row>
    <row r="726" spans="1:1" ht="13.5">
      <c r="A726" s="76"/>
    </row>
    <row r="727" spans="1:1" ht="13.5">
      <c r="A727" s="76"/>
    </row>
    <row r="728" spans="1:1" ht="13.5">
      <c r="A728" s="76"/>
    </row>
    <row r="729" spans="1:1" ht="13.5">
      <c r="A729" s="76"/>
    </row>
    <row r="730" spans="1:1" ht="13.5">
      <c r="A730" s="76"/>
    </row>
    <row r="731" spans="1:1" ht="13.5">
      <c r="A731" s="76"/>
    </row>
    <row r="732" spans="1:1" ht="13.5">
      <c r="A732" s="76"/>
    </row>
    <row r="733" spans="1:1" ht="13.5">
      <c r="A733" s="76"/>
    </row>
    <row r="734" spans="1:1" ht="13.5">
      <c r="A734" s="76"/>
    </row>
    <row r="735" spans="1:1" ht="13.5">
      <c r="A735" s="76"/>
    </row>
    <row r="736" spans="1:1" ht="13.5">
      <c r="A736" s="76"/>
    </row>
    <row r="737" spans="1:1" ht="13.5">
      <c r="A737" s="76"/>
    </row>
    <row r="738" spans="1:1" ht="13.5">
      <c r="A738" s="76"/>
    </row>
    <row r="739" spans="1:1" ht="13.5">
      <c r="A739" s="76"/>
    </row>
    <row r="740" spans="1:1" ht="13.5">
      <c r="A740" s="76"/>
    </row>
    <row r="741" spans="1:1" ht="13.5">
      <c r="A741" s="76"/>
    </row>
    <row r="742" spans="1:1" ht="13.5">
      <c r="A742" s="76"/>
    </row>
    <row r="743" spans="1:1" ht="13.5">
      <c r="A743" s="76"/>
    </row>
    <row r="744" spans="1:1" ht="13.5">
      <c r="A744" s="76"/>
    </row>
    <row r="745" spans="1:1" ht="13.5">
      <c r="A745" s="76"/>
    </row>
    <row r="746" spans="1:1" ht="13.5">
      <c r="A746" s="76"/>
    </row>
    <row r="747" spans="1:1" ht="13.5">
      <c r="A747" s="76"/>
    </row>
    <row r="748" spans="1:1" ht="13.5">
      <c r="A748" s="76"/>
    </row>
    <row r="749" spans="1:1" ht="13.5">
      <c r="A749" s="76"/>
    </row>
    <row r="750" spans="1:1" ht="13.5">
      <c r="A750" s="76"/>
    </row>
    <row r="751" spans="1:1" ht="13.5">
      <c r="A751" s="76"/>
    </row>
    <row r="752" spans="1:1" ht="13.5">
      <c r="A752" s="76"/>
    </row>
    <row r="753" spans="1:1" ht="13.5">
      <c r="A753" s="76"/>
    </row>
    <row r="754" spans="1:1" ht="13.5">
      <c r="A754" s="76"/>
    </row>
    <row r="755" spans="1:1" ht="13.5">
      <c r="A755" s="76"/>
    </row>
    <row r="756" spans="1:1" ht="13.5">
      <c r="A756" s="76"/>
    </row>
    <row r="757" spans="1:1" ht="13.5">
      <c r="A757" s="76"/>
    </row>
    <row r="758" spans="1:1" ht="13.5">
      <c r="A758" s="76"/>
    </row>
    <row r="759" spans="1:1" ht="13.5">
      <c r="A759" s="76"/>
    </row>
    <row r="760" spans="1:1" ht="13.5">
      <c r="A760" s="76"/>
    </row>
    <row r="761" spans="1:1" ht="13.5">
      <c r="A761" s="76"/>
    </row>
    <row r="762" spans="1:1" ht="13.5">
      <c r="A762" s="76"/>
    </row>
    <row r="763" spans="1:1" ht="13.5">
      <c r="A763" s="76"/>
    </row>
    <row r="764" spans="1:1" ht="13.5">
      <c r="A764" s="76"/>
    </row>
    <row r="765" spans="1:1" ht="13.5">
      <c r="A765" s="76"/>
    </row>
    <row r="766" spans="1:1" ht="13.5">
      <c r="A766" s="76"/>
    </row>
    <row r="767" spans="1:1" ht="13.5">
      <c r="A767" s="76"/>
    </row>
    <row r="768" spans="1:1" ht="13.5">
      <c r="A768" s="76"/>
    </row>
    <row r="769" spans="1:1" ht="13.5">
      <c r="A769" s="76"/>
    </row>
    <row r="770" spans="1:1" ht="13.5">
      <c r="A770" s="76"/>
    </row>
    <row r="771" spans="1:1" ht="13.5">
      <c r="A771" s="76"/>
    </row>
    <row r="772" spans="1:1" ht="13.5">
      <c r="A772" s="76"/>
    </row>
    <row r="773" spans="1:1" ht="13.5">
      <c r="A773" s="76"/>
    </row>
    <row r="774" spans="1:1" ht="13.5">
      <c r="A774" s="76"/>
    </row>
    <row r="775" spans="1:1" ht="13.5">
      <c r="A775" s="76"/>
    </row>
    <row r="776" spans="1:1" ht="13.5">
      <c r="A776" s="76"/>
    </row>
    <row r="777" spans="1:1" ht="13.5">
      <c r="A777" s="76"/>
    </row>
    <row r="778" spans="1:1" ht="13.5">
      <c r="A778" s="76"/>
    </row>
    <row r="779" spans="1:1" ht="13.5">
      <c r="A779" s="76"/>
    </row>
    <row r="780" spans="1:1" ht="13.5">
      <c r="A780" s="76"/>
    </row>
    <row r="781" spans="1:1" ht="13.5">
      <c r="A781" s="76"/>
    </row>
    <row r="782" spans="1:1" ht="13.5">
      <c r="A782" s="76"/>
    </row>
    <row r="783" spans="1:1" ht="13.5">
      <c r="A783" s="76"/>
    </row>
    <row r="784" spans="1:1" ht="13.5">
      <c r="A784" s="76"/>
    </row>
    <row r="785" spans="1:1" ht="13.5">
      <c r="A785" s="76"/>
    </row>
    <row r="786" spans="1:1" ht="13.5">
      <c r="A786" s="76"/>
    </row>
    <row r="787" spans="1:1" ht="13.5">
      <c r="A787" s="76"/>
    </row>
    <row r="788" spans="1:1" ht="13.5">
      <c r="A788" s="76"/>
    </row>
    <row r="789" spans="1:1" ht="13.5">
      <c r="A789" s="76"/>
    </row>
    <row r="790" spans="1:1" ht="13.5">
      <c r="A790" s="76"/>
    </row>
    <row r="791" spans="1:1" ht="13.5">
      <c r="A791" s="76"/>
    </row>
    <row r="792" spans="1:1" ht="13.5">
      <c r="A792" s="76"/>
    </row>
    <row r="793" spans="1:1" ht="13.5">
      <c r="A793" s="76"/>
    </row>
    <row r="794" spans="1:1" ht="13.5">
      <c r="A794" s="76"/>
    </row>
    <row r="795" spans="1:1" ht="13.5">
      <c r="A795" s="76"/>
    </row>
    <row r="796" spans="1:1" ht="13.5">
      <c r="A796" s="76"/>
    </row>
    <row r="797" spans="1:1" ht="13.5">
      <c r="A797" s="76"/>
    </row>
    <row r="798" spans="1:1" ht="13.5">
      <c r="A798" s="76"/>
    </row>
    <row r="799" spans="1:1" ht="13.5">
      <c r="A799" s="76"/>
    </row>
    <row r="800" spans="1:1" ht="13.5">
      <c r="A800" s="76"/>
    </row>
    <row r="801" spans="1:1" ht="13.5">
      <c r="A801" s="76"/>
    </row>
    <row r="802" spans="1:1" ht="13.5">
      <c r="A802" s="76"/>
    </row>
    <row r="803" spans="1:1" ht="13.5">
      <c r="A803" s="76"/>
    </row>
    <row r="804" spans="1:1" ht="13.5">
      <c r="A804" s="76"/>
    </row>
    <row r="805" spans="1:1" ht="13.5">
      <c r="A805" s="76"/>
    </row>
    <row r="806" spans="1:1" ht="13.5">
      <c r="A806" s="76"/>
    </row>
    <row r="807" spans="1:1" ht="13.5">
      <c r="A807" s="76"/>
    </row>
    <row r="808" spans="1:1" ht="13.5">
      <c r="A808" s="76"/>
    </row>
    <row r="809" spans="1:1" ht="13.5">
      <c r="A809" s="76"/>
    </row>
    <row r="810" spans="1:1" ht="13.5">
      <c r="A810" s="76"/>
    </row>
    <row r="811" spans="1:1" ht="13.5">
      <c r="A811" s="76"/>
    </row>
    <row r="812" spans="1:1" ht="13.5">
      <c r="A812" s="76"/>
    </row>
    <row r="813" spans="1:1" ht="13.5">
      <c r="A813" s="76"/>
    </row>
    <row r="814" spans="1:1" ht="13.5">
      <c r="A814" s="76"/>
    </row>
    <row r="815" spans="1:1" ht="13.5">
      <c r="A815" s="76"/>
    </row>
    <row r="816" spans="1:1" ht="13.5">
      <c r="A816" s="76"/>
    </row>
    <row r="817" spans="1:1" ht="13.5">
      <c r="A817" s="76"/>
    </row>
    <row r="818" spans="1:1" ht="13.5">
      <c r="A818" s="76"/>
    </row>
    <row r="819" spans="1:1" ht="13.5">
      <c r="A819" s="76"/>
    </row>
    <row r="820" spans="1:1" ht="13.5">
      <c r="A820" s="76"/>
    </row>
    <row r="821" spans="1:1" ht="13.5">
      <c r="A821" s="76"/>
    </row>
    <row r="822" spans="1:1" ht="13.5">
      <c r="A822" s="76"/>
    </row>
    <row r="823" spans="1:1" ht="13.5">
      <c r="A823" s="76"/>
    </row>
    <row r="824" spans="1:1" ht="13.5">
      <c r="A824" s="76"/>
    </row>
    <row r="825" spans="1:1" ht="13.5">
      <c r="A825" s="76"/>
    </row>
    <row r="826" spans="1:1" ht="13.5">
      <c r="A826" s="76"/>
    </row>
    <row r="827" spans="1:1" ht="13.5">
      <c r="A827" s="76"/>
    </row>
    <row r="828" spans="1:1" ht="13.5">
      <c r="A828" s="76"/>
    </row>
    <row r="829" spans="1:1" ht="13.5">
      <c r="A829" s="76"/>
    </row>
    <row r="830" spans="1:1" ht="13.5">
      <c r="A830" s="76"/>
    </row>
    <row r="831" spans="1:1" ht="13.5">
      <c r="A831" s="76"/>
    </row>
    <row r="832" spans="1:1" ht="13.5">
      <c r="A832" s="76"/>
    </row>
    <row r="833" spans="1:1" ht="13.5">
      <c r="A833" s="76"/>
    </row>
    <row r="834" spans="1:1" ht="13.5">
      <c r="A834" s="76"/>
    </row>
    <row r="835" spans="1:1" ht="13.5">
      <c r="A835" s="76"/>
    </row>
    <row r="836" spans="1:1" ht="13.5">
      <c r="A836" s="76"/>
    </row>
    <row r="837" spans="1:1" ht="13.5">
      <c r="A837" s="76"/>
    </row>
    <row r="838" spans="1:1" ht="13.5">
      <c r="A838" s="76"/>
    </row>
    <row r="839" spans="1:1" ht="13.5">
      <c r="A839" s="76"/>
    </row>
    <row r="840" spans="1:1" ht="13.5">
      <c r="A840" s="76"/>
    </row>
    <row r="841" spans="1:1" ht="13.5">
      <c r="A841" s="76"/>
    </row>
    <row r="842" spans="1:1" ht="13.5">
      <c r="A842" s="76"/>
    </row>
    <row r="843" spans="1:1" ht="13.5">
      <c r="A843" s="76"/>
    </row>
    <row r="844" spans="1:1" ht="13.5">
      <c r="A844" s="76"/>
    </row>
    <row r="845" spans="1:1" ht="13.5">
      <c r="A845" s="76"/>
    </row>
    <row r="846" spans="1:1" ht="13.5">
      <c r="A846" s="76"/>
    </row>
    <row r="847" spans="1:1" ht="13.5">
      <c r="A847" s="76"/>
    </row>
    <row r="848" spans="1:1" ht="13.5">
      <c r="A848" s="76"/>
    </row>
    <row r="849" spans="1:1" ht="13.5">
      <c r="A849" s="76"/>
    </row>
    <row r="850" spans="1:1" ht="13.5">
      <c r="A850" s="76"/>
    </row>
    <row r="851" spans="1:1" ht="13.5">
      <c r="A851" s="76"/>
    </row>
    <row r="852" spans="1:1" ht="13.5">
      <c r="A852" s="76"/>
    </row>
    <row r="853" spans="1:1" ht="13.5">
      <c r="A853" s="76"/>
    </row>
    <row r="854" spans="1:1" ht="13.5">
      <c r="A854" s="76"/>
    </row>
    <row r="855" spans="1:1" ht="13.5">
      <c r="A855" s="76"/>
    </row>
    <row r="856" spans="1:1" ht="13.5">
      <c r="A856" s="76"/>
    </row>
    <row r="857" spans="1:1" ht="13.5">
      <c r="A857" s="76"/>
    </row>
    <row r="858" spans="1:1" ht="13.5">
      <c r="A858" s="76"/>
    </row>
    <row r="859" spans="1:1" ht="13.5">
      <c r="A859" s="76"/>
    </row>
    <row r="860" spans="1:1" ht="13.5">
      <c r="A860" s="76"/>
    </row>
    <row r="861" spans="1:1" ht="13.5">
      <c r="A861" s="76"/>
    </row>
    <row r="862" spans="1:1" ht="13.5">
      <c r="A862" s="76"/>
    </row>
    <row r="863" spans="1:1" ht="13.5">
      <c r="A863" s="76"/>
    </row>
    <row r="864" spans="1:1" ht="13.5">
      <c r="A864" s="76"/>
    </row>
    <row r="865" spans="1:1" ht="13.5">
      <c r="A865" s="76"/>
    </row>
    <row r="866" spans="1:1" ht="13.5">
      <c r="A866" s="76"/>
    </row>
    <row r="867" spans="1:1" ht="13.5">
      <c r="A867" s="76"/>
    </row>
    <row r="868" spans="1:1" ht="13.5">
      <c r="A868" s="76"/>
    </row>
    <row r="869" spans="1:1" ht="13.5">
      <c r="A869" s="76"/>
    </row>
    <row r="870" spans="1:1" ht="13.5">
      <c r="A870" s="76"/>
    </row>
    <row r="871" spans="1:1" ht="13.5">
      <c r="A871" s="76"/>
    </row>
    <row r="872" spans="1:1" ht="13.5">
      <c r="A872" s="76"/>
    </row>
    <row r="873" spans="1:1" ht="13.5">
      <c r="A873" s="76"/>
    </row>
    <row r="874" spans="1:1" ht="13.5">
      <c r="A874" s="76"/>
    </row>
    <row r="875" spans="1:1" ht="13.5">
      <c r="A875" s="76"/>
    </row>
    <row r="876" spans="1:1" ht="13.5">
      <c r="A876" s="76"/>
    </row>
    <row r="877" spans="1:1" ht="13.5">
      <c r="A877" s="76"/>
    </row>
    <row r="878" spans="1:1" ht="13.5">
      <c r="A878" s="76"/>
    </row>
    <row r="879" spans="1:1" ht="13.5">
      <c r="A879" s="76"/>
    </row>
    <row r="880" spans="1:1" ht="13.5">
      <c r="A880" s="76"/>
    </row>
    <row r="881" spans="1:1" ht="13.5">
      <c r="A881" s="76"/>
    </row>
    <row r="882" spans="1:1" ht="13.5">
      <c r="A882" s="76"/>
    </row>
    <row r="883" spans="1:1" ht="13.5">
      <c r="A883" s="76"/>
    </row>
    <row r="884" spans="1:1" ht="13.5">
      <c r="A884" s="76"/>
    </row>
    <row r="885" spans="1:1" ht="13.5">
      <c r="A885" s="76"/>
    </row>
    <row r="886" spans="1:1" ht="13.5">
      <c r="A886" s="76"/>
    </row>
    <row r="887" spans="1:1" ht="13.5">
      <c r="A887" s="76"/>
    </row>
    <row r="888" spans="1:1" ht="13.5">
      <c r="A888" s="76"/>
    </row>
    <row r="889" spans="1:1" ht="13.5">
      <c r="A889" s="76"/>
    </row>
    <row r="890" spans="1:1" ht="13.5">
      <c r="A890" s="76"/>
    </row>
    <row r="891" spans="1:1" ht="13.5">
      <c r="A891" s="76"/>
    </row>
    <row r="892" spans="1:1" ht="13.5">
      <c r="A892" s="76"/>
    </row>
    <row r="893" spans="1:1" ht="13.5">
      <c r="A893" s="76"/>
    </row>
    <row r="894" spans="1:1" ht="13.5">
      <c r="A894" s="76"/>
    </row>
    <row r="895" spans="1:1" ht="13.5">
      <c r="A895" s="76"/>
    </row>
    <row r="896" spans="1:1" ht="13.5">
      <c r="A896" s="76"/>
    </row>
    <row r="897" spans="1:1" ht="13.5">
      <c r="A897" s="76"/>
    </row>
    <row r="898" spans="1:1" ht="13.5">
      <c r="A898" s="76"/>
    </row>
    <row r="899" spans="1:1" ht="13.5">
      <c r="A899" s="76"/>
    </row>
    <row r="900" spans="1:1" ht="13.5">
      <c r="A900" s="76"/>
    </row>
    <row r="901" spans="1:1" ht="13.5">
      <c r="A901" s="76"/>
    </row>
    <row r="902" spans="1:1" ht="13.5">
      <c r="A902" s="76"/>
    </row>
    <row r="903" spans="1:1" ht="13.5">
      <c r="A903" s="76"/>
    </row>
    <row r="904" spans="1:1" ht="13.5">
      <c r="A904" s="76"/>
    </row>
    <row r="905" spans="1:1" ht="13.5">
      <c r="A905" s="76"/>
    </row>
    <row r="906" spans="1:1" ht="13.5">
      <c r="A906" s="76"/>
    </row>
    <row r="907" spans="1:1" ht="13.5">
      <c r="A907" s="76"/>
    </row>
    <row r="908" spans="1:1" ht="13.5">
      <c r="A908" s="76"/>
    </row>
    <row r="909" spans="1:1" ht="13.5">
      <c r="A909" s="76"/>
    </row>
    <row r="910" spans="1:1" ht="13.5">
      <c r="A910" s="76"/>
    </row>
    <row r="911" spans="1:1" ht="13.5">
      <c r="A911" s="76"/>
    </row>
    <row r="912" spans="1:1" ht="13.5">
      <c r="A912" s="76"/>
    </row>
    <row r="913" spans="1:1" ht="13.5">
      <c r="A913" s="76"/>
    </row>
    <row r="914" spans="1:1" ht="13.5">
      <c r="A914" s="76"/>
    </row>
    <row r="915" spans="1:1" ht="13.5">
      <c r="A915" s="76"/>
    </row>
    <row r="916" spans="1:1" ht="13.5">
      <c r="A916" s="76"/>
    </row>
    <row r="917" spans="1:1" ht="13.5">
      <c r="A917" s="76"/>
    </row>
    <row r="918" spans="1:1" ht="13.5">
      <c r="A918" s="76"/>
    </row>
    <row r="919" spans="1:1" ht="13.5">
      <c r="A919" s="76"/>
    </row>
    <row r="920" spans="1:1" ht="13.5">
      <c r="A920" s="76"/>
    </row>
    <row r="921" spans="1:1" ht="13.5">
      <c r="A921" s="76"/>
    </row>
    <row r="922" spans="1:1" ht="13.5">
      <c r="A922" s="76"/>
    </row>
    <row r="923" spans="1:1" ht="13.5">
      <c r="A923" s="76"/>
    </row>
    <row r="924" spans="1:1" ht="13.5">
      <c r="A924" s="76"/>
    </row>
    <row r="925" spans="1:1" ht="13.5">
      <c r="A925" s="76"/>
    </row>
    <row r="926" spans="1:1" ht="13.5">
      <c r="A926" s="76"/>
    </row>
    <row r="927" spans="1:1" ht="13.5">
      <c r="A927" s="76"/>
    </row>
    <row r="928" spans="1:1" ht="13.5">
      <c r="A928" s="76"/>
    </row>
    <row r="929" spans="1:1" ht="13.5">
      <c r="A929" s="76"/>
    </row>
    <row r="930" spans="1:1" ht="13.5">
      <c r="A930" s="76"/>
    </row>
    <row r="931" spans="1:1" ht="13.5">
      <c r="A931" s="76"/>
    </row>
    <row r="932" spans="1:1" ht="13.5">
      <c r="A932" s="76"/>
    </row>
    <row r="933" spans="1:1" ht="13.5">
      <c r="A933" s="76"/>
    </row>
    <row r="934" spans="1:1" ht="13.5">
      <c r="A934" s="76"/>
    </row>
    <row r="935" spans="1:1" ht="13.5">
      <c r="A935" s="76"/>
    </row>
    <row r="936" spans="1:1" ht="13.5">
      <c r="A936" s="76"/>
    </row>
    <row r="937" spans="1:1" ht="13.5">
      <c r="A937" s="76"/>
    </row>
    <row r="938" spans="1:1" ht="13.5">
      <c r="A938" s="76"/>
    </row>
    <row r="939" spans="1:1" ht="13.5">
      <c r="A939" s="76"/>
    </row>
    <row r="940" spans="1:1" ht="13.5">
      <c r="A940" s="76"/>
    </row>
    <row r="941" spans="1:1" ht="13.5">
      <c r="A941" s="76"/>
    </row>
    <row r="942" spans="1:1" ht="13.5">
      <c r="A942" s="76"/>
    </row>
    <row r="943" spans="1:1" ht="13.5">
      <c r="A943" s="76"/>
    </row>
    <row r="944" spans="1:1" ht="13.5">
      <c r="A944" s="76"/>
    </row>
    <row r="945" spans="1:1" ht="13.5">
      <c r="A945" s="76"/>
    </row>
    <row r="946" spans="1:1" ht="13.5">
      <c r="A946" s="76"/>
    </row>
    <row r="947" spans="1:1" ht="13.5">
      <c r="A947" s="76"/>
    </row>
    <row r="948" spans="1:1" ht="13.5">
      <c r="A948" s="76"/>
    </row>
    <row r="949" spans="1:1" ht="13.5">
      <c r="A949" s="76"/>
    </row>
    <row r="950" spans="1:1" ht="13.5">
      <c r="A950" s="76"/>
    </row>
    <row r="951" spans="1:1" ht="13.5">
      <c r="A951" s="76"/>
    </row>
    <row r="952" spans="1:1" ht="13.5">
      <c r="A952" s="76"/>
    </row>
    <row r="953" spans="1:1" ht="13.5">
      <c r="A953" s="76"/>
    </row>
    <row r="954" spans="1:1" ht="13.5">
      <c r="A954" s="76"/>
    </row>
    <row r="955" spans="1:1" ht="13.5">
      <c r="A955" s="76"/>
    </row>
    <row r="956" spans="1:1" ht="13.5">
      <c r="A956" s="76"/>
    </row>
    <row r="957" spans="1:1" ht="13.5">
      <c r="A957" s="76"/>
    </row>
    <row r="958" spans="1:1" ht="13.5">
      <c r="A958" s="76"/>
    </row>
    <row r="959" spans="1:1" ht="13.5">
      <c r="A959" s="76"/>
    </row>
    <row r="960" spans="1:1" ht="13.5">
      <c r="A960" s="76"/>
    </row>
    <row r="961" spans="1:1" ht="13.5">
      <c r="A961" s="76"/>
    </row>
    <row r="962" spans="1:1" ht="13.5">
      <c r="A962" s="76"/>
    </row>
    <row r="963" spans="1:1" ht="13.5">
      <c r="A963" s="76"/>
    </row>
    <row r="964" spans="1:1" ht="13.5">
      <c r="A964" s="76"/>
    </row>
    <row r="965" spans="1:1" ht="13.5">
      <c r="A965" s="76"/>
    </row>
    <row r="966" spans="1:1" ht="13.5">
      <c r="A966" s="76"/>
    </row>
    <row r="967" spans="1:1" ht="13.5">
      <c r="A967" s="76"/>
    </row>
    <row r="968" spans="1:1" ht="13.5">
      <c r="A968" s="76"/>
    </row>
    <row r="969" spans="1:1" ht="13.5">
      <c r="A969" s="76"/>
    </row>
    <row r="970" spans="1:1" ht="13.5">
      <c r="A970" s="76"/>
    </row>
    <row r="971" spans="1:1" ht="13.5">
      <c r="A971" s="76"/>
    </row>
    <row r="972" spans="1:1" ht="13.5">
      <c r="A972" s="76"/>
    </row>
    <row r="973" spans="1:1" ht="13.5">
      <c r="A973" s="76"/>
    </row>
    <row r="974" spans="1:1" ht="13.5">
      <c r="A974" s="76"/>
    </row>
    <row r="975" spans="1:1" ht="13.5">
      <c r="A975" s="76"/>
    </row>
    <row r="976" spans="1:1" ht="13.5">
      <c r="A976" s="76"/>
    </row>
    <row r="977" spans="1:1" ht="13.5">
      <c r="A977" s="76"/>
    </row>
    <row r="978" spans="1:1" ht="13.5">
      <c r="A978" s="76"/>
    </row>
    <row r="979" spans="1:1" ht="13.5">
      <c r="A979" s="76"/>
    </row>
    <row r="980" spans="1:1" ht="13.5">
      <c r="A980" s="76"/>
    </row>
    <row r="981" spans="1:1" ht="13.5">
      <c r="A981" s="76"/>
    </row>
    <row r="982" spans="1:1" ht="13.5">
      <c r="A982" s="76"/>
    </row>
    <row r="983" spans="1:1" ht="13.5">
      <c r="A983" s="76"/>
    </row>
    <row r="984" spans="1:1" ht="13.5">
      <c r="A984" s="76"/>
    </row>
    <row r="985" spans="1:1" ht="13.5">
      <c r="A985" s="76"/>
    </row>
    <row r="986" spans="1:1" ht="13.5">
      <c r="A986" s="76"/>
    </row>
    <row r="987" spans="1:1" ht="13.5">
      <c r="A987" s="76"/>
    </row>
    <row r="988" spans="1:1" ht="13.5">
      <c r="A988" s="76"/>
    </row>
    <row r="989" spans="1:1" ht="13.5">
      <c r="A989" s="76"/>
    </row>
    <row r="990" spans="1:1" ht="13.5">
      <c r="A990" s="76"/>
    </row>
    <row r="991" spans="1:1" ht="13.5">
      <c r="A991" s="76"/>
    </row>
    <row r="992" spans="1:1" ht="13.5">
      <c r="A992" s="76"/>
    </row>
    <row r="993" spans="1:1" ht="13.5">
      <c r="A993" s="76"/>
    </row>
    <row r="994" spans="1:1" ht="13.5">
      <c r="A994" s="76"/>
    </row>
    <row r="995" spans="1:1" ht="13.5">
      <c r="A995" s="76"/>
    </row>
    <row r="996" spans="1:1" ht="13.5">
      <c r="A996" s="76"/>
    </row>
    <row r="997" spans="1:1" ht="13.5">
      <c r="A997" s="76"/>
    </row>
    <row r="998" spans="1:1" ht="13.5">
      <c r="A998" s="76"/>
    </row>
    <row r="999" spans="1:1" ht="13.5">
      <c r="A999" s="76"/>
    </row>
    <row r="1000" spans="1:1" ht="13.5">
      <c r="A1000" s="76"/>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3" customWidth="1"/>
    <col min="2" max="3" width="35.26953125" style="30" customWidth="1"/>
    <col min="4" max="4" width="44" style="30" customWidth="1"/>
    <col min="5" max="5" width="16.7265625" style="30" customWidth="1"/>
    <col min="6" max="6" width="20.26953125" style="30" customWidth="1"/>
    <col min="7" max="7" width="17.7265625" style="31" customWidth="1"/>
    <col min="8" max="8" width="9.1328125" style="31"/>
    <col min="9" max="17" width="9.1328125" style="32"/>
    <col min="18" max="18" width="31.54296875" style="32" customWidth="1"/>
    <col min="19" max="19" width="16" style="32" customWidth="1"/>
    <col min="20" max="16384" width="9.1328125" style="32"/>
  </cols>
  <sheetData>
    <row r="1" spans="1:9">
      <c r="A1" s="182" t="s">
        <v>23</v>
      </c>
      <c r="B1" s="182"/>
      <c r="C1" s="182"/>
      <c r="D1" s="182"/>
      <c r="E1" s="182"/>
    </row>
    <row r="2" spans="1:9" ht="28">
      <c r="A2" s="33" t="s">
        <v>24</v>
      </c>
      <c r="B2" s="33" t="s">
        <v>25</v>
      </c>
      <c r="C2" s="33" t="s">
        <v>26</v>
      </c>
      <c r="D2" s="33" t="s">
        <v>27</v>
      </c>
      <c r="E2" s="33" t="s">
        <v>28</v>
      </c>
      <c r="F2" s="33" t="s">
        <v>29</v>
      </c>
      <c r="G2" s="33" t="s">
        <v>30</v>
      </c>
      <c r="H2" s="33" t="s">
        <v>31</v>
      </c>
      <c r="I2" s="34"/>
    </row>
    <row r="3" spans="1:9" ht="56">
      <c r="A3" s="33" t="s">
        <v>32</v>
      </c>
      <c r="B3" s="30" t="s">
        <v>33</v>
      </c>
      <c r="C3" s="30" t="s">
        <v>34</v>
      </c>
      <c r="E3" s="30" t="s">
        <v>35</v>
      </c>
      <c r="F3" s="30" t="s">
        <v>36</v>
      </c>
      <c r="G3" s="30" t="s">
        <v>37</v>
      </c>
      <c r="H3" s="31" t="s">
        <v>37</v>
      </c>
    </row>
    <row r="4" spans="1:9" ht="28">
      <c r="A4" s="33" t="s">
        <v>38</v>
      </c>
      <c r="B4" s="30" t="s">
        <v>39</v>
      </c>
      <c r="C4" s="30" t="s">
        <v>40</v>
      </c>
      <c r="E4" s="30" t="s">
        <v>41</v>
      </c>
    </row>
    <row r="5" spans="1:9" ht="70">
      <c r="A5" s="33" t="s">
        <v>42</v>
      </c>
      <c r="B5" s="30" t="s">
        <v>43</v>
      </c>
      <c r="C5" s="30" t="s">
        <v>44</v>
      </c>
      <c r="D5" s="30" t="s">
        <v>45</v>
      </c>
      <c r="E5" s="30" t="s">
        <v>46</v>
      </c>
      <c r="F5" s="30" t="s">
        <v>47</v>
      </c>
      <c r="G5" s="31" t="s">
        <v>48</v>
      </c>
      <c r="H5" s="31" t="s">
        <v>37</v>
      </c>
    </row>
    <row r="6" spans="1:9" ht="42">
      <c r="A6" s="33" t="s">
        <v>49</v>
      </c>
      <c r="B6" s="30" t="s">
        <v>50</v>
      </c>
      <c r="C6" s="30" t="s">
        <v>51</v>
      </c>
      <c r="E6" s="30" t="s">
        <v>46</v>
      </c>
      <c r="F6" s="30" t="s">
        <v>47</v>
      </c>
    </row>
    <row r="7" spans="1:9" ht="98">
      <c r="A7" s="33" t="s">
        <v>52</v>
      </c>
      <c r="B7" s="30" t="s">
        <v>53</v>
      </c>
      <c r="C7" s="30" t="s">
        <v>54</v>
      </c>
      <c r="D7" s="30" t="s">
        <v>55</v>
      </c>
      <c r="E7" s="35" t="s">
        <v>56</v>
      </c>
      <c r="F7" s="30" t="s">
        <v>57</v>
      </c>
      <c r="G7" s="30" t="s">
        <v>37</v>
      </c>
      <c r="H7" s="31" t="s">
        <v>37</v>
      </c>
    </row>
    <row r="8" spans="1:9" ht="70">
      <c r="A8" s="33" t="s">
        <v>58</v>
      </c>
      <c r="B8" s="30" t="s">
        <v>59</v>
      </c>
      <c r="C8" s="30" t="s">
        <v>60</v>
      </c>
      <c r="D8" s="30" t="s">
        <v>61</v>
      </c>
      <c r="E8" s="36" t="s">
        <v>62</v>
      </c>
      <c r="F8" s="30" t="s">
        <v>63</v>
      </c>
      <c r="G8" s="31" t="s">
        <v>37</v>
      </c>
      <c r="H8" s="31" t="s">
        <v>37</v>
      </c>
    </row>
    <row r="9" spans="1:9" ht="44.25">
      <c r="A9" s="33" t="s">
        <v>64</v>
      </c>
      <c r="B9" s="30" t="s">
        <v>65</v>
      </c>
      <c r="C9" s="30" t="s">
        <v>66</v>
      </c>
      <c r="E9" s="30" t="s">
        <v>67</v>
      </c>
      <c r="F9" s="30" t="s">
        <v>68</v>
      </c>
      <c r="G9" s="31" t="s">
        <v>69</v>
      </c>
      <c r="H9" s="31" t="s">
        <v>37</v>
      </c>
    </row>
    <row r="10" spans="1:9" ht="59">
      <c r="A10" s="33" t="s">
        <v>70</v>
      </c>
      <c r="B10" s="30" t="s">
        <v>71</v>
      </c>
      <c r="C10" s="30" t="s">
        <v>72</v>
      </c>
      <c r="E10" s="30" t="s">
        <v>73</v>
      </c>
      <c r="F10" s="30" t="s">
        <v>74</v>
      </c>
      <c r="G10" s="31" t="s">
        <v>75</v>
      </c>
      <c r="H10" s="31" t="s">
        <v>37</v>
      </c>
    </row>
    <row r="11" spans="1:9" ht="59">
      <c r="A11" s="33" t="s">
        <v>76</v>
      </c>
      <c r="B11" s="30" t="s">
        <v>77</v>
      </c>
      <c r="C11" s="30" t="s">
        <v>78</v>
      </c>
      <c r="E11" s="37" t="s">
        <v>56</v>
      </c>
      <c r="F11" s="30" t="s">
        <v>74</v>
      </c>
      <c r="G11" s="31" t="s">
        <v>75</v>
      </c>
      <c r="H11" s="31" t="s">
        <v>37</v>
      </c>
    </row>
    <row r="12" spans="1:9" ht="59">
      <c r="A12" s="33" t="s">
        <v>79</v>
      </c>
      <c r="B12" s="30" t="s">
        <v>80</v>
      </c>
      <c r="C12" s="30" t="s">
        <v>81</v>
      </c>
      <c r="E12" s="30" t="s">
        <v>82</v>
      </c>
      <c r="F12" s="30" t="s">
        <v>74</v>
      </c>
      <c r="G12" s="31" t="s">
        <v>75</v>
      </c>
      <c r="H12" s="31" t="s">
        <v>37</v>
      </c>
    </row>
    <row r="13" spans="1:9" ht="59">
      <c r="A13" s="33" t="s">
        <v>83</v>
      </c>
      <c r="B13" s="30" t="s">
        <v>80</v>
      </c>
      <c r="C13" s="30" t="s">
        <v>84</v>
      </c>
      <c r="E13" s="30" t="s">
        <v>82</v>
      </c>
      <c r="F13" s="30" t="s">
        <v>74</v>
      </c>
      <c r="G13" s="31" t="s">
        <v>75</v>
      </c>
      <c r="H13" s="31" t="s">
        <v>37</v>
      </c>
    </row>
    <row r="14" spans="1:9" ht="84">
      <c r="A14" s="33" t="s">
        <v>85</v>
      </c>
      <c r="B14" s="30" t="s">
        <v>86</v>
      </c>
      <c r="C14" s="30" t="s">
        <v>87</v>
      </c>
      <c r="D14" s="30" t="s">
        <v>88</v>
      </c>
      <c r="F14" s="30" t="s">
        <v>74</v>
      </c>
      <c r="G14" s="31" t="s">
        <v>75</v>
      </c>
      <c r="H14" s="31" t="s">
        <v>37</v>
      </c>
    </row>
    <row r="15" spans="1:9" ht="94.9" customHeight="1">
      <c r="A15" s="33" t="s">
        <v>89</v>
      </c>
      <c r="B15" s="30" t="s">
        <v>90</v>
      </c>
      <c r="C15" s="30" t="s">
        <v>91</v>
      </c>
      <c r="D15" s="30" t="s">
        <v>88</v>
      </c>
      <c r="E15" s="30" t="s">
        <v>82</v>
      </c>
    </row>
    <row r="16" spans="1:9" ht="59">
      <c r="A16" s="33" t="s">
        <v>92</v>
      </c>
      <c r="B16" s="30" t="s">
        <v>93</v>
      </c>
      <c r="C16" s="30" t="s">
        <v>94</v>
      </c>
      <c r="E16" s="30" t="s">
        <v>95</v>
      </c>
      <c r="F16" s="30" t="s">
        <v>74</v>
      </c>
      <c r="G16" s="31" t="s">
        <v>75</v>
      </c>
      <c r="H16" s="31" t="s">
        <v>37</v>
      </c>
    </row>
    <row r="17" spans="1:9" ht="140">
      <c r="A17" s="33" t="s">
        <v>96</v>
      </c>
      <c r="B17" s="30" t="s">
        <v>97</v>
      </c>
      <c r="C17" s="30" t="s">
        <v>98</v>
      </c>
      <c r="D17" s="30" t="s">
        <v>99</v>
      </c>
      <c r="E17" s="30" t="s">
        <v>100</v>
      </c>
      <c r="F17" s="30" t="s">
        <v>63</v>
      </c>
      <c r="G17" s="31" t="s">
        <v>37</v>
      </c>
      <c r="H17" s="31" t="s">
        <v>37</v>
      </c>
    </row>
    <row r="18" spans="1:9">
      <c r="A18" s="33" t="s">
        <v>101</v>
      </c>
      <c r="B18" s="30" t="s">
        <v>0</v>
      </c>
    </row>
    <row r="19" spans="1:9" ht="42">
      <c r="A19" s="33" t="s">
        <v>102</v>
      </c>
      <c r="B19" s="30" t="s">
        <v>103</v>
      </c>
      <c r="C19" s="30" t="s">
        <v>104</v>
      </c>
      <c r="E19" s="30" t="s">
        <v>82</v>
      </c>
      <c r="F19" s="30" t="s">
        <v>105</v>
      </c>
      <c r="G19" s="30" t="s">
        <v>48</v>
      </c>
      <c r="H19" s="31" t="s">
        <v>37</v>
      </c>
    </row>
    <row r="20" spans="1:9" ht="42">
      <c r="A20" s="33" t="s">
        <v>106</v>
      </c>
      <c r="B20" s="30" t="s">
        <v>107</v>
      </c>
      <c r="C20" s="30" t="s">
        <v>108</v>
      </c>
      <c r="E20" s="30" t="s">
        <v>82</v>
      </c>
      <c r="F20" s="30" t="s">
        <v>105</v>
      </c>
      <c r="G20" s="30" t="s">
        <v>48</v>
      </c>
      <c r="H20" s="31" t="s">
        <v>37</v>
      </c>
    </row>
    <row r="21" spans="1:9" s="40" customFormat="1" ht="70">
      <c r="A21" s="38" t="s">
        <v>109</v>
      </c>
      <c r="B21" s="39" t="s">
        <v>110</v>
      </c>
      <c r="C21" s="30" t="s">
        <v>111</v>
      </c>
      <c r="D21" s="30"/>
      <c r="E21" s="39"/>
      <c r="F21" s="30" t="s">
        <v>105</v>
      </c>
      <c r="G21" s="30" t="s">
        <v>48</v>
      </c>
      <c r="H21" s="31" t="s">
        <v>37</v>
      </c>
    </row>
    <row r="22" spans="1:9" s="40" customFormat="1" ht="42">
      <c r="A22" s="38" t="s">
        <v>112</v>
      </c>
      <c r="B22" s="39" t="s">
        <v>80</v>
      </c>
      <c r="C22" s="30" t="s">
        <v>113</v>
      </c>
      <c r="D22" s="30"/>
      <c r="E22" s="39" t="s">
        <v>82</v>
      </c>
      <c r="F22" s="39"/>
      <c r="G22" s="41"/>
      <c r="H22" s="41"/>
    </row>
    <row r="23" spans="1:9" ht="126">
      <c r="A23" s="33" t="s">
        <v>114</v>
      </c>
      <c r="B23" s="30" t="s">
        <v>115</v>
      </c>
      <c r="C23" s="30" t="s">
        <v>116</v>
      </c>
      <c r="D23" s="30" t="s">
        <v>117</v>
      </c>
      <c r="E23" s="35" t="s">
        <v>56</v>
      </c>
      <c r="F23" s="30" t="s">
        <v>118</v>
      </c>
      <c r="G23" s="30" t="s">
        <v>48</v>
      </c>
      <c r="H23" s="31" t="s">
        <v>37</v>
      </c>
    </row>
    <row r="24" spans="1:9" ht="41.45" customHeight="1">
      <c r="A24" s="33" t="s">
        <v>119</v>
      </c>
      <c r="B24" s="30" t="s">
        <v>39</v>
      </c>
      <c r="C24" s="183" t="s">
        <v>120</v>
      </c>
      <c r="E24" s="30" t="s">
        <v>41</v>
      </c>
      <c r="F24" s="30" t="s">
        <v>118</v>
      </c>
      <c r="G24" s="30" t="s">
        <v>48</v>
      </c>
      <c r="H24" s="31" t="s">
        <v>37</v>
      </c>
    </row>
    <row r="25" spans="1:9" ht="42">
      <c r="A25" s="33" t="s">
        <v>121</v>
      </c>
      <c r="B25" s="30" t="s">
        <v>39</v>
      </c>
      <c r="C25" s="183"/>
      <c r="E25" s="30" t="s">
        <v>41</v>
      </c>
      <c r="F25" s="30" t="s">
        <v>118</v>
      </c>
      <c r="G25" s="30" t="s">
        <v>48</v>
      </c>
      <c r="H25" s="31" t="s">
        <v>37</v>
      </c>
      <c r="I25" s="42"/>
    </row>
    <row r="26" spans="1:9" ht="42">
      <c r="A26" s="33" t="s">
        <v>122</v>
      </c>
      <c r="B26" s="30" t="s">
        <v>39</v>
      </c>
      <c r="C26" s="183"/>
      <c r="E26" s="30" t="s">
        <v>41</v>
      </c>
      <c r="F26" s="30" t="s">
        <v>118</v>
      </c>
      <c r="G26" s="30" t="s">
        <v>48</v>
      </c>
      <c r="H26" s="31" t="s">
        <v>37</v>
      </c>
    </row>
    <row r="27" spans="1:9" ht="42">
      <c r="A27" s="33" t="s">
        <v>123</v>
      </c>
      <c r="B27" s="30" t="s">
        <v>39</v>
      </c>
      <c r="C27" s="183"/>
      <c r="E27" s="30" t="s">
        <v>41</v>
      </c>
      <c r="F27" s="30" t="s">
        <v>118</v>
      </c>
      <c r="G27" s="30" t="s">
        <v>48</v>
      </c>
      <c r="H27" s="31" t="s">
        <v>37</v>
      </c>
    </row>
    <row r="28" spans="1:9" ht="42">
      <c r="A28" s="33" t="s">
        <v>124</v>
      </c>
      <c r="B28" s="30" t="s">
        <v>39</v>
      </c>
      <c r="C28" s="183"/>
      <c r="E28" s="30" t="s">
        <v>41</v>
      </c>
      <c r="F28" s="30" t="s">
        <v>118</v>
      </c>
      <c r="G28" s="30" t="s">
        <v>48</v>
      </c>
      <c r="H28" s="31" t="s">
        <v>37</v>
      </c>
    </row>
    <row r="29" spans="1:9" ht="42">
      <c r="A29" s="33" t="s">
        <v>125</v>
      </c>
      <c r="B29" s="30" t="s">
        <v>39</v>
      </c>
      <c r="C29" s="183"/>
      <c r="E29" s="30" t="s">
        <v>41</v>
      </c>
      <c r="F29" s="30" t="s">
        <v>118</v>
      </c>
      <c r="G29" s="30" t="s">
        <v>48</v>
      </c>
      <c r="H29" s="31" t="s">
        <v>37</v>
      </c>
    </row>
    <row r="30" spans="1:9" ht="42">
      <c r="A30" s="33" t="s">
        <v>126</v>
      </c>
      <c r="B30" s="30" t="s">
        <v>39</v>
      </c>
      <c r="C30" s="183"/>
      <c r="E30" s="30" t="s">
        <v>41</v>
      </c>
      <c r="F30" s="30" t="s">
        <v>118</v>
      </c>
      <c r="G30" s="30" t="s">
        <v>48</v>
      </c>
      <c r="H30" s="31" t="s">
        <v>37</v>
      </c>
    </row>
    <row r="31" spans="1:9" ht="42">
      <c r="A31" s="33" t="s">
        <v>127</v>
      </c>
      <c r="B31" s="30" t="s">
        <v>39</v>
      </c>
      <c r="C31" s="183"/>
      <c r="E31" s="30" t="s">
        <v>41</v>
      </c>
      <c r="F31" s="30" t="s">
        <v>118</v>
      </c>
      <c r="G31" s="30" t="s">
        <v>48</v>
      </c>
      <c r="H31" s="31" t="s">
        <v>37</v>
      </c>
    </row>
    <row r="32" spans="1:9" ht="42">
      <c r="A32" s="33" t="s">
        <v>128</v>
      </c>
      <c r="B32" s="30" t="s">
        <v>39</v>
      </c>
      <c r="C32" s="183"/>
      <c r="E32" s="30" t="s">
        <v>41</v>
      </c>
      <c r="F32" s="30" t="s">
        <v>118</v>
      </c>
      <c r="G32" s="30" t="s">
        <v>48</v>
      </c>
      <c r="H32" s="31" t="s">
        <v>37</v>
      </c>
    </row>
    <row r="33" spans="1:9" ht="42">
      <c r="A33" s="33" t="s">
        <v>129</v>
      </c>
      <c r="B33" s="30" t="s">
        <v>39</v>
      </c>
      <c r="C33" s="183"/>
      <c r="E33" s="30" t="s">
        <v>41</v>
      </c>
      <c r="F33" s="30" t="s">
        <v>118</v>
      </c>
      <c r="G33" s="30" t="s">
        <v>48</v>
      </c>
      <c r="H33" s="31" t="s">
        <v>37</v>
      </c>
    </row>
    <row r="34" spans="1:9" ht="42">
      <c r="A34" s="33" t="s">
        <v>130</v>
      </c>
      <c r="B34" s="30" t="s">
        <v>39</v>
      </c>
      <c r="C34" s="183"/>
      <c r="E34" s="30" t="s">
        <v>41</v>
      </c>
      <c r="F34" s="30" t="s">
        <v>118</v>
      </c>
      <c r="G34" s="30" t="s">
        <v>48</v>
      </c>
      <c r="H34" s="31" t="s">
        <v>37</v>
      </c>
    </row>
    <row r="35" spans="1:9" ht="42">
      <c r="A35" s="33" t="s">
        <v>131</v>
      </c>
      <c r="B35" s="30" t="s">
        <v>39</v>
      </c>
      <c r="C35" s="183"/>
      <c r="E35" s="30" t="s">
        <v>41</v>
      </c>
      <c r="F35" s="30" t="s">
        <v>118</v>
      </c>
      <c r="G35" s="30" t="s">
        <v>48</v>
      </c>
      <c r="H35" s="31" t="s">
        <v>37</v>
      </c>
    </row>
    <row r="36" spans="1:9" ht="42">
      <c r="A36" s="33" t="s">
        <v>132</v>
      </c>
      <c r="B36" s="30" t="s">
        <v>39</v>
      </c>
      <c r="C36" s="183"/>
      <c r="E36" s="30" t="s">
        <v>41</v>
      </c>
      <c r="F36" s="30" t="s">
        <v>118</v>
      </c>
      <c r="G36" s="30" t="s">
        <v>48</v>
      </c>
      <c r="H36" s="31" t="s">
        <v>37</v>
      </c>
    </row>
    <row r="37" spans="1:9" ht="42">
      <c r="A37" s="33" t="s">
        <v>133</v>
      </c>
      <c r="B37" s="30" t="s">
        <v>39</v>
      </c>
      <c r="C37" s="183"/>
      <c r="E37" s="30" t="s">
        <v>41</v>
      </c>
      <c r="F37" s="30" t="s">
        <v>118</v>
      </c>
      <c r="G37" s="30" t="s">
        <v>48</v>
      </c>
      <c r="H37" s="31" t="s">
        <v>37</v>
      </c>
    </row>
    <row r="38" spans="1:9" ht="42">
      <c r="A38" s="33" t="s">
        <v>134</v>
      </c>
      <c r="B38" s="30" t="s">
        <v>39</v>
      </c>
      <c r="C38" s="183"/>
      <c r="E38" s="30" t="s">
        <v>41</v>
      </c>
      <c r="F38" s="30" t="s">
        <v>118</v>
      </c>
      <c r="G38" s="30" t="s">
        <v>48</v>
      </c>
      <c r="H38" s="31" t="s">
        <v>37</v>
      </c>
    </row>
    <row r="39" spans="1:9" ht="42">
      <c r="A39" s="33" t="s">
        <v>135</v>
      </c>
      <c r="B39" s="30" t="s">
        <v>39</v>
      </c>
      <c r="C39" s="183"/>
      <c r="E39" s="30" t="s">
        <v>41</v>
      </c>
      <c r="F39" s="30" t="s">
        <v>118</v>
      </c>
      <c r="G39" s="30" t="s">
        <v>48</v>
      </c>
      <c r="H39" s="31" t="s">
        <v>37</v>
      </c>
    </row>
    <row r="40" spans="1:9" ht="42">
      <c r="A40" s="33" t="s">
        <v>136</v>
      </c>
      <c r="B40" s="30" t="s">
        <v>39</v>
      </c>
      <c r="C40" s="183"/>
      <c r="E40" s="30" t="s">
        <v>41</v>
      </c>
      <c r="F40" s="30" t="s">
        <v>118</v>
      </c>
      <c r="G40" s="30" t="s">
        <v>48</v>
      </c>
      <c r="H40" s="31" t="s">
        <v>37</v>
      </c>
    </row>
    <row r="41" spans="1:9" ht="42">
      <c r="A41" s="33" t="s">
        <v>137</v>
      </c>
      <c r="B41" s="30" t="s">
        <v>39</v>
      </c>
      <c r="C41" s="183"/>
      <c r="E41" s="30" t="s">
        <v>41</v>
      </c>
      <c r="F41" s="30" t="s">
        <v>118</v>
      </c>
      <c r="G41" s="30" t="s">
        <v>48</v>
      </c>
      <c r="H41" s="31" t="s">
        <v>37</v>
      </c>
    </row>
    <row r="42" spans="1:9" ht="42">
      <c r="A42" s="33" t="s">
        <v>138</v>
      </c>
      <c r="B42" s="30" t="s">
        <v>39</v>
      </c>
      <c r="C42" s="183"/>
      <c r="E42" s="30" t="s">
        <v>41</v>
      </c>
      <c r="F42" s="30" t="s">
        <v>118</v>
      </c>
      <c r="G42" s="30" t="s">
        <v>48</v>
      </c>
      <c r="H42" s="31" t="s">
        <v>37</v>
      </c>
    </row>
    <row r="43" spans="1:9" ht="210">
      <c r="A43" s="33" t="s">
        <v>139</v>
      </c>
      <c r="B43" s="30" t="s">
        <v>140</v>
      </c>
      <c r="C43" s="30" t="s">
        <v>141</v>
      </c>
      <c r="D43" s="43" t="s">
        <v>142</v>
      </c>
      <c r="F43" s="30" t="s">
        <v>118</v>
      </c>
      <c r="G43" s="30" t="s">
        <v>48</v>
      </c>
      <c r="H43" s="31" t="s">
        <v>37</v>
      </c>
    </row>
    <row r="44" spans="1:9" ht="59">
      <c r="A44" s="38" t="s">
        <v>143</v>
      </c>
      <c r="B44" s="39" t="s">
        <v>144</v>
      </c>
      <c r="D44" s="30" t="s">
        <v>145</v>
      </c>
      <c r="E44" s="30" t="s">
        <v>146</v>
      </c>
      <c r="F44" s="30" t="s">
        <v>74</v>
      </c>
      <c r="G44" s="31" t="s">
        <v>75</v>
      </c>
      <c r="H44" s="31" t="s">
        <v>37</v>
      </c>
      <c r="I44" s="44"/>
    </row>
    <row r="45" spans="1:9" ht="56">
      <c r="A45" s="38" t="s">
        <v>147</v>
      </c>
      <c r="B45" s="39" t="s">
        <v>144</v>
      </c>
      <c r="D45" s="30" t="s">
        <v>148</v>
      </c>
      <c r="E45" s="30" t="s">
        <v>149</v>
      </c>
      <c r="F45" s="30" t="s">
        <v>63</v>
      </c>
      <c r="G45" s="31" t="s">
        <v>37</v>
      </c>
      <c r="H45" s="31" t="s">
        <v>37</v>
      </c>
    </row>
    <row r="46" spans="1:9" ht="28">
      <c r="A46" s="33" t="s">
        <v>150</v>
      </c>
      <c r="B46" s="30" t="s">
        <v>151</v>
      </c>
      <c r="C46" s="30" t="s">
        <v>152</v>
      </c>
      <c r="E46" s="30" t="s">
        <v>41</v>
      </c>
    </row>
    <row r="47" spans="1:9" ht="14">
      <c r="C47" s="39"/>
      <c r="E47" s="35"/>
      <c r="G47" s="30"/>
      <c r="H47" s="30"/>
    </row>
  </sheetData>
  <mergeCells count="2">
    <mergeCell ref="A1:E1"/>
    <mergeCell ref="C24:C4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168</v>
      </c>
      <c r="B1" t="s">
        <v>169</v>
      </c>
      <c r="C1" t="s">
        <v>170</v>
      </c>
      <c r="D1" t="s">
        <v>171</v>
      </c>
      <c r="E1" t="s">
        <v>172</v>
      </c>
      <c r="F1" t="s">
        <v>173</v>
      </c>
      <c r="G1" t="s">
        <v>174</v>
      </c>
      <c r="H1" t="s">
        <v>175</v>
      </c>
      <c r="I1" t="s">
        <v>176</v>
      </c>
      <c r="J1" t="s">
        <v>177</v>
      </c>
      <c r="K1" t="s">
        <v>178</v>
      </c>
      <c r="L1" t="s">
        <v>179</v>
      </c>
      <c r="M1" t="s">
        <v>180</v>
      </c>
    </row>
    <row r="2" spans="1:13">
      <c r="A2" t="s">
        <v>14</v>
      </c>
      <c r="B2" t="s">
        <v>16</v>
      </c>
      <c r="C2" t="s">
        <v>181</v>
      </c>
      <c r="D2" t="s">
        <v>182</v>
      </c>
      <c r="E2" t="s">
        <v>183</v>
      </c>
      <c r="F2" t="s">
        <v>184</v>
      </c>
      <c r="G2" t="s">
        <v>185</v>
      </c>
      <c r="H2" t="s">
        <v>184</v>
      </c>
      <c r="I2" t="s">
        <v>186</v>
      </c>
      <c r="J2" t="s">
        <v>187</v>
      </c>
      <c r="K2" t="s">
        <v>188</v>
      </c>
      <c r="L2" t="s">
        <v>189</v>
      </c>
      <c r="M2" t="s">
        <v>190</v>
      </c>
    </row>
    <row r="3" spans="1:13">
      <c r="A3" t="s">
        <v>14</v>
      </c>
      <c r="B3" t="s">
        <v>191</v>
      </c>
      <c r="C3" t="s">
        <v>192</v>
      </c>
      <c r="D3" t="s">
        <v>191</v>
      </c>
      <c r="E3" t="s">
        <v>193</v>
      </c>
      <c r="F3" t="s">
        <v>194</v>
      </c>
      <c r="G3" t="s">
        <v>185</v>
      </c>
      <c r="H3" t="s">
        <v>184</v>
      </c>
      <c r="I3" t="s">
        <v>186</v>
      </c>
      <c r="J3" t="s">
        <v>193</v>
      </c>
      <c r="K3" t="s">
        <v>195</v>
      </c>
      <c r="L3" t="s">
        <v>196</v>
      </c>
      <c r="M3" t="s">
        <v>184</v>
      </c>
    </row>
    <row r="4" spans="1:13">
      <c r="A4" t="s">
        <v>14</v>
      </c>
      <c r="B4" t="s">
        <v>197</v>
      </c>
      <c r="C4" t="s">
        <v>198</v>
      </c>
      <c r="D4" t="s">
        <v>197</v>
      </c>
      <c r="E4" t="s">
        <v>199</v>
      </c>
      <c r="F4" t="s">
        <v>200</v>
      </c>
      <c r="G4" t="s">
        <v>185</v>
      </c>
      <c r="H4" t="s">
        <v>184</v>
      </c>
      <c r="I4" t="s">
        <v>201</v>
      </c>
      <c r="J4" t="s">
        <v>202</v>
      </c>
      <c r="K4" t="s">
        <v>203</v>
      </c>
      <c r="L4" t="s">
        <v>204</v>
      </c>
      <c r="M4" t="s">
        <v>184</v>
      </c>
    </row>
    <row r="5" spans="1:13">
      <c r="A5" t="s">
        <v>14</v>
      </c>
      <c r="B5" t="s">
        <v>205</v>
      </c>
      <c r="C5" t="s">
        <v>206</v>
      </c>
      <c r="D5" t="s">
        <v>207</v>
      </c>
      <c r="E5" t="s">
        <v>208</v>
      </c>
      <c r="F5" t="s">
        <v>184</v>
      </c>
      <c r="G5" t="s">
        <v>209</v>
      </c>
      <c r="H5" t="s">
        <v>184</v>
      </c>
      <c r="I5" t="s">
        <v>186</v>
      </c>
      <c r="J5" t="s">
        <v>210</v>
      </c>
      <c r="K5" t="s">
        <v>211</v>
      </c>
      <c r="L5" t="s">
        <v>212</v>
      </c>
      <c r="M5" t="s">
        <v>213</v>
      </c>
    </row>
    <row r="6" spans="1:13">
      <c r="A6" t="s">
        <v>14</v>
      </c>
      <c r="B6" t="s">
        <v>214</v>
      </c>
      <c r="C6" t="s">
        <v>215</v>
      </c>
      <c r="D6" t="s">
        <v>216</v>
      </c>
      <c r="E6" t="s">
        <v>217</v>
      </c>
      <c r="F6" t="s">
        <v>184</v>
      </c>
      <c r="G6" t="s">
        <v>209</v>
      </c>
      <c r="H6" t="s">
        <v>184</v>
      </c>
      <c r="I6" t="s">
        <v>201</v>
      </c>
      <c r="J6" t="s">
        <v>218</v>
      </c>
      <c r="K6" t="s">
        <v>219</v>
      </c>
      <c r="L6" t="s">
        <v>220</v>
      </c>
      <c r="M6" t="s">
        <v>213</v>
      </c>
    </row>
    <row r="7" spans="1:13">
      <c r="A7" t="s">
        <v>14</v>
      </c>
      <c r="B7" t="s">
        <v>221</v>
      </c>
      <c r="C7" t="s">
        <v>222</v>
      </c>
      <c r="D7" t="s">
        <v>223</v>
      </c>
      <c r="E7" t="s">
        <v>224</v>
      </c>
      <c r="F7" t="s">
        <v>184</v>
      </c>
      <c r="G7" t="s">
        <v>185</v>
      </c>
      <c r="H7" t="s">
        <v>184</v>
      </c>
      <c r="I7" t="s">
        <v>186</v>
      </c>
      <c r="J7" t="s">
        <v>225</v>
      </c>
      <c r="K7" t="s">
        <v>226</v>
      </c>
      <c r="L7" t="s">
        <v>227</v>
      </c>
      <c r="M7" t="s">
        <v>184</v>
      </c>
    </row>
    <row r="8" spans="1:13">
      <c r="A8" t="s">
        <v>14</v>
      </c>
      <c r="B8" t="s">
        <v>228</v>
      </c>
      <c r="C8" t="s">
        <v>229</v>
      </c>
      <c r="D8" t="s">
        <v>230</v>
      </c>
      <c r="E8" t="s">
        <v>231</v>
      </c>
      <c r="F8" t="s">
        <v>184</v>
      </c>
      <c r="G8" t="s">
        <v>185</v>
      </c>
      <c r="H8" t="s">
        <v>184</v>
      </c>
      <c r="I8" t="s">
        <v>186</v>
      </c>
      <c r="J8" t="s">
        <v>232</v>
      </c>
      <c r="K8" t="s">
        <v>233</v>
      </c>
      <c r="L8" t="s">
        <v>234</v>
      </c>
      <c r="M8" t="s">
        <v>184</v>
      </c>
    </row>
    <row r="9" spans="1:13">
      <c r="A9" t="s">
        <v>14</v>
      </c>
      <c r="B9" t="s">
        <v>235</v>
      </c>
      <c r="C9" t="s">
        <v>236</v>
      </c>
      <c r="D9" t="s">
        <v>237</v>
      </c>
      <c r="E9" t="s">
        <v>238</v>
      </c>
      <c r="F9" t="s">
        <v>239</v>
      </c>
      <c r="G9" t="s">
        <v>185</v>
      </c>
      <c r="H9" t="s">
        <v>184</v>
      </c>
      <c r="I9" t="s">
        <v>240</v>
      </c>
      <c r="J9" t="s">
        <v>241</v>
      </c>
      <c r="K9" t="s">
        <v>242</v>
      </c>
      <c r="L9" t="s">
        <v>243</v>
      </c>
      <c r="M9" t="s">
        <v>184</v>
      </c>
    </row>
    <row r="10" spans="1:13">
      <c r="A10" t="s">
        <v>14</v>
      </c>
      <c r="B10" t="s">
        <v>244</v>
      </c>
      <c r="C10" t="s">
        <v>245</v>
      </c>
      <c r="D10" t="s">
        <v>246</v>
      </c>
      <c r="E10" t="s">
        <v>247</v>
      </c>
      <c r="F10" t="s">
        <v>184</v>
      </c>
      <c r="G10" t="s">
        <v>209</v>
      </c>
      <c r="I10" t="s">
        <v>186</v>
      </c>
      <c r="J10" t="s">
        <v>248</v>
      </c>
      <c r="K10" t="s">
        <v>249</v>
      </c>
      <c r="L10" t="s">
        <v>250</v>
      </c>
      <c r="M10" t="s">
        <v>184</v>
      </c>
    </row>
    <row r="11" spans="1:13">
      <c r="A11" t="s">
        <v>14</v>
      </c>
      <c r="B11" t="s">
        <v>251</v>
      </c>
      <c r="C11" t="s">
        <v>252</v>
      </c>
      <c r="D11" t="s">
        <v>253</v>
      </c>
      <c r="E11" t="s">
        <v>254</v>
      </c>
      <c r="F11" t="s">
        <v>255</v>
      </c>
      <c r="G11" t="s">
        <v>185</v>
      </c>
      <c r="H11" t="s">
        <v>184</v>
      </c>
      <c r="I11" t="s">
        <v>186</v>
      </c>
      <c r="J11" t="s">
        <v>256</v>
      </c>
      <c r="K11" t="s">
        <v>257</v>
      </c>
      <c r="L11" t="s">
        <v>258</v>
      </c>
      <c r="M11" t="s">
        <v>184</v>
      </c>
    </row>
    <row r="12" spans="1:13">
      <c r="A12" t="s">
        <v>259</v>
      </c>
      <c r="B12" t="s">
        <v>209</v>
      </c>
      <c r="C12" t="s">
        <v>260</v>
      </c>
      <c r="D12" t="s">
        <v>209</v>
      </c>
      <c r="E12" t="s">
        <v>261</v>
      </c>
      <c r="F12" t="s">
        <v>184</v>
      </c>
      <c r="G12" t="s">
        <v>209</v>
      </c>
      <c r="H12" t="s">
        <v>184</v>
      </c>
      <c r="I12" t="s">
        <v>186</v>
      </c>
      <c r="J12" t="s">
        <v>261</v>
      </c>
      <c r="K12" t="s">
        <v>262</v>
      </c>
      <c r="L12" t="s">
        <v>263</v>
      </c>
      <c r="M12" t="s">
        <v>184</v>
      </c>
    </row>
    <row r="13" spans="1:13">
      <c r="A13" t="s">
        <v>259</v>
      </c>
      <c r="B13" t="s">
        <v>264</v>
      </c>
      <c r="C13" t="s">
        <v>265</v>
      </c>
      <c r="D13" t="s">
        <v>266</v>
      </c>
      <c r="E13" t="s">
        <v>267</v>
      </c>
      <c r="F13" t="s">
        <v>268</v>
      </c>
      <c r="G13" t="s">
        <v>185</v>
      </c>
      <c r="H13" t="s">
        <v>184</v>
      </c>
      <c r="I13" t="s">
        <v>186</v>
      </c>
      <c r="J13" t="s">
        <v>267</v>
      </c>
      <c r="K13" t="s">
        <v>269</v>
      </c>
      <c r="L13" t="s">
        <v>270</v>
      </c>
      <c r="M13" t="s">
        <v>184</v>
      </c>
    </row>
    <row r="14" spans="1:13">
      <c r="A14" t="s">
        <v>271</v>
      </c>
      <c r="B14" t="s">
        <v>272</v>
      </c>
      <c r="C14" t="s">
        <v>273</v>
      </c>
      <c r="D14" t="s">
        <v>274</v>
      </c>
      <c r="E14" t="s">
        <v>275</v>
      </c>
      <c r="F14" t="s">
        <v>276</v>
      </c>
      <c r="G14" t="s">
        <v>185</v>
      </c>
      <c r="H14" t="s">
        <v>184</v>
      </c>
      <c r="I14" t="s">
        <v>277</v>
      </c>
      <c r="J14" t="s">
        <v>278</v>
      </c>
      <c r="K14" t="s">
        <v>279</v>
      </c>
      <c r="L14" t="s">
        <v>280</v>
      </c>
      <c r="M14" t="s">
        <v>281</v>
      </c>
    </row>
    <row r="15" spans="1:13">
      <c r="A15" t="s">
        <v>271</v>
      </c>
      <c r="B15" t="s">
        <v>282</v>
      </c>
      <c r="C15" t="s">
        <v>283</v>
      </c>
      <c r="D15" t="s">
        <v>284</v>
      </c>
      <c r="E15" t="s">
        <v>209</v>
      </c>
      <c r="F15" t="s">
        <v>184</v>
      </c>
      <c r="G15" t="s">
        <v>209</v>
      </c>
      <c r="H15" t="s">
        <v>184</v>
      </c>
      <c r="I15" t="s">
        <v>277</v>
      </c>
      <c r="J15" t="s">
        <v>285</v>
      </c>
      <c r="K15" t="s">
        <v>286</v>
      </c>
      <c r="L15" t="s">
        <v>287</v>
      </c>
      <c r="M15" t="s">
        <v>184</v>
      </c>
    </row>
    <row r="16" spans="1:13">
      <c r="A16" t="s">
        <v>271</v>
      </c>
      <c r="B16" t="s">
        <v>288</v>
      </c>
      <c r="C16" t="s">
        <v>289</v>
      </c>
      <c r="D16" t="s">
        <v>290</v>
      </c>
      <c r="E16" t="s">
        <v>291</v>
      </c>
      <c r="F16" t="s">
        <v>184</v>
      </c>
      <c r="G16" t="s">
        <v>209</v>
      </c>
      <c r="H16" t="s">
        <v>184</v>
      </c>
      <c r="I16" t="s">
        <v>201</v>
      </c>
      <c r="J16" t="s">
        <v>292</v>
      </c>
      <c r="K16" t="s">
        <v>293</v>
      </c>
      <c r="L16" t="s">
        <v>294</v>
      </c>
      <c r="M16" t="s">
        <v>184</v>
      </c>
    </row>
    <row r="17" spans="1:13">
      <c r="A17" t="s">
        <v>295</v>
      </c>
      <c r="B17" t="s">
        <v>296</v>
      </c>
      <c r="C17" t="s">
        <v>297</v>
      </c>
      <c r="D17" t="s">
        <v>298</v>
      </c>
      <c r="E17" t="s">
        <v>299</v>
      </c>
      <c r="F17" t="s">
        <v>300</v>
      </c>
      <c r="G17" t="s">
        <v>185</v>
      </c>
      <c r="H17" t="s">
        <v>184</v>
      </c>
      <c r="I17" t="s">
        <v>277</v>
      </c>
      <c r="J17" t="s">
        <v>301</v>
      </c>
      <c r="K17" t="s">
        <v>302</v>
      </c>
      <c r="L17" t="s">
        <v>303</v>
      </c>
      <c r="M17" t="s">
        <v>184</v>
      </c>
    </row>
    <row r="18" spans="1:13">
      <c r="A18" t="s">
        <v>295</v>
      </c>
      <c r="B18" t="s">
        <v>304</v>
      </c>
      <c r="C18" t="s">
        <v>305</v>
      </c>
      <c r="D18" t="s">
        <v>304</v>
      </c>
      <c r="E18" t="s">
        <v>304</v>
      </c>
      <c r="F18" t="s">
        <v>306</v>
      </c>
      <c r="G18" t="s">
        <v>185</v>
      </c>
      <c r="H18" t="s">
        <v>184</v>
      </c>
      <c r="I18" t="s">
        <v>277</v>
      </c>
      <c r="J18" t="s">
        <v>307</v>
      </c>
      <c r="K18" t="s">
        <v>308</v>
      </c>
      <c r="L18" t="s">
        <v>309</v>
      </c>
      <c r="M18" t="s">
        <v>184</v>
      </c>
    </row>
    <row r="19" spans="1:13">
      <c r="A19" t="s">
        <v>310</v>
      </c>
      <c r="B19" t="s">
        <v>311</v>
      </c>
      <c r="C19" t="s">
        <v>312</v>
      </c>
      <c r="D19" t="s">
        <v>311</v>
      </c>
      <c r="E19" t="s">
        <v>313</v>
      </c>
      <c r="F19" t="s">
        <v>314</v>
      </c>
      <c r="G19" t="s">
        <v>185</v>
      </c>
      <c r="H19" t="s">
        <v>184</v>
      </c>
      <c r="I19" t="s">
        <v>186</v>
      </c>
      <c r="J19" t="s">
        <v>315</v>
      </c>
      <c r="K19" t="s">
        <v>316</v>
      </c>
      <c r="L19" t="s">
        <v>317</v>
      </c>
      <c r="M19" t="s">
        <v>184</v>
      </c>
    </row>
    <row r="20" spans="1:13">
      <c r="A20" t="s">
        <v>310</v>
      </c>
      <c r="B20" t="s">
        <v>318</v>
      </c>
      <c r="C20" t="s">
        <v>319</v>
      </c>
      <c r="D20" t="s">
        <v>320</v>
      </c>
      <c r="E20" t="s">
        <v>321</v>
      </c>
      <c r="F20" t="s">
        <v>184</v>
      </c>
      <c r="G20" t="s">
        <v>209</v>
      </c>
      <c r="H20" t="s">
        <v>184</v>
      </c>
      <c r="I20" t="s">
        <v>186</v>
      </c>
      <c r="J20" t="s">
        <v>322</v>
      </c>
      <c r="K20" t="s">
        <v>323</v>
      </c>
      <c r="L20" t="s">
        <v>324</v>
      </c>
      <c r="M20" t="s">
        <v>184</v>
      </c>
    </row>
    <row r="21" spans="1:13">
      <c r="A21" t="s">
        <v>310</v>
      </c>
      <c r="B21" t="s">
        <v>325</v>
      </c>
      <c r="C21" t="s">
        <v>326</v>
      </c>
      <c r="D21" t="s">
        <v>327</v>
      </c>
      <c r="E21" t="s">
        <v>328</v>
      </c>
      <c r="F21" t="s">
        <v>184</v>
      </c>
      <c r="G21" t="s">
        <v>209</v>
      </c>
      <c r="H21" t="s">
        <v>184</v>
      </c>
      <c r="I21" t="s">
        <v>201</v>
      </c>
      <c r="J21" t="s">
        <v>329</v>
      </c>
      <c r="K21" t="s">
        <v>330</v>
      </c>
      <c r="L21" t="s">
        <v>331</v>
      </c>
      <c r="M21" t="s">
        <v>184</v>
      </c>
    </row>
    <row r="22" spans="1:13">
      <c r="A22" t="s">
        <v>310</v>
      </c>
      <c r="B22" t="s">
        <v>332</v>
      </c>
      <c r="C22" t="s">
        <v>333</v>
      </c>
      <c r="D22" t="s">
        <v>334</v>
      </c>
      <c r="E22" t="s">
        <v>335</v>
      </c>
      <c r="F22" t="s">
        <v>336</v>
      </c>
      <c r="G22" t="s">
        <v>185</v>
      </c>
      <c r="H22" t="s">
        <v>184</v>
      </c>
      <c r="I22" t="s">
        <v>201</v>
      </c>
      <c r="J22" t="s">
        <v>337</v>
      </c>
      <c r="K22" t="s">
        <v>338</v>
      </c>
      <c r="L22" t="s">
        <v>339</v>
      </c>
      <c r="M22" t="s">
        <v>184</v>
      </c>
    </row>
    <row r="23" spans="1:13">
      <c r="A23" t="s">
        <v>310</v>
      </c>
      <c r="B23" t="s">
        <v>340</v>
      </c>
      <c r="C23" t="s">
        <v>341</v>
      </c>
      <c r="D23" t="s">
        <v>342</v>
      </c>
      <c r="E23" t="s">
        <v>343</v>
      </c>
      <c r="F23" t="s">
        <v>184</v>
      </c>
      <c r="G23" t="s">
        <v>344</v>
      </c>
      <c r="H23" t="s">
        <v>184</v>
      </c>
      <c r="I23" t="s">
        <v>201</v>
      </c>
      <c r="J23" t="s">
        <v>345</v>
      </c>
      <c r="K23" t="s">
        <v>346</v>
      </c>
      <c r="L23" t="s">
        <v>347</v>
      </c>
      <c r="M23" t="s">
        <v>184</v>
      </c>
    </row>
    <row r="24" spans="1:13">
      <c r="A24" t="s">
        <v>310</v>
      </c>
      <c r="B24" t="s">
        <v>348</v>
      </c>
      <c r="C24" t="s">
        <v>349</v>
      </c>
      <c r="D24" t="s">
        <v>350</v>
      </c>
      <c r="E24" t="s">
        <v>348</v>
      </c>
      <c r="F24" t="s">
        <v>351</v>
      </c>
      <c r="G24" t="s">
        <v>185</v>
      </c>
      <c r="H24" t="s">
        <v>184</v>
      </c>
      <c r="I24" t="s">
        <v>352</v>
      </c>
      <c r="J24" t="s">
        <v>353</v>
      </c>
      <c r="K24" t="s">
        <v>354</v>
      </c>
      <c r="L24" t="s">
        <v>355</v>
      </c>
      <c r="M24" t="s">
        <v>184</v>
      </c>
    </row>
    <row r="25" spans="1:13">
      <c r="A25" t="s">
        <v>310</v>
      </c>
      <c r="B25" t="s">
        <v>356</v>
      </c>
      <c r="C25" t="s">
        <v>357</v>
      </c>
      <c r="D25" t="s">
        <v>358</v>
      </c>
      <c r="E25" t="s">
        <v>356</v>
      </c>
      <c r="F25" t="s">
        <v>359</v>
      </c>
      <c r="G25" t="s">
        <v>185</v>
      </c>
      <c r="H25" t="s">
        <v>184</v>
      </c>
      <c r="I25" t="s">
        <v>360</v>
      </c>
      <c r="J25" t="s">
        <v>361</v>
      </c>
      <c r="K25" t="s">
        <v>362</v>
      </c>
      <c r="L25" t="s">
        <v>363</v>
      </c>
      <c r="M25" t="s">
        <v>184</v>
      </c>
    </row>
    <row r="26" spans="1:13">
      <c r="A26" t="s">
        <v>310</v>
      </c>
      <c r="B26" t="s">
        <v>364</v>
      </c>
      <c r="C26" t="s">
        <v>365</v>
      </c>
      <c r="D26" t="s">
        <v>366</v>
      </c>
      <c r="E26" t="s">
        <v>364</v>
      </c>
      <c r="F26" t="s">
        <v>367</v>
      </c>
      <c r="G26" t="s">
        <v>185</v>
      </c>
      <c r="H26" t="s">
        <v>184</v>
      </c>
      <c r="I26" t="s">
        <v>368</v>
      </c>
      <c r="J26" t="s">
        <v>369</v>
      </c>
      <c r="K26" t="s">
        <v>370</v>
      </c>
      <c r="L26" t="s">
        <v>371</v>
      </c>
      <c r="M26" t="s">
        <v>184</v>
      </c>
    </row>
    <row r="27" spans="1:13">
      <c r="A27" t="s">
        <v>310</v>
      </c>
      <c r="B27" t="s">
        <v>372</v>
      </c>
      <c r="C27" t="s">
        <v>373</v>
      </c>
      <c r="D27" t="s">
        <v>374</v>
      </c>
      <c r="E27" t="s">
        <v>372</v>
      </c>
      <c r="F27" t="s">
        <v>375</v>
      </c>
      <c r="G27" t="s">
        <v>185</v>
      </c>
      <c r="H27" t="s">
        <v>184</v>
      </c>
      <c r="I27" t="s">
        <v>376</v>
      </c>
      <c r="J27" t="s">
        <v>377</v>
      </c>
      <c r="K27" t="s">
        <v>378</v>
      </c>
      <c r="L27" t="s">
        <v>379</v>
      </c>
      <c r="M27" t="s">
        <v>184</v>
      </c>
    </row>
    <row r="28" spans="1:13">
      <c r="A28" t="s">
        <v>310</v>
      </c>
      <c r="B28" t="s">
        <v>282</v>
      </c>
      <c r="C28" t="s">
        <v>380</v>
      </c>
      <c r="D28" t="s">
        <v>284</v>
      </c>
      <c r="E28" t="s">
        <v>381</v>
      </c>
      <c r="F28" t="s">
        <v>184</v>
      </c>
      <c r="G28" t="s">
        <v>209</v>
      </c>
      <c r="H28" t="s">
        <v>184</v>
      </c>
      <c r="I28" t="s">
        <v>186</v>
      </c>
      <c r="J28" t="s">
        <v>382</v>
      </c>
      <c r="K28" t="s">
        <v>383</v>
      </c>
      <c r="L28" t="s">
        <v>384</v>
      </c>
      <c r="M28" t="s">
        <v>184</v>
      </c>
    </row>
    <row r="29" spans="1:13">
      <c r="A29" t="s">
        <v>310</v>
      </c>
      <c r="B29" t="s">
        <v>296</v>
      </c>
      <c r="C29" t="s">
        <v>385</v>
      </c>
      <c r="D29" t="s">
        <v>298</v>
      </c>
      <c r="E29" t="s">
        <v>299</v>
      </c>
      <c r="F29" t="s">
        <v>300</v>
      </c>
      <c r="G29" t="s">
        <v>185</v>
      </c>
      <c r="H29" t="s">
        <v>184</v>
      </c>
      <c r="I29" t="s">
        <v>186</v>
      </c>
      <c r="J29" t="s">
        <v>386</v>
      </c>
      <c r="K29" t="s">
        <v>387</v>
      </c>
      <c r="L29" t="s">
        <v>388</v>
      </c>
      <c r="M29" t="s">
        <v>184</v>
      </c>
    </row>
    <row r="30" spans="1:13">
      <c r="A30" t="s">
        <v>310</v>
      </c>
      <c r="B30" t="s">
        <v>389</v>
      </c>
      <c r="C30" t="s">
        <v>390</v>
      </c>
      <c r="D30" t="s">
        <v>391</v>
      </c>
      <c r="E30" t="s">
        <v>392</v>
      </c>
      <c r="F30" t="s">
        <v>393</v>
      </c>
      <c r="G30" t="s">
        <v>185</v>
      </c>
      <c r="H30" t="s">
        <v>184</v>
      </c>
      <c r="I30" t="s">
        <v>186</v>
      </c>
      <c r="J30" t="s">
        <v>394</v>
      </c>
      <c r="K30" t="s">
        <v>395</v>
      </c>
      <c r="L30" t="s">
        <v>396</v>
      </c>
      <c r="M30" t="s">
        <v>184</v>
      </c>
    </row>
    <row r="31" spans="1:13">
      <c r="A31" t="s">
        <v>310</v>
      </c>
      <c r="B31" t="s">
        <v>397</v>
      </c>
      <c r="C31" t="s">
        <v>398</v>
      </c>
      <c r="D31" t="s">
        <v>397</v>
      </c>
      <c r="E31" t="s">
        <v>399</v>
      </c>
      <c r="F31" t="s">
        <v>400</v>
      </c>
      <c r="G31" t="s">
        <v>185</v>
      </c>
      <c r="H31" t="s">
        <v>184</v>
      </c>
      <c r="I31" t="s">
        <v>201</v>
      </c>
      <c r="J31" t="s">
        <v>401</v>
      </c>
      <c r="K31" t="s">
        <v>402</v>
      </c>
      <c r="L31" t="s">
        <v>403</v>
      </c>
      <c r="M31" t="s">
        <v>184</v>
      </c>
    </row>
    <row r="32" spans="1:13">
      <c r="A32" t="s">
        <v>404</v>
      </c>
      <c r="B32" t="s">
        <v>405</v>
      </c>
      <c r="C32" t="s">
        <v>406</v>
      </c>
      <c r="D32" t="s">
        <v>405</v>
      </c>
      <c r="E32" t="s">
        <v>405</v>
      </c>
      <c r="F32" t="s">
        <v>407</v>
      </c>
      <c r="G32" t="s">
        <v>185</v>
      </c>
      <c r="H32" t="s">
        <v>184</v>
      </c>
      <c r="I32" t="s">
        <v>408</v>
      </c>
      <c r="J32" t="s">
        <v>409</v>
      </c>
      <c r="K32" t="s">
        <v>410</v>
      </c>
      <c r="L32" t="s">
        <v>411</v>
      </c>
      <c r="M32" t="s">
        <v>184</v>
      </c>
    </row>
    <row r="33" spans="1:13">
      <c r="A33" t="s">
        <v>404</v>
      </c>
      <c r="B33" t="s">
        <v>412</v>
      </c>
      <c r="C33" t="s">
        <v>413</v>
      </c>
      <c r="D33" t="s">
        <v>412</v>
      </c>
      <c r="E33" t="s">
        <v>412</v>
      </c>
      <c r="F33" t="s">
        <v>414</v>
      </c>
      <c r="G33" t="s">
        <v>185</v>
      </c>
      <c r="H33" t="s">
        <v>184</v>
      </c>
      <c r="I33" t="s">
        <v>415</v>
      </c>
      <c r="J33" t="s">
        <v>416</v>
      </c>
      <c r="K33" t="s">
        <v>417</v>
      </c>
      <c r="L33" t="s">
        <v>418</v>
      </c>
      <c r="M33" t="s">
        <v>184</v>
      </c>
    </row>
    <row r="34" spans="1:13">
      <c r="A34" t="s">
        <v>404</v>
      </c>
      <c r="B34" t="s">
        <v>419</v>
      </c>
      <c r="C34" t="s">
        <v>420</v>
      </c>
      <c r="D34" t="s">
        <v>419</v>
      </c>
      <c r="E34" t="s">
        <v>419</v>
      </c>
      <c r="F34" t="s">
        <v>421</v>
      </c>
      <c r="G34" t="s">
        <v>185</v>
      </c>
      <c r="H34" t="s">
        <v>184</v>
      </c>
      <c r="I34" t="s">
        <v>422</v>
      </c>
      <c r="J34" t="s">
        <v>423</v>
      </c>
      <c r="K34" t="s">
        <v>424</v>
      </c>
      <c r="L34" t="s">
        <v>425</v>
      </c>
      <c r="M34" t="s">
        <v>184</v>
      </c>
    </row>
    <row r="35" spans="1:13">
      <c r="A35" t="s">
        <v>404</v>
      </c>
      <c r="B35" t="s">
        <v>426</v>
      </c>
      <c r="C35" t="s">
        <v>427</v>
      </c>
      <c r="D35" t="s">
        <v>428</v>
      </c>
      <c r="E35" t="s">
        <v>429</v>
      </c>
      <c r="F35" t="s">
        <v>430</v>
      </c>
      <c r="G35" t="s">
        <v>185</v>
      </c>
      <c r="H35" t="s">
        <v>184</v>
      </c>
      <c r="I35" t="s">
        <v>201</v>
      </c>
      <c r="J35" t="s">
        <v>431</v>
      </c>
      <c r="K35" t="s">
        <v>432</v>
      </c>
      <c r="L35" t="s">
        <v>433</v>
      </c>
      <c r="M35" t="s">
        <v>184</v>
      </c>
    </row>
    <row r="36" spans="1:13">
      <c r="A36" t="s">
        <v>404</v>
      </c>
      <c r="B36" t="s">
        <v>311</v>
      </c>
      <c r="C36" t="s">
        <v>434</v>
      </c>
      <c r="D36" t="s">
        <v>435</v>
      </c>
      <c r="E36" t="s">
        <v>436</v>
      </c>
      <c r="F36" t="s">
        <v>437</v>
      </c>
      <c r="G36" t="s">
        <v>185</v>
      </c>
      <c r="H36" t="s">
        <v>184</v>
      </c>
      <c r="I36" t="s">
        <v>438</v>
      </c>
      <c r="J36" t="s">
        <v>439</v>
      </c>
      <c r="K36" t="s">
        <v>439</v>
      </c>
      <c r="L36" t="s">
        <v>440</v>
      </c>
      <c r="M36" t="s">
        <v>184</v>
      </c>
    </row>
    <row r="37" spans="1:13">
      <c r="A37" t="s">
        <v>441</v>
      </c>
      <c r="B37" t="s">
        <v>275</v>
      </c>
      <c r="C37" t="s">
        <v>442</v>
      </c>
      <c r="D37" t="s">
        <v>275</v>
      </c>
      <c r="E37" t="s">
        <v>443</v>
      </c>
      <c r="F37" t="s">
        <v>184</v>
      </c>
      <c r="G37" t="s">
        <v>185</v>
      </c>
      <c r="H37" t="s">
        <v>184</v>
      </c>
      <c r="I37" t="s">
        <v>201</v>
      </c>
      <c r="J37" t="s">
        <v>444</v>
      </c>
      <c r="K37" t="s">
        <v>445</v>
      </c>
      <c r="L37" t="s">
        <v>446</v>
      </c>
      <c r="M37" t="s">
        <v>184</v>
      </c>
    </row>
    <row r="38" spans="1:13">
      <c r="A38" t="s">
        <v>441</v>
      </c>
      <c r="B38" t="s">
        <v>311</v>
      </c>
      <c r="C38" t="s">
        <v>447</v>
      </c>
      <c r="D38" t="s">
        <v>311</v>
      </c>
      <c r="E38" t="s">
        <v>448</v>
      </c>
      <c r="F38" t="s">
        <v>449</v>
      </c>
      <c r="G38" t="s">
        <v>185</v>
      </c>
      <c r="H38" t="s">
        <v>184</v>
      </c>
      <c r="I38" t="s">
        <v>277</v>
      </c>
      <c r="J38" t="s">
        <v>448</v>
      </c>
      <c r="K38" t="s">
        <v>450</v>
      </c>
      <c r="L38" t="s">
        <v>451</v>
      </c>
      <c r="M38" t="s">
        <v>184</v>
      </c>
    </row>
    <row r="39" spans="1:13">
      <c r="A39" t="s">
        <v>441</v>
      </c>
      <c r="B39" t="s">
        <v>209</v>
      </c>
      <c r="C39" t="s">
        <v>452</v>
      </c>
      <c r="D39" t="s">
        <v>209</v>
      </c>
      <c r="E39" t="s">
        <v>453</v>
      </c>
      <c r="F39" t="s">
        <v>184</v>
      </c>
      <c r="G39" t="s">
        <v>209</v>
      </c>
      <c r="H39" t="s">
        <v>184</v>
      </c>
      <c r="I39" t="s">
        <v>277</v>
      </c>
      <c r="J39" t="s">
        <v>453</v>
      </c>
      <c r="K39" t="s">
        <v>454</v>
      </c>
      <c r="L39" t="s">
        <v>455</v>
      </c>
      <c r="M39" t="s">
        <v>184</v>
      </c>
    </row>
    <row r="40" spans="1:13">
      <c r="A40" t="s">
        <v>456</v>
      </c>
      <c r="B40" t="s">
        <v>209</v>
      </c>
      <c r="C40" t="s">
        <v>457</v>
      </c>
      <c r="D40" t="s">
        <v>209</v>
      </c>
      <c r="E40" t="s">
        <v>458</v>
      </c>
      <c r="F40" t="s">
        <v>184</v>
      </c>
      <c r="G40" t="s">
        <v>209</v>
      </c>
      <c r="H40" t="s">
        <v>184</v>
      </c>
      <c r="I40" t="s">
        <v>277</v>
      </c>
      <c r="J40" t="s">
        <v>459</v>
      </c>
      <c r="K40" t="s">
        <v>460</v>
      </c>
      <c r="L40" t="s">
        <v>461</v>
      </c>
      <c r="M40" t="s">
        <v>184</v>
      </c>
    </row>
    <row r="41" spans="1:13">
      <c r="A41" t="s">
        <v>456</v>
      </c>
      <c r="B41" t="s">
        <v>462</v>
      </c>
      <c r="C41" t="s">
        <v>463</v>
      </c>
      <c r="D41" t="s">
        <v>462</v>
      </c>
      <c r="E41" t="s">
        <v>464</v>
      </c>
      <c r="F41" t="s">
        <v>465</v>
      </c>
      <c r="G41" t="s">
        <v>185</v>
      </c>
      <c r="H41" t="s">
        <v>184</v>
      </c>
      <c r="I41" t="s">
        <v>277</v>
      </c>
      <c r="J41" t="s">
        <v>466</v>
      </c>
      <c r="K41" t="s">
        <v>467</v>
      </c>
      <c r="L41" t="s">
        <v>468</v>
      </c>
      <c r="M41" t="s">
        <v>184</v>
      </c>
    </row>
    <row r="42" spans="1:13">
      <c r="A42" t="s">
        <v>469</v>
      </c>
      <c r="B42" t="s">
        <v>275</v>
      </c>
      <c r="C42" t="s">
        <v>470</v>
      </c>
      <c r="D42" t="s">
        <v>275</v>
      </c>
      <c r="E42" t="s">
        <v>471</v>
      </c>
      <c r="F42" t="s">
        <v>472</v>
      </c>
      <c r="G42" t="s">
        <v>185</v>
      </c>
      <c r="H42" t="s">
        <v>184</v>
      </c>
      <c r="I42" t="s">
        <v>277</v>
      </c>
      <c r="J42" t="s">
        <v>473</v>
      </c>
      <c r="K42" t="s">
        <v>474</v>
      </c>
      <c r="L42" t="s">
        <v>475</v>
      </c>
      <c r="M42" t="s">
        <v>184</v>
      </c>
    </row>
    <row r="43" spans="1:13">
      <c r="A43" t="s">
        <v>469</v>
      </c>
      <c r="B43" t="s">
        <v>476</v>
      </c>
      <c r="C43" t="s">
        <v>477</v>
      </c>
      <c r="D43" t="s">
        <v>476</v>
      </c>
      <c r="E43" t="s">
        <v>478</v>
      </c>
      <c r="F43" t="s">
        <v>184</v>
      </c>
      <c r="G43" t="s">
        <v>185</v>
      </c>
      <c r="H43" t="s">
        <v>184</v>
      </c>
      <c r="I43" t="s">
        <v>277</v>
      </c>
      <c r="J43" t="s">
        <v>479</v>
      </c>
      <c r="K43" t="s">
        <v>480</v>
      </c>
      <c r="L43" t="s">
        <v>481</v>
      </c>
      <c r="M43" t="s">
        <v>184</v>
      </c>
    </row>
    <row r="44" spans="1:13">
      <c r="A44" t="s">
        <v>469</v>
      </c>
      <c r="B44" t="s">
        <v>482</v>
      </c>
      <c r="C44" t="s">
        <v>483</v>
      </c>
      <c r="D44" t="s">
        <v>482</v>
      </c>
      <c r="E44" t="s">
        <v>484</v>
      </c>
      <c r="F44" t="s">
        <v>184</v>
      </c>
      <c r="G44" t="s">
        <v>185</v>
      </c>
      <c r="H44" t="s">
        <v>184</v>
      </c>
      <c r="I44" t="s">
        <v>201</v>
      </c>
      <c r="J44" t="s">
        <v>485</v>
      </c>
      <c r="K44" t="s">
        <v>486</v>
      </c>
      <c r="L44" t="s">
        <v>487</v>
      </c>
      <c r="M44" t="s">
        <v>184</v>
      </c>
    </row>
    <row r="45" spans="1:13">
      <c r="A45" t="s">
        <v>488</v>
      </c>
      <c r="B45" t="s">
        <v>311</v>
      </c>
      <c r="C45" t="s">
        <v>489</v>
      </c>
      <c r="D45" t="s">
        <v>311</v>
      </c>
      <c r="E45" t="s">
        <v>490</v>
      </c>
      <c r="F45" t="s">
        <v>491</v>
      </c>
      <c r="G45" t="s">
        <v>185</v>
      </c>
      <c r="H45" t="s">
        <v>184</v>
      </c>
      <c r="I45" t="s">
        <v>277</v>
      </c>
      <c r="J45" t="s">
        <v>490</v>
      </c>
      <c r="K45" t="s">
        <v>492</v>
      </c>
      <c r="L45" t="s">
        <v>493</v>
      </c>
      <c r="M45" t="s">
        <v>184</v>
      </c>
    </row>
    <row r="46" spans="1:13">
      <c r="A46" t="s">
        <v>488</v>
      </c>
      <c r="B46" t="s">
        <v>494</v>
      </c>
      <c r="C46" t="s">
        <v>495</v>
      </c>
      <c r="D46" t="s">
        <v>496</v>
      </c>
      <c r="E46" t="s">
        <v>497</v>
      </c>
      <c r="F46" t="s">
        <v>184</v>
      </c>
      <c r="G46" t="s">
        <v>185</v>
      </c>
      <c r="H46" t="s">
        <v>184</v>
      </c>
      <c r="I46" t="s">
        <v>201</v>
      </c>
      <c r="J46" t="s">
        <v>498</v>
      </c>
      <c r="K46" t="s">
        <v>499</v>
      </c>
      <c r="L46" t="s">
        <v>500</v>
      </c>
      <c r="M46" t="s">
        <v>184</v>
      </c>
    </row>
    <row r="47" spans="1:13">
      <c r="A47" t="s">
        <v>488</v>
      </c>
      <c r="B47" t="s">
        <v>501</v>
      </c>
      <c r="C47" t="s">
        <v>502</v>
      </c>
      <c r="D47" t="s">
        <v>503</v>
      </c>
      <c r="E47" t="s">
        <v>504</v>
      </c>
      <c r="F47" t="s">
        <v>505</v>
      </c>
      <c r="G47" t="s">
        <v>185</v>
      </c>
      <c r="H47" t="s">
        <v>184</v>
      </c>
      <c r="I47" t="s">
        <v>201</v>
      </c>
      <c r="J47" t="s">
        <v>506</v>
      </c>
      <c r="K47" t="s">
        <v>507</v>
      </c>
      <c r="L47" t="s">
        <v>508</v>
      </c>
      <c r="M47" t="s">
        <v>184</v>
      </c>
    </row>
    <row r="48" spans="1:13">
      <c r="A48" t="s">
        <v>488</v>
      </c>
      <c r="B48" t="s">
        <v>318</v>
      </c>
      <c r="C48" t="s">
        <v>509</v>
      </c>
      <c r="D48" t="s">
        <v>320</v>
      </c>
      <c r="E48" t="s">
        <v>510</v>
      </c>
      <c r="F48" t="s">
        <v>184</v>
      </c>
      <c r="G48" t="s">
        <v>209</v>
      </c>
      <c r="H48" t="s">
        <v>184</v>
      </c>
      <c r="I48" t="s">
        <v>277</v>
      </c>
      <c r="J48" t="s">
        <v>511</v>
      </c>
      <c r="K48" t="s">
        <v>512</v>
      </c>
      <c r="L48" t="s">
        <v>513</v>
      </c>
      <c r="M48" t="s">
        <v>184</v>
      </c>
    </row>
    <row r="49" spans="1:13">
      <c r="A49" t="s">
        <v>488</v>
      </c>
      <c r="B49" t="s">
        <v>325</v>
      </c>
      <c r="C49" t="s">
        <v>514</v>
      </c>
      <c r="D49" t="s">
        <v>327</v>
      </c>
      <c r="E49" t="s">
        <v>291</v>
      </c>
      <c r="F49" t="s">
        <v>184</v>
      </c>
      <c r="G49" t="s">
        <v>209</v>
      </c>
      <c r="H49" t="s">
        <v>184</v>
      </c>
      <c r="I49" t="s">
        <v>277</v>
      </c>
      <c r="J49" t="s">
        <v>515</v>
      </c>
      <c r="K49" t="s">
        <v>516</v>
      </c>
      <c r="L49" t="s">
        <v>517</v>
      </c>
      <c r="M49" t="s">
        <v>184</v>
      </c>
    </row>
    <row r="50" spans="1:13">
      <c r="A50" t="s">
        <v>488</v>
      </c>
      <c r="B50" t="s">
        <v>518</v>
      </c>
      <c r="C50" t="s">
        <v>519</v>
      </c>
      <c r="D50" t="s">
        <v>520</v>
      </c>
      <c r="E50" t="s">
        <v>521</v>
      </c>
      <c r="F50" t="s">
        <v>268</v>
      </c>
      <c r="G50" t="s">
        <v>185</v>
      </c>
      <c r="H50" t="s">
        <v>184</v>
      </c>
      <c r="I50" t="s">
        <v>201</v>
      </c>
      <c r="J50" t="s">
        <v>522</v>
      </c>
      <c r="K50" t="s">
        <v>523</v>
      </c>
      <c r="L50" t="s">
        <v>524</v>
      </c>
      <c r="M50" t="s">
        <v>184</v>
      </c>
    </row>
    <row r="51" spans="1:13">
      <c r="A51" t="s">
        <v>488</v>
      </c>
      <c r="B51" t="s">
        <v>525</v>
      </c>
      <c r="C51" t="s">
        <v>526</v>
      </c>
      <c r="D51" t="s">
        <v>527</v>
      </c>
      <c r="E51" t="s">
        <v>528</v>
      </c>
      <c r="F51" t="s">
        <v>184</v>
      </c>
      <c r="G51" t="s">
        <v>185</v>
      </c>
      <c r="H51" t="s">
        <v>184</v>
      </c>
      <c r="I51" t="s">
        <v>529</v>
      </c>
      <c r="J51" t="s">
        <v>530</v>
      </c>
      <c r="K51" t="s">
        <v>531</v>
      </c>
      <c r="L51" t="s">
        <v>532</v>
      </c>
      <c r="M51" t="s">
        <v>184</v>
      </c>
    </row>
    <row r="52" spans="1:13">
      <c r="A52" t="s">
        <v>488</v>
      </c>
      <c r="B52" t="s">
        <v>533</v>
      </c>
      <c r="C52" t="s">
        <v>534</v>
      </c>
      <c r="D52" t="s">
        <v>535</v>
      </c>
      <c r="E52" t="s">
        <v>536</v>
      </c>
      <c r="F52" t="s">
        <v>184</v>
      </c>
      <c r="G52" t="s">
        <v>185</v>
      </c>
      <c r="H52" t="s">
        <v>184</v>
      </c>
      <c r="I52" t="s">
        <v>529</v>
      </c>
      <c r="J52" t="s">
        <v>537</v>
      </c>
      <c r="K52" t="s">
        <v>538</v>
      </c>
      <c r="L52" t="s">
        <v>539</v>
      </c>
      <c r="M52" t="s">
        <v>184</v>
      </c>
    </row>
    <row r="53" spans="1:13">
      <c r="A53" t="s">
        <v>488</v>
      </c>
      <c r="B53" t="s">
        <v>540</v>
      </c>
      <c r="C53" t="s">
        <v>541</v>
      </c>
      <c r="D53" t="s">
        <v>542</v>
      </c>
      <c r="E53" t="s">
        <v>543</v>
      </c>
      <c r="F53" t="s">
        <v>544</v>
      </c>
      <c r="G53" t="s">
        <v>185</v>
      </c>
      <c r="H53" t="s">
        <v>184</v>
      </c>
      <c r="I53" t="s">
        <v>201</v>
      </c>
      <c r="J53" t="s">
        <v>543</v>
      </c>
      <c r="K53" t="s">
        <v>545</v>
      </c>
      <c r="L53" t="s">
        <v>546</v>
      </c>
      <c r="M53" t="s">
        <v>184</v>
      </c>
    </row>
    <row r="54" spans="1:13">
      <c r="A54" t="s">
        <v>488</v>
      </c>
      <c r="B54" t="s">
        <v>547</v>
      </c>
      <c r="C54" t="s">
        <v>548</v>
      </c>
      <c r="D54" t="s">
        <v>549</v>
      </c>
      <c r="E54" t="s">
        <v>550</v>
      </c>
      <c r="F54" t="s">
        <v>184</v>
      </c>
      <c r="G54" t="s">
        <v>185</v>
      </c>
      <c r="H54" t="s">
        <v>184</v>
      </c>
      <c r="I54" t="s">
        <v>201</v>
      </c>
      <c r="J54" t="s">
        <v>550</v>
      </c>
      <c r="K54" t="s">
        <v>551</v>
      </c>
      <c r="L54" t="s">
        <v>552</v>
      </c>
      <c r="M54" t="s">
        <v>184</v>
      </c>
    </row>
    <row r="55" spans="1:13">
      <c r="A55" t="s">
        <v>553</v>
      </c>
      <c r="B55" t="s">
        <v>275</v>
      </c>
      <c r="C55" t="s">
        <v>554</v>
      </c>
      <c r="D55" t="s">
        <v>275</v>
      </c>
      <c r="E55" t="s">
        <v>555</v>
      </c>
      <c r="F55" t="s">
        <v>556</v>
      </c>
      <c r="G55" t="s">
        <v>185</v>
      </c>
      <c r="H55" t="s">
        <v>184</v>
      </c>
      <c r="I55" t="s">
        <v>277</v>
      </c>
      <c r="J55" t="s">
        <v>557</v>
      </c>
      <c r="K55" t="s">
        <v>558</v>
      </c>
      <c r="L55" t="s">
        <v>559</v>
      </c>
      <c r="M55" t="s">
        <v>184</v>
      </c>
    </row>
    <row r="56" spans="1:13">
      <c r="A56" t="s">
        <v>553</v>
      </c>
      <c r="B56" t="s">
        <v>209</v>
      </c>
      <c r="C56" t="s">
        <v>560</v>
      </c>
      <c r="D56" t="s">
        <v>209</v>
      </c>
      <c r="E56" t="s">
        <v>561</v>
      </c>
      <c r="F56" t="s">
        <v>184</v>
      </c>
      <c r="G56" t="s">
        <v>209</v>
      </c>
      <c r="H56" t="s">
        <v>184</v>
      </c>
      <c r="I56" t="s">
        <v>277</v>
      </c>
      <c r="J56" t="s">
        <v>562</v>
      </c>
      <c r="K56" t="s">
        <v>563</v>
      </c>
      <c r="L56" t="s">
        <v>564</v>
      </c>
      <c r="M56" t="s">
        <v>184</v>
      </c>
    </row>
    <row r="57" spans="1:13">
      <c r="A57" t="s">
        <v>553</v>
      </c>
      <c r="B57" t="s">
        <v>325</v>
      </c>
      <c r="C57" t="s">
        <v>565</v>
      </c>
      <c r="D57" t="s">
        <v>327</v>
      </c>
      <c r="E57" t="s">
        <v>291</v>
      </c>
      <c r="F57" t="s">
        <v>184</v>
      </c>
      <c r="G57" t="s">
        <v>209</v>
      </c>
      <c r="H57" t="s">
        <v>184</v>
      </c>
      <c r="I57" t="s">
        <v>201</v>
      </c>
      <c r="J57" t="s">
        <v>566</v>
      </c>
      <c r="K57" t="s">
        <v>567</v>
      </c>
      <c r="L57" t="s">
        <v>568</v>
      </c>
      <c r="M57" t="s">
        <v>184</v>
      </c>
    </row>
    <row r="58" spans="1:13">
      <c r="A58" t="s">
        <v>553</v>
      </c>
      <c r="B58" t="s">
        <v>569</v>
      </c>
      <c r="C58" t="s">
        <v>570</v>
      </c>
      <c r="D58" t="s">
        <v>569</v>
      </c>
      <c r="E58" t="s">
        <v>569</v>
      </c>
      <c r="F58" t="s">
        <v>184</v>
      </c>
      <c r="G58" t="s">
        <v>185</v>
      </c>
      <c r="H58" t="s">
        <v>184</v>
      </c>
      <c r="I58" t="s">
        <v>277</v>
      </c>
      <c r="J58" t="s">
        <v>571</v>
      </c>
      <c r="K58" t="s">
        <v>572</v>
      </c>
      <c r="L58" t="s">
        <v>573</v>
      </c>
      <c r="M58" t="s">
        <v>184</v>
      </c>
    </row>
    <row r="59" spans="1:13">
      <c r="A59" t="s">
        <v>574</v>
      </c>
      <c r="B59" t="s">
        <v>275</v>
      </c>
      <c r="C59" t="s">
        <v>575</v>
      </c>
      <c r="D59" t="s">
        <v>275</v>
      </c>
      <c r="E59" t="s">
        <v>576</v>
      </c>
      <c r="F59" t="s">
        <v>577</v>
      </c>
      <c r="G59" t="s">
        <v>185</v>
      </c>
      <c r="H59" t="s">
        <v>184</v>
      </c>
      <c r="I59" t="s">
        <v>277</v>
      </c>
      <c r="J59" t="s">
        <v>578</v>
      </c>
      <c r="K59" t="s">
        <v>579</v>
      </c>
      <c r="L59" t="s">
        <v>580</v>
      </c>
      <c r="M59" t="s">
        <v>184</v>
      </c>
    </row>
    <row r="60" spans="1:13">
      <c r="A60" t="s">
        <v>574</v>
      </c>
      <c r="B60" t="s">
        <v>11</v>
      </c>
      <c r="C60" t="s">
        <v>581</v>
      </c>
      <c r="D60" t="s">
        <v>11</v>
      </c>
      <c r="E60" t="s">
        <v>582</v>
      </c>
      <c r="F60" t="s">
        <v>184</v>
      </c>
      <c r="G60" t="s">
        <v>185</v>
      </c>
      <c r="H60" t="s">
        <v>184</v>
      </c>
      <c r="I60" t="s">
        <v>277</v>
      </c>
      <c r="J60" t="s">
        <v>582</v>
      </c>
      <c r="K60" t="s">
        <v>583</v>
      </c>
      <c r="L60" t="s">
        <v>584</v>
      </c>
      <c r="M60" t="s">
        <v>184</v>
      </c>
    </row>
    <row r="61" spans="1:13">
      <c r="A61" t="s">
        <v>585</v>
      </c>
      <c r="B61" t="s">
        <v>586</v>
      </c>
      <c r="C61" t="s">
        <v>587</v>
      </c>
      <c r="D61" t="s">
        <v>588</v>
      </c>
      <c r="E61" t="s">
        <v>589</v>
      </c>
      <c r="F61" t="s">
        <v>184</v>
      </c>
      <c r="G61" t="s">
        <v>185</v>
      </c>
      <c r="H61" t="s">
        <v>184</v>
      </c>
      <c r="I61" t="s">
        <v>277</v>
      </c>
      <c r="J61" t="s">
        <v>590</v>
      </c>
      <c r="K61" t="s">
        <v>591</v>
      </c>
      <c r="L61" t="s">
        <v>592</v>
      </c>
      <c r="M61" t="s">
        <v>184</v>
      </c>
    </row>
    <row r="62" spans="1:13">
      <c r="A62" t="s">
        <v>585</v>
      </c>
      <c r="B62" t="s">
        <v>593</v>
      </c>
      <c r="C62" t="s">
        <v>594</v>
      </c>
      <c r="D62" t="s">
        <v>595</v>
      </c>
      <c r="E62" t="s">
        <v>596</v>
      </c>
      <c r="F62" t="s">
        <v>184</v>
      </c>
      <c r="G62" t="s">
        <v>185</v>
      </c>
      <c r="H62" t="s">
        <v>184</v>
      </c>
      <c r="I62" t="s">
        <v>201</v>
      </c>
      <c r="J62" t="s">
        <v>597</v>
      </c>
      <c r="K62" t="s">
        <v>598</v>
      </c>
      <c r="L62" t="s">
        <v>599</v>
      </c>
      <c r="M62" t="s">
        <v>184</v>
      </c>
    </row>
    <row r="63" spans="1:13">
      <c r="A63" t="s">
        <v>585</v>
      </c>
      <c r="B63" t="s">
        <v>600</v>
      </c>
      <c r="C63" t="s">
        <v>601</v>
      </c>
      <c r="D63" t="s">
        <v>602</v>
      </c>
      <c r="E63" t="s">
        <v>603</v>
      </c>
      <c r="F63" t="s">
        <v>184</v>
      </c>
      <c r="G63" t="s">
        <v>209</v>
      </c>
      <c r="H63" t="s">
        <v>184</v>
      </c>
      <c r="I63" t="s">
        <v>277</v>
      </c>
      <c r="J63" t="s">
        <v>603</v>
      </c>
      <c r="K63" t="s">
        <v>604</v>
      </c>
      <c r="L63" t="s">
        <v>605</v>
      </c>
      <c r="M63" t="s">
        <v>184</v>
      </c>
    </row>
    <row r="64" spans="1:13">
      <c r="A64" t="s">
        <v>585</v>
      </c>
      <c r="B64" t="s">
        <v>296</v>
      </c>
      <c r="C64" t="s">
        <v>606</v>
      </c>
      <c r="D64" t="s">
        <v>298</v>
      </c>
      <c r="E64" t="s">
        <v>299</v>
      </c>
      <c r="F64" t="s">
        <v>300</v>
      </c>
      <c r="G64" t="s">
        <v>185</v>
      </c>
      <c r="H64" t="s">
        <v>184</v>
      </c>
      <c r="I64" t="s">
        <v>277</v>
      </c>
      <c r="J64" t="s">
        <v>607</v>
      </c>
      <c r="K64" t="s">
        <v>608</v>
      </c>
      <c r="L64" t="s">
        <v>609</v>
      </c>
      <c r="M64" t="s">
        <v>184</v>
      </c>
    </row>
    <row r="65" spans="1:13">
      <c r="A65" t="s">
        <v>585</v>
      </c>
      <c r="B65" t="s">
        <v>610</v>
      </c>
      <c r="C65" t="s">
        <v>611</v>
      </c>
      <c r="D65" t="s">
        <v>610</v>
      </c>
      <c r="E65" t="s">
        <v>612</v>
      </c>
      <c r="F65" t="s">
        <v>613</v>
      </c>
      <c r="G65" t="s">
        <v>185</v>
      </c>
      <c r="H65" t="s">
        <v>184</v>
      </c>
      <c r="I65" t="s">
        <v>277</v>
      </c>
      <c r="J65" t="s">
        <v>612</v>
      </c>
      <c r="K65" t="s">
        <v>614</v>
      </c>
      <c r="L65" t="s">
        <v>615</v>
      </c>
      <c r="M65" t="s">
        <v>184</v>
      </c>
    </row>
    <row r="66" spans="1:13">
      <c r="A66" t="s">
        <v>585</v>
      </c>
      <c r="B66" t="s">
        <v>616</v>
      </c>
      <c r="C66" t="s">
        <v>617</v>
      </c>
      <c r="D66" t="s">
        <v>616</v>
      </c>
      <c r="E66" t="s">
        <v>618</v>
      </c>
      <c r="F66" t="s">
        <v>619</v>
      </c>
      <c r="G66" t="s">
        <v>185</v>
      </c>
      <c r="H66" t="s">
        <v>184</v>
      </c>
      <c r="I66" t="s">
        <v>277</v>
      </c>
      <c r="J66" t="s">
        <v>620</v>
      </c>
      <c r="K66" t="s">
        <v>621</v>
      </c>
      <c r="L66" t="s">
        <v>622</v>
      </c>
      <c r="M66" t="s">
        <v>184</v>
      </c>
    </row>
    <row r="67" spans="1:13">
      <c r="A67" t="s">
        <v>585</v>
      </c>
      <c r="B67" t="s">
        <v>623</v>
      </c>
      <c r="C67" t="s">
        <v>624</v>
      </c>
      <c r="D67" t="s">
        <v>625</v>
      </c>
      <c r="E67" t="s">
        <v>626</v>
      </c>
      <c r="F67" t="s">
        <v>627</v>
      </c>
      <c r="G67" t="s">
        <v>185</v>
      </c>
      <c r="H67" t="s">
        <v>184</v>
      </c>
      <c r="I67" t="s">
        <v>201</v>
      </c>
      <c r="J67" t="s">
        <v>626</v>
      </c>
      <c r="K67" t="s">
        <v>628</v>
      </c>
      <c r="L67" t="s">
        <v>629</v>
      </c>
      <c r="M67" t="s">
        <v>184</v>
      </c>
    </row>
    <row r="68" spans="1:13">
      <c r="A68" t="s">
        <v>585</v>
      </c>
      <c r="B68" t="s">
        <v>630</v>
      </c>
      <c r="C68" t="s">
        <v>631</v>
      </c>
      <c r="D68" t="s">
        <v>632</v>
      </c>
      <c r="E68" t="s">
        <v>633</v>
      </c>
      <c r="F68" t="s">
        <v>184</v>
      </c>
      <c r="G68" t="s">
        <v>344</v>
      </c>
      <c r="H68" t="s">
        <v>184</v>
      </c>
      <c r="I68" t="s">
        <v>201</v>
      </c>
      <c r="J68" t="s">
        <v>634</v>
      </c>
      <c r="K68" t="s">
        <v>635</v>
      </c>
      <c r="L68" t="s">
        <v>636</v>
      </c>
      <c r="M68" t="s">
        <v>184</v>
      </c>
    </row>
    <row r="69" spans="1:13">
      <c r="A69" t="s">
        <v>637</v>
      </c>
      <c r="B69" t="s">
        <v>638</v>
      </c>
      <c r="C69" t="s">
        <v>639</v>
      </c>
      <c r="D69" t="s">
        <v>640</v>
      </c>
      <c r="E69" t="s">
        <v>640</v>
      </c>
      <c r="F69" t="s">
        <v>641</v>
      </c>
      <c r="G69" t="s">
        <v>185</v>
      </c>
      <c r="H69" t="s">
        <v>184</v>
      </c>
      <c r="I69" t="s">
        <v>186</v>
      </c>
      <c r="J69" t="s">
        <v>642</v>
      </c>
      <c r="K69" t="s">
        <v>643</v>
      </c>
      <c r="L69" t="s">
        <v>644</v>
      </c>
      <c r="M69" t="s">
        <v>184</v>
      </c>
    </row>
    <row r="70" spans="1:13">
      <c r="A70" t="s">
        <v>637</v>
      </c>
      <c r="B70" t="s">
        <v>645</v>
      </c>
      <c r="C70" t="s">
        <v>646</v>
      </c>
      <c r="D70" t="s">
        <v>647</v>
      </c>
      <c r="E70" t="s">
        <v>647</v>
      </c>
      <c r="F70" t="s">
        <v>648</v>
      </c>
      <c r="G70" t="s">
        <v>185</v>
      </c>
      <c r="H70" t="s">
        <v>184</v>
      </c>
      <c r="I70" t="s">
        <v>186</v>
      </c>
      <c r="J70" t="s">
        <v>649</v>
      </c>
      <c r="K70" t="s">
        <v>650</v>
      </c>
      <c r="L70" t="s">
        <v>651</v>
      </c>
      <c r="M70" t="s">
        <v>652</v>
      </c>
    </row>
    <row r="71" spans="1:13">
      <c r="A71" t="s">
        <v>637</v>
      </c>
      <c r="B71" t="s">
        <v>653</v>
      </c>
      <c r="C71" t="s">
        <v>654</v>
      </c>
      <c r="D71" t="s">
        <v>655</v>
      </c>
      <c r="E71" t="s">
        <v>655</v>
      </c>
      <c r="F71" t="s">
        <v>184</v>
      </c>
      <c r="G71" t="s">
        <v>185</v>
      </c>
      <c r="H71" t="s">
        <v>184</v>
      </c>
      <c r="I71" t="s">
        <v>201</v>
      </c>
      <c r="J71" t="s">
        <v>656</v>
      </c>
      <c r="K71" t="s">
        <v>657</v>
      </c>
      <c r="L71" t="s">
        <v>658</v>
      </c>
      <c r="M71" t="s">
        <v>659</v>
      </c>
    </row>
    <row r="72" spans="1:13">
      <c r="A72" t="s">
        <v>637</v>
      </c>
      <c r="B72" t="s">
        <v>660</v>
      </c>
      <c r="C72" t="s">
        <v>661</v>
      </c>
      <c r="D72" t="s">
        <v>662</v>
      </c>
      <c r="E72" t="s">
        <v>662</v>
      </c>
      <c r="F72" t="s">
        <v>184</v>
      </c>
      <c r="G72" t="s">
        <v>209</v>
      </c>
      <c r="H72" t="s">
        <v>184</v>
      </c>
      <c r="I72" t="s">
        <v>201</v>
      </c>
      <c r="J72" t="s">
        <v>663</v>
      </c>
      <c r="K72" t="s">
        <v>664</v>
      </c>
      <c r="L72" t="s">
        <v>665</v>
      </c>
      <c r="M72" t="s">
        <v>666</v>
      </c>
    </row>
    <row r="73" spans="1:13">
      <c r="A73" t="s">
        <v>667</v>
      </c>
      <c r="B73" t="s">
        <v>11</v>
      </c>
      <c r="C73" t="s">
        <v>668</v>
      </c>
      <c r="D73" t="s">
        <v>11</v>
      </c>
      <c r="E73" t="s">
        <v>11</v>
      </c>
      <c r="F73" t="s">
        <v>669</v>
      </c>
      <c r="G73" t="s">
        <v>185</v>
      </c>
      <c r="H73" t="s">
        <v>184</v>
      </c>
      <c r="I73" t="s">
        <v>201</v>
      </c>
      <c r="J73" t="s">
        <v>670</v>
      </c>
      <c r="K73" t="s">
        <v>671</v>
      </c>
      <c r="L73" t="s">
        <v>672</v>
      </c>
      <c r="M73" t="s">
        <v>673</v>
      </c>
    </row>
    <row r="74" spans="1:13">
      <c r="A74" t="s">
        <v>674</v>
      </c>
      <c r="B74" t="s">
        <v>675</v>
      </c>
      <c r="C74" t="s">
        <v>676</v>
      </c>
      <c r="D74" t="s">
        <v>677</v>
      </c>
      <c r="E74" t="s">
        <v>677</v>
      </c>
      <c r="F74" t="s">
        <v>184</v>
      </c>
      <c r="G74" t="s">
        <v>185</v>
      </c>
      <c r="H74" t="s">
        <v>184</v>
      </c>
      <c r="I74" t="s">
        <v>186</v>
      </c>
      <c r="J74" t="s">
        <v>678</v>
      </c>
      <c r="K74" t="s">
        <v>679</v>
      </c>
      <c r="L74" t="s">
        <v>680</v>
      </c>
      <c r="M74" t="s">
        <v>681</v>
      </c>
    </row>
    <row r="75" spans="1:13">
      <c r="A75" t="s">
        <v>682</v>
      </c>
      <c r="B75" t="s">
        <v>683</v>
      </c>
      <c r="C75" t="s">
        <v>684</v>
      </c>
      <c r="D75" t="s">
        <v>685</v>
      </c>
      <c r="E75" t="s">
        <v>685</v>
      </c>
      <c r="F75" t="s">
        <v>184</v>
      </c>
      <c r="G75" t="s">
        <v>344</v>
      </c>
      <c r="H75" t="s">
        <v>184</v>
      </c>
      <c r="I75" t="s">
        <v>201</v>
      </c>
      <c r="J75" t="s">
        <v>686</v>
      </c>
      <c r="K75" t="s">
        <v>687</v>
      </c>
      <c r="L75" t="s">
        <v>688</v>
      </c>
      <c r="M75" t="s">
        <v>689</v>
      </c>
    </row>
    <row r="76" spans="1:13">
      <c r="A76" t="s">
        <v>682</v>
      </c>
      <c r="B76" t="s">
        <v>690</v>
      </c>
      <c r="C76" t="s">
        <v>691</v>
      </c>
      <c r="D76" t="s">
        <v>692</v>
      </c>
      <c r="E76" t="s">
        <v>692</v>
      </c>
      <c r="F76" t="s">
        <v>693</v>
      </c>
      <c r="G76" t="s">
        <v>185</v>
      </c>
      <c r="H76" t="s">
        <v>184</v>
      </c>
      <c r="I76" t="s">
        <v>201</v>
      </c>
      <c r="J76" t="s">
        <v>694</v>
      </c>
      <c r="K76" t="s">
        <v>695</v>
      </c>
      <c r="L76" t="s">
        <v>696</v>
      </c>
      <c r="M76" t="s">
        <v>697</v>
      </c>
    </row>
    <row r="77" spans="1:13">
      <c r="A77" t="s">
        <v>682</v>
      </c>
      <c r="B77" t="s">
        <v>698</v>
      </c>
      <c r="C77" t="s">
        <v>699</v>
      </c>
      <c r="D77" t="s">
        <v>700</v>
      </c>
      <c r="E77" t="s">
        <v>700</v>
      </c>
      <c r="F77" t="s">
        <v>184</v>
      </c>
      <c r="G77" t="s">
        <v>344</v>
      </c>
      <c r="H77" t="s">
        <v>184</v>
      </c>
      <c r="I77" t="s">
        <v>201</v>
      </c>
      <c r="J77" t="s">
        <v>701</v>
      </c>
      <c r="K77" t="s">
        <v>702</v>
      </c>
      <c r="L77" t="s">
        <v>703</v>
      </c>
      <c r="M77" t="s">
        <v>704</v>
      </c>
    </row>
    <row r="78" spans="1:13">
      <c r="A78" t="s">
        <v>705</v>
      </c>
      <c r="B78" t="s">
        <v>706</v>
      </c>
      <c r="C78" t="s">
        <v>707</v>
      </c>
      <c r="D78" t="s">
        <v>708</v>
      </c>
      <c r="E78" t="s">
        <v>708</v>
      </c>
      <c r="F78" t="s">
        <v>709</v>
      </c>
      <c r="G78" t="s">
        <v>185</v>
      </c>
      <c r="H78" t="s">
        <v>184</v>
      </c>
      <c r="I78" t="s">
        <v>186</v>
      </c>
      <c r="J78" t="s">
        <v>710</v>
      </c>
      <c r="K78" t="s">
        <v>711</v>
      </c>
      <c r="L78" t="s">
        <v>712</v>
      </c>
      <c r="M78" t="s">
        <v>713</v>
      </c>
    </row>
    <row r="79" spans="1:13">
      <c r="A79" t="s">
        <v>705</v>
      </c>
      <c r="B79" t="s">
        <v>714</v>
      </c>
      <c r="C79" t="s">
        <v>715</v>
      </c>
      <c r="D79" t="s">
        <v>714</v>
      </c>
      <c r="E79" t="s">
        <v>714</v>
      </c>
      <c r="F79" t="s">
        <v>716</v>
      </c>
      <c r="G79" t="s">
        <v>185</v>
      </c>
      <c r="H79" t="s">
        <v>184</v>
      </c>
      <c r="I79" t="s">
        <v>201</v>
      </c>
      <c r="J79" t="s">
        <v>717</v>
      </c>
      <c r="K79" t="s">
        <v>718</v>
      </c>
      <c r="L79" t="s">
        <v>719</v>
      </c>
      <c r="M79" t="s">
        <v>184</v>
      </c>
    </row>
    <row r="80" spans="1:13">
      <c r="A80" t="s">
        <v>705</v>
      </c>
      <c r="B80" t="s">
        <v>720</v>
      </c>
      <c r="C80" t="s">
        <v>721</v>
      </c>
      <c r="D80" t="s">
        <v>720</v>
      </c>
      <c r="E80" t="s">
        <v>720</v>
      </c>
      <c r="F80" t="s">
        <v>722</v>
      </c>
      <c r="G80" t="s">
        <v>185</v>
      </c>
      <c r="H80" t="s">
        <v>184</v>
      </c>
      <c r="I80" t="s">
        <v>201</v>
      </c>
      <c r="J80" t="s">
        <v>723</v>
      </c>
      <c r="K80" t="s">
        <v>724</v>
      </c>
      <c r="L80" t="s">
        <v>725</v>
      </c>
      <c r="M80" t="s">
        <v>184</v>
      </c>
    </row>
    <row r="81" spans="1:13">
      <c r="A81" t="s">
        <v>705</v>
      </c>
      <c r="B81" t="s">
        <v>726</v>
      </c>
      <c r="C81" t="s">
        <v>727</v>
      </c>
      <c r="D81" t="s">
        <v>728</v>
      </c>
      <c r="E81" t="s">
        <v>728</v>
      </c>
      <c r="F81" t="s">
        <v>268</v>
      </c>
      <c r="G81" t="s">
        <v>185</v>
      </c>
      <c r="H81" t="s">
        <v>184</v>
      </c>
      <c r="I81" t="s">
        <v>201</v>
      </c>
      <c r="J81" t="s">
        <v>729</v>
      </c>
      <c r="K81" t="s">
        <v>730</v>
      </c>
      <c r="L81" t="s">
        <v>731</v>
      </c>
      <c r="M81" t="s">
        <v>184</v>
      </c>
    </row>
    <row r="82" spans="1:13">
      <c r="A82" t="s">
        <v>732</v>
      </c>
      <c r="B82" t="s">
        <v>311</v>
      </c>
      <c r="C82" t="s">
        <v>733</v>
      </c>
      <c r="D82" t="s">
        <v>311</v>
      </c>
      <c r="E82" t="s">
        <v>311</v>
      </c>
      <c r="F82" t="s">
        <v>734</v>
      </c>
      <c r="G82" t="s">
        <v>185</v>
      </c>
      <c r="H82" t="s">
        <v>184</v>
      </c>
      <c r="I82" t="s">
        <v>277</v>
      </c>
      <c r="J82" t="s">
        <v>735</v>
      </c>
      <c r="K82" t="s">
        <v>736</v>
      </c>
      <c r="L82" t="s">
        <v>737</v>
      </c>
      <c r="M82" t="s">
        <v>738</v>
      </c>
    </row>
    <row r="83" spans="1:13">
      <c r="A83" t="s">
        <v>732</v>
      </c>
      <c r="B83" t="s">
        <v>739</v>
      </c>
      <c r="C83" t="s">
        <v>740</v>
      </c>
      <c r="D83" t="s">
        <v>739</v>
      </c>
      <c r="E83" t="s">
        <v>739</v>
      </c>
      <c r="F83" t="s">
        <v>184</v>
      </c>
      <c r="G83" t="s">
        <v>185</v>
      </c>
      <c r="H83" t="s">
        <v>184</v>
      </c>
      <c r="I83" t="s">
        <v>277</v>
      </c>
      <c r="J83" t="s">
        <v>741</v>
      </c>
      <c r="K83" t="s">
        <v>742</v>
      </c>
      <c r="L83" t="s">
        <v>743</v>
      </c>
      <c r="M83" t="s">
        <v>184</v>
      </c>
    </row>
    <row r="84" spans="1:13">
      <c r="A84" t="s">
        <v>732</v>
      </c>
      <c r="B84" t="s">
        <v>462</v>
      </c>
      <c r="C84" t="s">
        <v>744</v>
      </c>
      <c r="D84" t="s">
        <v>462</v>
      </c>
      <c r="E84" t="s">
        <v>462</v>
      </c>
      <c r="F84" t="s">
        <v>745</v>
      </c>
      <c r="G84" t="s">
        <v>185</v>
      </c>
      <c r="H84" t="s">
        <v>184</v>
      </c>
      <c r="I84" t="s">
        <v>277</v>
      </c>
      <c r="J84" t="s">
        <v>746</v>
      </c>
      <c r="K84" t="s">
        <v>747</v>
      </c>
      <c r="L84" t="s">
        <v>748</v>
      </c>
      <c r="M84" t="s">
        <v>749</v>
      </c>
    </row>
    <row r="85" spans="1:13">
      <c r="A85" t="s">
        <v>750</v>
      </c>
      <c r="B85" t="s">
        <v>751</v>
      </c>
      <c r="C85" t="s">
        <v>752</v>
      </c>
      <c r="D85" t="s">
        <v>751</v>
      </c>
      <c r="E85" t="s">
        <v>751</v>
      </c>
      <c r="F85" t="s">
        <v>753</v>
      </c>
      <c r="G85" t="s">
        <v>185</v>
      </c>
      <c r="H85" t="s">
        <v>184</v>
      </c>
      <c r="I85" t="s">
        <v>186</v>
      </c>
      <c r="J85" t="s">
        <v>754</v>
      </c>
      <c r="K85" t="s">
        <v>755</v>
      </c>
      <c r="L85" t="s">
        <v>756</v>
      </c>
      <c r="M85" t="s">
        <v>184</v>
      </c>
    </row>
    <row r="86" spans="1:13">
      <c r="A86" t="s">
        <v>750</v>
      </c>
      <c r="B86" t="s">
        <v>757</v>
      </c>
      <c r="C86" t="s">
        <v>758</v>
      </c>
      <c r="D86" t="s">
        <v>759</v>
      </c>
      <c r="E86" t="s">
        <v>759</v>
      </c>
      <c r="F86" t="s">
        <v>184</v>
      </c>
      <c r="G86" t="s">
        <v>344</v>
      </c>
      <c r="H86" t="s">
        <v>184</v>
      </c>
      <c r="I86" t="s">
        <v>186</v>
      </c>
      <c r="J86" t="s">
        <v>760</v>
      </c>
      <c r="K86" t="s">
        <v>761</v>
      </c>
      <c r="L86" t="s">
        <v>762</v>
      </c>
      <c r="M86" t="s">
        <v>184</v>
      </c>
    </row>
    <row r="87" spans="1:13">
      <c r="A87" t="s">
        <v>750</v>
      </c>
      <c r="B87" t="s">
        <v>763</v>
      </c>
      <c r="C87" t="s">
        <v>764</v>
      </c>
      <c r="D87" t="s">
        <v>765</v>
      </c>
      <c r="E87" t="s">
        <v>765</v>
      </c>
      <c r="F87" t="s">
        <v>184</v>
      </c>
      <c r="G87" t="s">
        <v>344</v>
      </c>
      <c r="H87" t="s">
        <v>184</v>
      </c>
      <c r="I87" t="s">
        <v>186</v>
      </c>
      <c r="J87" t="s">
        <v>766</v>
      </c>
      <c r="K87" t="s">
        <v>767</v>
      </c>
      <c r="L87" t="s">
        <v>768</v>
      </c>
      <c r="M87" t="s">
        <v>184</v>
      </c>
    </row>
    <row r="88" spans="1:13">
      <c r="A88" t="s">
        <v>750</v>
      </c>
      <c r="B88" t="s">
        <v>769</v>
      </c>
      <c r="C88" t="s">
        <v>770</v>
      </c>
      <c r="D88" t="s">
        <v>771</v>
      </c>
      <c r="E88" t="s">
        <v>771</v>
      </c>
      <c r="F88" t="s">
        <v>772</v>
      </c>
      <c r="G88" t="s">
        <v>185</v>
      </c>
      <c r="H88" t="s">
        <v>184</v>
      </c>
      <c r="I88" t="s">
        <v>186</v>
      </c>
      <c r="J88" t="s">
        <v>773</v>
      </c>
      <c r="K88" t="s">
        <v>774</v>
      </c>
      <c r="L88" t="s">
        <v>775</v>
      </c>
      <c r="M88" t="s">
        <v>184</v>
      </c>
    </row>
    <row r="89" spans="1:13">
      <c r="A89" t="s">
        <v>750</v>
      </c>
      <c r="B89" t="s">
        <v>776</v>
      </c>
      <c r="C89" t="s">
        <v>777</v>
      </c>
      <c r="D89" t="s">
        <v>776</v>
      </c>
      <c r="E89" t="s">
        <v>776</v>
      </c>
      <c r="F89" t="s">
        <v>184</v>
      </c>
      <c r="G89" t="s">
        <v>185</v>
      </c>
      <c r="H89" t="s">
        <v>184</v>
      </c>
      <c r="I89" t="s">
        <v>201</v>
      </c>
      <c r="J89" t="s">
        <v>778</v>
      </c>
      <c r="K89" t="s">
        <v>779</v>
      </c>
      <c r="L89" t="s">
        <v>780</v>
      </c>
      <c r="M89" t="s">
        <v>184</v>
      </c>
    </row>
    <row r="90" spans="1:13">
      <c r="A90" t="s">
        <v>781</v>
      </c>
      <c r="B90" t="s">
        <v>311</v>
      </c>
      <c r="C90" t="s">
        <v>782</v>
      </c>
      <c r="D90" t="s">
        <v>311</v>
      </c>
      <c r="E90" t="s">
        <v>311</v>
      </c>
      <c r="F90" t="s">
        <v>783</v>
      </c>
      <c r="G90" t="s">
        <v>185</v>
      </c>
      <c r="H90" t="s">
        <v>184</v>
      </c>
      <c r="I90" t="s">
        <v>186</v>
      </c>
      <c r="J90" t="s">
        <v>784</v>
      </c>
      <c r="K90" t="s">
        <v>785</v>
      </c>
      <c r="L90" t="s">
        <v>786</v>
      </c>
      <c r="M90" t="s">
        <v>184</v>
      </c>
    </row>
    <row r="91" spans="1:13">
      <c r="A91" t="s">
        <v>781</v>
      </c>
      <c r="B91" t="s">
        <v>787</v>
      </c>
      <c r="C91" t="s">
        <v>788</v>
      </c>
      <c r="D91" t="s">
        <v>787</v>
      </c>
      <c r="E91" t="s">
        <v>787</v>
      </c>
      <c r="F91" t="s">
        <v>789</v>
      </c>
      <c r="G91" t="s">
        <v>185</v>
      </c>
      <c r="H91" t="s">
        <v>184</v>
      </c>
      <c r="I91" t="s">
        <v>186</v>
      </c>
      <c r="J91" t="s">
        <v>790</v>
      </c>
      <c r="K91" t="s">
        <v>791</v>
      </c>
      <c r="L91" t="s">
        <v>792</v>
      </c>
      <c r="M91" t="s">
        <v>184</v>
      </c>
    </row>
    <row r="92" spans="1:13">
      <c r="A92" t="s">
        <v>781</v>
      </c>
      <c r="B92" t="s">
        <v>16</v>
      </c>
      <c r="C92" t="s">
        <v>793</v>
      </c>
      <c r="D92" t="s">
        <v>16</v>
      </c>
      <c r="E92" t="s">
        <v>16</v>
      </c>
      <c r="F92" t="s">
        <v>184</v>
      </c>
      <c r="G92" t="s">
        <v>185</v>
      </c>
      <c r="H92" t="s">
        <v>184</v>
      </c>
      <c r="I92" t="s">
        <v>186</v>
      </c>
      <c r="J92" t="s">
        <v>794</v>
      </c>
      <c r="K92" t="s">
        <v>795</v>
      </c>
      <c r="L92" t="s">
        <v>796</v>
      </c>
      <c r="M92" t="s">
        <v>184</v>
      </c>
    </row>
    <row r="93" spans="1:13">
      <c r="A93" t="s">
        <v>781</v>
      </c>
      <c r="B93" t="s">
        <v>797</v>
      </c>
      <c r="C93" t="s">
        <v>798</v>
      </c>
      <c r="D93" t="s">
        <v>797</v>
      </c>
      <c r="E93" t="s">
        <v>797</v>
      </c>
      <c r="F93" t="s">
        <v>184</v>
      </c>
      <c r="G93" t="s">
        <v>185</v>
      </c>
      <c r="H93" t="s">
        <v>184</v>
      </c>
      <c r="I93" t="s">
        <v>799</v>
      </c>
      <c r="J93" t="s">
        <v>800</v>
      </c>
      <c r="K93" t="s">
        <v>801</v>
      </c>
      <c r="L93" t="s">
        <v>802</v>
      </c>
      <c r="M93" t="s">
        <v>184</v>
      </c>
    </row>
    <row r="94" spans="1:13">
      <c r="A94" t="s">
        <v>803</v>
      </c>
      <c r="B94" t="s">
        <v>311</v>
      </c>
      <c r="C94" t="s">
        <v>804</v>
      </c>
      <c r="D94" t="s">
        <v>311</v>
      </c>
      <c r="E94" t="s">
        <v>311</v>
      </c>
      <c r="F94" t="s">
        <v>805</v>
      </c>
      <c r="G94" t="s">
        <v>185</v>
      </c>
      <c r="H94" t="s">
        <v>184</v>
      </c>
      <c r="I94" t="s">
        <v>201</v>
      </c>
      <c r="J94" t="s">
        <v>806</v>
      </c>
      <c r="K94" t="s">
        <v>807</v>
      </c>
      <c r="L94" t="s">
        <v>808</v>
      </c>
      <c r="M94" t="s">
        <v>184</v>
      </c>
    </row>
    <row r="95" spans="1:13">
      <c r="A95" t="s">
        <v>803</v>
      </c>
      <c r="B95" t="s">
        <v>809</v>
      </c>
      <c r="C95" t="s">
        <v>810</v>
      </c>
      <c r="D95" t="s">
        <v>811</v>
      </c>
      <c r="E95" t="s">
        <v>811</v>
      </c>
      <c r="F95" t="s">
        <v>184</v>
      </c>
      <c r="G95" t="s">
        <v>344</v>
      </c>
      <c r="H95" t="s">
        <v>184</v>
      </c>
      <c r="I95" t="s">
        <v>186</v>
      </c>
      <c r="J95" t="s">
        <v>812</v>
      </c>
      <c r="K95" t="s">
        <v>813</v>
      </c>
      <c r="L95" t="s">
        <v>814</v>
      </c>
      <c r="M95" t="s">
        <v>184</v>
      </c>
    </row>
    <row r="96" spans="1:13">
      <c r="A96" t="s">
        <v>803</v>
      </c>
      <c r="B96" t="s">
        <v>815</v>
      </c>
      <c r="C96" t="s">
        <v>816</v>
      </c>
      <c r="D96" t="s">
        <v>817</v>
      </c>
      <c r="E96" t="s">
        <v>817</v>
      </c>
      <c r="F96" t="s">
        <v>753</v>
      </c>
      <c r="G96" t="s">
        <v>185</v>
      </c>
      <c r="H96" t="s">
        <v>184</v>
      </c>
      <c r="I96" t="s">
        <v>186</v>
      </c>
      <c r="J96" t="s">
        <v>818</v>
      </c>
      <c r="K96" t="s">
        <v>184</v>
      </c>
      <c r="L96" t="s">
        <v>819</v>
      </c>
      <c r="M96" t="s">
        <v>184</v>
      </c>
    </row>
    <row r="97" spans="1:13">
      <c r="A97" t="s">
        <v>803</v>
      </c>
      <c r="B97" t="s">
        <v>820</v>
      </c>
      <c r="C97" t="s">
        <v>821</v>
      </c>
      <c r="D97" t="s">
        <v>822</v>
      </c>
      <c r="E97" t="s">
        <v>822</v>
      </c>
      <c r="F97" t="s">
        <v>184</v>
      </c>
      <c r="G97" t="s">
        <v>344</v>
      </c>
      <c r="H97" t="s">
        <v>184</v>
      </c>
      <c r="I97" t="s">
        <v>186</v>
      </c>
      <c r="J97" t="s">
        <v>823</v>
      </c>
      <c r="K97" t="s">
        <v>824</v>
      </c>
      <c r="L97" t="s">
        <v>825</v>
      </c>
      <c r="M97" t="s">
        <v>184</v>
      </c>
    </row>
    <row r="98" spans="1:13">
      <c r="A98" t="s">
        <v>803</v>
      </c>
      <c r="B98" t="s">
        <v>826</v>
      </c>
      <c r="C98" t="s">
        <v>827</v>
      </c>
      <c r="D98" t="s">
        <v>828</v>
      </c>
      <c r="E98" t="s">
        <v>828</v>
      </c>
      <c r="F98" t="s">
        <v>753</v>
      </c>
      <c r="G98" t="s">
        <v>185</v>
      </c>
      <c r="H98" t="s">
        <v>184</v>
      </c>
      <c r="I98" t="s">
        <v>186</v>
      </c>
      <c r="J98" t="s">
        <v>829</v>
      </c>
      <c r="K98" t="s">
        <v>184</v>
      </c>
      <c r="L98" t="s">
        <v>830</v>
      </c>
      <c r="M98" t="s">
        <v>184</v>
      </c>
    </row>
    <row r="99" spans="1:13">
      <c r="A99" t="s">
        <v>803</v>
      </c>
      <c r="B99" t="s">
        <v>831</v>
      </c>
      <c r="C99" t="s">
        <v>832</v>
      </c>
      <c r="D99" t="s">
        <v>833</v>
      </c>
      <c r="E99" t="s">
        <v>833</v>
      </c>
      <c r="F99" t="s">
        <v>268</v>
      </c>
      <c r="G99" t="s">
        <v>185</v>
      </c>
      <c r="H99" t="s">
        <v>184</v>
      </c>
      <c r="I99" t="s">
        <v>201</v>
      </c>
      <c r="J99" t="s">
        <v>834</v>
      </c>
      <c r="K99" t="s">
        <v>835</v>
      </c>
      <c r="L99" t="s">
        <v>836</v>
      </c>
      <c r="M99" t="s">
        <v>184</v>
      </c>
    </row>
    <row r="100" spans="1:13">
      <c r="A100" t="s">
        <v>803</v>
      </c>
      <c r="B100" t="s">
        <v>837</v>
      </c>
      <c r="C100" t="s">
        <v>838</v>
      </c>
      <c r="D100" t="s">
        <v>839</v>
      </c>
      <c r="E100" t="s">
        <v>839</v>
      </c>
      <c r="F100" t="s">
        <v>184</v>
      </c>
      <c r="G100" t="s">
        <v>344</v>
      </c>
      <c r="H100" t="s">
        <v>184</v>
      </c>
      <c r="I100" t="s">
        <v>186</v>
      </c>
      <c r="J100" t="s">
        <v>840</v>
      </c>
      <c r="K100" t="s">
        <v>841</v>
      </c>
      <c r="L100" t="s">
        <v>842</v>
      </c>
      <c r="M100" t="s">
        <v>184</v>
      </c>
    </row>
    <row r="101" spans="1:13">
      <c r="A101" t="s">
        <v>803</v>
      </c>
      <c r="B101" t="s">
        <v>843</v>
      </c>
      <c r="C101" t="s">
        <v>844</v>
      </c>
      <c r="D101" t="s">
        <v>845</v>
      </c>
      <c r="E101" t="s">
        <v>845</v>
      </c>
      <c r="F101" t="s">
        <v>184</v>
      </c>
      <c r="G101" t="s">
        <v>344</v>
      </c>
      <c r="H101" t="s">
        <v>184</v>
      </c>
      <c r="I101" t="s">
        <v>201</v>
      </c>
      <c r="J101" t="s">
        <v>846</v>
      </c>
      <c r="K101" t="s">
        <v>847</v>
      </c>
      <c r="L101" t="s">
        <v>848</v>
      </c>
      <c r="M101" t="s">
        <v>184</v>
      </c>
    </row>
    <row r="102" spans="1:13">
      <c r="A102" t="s">
        <v>849</v>
      </c>
      <c r="B102" t="s">
        <v>850</v>
      </c>
      <c r="C102" t="s">
        <v>851</v>
      </c>
      <c r="D102" t="s">
        <v>852</v>
      </c>
      <c r="E102" t="s">
        <v>852</v>
      </c>
      <c r="F102" t="s">
        <v>184</v>
      </c>
      <c r="G102" t="s">
        <v>853</v>
      </c>
      <c r="H102" t="s">
        <v>184</v>
      </c>
      <c r="I102" t="s">
        <v>186</v>
      </c>
      <c r="J102" t="s">
        <v>854</v>
      </c>
      <c r="K102" t="s">
        <v>855</v>
      </c>
      <c r="L102" t="s">
        <v>856</v>
      </c>
      <c r="M102" t="s">
        <v>184</v>
      </c>
    </row>
    <row r="103" spans="1:13">
      <c r="A103" t="s">
        <v>849</v>
      </c>
      <c r="B103" t="s">
        <v>857</v>
      </c>
      <c r="C103" t="s">
        <v>858</v>
      </c>
      <c r="D103" t="s">
        <v>859</v>
      </c>
      <c r="E103" t="s">
        <v>859</v>
      </c>
      <c r="F103" t="s">
        <v>860</v>
      </c>
      <c r="G103" t="s">
        <v>185</v>
      </c>
      <c r="H103" t="s">
        <v>184</v>
      </c>
      <c r="I103" t="s">
        <v>186</v>
      </c>
      <c r="J103" t="s">
        <v>861</v>
      </c>
      <c r="K103" t="s">
        <v>862</v>
      </c>
      <c r="L103" t="s">
        <v>863</v>
      </c>
      <c r="M103" t="s">
        <v>184</v>
      </c>
    </row>
    <row r="104" spans="1:13">
      <c r="A104" t="s">
        <v>849</v>
      </c>
      <c r="B104" t="s">
        <v>864</v>
      </c>
      <c r="C104" t="s">
        <v>865</v>
      </c>
      <c r="D104" t="s">
        <v>866</v>
      </c>
      <c r="E104" t="s">
        <v>866</v>
      </c>
      <c r="F104" t="s">
        <v>184</v>
      </c>
      <c r="G104" t="s">
        <v>344</v>
      </c>
      <c r="H104" t="s">
        <v>184</v>
      </c>
      <c r="I104" t="s">
        <v>201</v>
      </c>
      <c r="J104" t="s">
        <v>867</v>
      </c>
      <c r="K104" t="s">
        <v>868</v>
      </c>
      <c r="L104" t="s">
        <v>869</v>
      </c>
      <c r="M104" t="s">
        <v>184</v>
      </c>
    </row>
    <row r="105" spans="1:13">
      <c r="A105" t="s">
        <v>849</v>
      </c>
      <c r="B105" t="s">
        <v>870</v>
      </c>
      <c r="C105" t="s">
        <v>871</v>
      </c>
      <c r="D105" t="s">
        <v>870</v>
      </c>
      <c r="E105" t="s">
        <v>870</v>
      </c>
      <c r="F105" t="s">
        <v>268</v>
      </c>
      <c r="G105" t="s">
        <v>185</v>
      </c>
      <c r="H105" t="s">
        <v>184</v>
      </c>
      <c r="I105" t="s">
        <v>201</v>
      </c>
      <c r="J105" t="s">
        <v>872</v>
      </c>
      <c r="K105" t="s">
        <v>873</v>
      </c>
      <c r="L105" t="s">
        <v>874</v>
      </c>
      <c r="M105" t="s">
        <v>184</v>
      </c>
    </row>
    <row r="106" spans="1:13">
      <c r="A106" t="s">
        <v>849</v>
      </c>
      <c r="B106" t="s">
        <v>875</v>
      </c>
      <c r="C106" t="s">
        <v>876</v>
      </c>
      <c r="D106" t="s">
        <v>875</v>
      </c>
      <c r="E106" t="s">
        <v>877</v>
      </c>
      <c r="F106" t="s">
        <v>184</v>
      </c>
      <c r="G106" t="s">
        <v>344</v>
      </c>
      <c r="H106" t="s">
        <v>184</v>
      </c>
      <c r="I106" t="s">
        <v>201</v>
      </c>
      <c r="J106" t="s">
        <v>878</v>
      </c>
      <c r="K106" t="s">
        <v>184</v>
      </c>
      <c r="L106" t="s">
        <v>184</v>
      </c>
      <c r="M106" t="s">
        <v>184</v>
      </c>
    </row>
    <row r="107" spans="1:13">
      <c r="A107" t="s">
        <v>879</v>
      </c>
      <c r="B107" t="s">
        <v>880</v>
      </c>
      <c r="C107" t="s">
        <v>881</v>
      </c>
      <c r="D107" t="s">
        <v>882</v>
      </c>
      <c r="E107" t="s">
        <v>882</v>
      </c>
      <c r="F107" t="s">
        <v>184</v>
      </c>
      <c r="G107" t="s">
        <v>185</v>
      </c>
      <c r="H107" t="s">
        <v>184</v>
      </c>
      <c r="I107" t="s">
        <v>186</v>
      </c>
      <c r="J107" t="s">
        <v>883</v>
      </c>
      <c r="K107" t="s">
        <v>884</v>
      </c>
      <c r="L107" t="s">
        <v>885</v>
      </c>
      <c r="M107" t="s">
        <v>184</v>
      </c>
    </row>
    <row r="108" spans="1:13">
      <c r="A108" t="s">
        <v>879</v>
      </c>
      <c r="B108" t="s">
        <v>886</v>
      </c>
      <c r="C108" t="s">
        <v>887</v>
      </c>
      <c r="D108" t="s">
        <v>888</v>
      </c>
      <c r="E108" t="s">
        <v>888</v>
      </c>
      <c r="F108" t="s">
        <v>184</v>
      </c>
      <c r="G108" t="s">
        <v>185</v>
      </c>
      <c r="H108" t="s">
        <v>184</v>
      </c>
      <c r="I108" t="s">
        <v>186</v>
      </c>
      <c r="J108" t="s">
        <v>889</v>
      </c>
      <c r="K108" t="s">
        <v>890</v>
      </c>
      <c r="L108" t="s">
        <v>891</v>
      </c>
      <c r="M108" t="s">
        <v>184</v>
      </c>
    </row>
    <row r="109" spans="1:13">
      <c r="A109" t="s">
        <v>879</v>
      </c>
      <c r="B109" t="s">
        <v>892</v>
      </c>
      <c r="C109" t="s">
        <v>893</v>
      </c>
      <c r="D109" t="s">
        <v>894</v>
      </c>
      <c r="E109" t="s">
        <v>894</v>
      </c>
      <c r="F109" t="s">
        <v>895</v>
      </c>
      <c r="G109" t="s">
        <v>185</v>
      </c>
      <c r="H109" t="s">
        <v>184</v>
      </c>
      <c r="I109" t="s">
        <v>186</v>
      </c>
      <c r="J109" t="s">
        <v>896</v>
      </c>
      <c r="K109" t="s">
        <v>897</v>
      </c>
      <c r="L109" t="s">
        <v>898</v>
      </c>
      <c r="M109" t="s">
        <v>184</v>
      </c>
    </row>
    <row r="110" spans="1:13">
      <c r="A110" t="s">
        <v>899</v>
      </c>
      <c r="B110" t="s">
        <v>900</v>
      </c>
      <c r="C110" t="s">
        <v>901</v>
      </c>
      <c r="D110" t="s">
        <v>902</v>
      </c>
      <c r="E110" t="s">
        <v>902</v>
      </c>
      <c r="F110" t="s">
        <v>903</v>
      </c>
      <c r="G110" t="s">
        <v>185</v>
      </c>
      <c r="H110" t="s">
        <v>184</v>
      </c>
      <c r="I110" t="s">
        <v>904</v>
      </c>
      <c r="J110" t="s">
        <v>184</v>
      </c>
      <c r="K110" t="s">
        <v>184</v>
      </c>
      <c r="L110" t="s">
        <v>905</v>
      </c>
      <c r="M110" t="s">
        <v>184</v>
      </c>
    </row>
    <row r="111" spans="1:13">
      <c r="A111" t="s">
        <v>899</v>
      </c>
      <c r="B111" t="s">
        <v>906</v>
      </c>
      <c r="C111" t="s">
        <v>907</v>
      </c>
      <c r="D111" t="s">
        <v>908</v>
      </c>
      <c r="E111" t="s">
        <v>908</v>
      </c>
      <c r="F111" t="s">
        <v>909</v>
      </c>
      <c r="G111" t="s">
        <v>185</v>
      </c>
      <c r="H111" t="s">
        <v>184</v>
      </c>
      <c r="I111" t="s">
        <v>904</v>
      </c>
      <c r="J111" t="s">
        <v>184</v>
      </c>
      <c r="K111" t="s">
        <v>184</v>
      </c>
      <c r="L111" t="s">
        <v>910</v>
      </c>
      <c r="M111" t="s">
        <v>184</v>
      </c>
    </row>
    <row r="112" spans="1:13">
      <c r="A112" t="s">
        <v>899</v>
      </c>
      <c r="B112" t="s">
        <v>911</v>
      </c>
      <c r="C112" t="s">
        <v>912</v>
      </c>
      <c r="D112" t="s">
        <v>913</v>
      </c>
      <c r="E112" t="s">
        <v>913</v>
      </c>
      <c r="F112" t="s">
        <v>184</v>
      </c>
      <c r="G112" t="s">
        <v>185</v>
      </c>
      <c r="H112" t="s">
        <v>184</v>
      </c>
      <c r="I112" t="s">
        <v>201</v>
      </c>
      <c r="J112" t="s">
        <v>184</v>
      </c>
      <c r="K112" t="s">
        <v>184</v>
      </c>
      <c r="L112" t="s">
        <v>914</v>
      </c>
      <c r="M112" t="s">
        <v>184</v>
      </c>
    </row>
    <row r="113" spans="1:13">
      <c r="A113" t="s">
        <v>899</v>
      </c>
      <c r="B113" t="s">
        <v>915</v>
      </c>
      <c r="C113" t="s">
        <v>916</v>
      </c>
      <c r="D113" t="s">
        <v>917</v>
      </c>
      <c r="E113" t="s">
        <v>917</v>
      </c>
      <c r="F113" t="s">
        <v>918</v>
      </c>
      <c r="G113" t="s">
        <v>185</v>
      </c>
      <c r="H113" t="s">
        <v>184</v>
      </c>
      <c r="I113" t="s">
        <v>201</v>
      </c>
      <c r="J113" t="s">
        <v>919</v>
      </c>
      <c r="K113" t="s">
        <v>920</v>
      </c>
      <c r="L113" t="s">
        <v>921</v>
      </c>
      <c r="M113" t="s">
        <v>184</v>
      </c>
    </row>
    <row r="114" spans="1:13">
      <c r="A114" t="s">
        <v>899</v>
      </c>
      <c r="B114" t="s">
        <v>922</v>
      </c>
      <c r="C114" t="s">
        <v>923</v>
      </c>
      <c r="D114" t="s">
        <v>924</v>
      </c>
      <c r="E114" t="s">
        <v>924</v>
      </c>
      <c r="F114" t="s">
        <v>184</v>
      </c>
      <c r="G114" t="s">
        <v>185</v>
      </c>
      <c r="H114" t="s">
        <v>184</v>
      </c>
      <c r="I114" t="s">
        <v>201</v>
      </c>
      <c r="J114" t="s">
        <v>925</v>
      </c>
      <c r="K114" t="s">
        <v>926</v>
      </c>
      <c r="L114" t="s">
        <v>927</v>
      </c>
      <c r="M114" t="s">
        <v>184</v>
      </c>
    </row>
    <row r="115" spans="1:13">
      <c r="A115" t="s">
        <v>899</v>
      </c>
      <c r="B115" t="s">
        <v>928</v>
      </c>
      <c r="C115" t="s">
        <v>929</v>
      </c>
      <c r="D115" t="s">
        <v>930</v>
      </c>
      <c r="E115" t="s">
        <v>930</v>
      </c>
      <c r="F115" t="s">
        <v>184</v>
      </c>
      <c r="G115" t="s">
        <v>853</v>
      </c>
      <c r="H115" t="s">
        <v>184</v>
      </c>
      <c r="I115" t="s">
        <v>201</v>
      </c>
      <c r="J115" t="s">
        <v>931</v>
      </c>
      <c r="K115" t="s">
        <v>932</v>
      </c>
      <c r="L115" t="s">
        <v>933</v>
      </c>
      <c r="M115" t="s">
        <v>184</v>
      </c>
    </row>
    <row r="116" spans="1:13">
      <c r="A116" t="s">
        <v>899</v>
      </c>
      <c r="B116" t="s">
        <v>934</v>
      </c>
      <c r="C116" t="s">
        <v>935</v>
      </c>
      <c r="D116" t="s">
        <v>936</v>
      </c>
      <c r="E116" t="s">
        <v>936</v>
      </c>
      <c r="F116" t="s">
        <v>184</v>
      </c>
      <c r="G116" t="s">
        <v>185</v>
      </c>
      <c r="H116" t="s">
        <v>184</v>
      </c>
      <c r="I116" t="s">
        <v>201</v>
      </c>
      <c r="J116" t="s">
        <v>937</v>
      </c>
      <c r="K116" t="s">
        <v>938</v>
      </c>
      <c r="L116" t="s">
        <v>939</v>
      </c>
      <c r="M116" t="s">
        <v>184</v>
      </c>
    </row>
    <row r="117" spans="1:13">
      <c r="A117" t="s">
        <v>899</v>
      </c>
      <c r="B117" t="s">
        <v>940</v>
      </c>
      <c r="C117" t="s">
        <v>941</v>
      </c>
      <c r="D117" t="s">
        <v>942</v>
      </c>
      <c r="E117" t="s">
        <v>942</v>
      </c>
      <c r="F117" t="s">
        <v>184</v>
      </c>
      <c r="G117" t="s">
        <v>185</v>
      </c>
      <c r="H117" t="s">
        <v>184</v>
      </c>
      <c r="I117" t="s">
        <v>201</v>
      </c>
      <c r="J117" t="s">
        <v>943</v>
      </c>
      <c r="K117" t="s">
        <v>944</v>
      </c>
      <c r="L117" t="s">
        <v>945</v>
      </c>
      <c r="M117" t="s">
        <v>184</v>
      </c>
    </row>
    <row r="118" spans="1:13">
      <c r="A118" t="s">
        <v>899</v>
      </c>
      <c r="B118" t="s">
        <v>946</v>
      </c>
      <c r="C118" t="s">
        <v>947</v>
      </c>
      <c r="D118" t="s">
        <v>948</v>
      </c>
      <c r="E118" t="s">
        <v>948</v>
      </c>
      <c r="F118" t="s">
        <v>184</v>
      </c>
      <c r="G118" t="s">
        <v>185</v>
      </c>
      <c r="H118" t="s">
        <v>184</v>
      </c>
      <c r="I118" t="s">
        <v>201</v>
      </c>
      <c r="J118" t="s">
        <v>949</v>
      </c>
      <c r="K118" t="s">
        <v>950</v>
      </c>
      <c r="L118" t="s">
        <v>951</v>
      </c>
      <c r="M118" t="s">
        <v>184</v>
      </c>
    </row>
    <row r="119" spans="1:13">
      <c r="A119" t="s">
        <v>899</v>
      </c>
      <c r="B119" t="s">
        <v>952</v>
      </c>
      <c r="C119" t="s">
        <v>953</v>
      </c>
      <c r="D119" t="s">
        <v>954</v>
      </c>
      <c r="E119" t="s">
        <v>954</v>
      </c>
      <c r="F119" t="s">
        <v>184</v>
      </c>
      <c r="G119" t="s">
        <v>185</v>
      </c>
      <c r="H119" t="s">
        <v>184</v>
      </c>
      <c r="I119" t="s">
        <v>186</v>
      </c>
      <c r="J119" t="s">
        <v>955</v>
      </c>
      <c r="K119" t="s">
        <v>956</v>
      </c>
      <c r="L119" t="s">
        <v>957</v>
      </c>
      <c r="M119" t="s">
        <v>958</v>
      </c>
    </row>
    <row r="120" spans="1:13">
      <c r="A120" t="s">
        <v>899</v>
      </c>
      <c r="B120" t="s">
        <v>959</v>
      </c>
      <c r="C120" t="s">
        <v>960</v>
      </c>
      <c r="D120" t="s">
        <v>961</v>
      </c>
      <c r="E120" t="s">
        <v>961</v>
      </c>
      <c r="F120" t="s">
        <v>184</v>
      </c>
      <c r="G120" t="s">
        <v>185</v>
      </c>
      <c r="H120" t="s">
        <v>184</v>
      </c>
      <c r="I120" t="s">
        <v>201</v>
      </c>
      <c r="J120" t="s">
        <v>962</v>
      </c>
      <c r="K120" t="s">
        <v>963</v>
      </c>
      <c r="L120" t="s">
        <v>964</v>
      </c>
      <c r="M120" t="s">
        <v>965</v>
      </c>
    </row>
    <row r="121" spans="1:13">
      <c r="A121" t="s">
        <v>899</v>
      </c>
      <c r="B121" t="s">
        <v>966</v>
      </c>
      <c r="C121" t="s">
        <v>967</v>
      </c>
      <c r="D121" t="s">
        <v>968</v>
      </c>
      <c r="E121" t="s">
        <v>968</v>
      </c>
      <c r="F121" t="s">
        <v>184</v>
      </c>
      <c r="G121" t="s">
        <v>185</v>
      </c>
      <c r="H121" t="s">
        <v>184</v>
      </c>
      <c r="I121" t="s">
        <v>201</v>
      </c>
      <c r="J121" t="s">
        <v>969</v>
      </c>
      <c r="K121" t="s">
        <v>970</v>
      </c>
      <c r="L121" t="s">
        <v>971</v>
      </c>
      <c r="M121" t="s">
        <v>972</v>
      </c>
    </row>
    <row r="122" spans="1:13">
      <c r="A122" t="s">
        <v>899</v>
      </c>
      <c r="B122" t="s">
        <v>973</v>
      </c>
      <c r="C122" t="s">
        <v>974</v>
      </c>
      <c r="D122" t="s">
        <v>975</v>
      </c>
      <c r="E122" t="s">
        <v>975</v>
      </c>
      <c r="F122" t="s">
        <v>184</v>
      </c>
      <c r="G122" t="s">
        <v>185</v>
      </c>
      <c r="H122" t="s">
        <v>184</v>
      </c>
      <c r="I122" t="s">
        <v>201</v>
      </c>
      <c r="J122" t="s">
        <v>976</v>
      </c>
      <c r="K122" t="s">
        <v>977</v>
      </c>
      <c r="L122" t="s">
        <v>978</v>
      </c>
      <c r="M122" t="s">
        <v>979</v>
      </c>
    </row>
    <row r="123" spans="1:13">
      <c r="A123" t="s">
        <v>899</v>
      </c>
      <c r="B123" t="s">
        <v>980</v>
      </c>
      <c r="C123" t="s">
        <v>981</v>
      </c>
      <c r="D123" t="s">
        <v>982</v>
      </c>
      <c r="E123" t="s">
        <v>982</v>
      </c>
      <c r="F123" t="s">
        <v>983</v>
      </c>
      <c r="G123" t="s">
        <v>185</v>
      </c>
      <c r="H123" t="s">
        <v>184</v>
      </c>
      <c r="I123" t="s">
        <v>201</v>
      </c>
      <c r="J123" t="s">
        <v>984</v>
      </c>
      <c r="K123" t="s">
        <v>985</v>
      </c>
      <c r="L123" t="s">
        <v>986</v>
      </c>
      <c r="M123" t="s">
        <v>184</v>
      </c>
    </row>
    <row r="124" spans="1:13">
      <c r="A124" t="s">
        <v>899</v>
      </c>
      <c r="B124" t="s">
        <v>987</v>
      </c>
      <c r="C124" t="s">
        <v>988</v>
      </c>
      <c r="D124" t="s">
        <v>989</v>
      </c>
      <c r="E124" t="s">
        <v>989</v>
      </c>
      <c r="F124" t="s">
        <v>990</v>
      </c>
      <c r="G124" t="s">
        <v>185</v>
      </c>
      <c r="H124" t="s">
        <v>184</v>
      </c>
      <c r="I124" t="s">
        <v>201</v>
      </c>
      <c r="J124" t="s">
        <v>991</v>
      </c>
      <c r="K124" t="s">
        <v>992</v>
      </c>
      <c r="L124" t="s">
        <v>993</v>
      </c>
      <c r="M124" t="s">
        <v>994</v>
      </c>
    </row>
    <row r="125" spans="1:13">
      <c r="A125" t="s">
        <v>899</v>
      </c>
      <c r="B125" t="s">
        <v>995</v>
      </c>
      <c r="C125" t="s">
        <v>996</v>
      </c>
      <c r="D125" t="s">
        <v>995</v>
      </c>
      <c r="E125" t="s">
        <v>995</v>
      </c>
      <c r="F125" t="s">
        <v>997</v>
      </c>
      <c r="G125" t="s">
        <v>185</v>
      </c>
      <c r="H125" t="s">
        <v>184</v>
      </c>
      <c r="I125" t="s">
        <v>201</v>
      </c>
      <c r="J125" t="s">
        <v>998</v>
      </c>
      <c r="K125" t="s">
        <v>995</v>
      </c>
      <c r="L125" t="s">
        <v>999</v>
      </c>
      <c r="M125" t="s">
        <v>1000</v>
      </c>
    </row>
    <row r="126" spans="1:13">
      <c r="A126" t="s">
        <v>899</v>
      </c>
      <c r="B126" t="s">
        <v>1001</v>
      </c>
      <c r="C126" t="s">
        <v>1002</v>
      </c>
      <c r="D126" t="s">
        <v>1001</v>
      </c>
      <c r="E126" t="s">
        <v>1003</v>
      </c>
      <c r="F126" t="s">
        <v>268</v>
      </c>
      <c r="G126" t="s">
        <v>185</v>
      </c>
      <c r="H126" t="s">
        <v>184</v>
      </c>
      <c r="I126" t="s">
        <v>201</v>
      </c>
      <c r="J126" t="s">
        <v>1004</v>
      </c>
      <c r="K126" t="s">
        <v>1005</v>
      </c>
      <c r="L126" t="s">
        <v>1006</v>
      </c>
      <c r="M126" t="s">
        <v>184</v>
      </c>
    </row>
    <row r="127" spans="1:13">
      <c r="A127" t="s">
        <v>1007</v>
      </c>
      <c r="B127" t="s">
        <v>1008</v>
      </c>
      <c r="C127" t="s">
        <v>1009</v>
      </c>
      <c r="D127" t="s">
        <v>1010</v>
      </c>
      <c r="E127" t="s">
        <v>1010</v>
      </c>
      <c r="F127" t="s">
        <v>184</v>
      </c>
      <c r="G127" t="s">
        <v>344</v>
      </c>
      <c r="H127" t="s">
        <v>184</v>
      </c>
      <c r="I127" t="s">
        <v>186</v>
      </c>
      <c r="J127" t="s">
        <v>1011</v>
      </c>
      <c r="K127" t="s">
        <v>1012</v>
      </c>
      <c r="L127" t="s">
        <v>1013</v>
      </c>
      <c r="M127" t="s">
        <v>184</v>
      </c>
    </row>
    <row r="128" spans="1:13">
      <c r="A128" t="s">
        <v>1007</v>
      </c>
      <c r="B128" t="s">
        <v>1014</v>
      </c>
      <c r="C128" t="s">
        <v>1015</v>
      </c>
      <c r="D128" t="s">
        <v>1016</v>
      </c>
      <c r="E128" t="s">
        <v>1016</v>
      </c>
      <c r="F128" t="s">
        <v>184</v>
      </c>
      <c r="G128" t="s">
        <v>344</v>
      </c>
      <c r="H128" t="s">
        <v>184</v>
      </c>
      <c r="I128" t="s">
        <v>186</v>
      </c>
      <c r="J128" t="s">
        <v>1017</v>
      </c>
      <c r="K128" t="s">
        <v>1018</v>
      </c>
      <c r="L128" t="s">
        <v>1019</v>
      </c>
      <c r="M128" t="s">
        <v>184</v>
      </c>
    </row>
    <row r="129" spans="1:13">
      <c r="A129" t="s">
        <v>1007</v>
      </c>
      <c r="B129" t="s">
        <v>1020</v>
      </c>
      <c r="C129" t="s">
        <v>1021</v>
      </c>
      <c r="D129" t="s">
        <v>1022</v>
      </c>
      <c r="E129" t="s">
        <v>1022</v>
      </c>
      <c r="F129" t="s">
        <v>268</v>
      </c>
      <c r="G129" t="s">
        <v>185</v>
      </c>
      <c r="H129" t="s">
        <v>184</v>
      </c>
      <c r="I129" t="s">
        <v>201</v>
      </c>
      <c r="J129" t="s">
        <v>1023</v>
      </c>
      <c r="K129" t="s">
        <v>1024</v>
      </c>
      <c r="L129" t="s">
        <v>1025</v>
      </c>
      <c r="M129" t="s">
        <v>184</v>
      </c>
    </row>
    <row r="130" spans="1:13">
      <c r="A130" t="s">
        <v>1007</v>
      </c>
      <c r="B130" t="s">
        <v>1026</v>
      </c>
      <c r="C130" t="s">
        <v>1027</v>
      </c>
      <c r="D130" t="s">
        <v>1028</v>
      </c>
      <c r="E130" t="s">
        <v>1028</v>
      </c>
      <c r="F130" t="s">
        <v>1029</v>
      </c>
      <c r="G130" t="s">
        <v>185</v>
      </c>
      <c r="H130" t="s">
        <v>184</v>
      </c>
      <c r="I130" t="s">
        <v>186</v>
      </c>
      <c r="J130" t="s">
        <v>1030</v>
      </c>
      <c r="K130" t="s">
        <v>1031</v>
      </c>
      <c r="L130" t="s">
        <v>1032</v>
      </c>
      <c r="M130" t="s">
        <v>1033</v>
      </c>
    </row>
    <row r="131" spans="1:13">
      <c r="A131" t="s">
        <v>1007</v>
      </c>
      <c r="B131" t="s">
        <v>1034</v>
      </c>
      <c r="C131" t="s">
        <v>1035</v>
      </c>
      <c r="D131" t="s">
        <v>1036</v>
      </c>
      <c r="E131" t="s">
        <v>1036</v>
      </c>
      <c r="F131" t="s">
        <v>1037</v>
      </c>
      <c r="G131" t="s">
        <v>185</v>
      </c>
      <c r="H131" t="s">
        <v>184</v>
      </c>
      <c r="I131" t="s">
        <v>201</v>
      </c>
      <c r="J131" t="s">
        <v>1038</v>
      </c>
      <c r="K131" t="s">
        <v>1039</v>
      </c>
      <c r="L131" t="s">
        <v>1040</v>
      </c>
      <c r="M131" t="s">
        <v>184</v>
      </c>
    </row>
    <row r="132" spans="1:13">
      <c r="A132" t="s">
        <v>1041</v>
      </c>
      <c r="B132" t="s">
        <v>1042</v>
      </c>
      <c r="C132" t="s">
        <v>1043</v>
      </c>
      <c r="D132" t="s">
        <v>1044</v>
      </c>
      <c r="E132" t="s">
        <v>1044</v>
      </c>
      <c r="F132" t="s">
        <v>1045</v>
      </c>
      <c r="G132" t="s">
        <v>185</v>
      </c>
      <c r="H132" t="s">
        <v>184</v>
      </c>
      <c r="I132" t="s">
        <v>186</v>
      </c>
      <c r="J132" t="s">
        <v>1046</v>
      </c>
      <c r="K132" t="s">
        <v>1047</v>
      </c>
      <c r="L132" t="s">
        <v>1048</v>
      </c>
      <c r="M132" t="s">
        <v>184</v>
      </c>
    </row>
    <row r="133" spans="1:13">
      <c r="A133" t="s">
        <v>1041</v>
      </c>
      <c r="B133" t="s">
        <v>476</v>
      </c>
      <c r="C133" t="s">
        <v>1049</v>
      </c>
      <c r="D133" t="s">
        <v>476</v>
      </c>
      <c r="E133" t="s">
        <v>476</v>
      </c>
      <c r="F133" t="s">
        <v>184</v>
      </c>
      <c r="G133" t="s">
        <v>853</v>
      </c>
      <c r="H133" t="s">
        <v>184</v>
      </c>
      <c r="I133" t="s">
        <v>186</v>
      </c>
      <c r="J133" t="s">
        <v>1050</v>
      </c>
      <c r="K133" t="s">
        <v>1051</v>
      </c>
      <c r="L133" t="s">
        <v>1052</v>
      </c>
      <c r="M133" t="s">
        <v>184</v>
      </c>
    </row>
    <row r="134" spans="1:13">
      <c r="A134" t="s">
        <v>1053</v>
      </c>
      <c r="B134" t="s">
        <v>1054</v>
      </c>
      <c r="C134" t="s">
        <v>1055</v>
      </c>
      <c r="D134" t="s">
        <v>1056</v>
      </c>
      <c r="E134" t="s">
        <v>184</v>
      </c>
      <c r="F134" t="s">
        <v>1057</v>
      </c>
      <c r="G134" t="s">
        <v>184</v>
      </c>
      <c r="H134" t="s">
        <v>1058</v>
      </c>
      <c r="I134" t="s">
        <v>184</v>
      </c>
      <c r="J134" t="s">
        <v>184</v>
      </c>
      <c r="K134" t="s">
        <v>184</v>
      </c>
      <c r="L134" t="s">
        <v>1059</v>
      </c>
      <c r="M134" t="s">
        <v>184</v>
      </c>
    </row>
    <row r="135" spans="1:13">
      <c r="A135" t="s">
        <v>1053</v>
      </c>
      <c r="B135" t="s">
        <v>1060</v>
      </c>
      <c r="C135" t="s">
        <v>1061</v>
      </c>
      <c r="D135" t="s">
        <v>1062</v>
      </c>
      <c r="E135" t="s">
        <v>184</v>
      </c>
      <c r="F135" t="s">
        <v>1057</v>
      </c>
      <c r="G135" t="s">
        <v>184</v>
      </c>
      <c r="H135" t="s">
        <v>1063</v>
      </c>
      <c r="I135" t="s">
        <v>184</v>
      </c>
      <c r="J135" t="s">
        <v>184</v>
      </c>
      <c r="K135" t="s">
        <v>184</v>
      </c>
      <c r="L135" t="s">
        <v>1064</v>
      </c>
      <c r="M135" t="s">
        <v>184</v>
      </c>
    </row>
    <row r="136" spans="1:13">
      <c r="A136" t="s">
        <v>1065</v>
      </c>
      <c r="B136" t="s">
        <v>1066</v>
      </c>
      <c r="C136" t="s">
        <v>1067</v>
      </c>
      <c r="D136" t="s">
        <v>1068</v>
      </c>
      <c r="E136" t="s">
        <v>184</v>
      </c>
      <c r="F136" t="s">
        <v>1057</v>
      </c>
      <c r="G136" t="s">
        <v>184</v>
      </c>
      <c r="H136" t="s">
        <v>1069</v>
      </c>
      <c r="I136" t="s">
        <v>184</v>
      </c>
      <c r="J136" t="s">
        <v>184</v>
      </c>
      <c r="K136" t="s">
        <v>184</v>
      </c>
      <c r="L136" t="s">
        <v>1070</v>
      </c>
      <c r="M136" t="s">
        <v>184</v>
      </c>
    </row>
    <row r="137" spans="1:13">
      <c r="A137" t="s">
        <v>1065</v>
      </c>
      <c r="B137" t="s">
        <v>1071</v>
      </c>
      <c r="C137" t="s">
        <v>1072</v>
      </c>
      <c r="D137" t="s">
        <v>1073</v>
      </c>
      <c r="E137" t="s">
        <v>184</v>
      </c>
      <c r="F137" t="s">
        <v>1057</v>
      </c>
      <c r="G137" t="s">
        <v>184</v>
      </c>
      <c r="H137" t="s">
        <v>1074</v>
      </c>
      <c r="I137" t="s">
        <v>184</v>
      </c>
      <c r="J137" t="s">
        <v>184</v>
      </c>
      <c r="K137" t="s">
        <v>184</v>
      </c>
      <c r="L137" t="s">
        <v>1075</v>
      </c>
      <c r="M137" t="s">
        <v>184</v>
      </c>
    </row>
    <row r="138" spans="1:13">
      <c r="A138" t="s">
        <v>1065</v>
      </c>
      <c r="B138" t="s">
        <v>1076</v>
      </c>
      <c r="C138" t="s">
        <v>1077</v>
      </c>
      <c r="D138" t="s">
        <v>1078</v>
      </c>
      <c r="E138" t="s">
        <v>184</v>
      </c>
      <c r="F138" t="s">
        <v>1057</v>
      </c>
      <c r="G138" t="s">
        <v>184</v>
      </c>
      <c r="H138" t="s">
        <v>1079</v>
      </c>
      <c r="I138" t="s">
        <v>184</v>
      </c>
      <c r="J138" t="s">
        <v>184</v>
      </c>
      <c r="K138" t="s">
        <v>184</v>
      </c>
      <c r="L138" t="s">
        <v>1080</v>
      </c>
      <c r="M138" t="s">
        <v>184</v>
      </c>
    </row>
    <row r="139" spans="1:13">
      <c r="A139" t="s">
        <v>1065</v>
      </c>
      <c r="B139" t="s">
        <v>1081</v>
      </c>
      <c r="C139" t="s">
        <v>1082</v>
      </c>
      <c r="D139" t="s">
        <v>1081</v>
      </c>
      <c r="E139" t="s">
        <v>184</v>
      </c>
      <c r="F139" t="s">
        <v>184</v>
      </c>
      <c r="G139" t="s">
        <v>184</v>
      </c>
      <c r="H139" t="s">
        <v>1083</v>
      </c>
      <c r="I139" t="s">
        <v>184</v>
      </c>
      <c r="J139" t="s">
        <v>184</v>
      </c>
      <c r="K139" t="s">
        <v>184</v>
      </c>
      <c r="L139" t="s">
        <v>1084</v>
      </c>
      <c r="M139" t="s">
        <v>184</v>
      </c>
    </row>
    <row r="140" spans="1:13">
      <c r="A140" t="s">
        <v>1065</v>
      </c>
      <c r="B140" t="s">
        <v>1085</v>
      </c>
      <c r="C140" t="s">
        <v>1086</v>
      </c>
      <c r="D140" t="s">
        <v>1087</v>
      </c>
      <c r="E140" t="s">
        <v>184</v>
      </c>
      <c r="F140" t="s">
        <v>1057</v>
      </c>
      <c r="G140" t="s">
        <v>184</v>
      </c>
      <c r="H140" t="s">
        <v>1088</v>
      </c>
      <c r="I140" t="s">
        <v>184</v>
      </c>
      <c r="J140" t="s">
        <v>184</v>
      </c>
      <c r="K140" t="s">
        <v>184</v>
      </c>
      <c r="L140" t="s">
        <v>1089</v>
      </c>
      <c r="M140" t="s">
        <v>184</v>
      </c>
    </row>
    <row r="141" spans="1:13">
      <c r="A141" t="s">
        <v>1065</v>
      </c>
      <c r="B141" t="s">
        <v>1090</v>
      </c>
      <c r="C141" t="s">
        <v>1091</v>
      </c>
      <c r="D141" t="s">
        <v>1092</v>
      </c>
      <c r="E141" t="s">
        <v>184</v>
      </c>
      <c r="F141" t="s">
        <v>1057</v>
      </c>
      <c r="G141" t="s">
        <v>184</v>
      </c>
      <c r="H141" t="s">
        <v>1093</v>
      </c>
      <c r="I141" t="s">
        <v>184</v>
      </c>
      <c r="J141" t="s">
        <v>184</v>
      </c>
      <c r="K141" t="s">
        <v>184</v>
      </c>
      <c r="L141" t="s">
        <v>1094</v>
      </c>
      <c r="M141" t="s">
        <v>184</v>
      </c>
    </row>
    <row r="142" spans="1:13">
      <c r="A142" t="s">
        <v>1065</v>
      </c>
      <c r="B142" t="s">
        <v>1095</v>
      </c>
      <c r="C142" t="s">
        <v>1096</v>
      </c>
      <c r="D142" t="s">
        <v>1097</v>
      </c>
      <c r="E142" t="s">
        <v>184</v>
      </c>
      <c r="F142" t="s">
        <v>1057</v>
      </c>
      <c r="G142" t="s">
        <v>184</v>
      </c>
      <c r="H142" t="s">
        <v>1098</v>
      </c>
      <c r="I142" t="s">
        <v>184</v>
      </c>
      <c r="J142" t="s">
        <v>184</v>
      </c>
      <c r="K142" t="s">
        <v>184</v>
      </c>
      <c r="L142" t="s">
        <v>1099</v>
      </c>
      <c r="M142" t="s">
        <v>184</v>
      </c>
    </row>
    <row r="143" spans="1:13">
      <c r="A143" t="s">
        <v>1100</v>
      </c>
      <c r="B143" t="s">
        <v>1101</v>
      </c>
      <c r="C143" t="s">
        <v>1102</v>
      </c>
      <c r="D143" t="s">
        <v>1103</v>
      </c>
      <c r="E143" t="s">
        <v>184</v>
      </c>
      <c r="F143" t="s">
        <v>1057</v>
      </c>
      <c r="G143" t="s">
        <v>184</v>
      </c>
      <c r="H143" t="s">
        <v>1104</v>
      </c>
      <c r="I143" t="s">
        <v>184</v>
      </c>
      <c r="J143" t="s">
        <v>184</v>
      </c>
      <c r="K143" t="s">
        <v>184</v>
      </c>
      <c r="L143" t="s">
        <v>1105</v>
      </c>
      <c r="M143" t="s">
        <v>184</v>
      </c>
    </row>
    <row r="144" spans="1:13">
      <c r="A144" t="s">
        <v>1100</v>
      </c>
      <c r="B144" t="s">
        <v>1106</v>
      </c>
      <c r="C144" t="s">
        <v>1107</v>
      </c>
      <c r="D144" t="s">
        <v>1108</v>
      </c>
      <c r="E144" t="s">
        <v>184</v>
      </c>
      <c r="F144" t="s">
        <v>1057</v>
      </c>
      <c r="G144" t="s">
        <v>184</v>
      </c>
      <c r="H144" t="s">
        <v>1109</v>
      </c>
      <c r="I144" t="s">
        <v>184</v>
      </c>
      <c r="J144" t="s">
        <v>184</v>
      </c>
      <c r="K144" t="s">
        <v>184</v>
      </c>
      <c r="L144" t="s">
        <v>1110</v>
      </c>
      <c r="M144" t="s">
        <v>184</v>
      </c>
    </row>
    <row r="145" spans="1:13">
      <c r="A145" t="s">
        <v>1100</v>
      </c>
      <c r="B145" t="s">
        <v>1111</v>
      </c>
      <c r="C145" t="s">
        <v>1112</v>
      </c>
      <c r="D145" t="s">
        <v>1111</v>
      </c>
      <c r="E145" t="s">
        <v>184</v>
      </c>
      <c r="F145" t="s">
        <v>1057</v>
      </c>
      <c r="G145" t="s">
        <v>184</v>
      </c>
      <c r="H145" t="s">
        <v>1113</v>
      </c>
      <c r="I145" t="s">
        <v>184</v>
      </c>
      <c r="J145" t="s">
        <v>184</v>
      </c>
      <c r="K145" t="s">
        <v>184</v>
      </c>
      <c r="L145" t="s">
        <v>1114</v>
      </c>
      <c r="M145" t="s">
        <v>184</v>
      </c>
    </row>
    <row r="146" spans="1:13">
      <c r="A146" t="s">
        <v>1100</v>
      </c>
      <c r="B146" t="s">
        <v>2</v>
      </c>
      <c r="C146" t="s">
        <v>1115</v>
      </c>
      <c r="D146" t="s">
        <v>2</v>
      </c>
      <c r="E146" t="s">
        <v>184</v>
      </c>
      <c r="F146" t="s">
        <v>1057</v>
      </c>
      <c r="G146" t="s">
        <v>184</v>
      </c>
      <c r="H146" t="s">
        <v>1116</v>
      </c>
      <c r="I146" t="s">
        <v>184</v>
      </c>
      <c r="J146" t="s">
        <v>184</v>
      </c>
      <c r="K146" t="s">
        <v>184</v>
      </c>
      <c r="L146" t="s">
        <v>1117</v>
      </c>
      <c r="M146" t="s">
        <v>184</v>
      </c>
    </row>
    <row r="147" spans="1:13">
      <c r="A147" t="s">
        <v>1100</v>
      </c>
      <c r="B147" t="s">
        <v>1118</v>
      </c>
      <c r="C147" t="s">
        <v>1119</v>
      </c>
      <c r="D147" t="s">
        <v>1120</v>
      </c>
      <c r="E147" t="s">
        <v>184</v>
      </c>
      <c r="F147" t="s">
        <v>1057</v>
      </c>
      <c r="G147" t="s">
        <v>184</v>
      </c>
      <c r="H147" t="s">
        <v>1121</v>
      </c>
      <c r="I147" t="s">
        <v>184</v>
      </c>
      <c r="J147" t="s">
        <v>184</v>
      </c>
      <c r="K147" t="s">
        <v>184</v>
      </c>
      <c r="L147" t="s">
        <v>1122</v>
      </c>
      <c r="M147" t="s">
        <v>184</v>
      </c>
    </row>
    <row r="148" spans="1:13">
      <c r="A148" t="s">
        <v>1100</v>
      </c>
      <c r="B148" t="s">
        <v>1123</v>
      </c>
      <c r="C148" t="s">
        <v>1124</v>
      </c>
      <c r="D148" t="s">
        <v>1125</v>
      </c>
      <c r="E148" t="s">
        <v>184</v>
      </c>
      <c r="F148" t="s">
        <v>1057</v>
      </c>
      <c r="G148" t="s">
        <v>184</v>
      </c>
      <c r="H148" t="s">
        <v>1126</v>
      </c>
      <c r="I148" t="s">
        <v>184</v>
      </c>
      <c r="J148" t="s">
        <v>184</v>
      </c>
      <c r="K148" t="s">
        <v>184</v>
      </c>
      <c r="L148" t="s">
        <v>1127</v>
      </c>
      <c r="M148" t="s">
        <v>184</v>
      </c>
    </row>
    <row r="149" spans="1:13">
      <c r="A149" t="s">
        <v>1100</v>
      </c>
      <c r="B149" t="s">
        <v>1128</v>
      </c>
      <c r="C149" t="s">
        <v>1129</v>
      </c>
      <c r="D149" t="s">
        <v>1130</v>
      </c>
      <c r="E149" t="s">
        <v>184</v>
      </c>
      <c r="F149" t="s">
        <v>1057</v>
      </c>
      <c r="G149" t="s">
        <v>184</v>
      </c>
      <c r="H149" t="s">
        <v>1131</v>
      </c>
      <c r="I149" t="s">
        <v>184</v>
      </c>
      <c r="J149" t="s">
        <v>184</v>
      </c>
      <c r="K149" t="s">
        <v>184</v>
      </c>
      <c r="L149" t="s">
        <v>1132</v>
      </c>
      <c r="M149" t="s">
        <v>184</v>
      </c>
    </row>
    <row r="150" spans="1:13">
      <c r="A150" t="s">
        <v>1133</v>
      </c>
      <c r="B150" t="s">
        <v>1134</v>
      </c>
      <c r="C150" t="s">
        <v>1135</v>
      </c>
      <c r="D150" t="s">
        <v>1134</v>
      </c>
      <c r="E150" t="s">
        <v>184</v>
      </c>
      <c r="F150" t="s">
        <v>1057</v>
      </c>
      <c r="G150" t="s">
        <v>184</v>
      </c>
      <c r="H150" t="s">
        <v>1136</v>
      </c>
      <c r="I150" t="s">
        <v>184</v>
      </c>
      <c r="J150" t="s">
        <v>184</v>
      </c>
      <c r="K150" t="s">
        <v>184</v>
      </c>
      <c r="L150" t="s">
        <v>1137</v>
      </c>
      <c r="M150" t="s">
        <v>184</v>
      </c>
    </row>
    <row r="151" spans="1:13">
      <c r="A151" t="s">
        <v>1133</v>
      </c>
      <c r="B151" t="s">
        <v>1138</v>
      </c>
      <c r="C151" t="s">
        <v>1139</v>
      </c>
      <c r="D151" t="s">
        <v>1140</v>
      </c>
      <c r="E151" t="s">
        <v>184</v>
      </c>
      <c r="F151" t="s">
        <v>1057</v>
      </c>
      <c r="G151" t="s">
        <v>184</v>
      </c>
      <c r="H151" t="s">
        <v>1141</v>
      </c>
      <c r="I151" t="s">
        <v>184</v>
      </c>
      <c r="J151" t="s">
        <v>184</v>
      </c>
      <c r="K151" t="s">
        <v>184</v>
      </c>
      <c r="L151" t="s">
        <v>1142</v>
      </c>
      <c r="M151" t="s">
        <v>184</v>
      </c>
    </row>
    <row r="152" spans="1:13">
      <c r="A152" t="s">
        <v>1133</v>
      </c>
      <c r="B152" t="s">
        <v>1143</v>
      </c>
      <c r="C152" t="s">
        <v>1144</v>
      </c>
      <c r="D152" t="s">
        <v>1145</v>
      </c>
      <c r="E152" t="s">
        <v>184</v>
      </c>
      <c r="F152" t="s">
        <v>1057</v>
      </c>
      <c r="G152" t="s">
        <v>184</v>
      </c>
      <c r="H152" t="s">
        <v>1146</v>
      </c>
      <c r="I152" t="s">
        <v>184</v>
      </c>
      <c r="J152" t="s">
        <v>184</v>
      </c>
      <c r="K152" t="s">
        <v>184</v>
      </c>
      <c r="L152" t="s">
        <v>1147</v>
      </c>
      <c r="M152" t="s">
        <v>184</v>
      </c>
    </row>
    <row r="153" spans="1:13">
      <c r="A153" t="s">
        <v>1133</v>
      </c>
      <c r="B153" t="s">
        <v>1148</v>
      </c>
      <c r="C153" t="s">
        <v>1149</v>
      </c>
      <c r="D153" t="s">
        <v>1150</v>
      </c>
      <c r="E153" t="s">
        <v>184</v>
      </c>
      <c r="F153" t="s">
        <v>1057</v>
      </c>
      <c r="G153" t="s">
        <v>184</v>
      </c>
      <c r="H153" t="s">
        <v>1151</v>
      </c>
      <c r="I153" t="s">
        <v>184</v>
      </c>
      <c r="J153" t="s">
        <v>184</v>
      </c>
      <c r="K153" t="s">
        <v>184</v>
      </c>
      <c r="L153" t="s">
        <v>1152</v>
      </c>
      <c r="M153" t="s">
        <v>184</v>
      </c>
    </row>
    <row r="154" spans="1:13">
      <c r="A154" t="s">
        <v>1133</v>
      </c>
      <c r="B154" t="s">
        <v>1153</v>
      </c>
      <c r="C154" t="s">
        <v>1154</v>
      </c>
      <c r="D154" t="s">
        <v>1155</v>
      </c>
      <c r="E154" t="s">
        <v>184</v>
      </c>
      <c r="F154" t="s">
        <v>1057</v>
      </c>
      <c r="G154" t="s">
        <v>184</v>
      </c>
      <c r="H154" t="s">
        <v>1156</v>
      </c>
      <c r="I154" t="s">
        <v>184</v>
      </c>
      <c r="J154" t="s">
        <v>184</v>
      </c>
      <c r="K154" t="s">
        <v>184</v>
      </c>
      <c r="L154" t="s">
        <v>1157</v>
      </c>
      <c r="M154" t="s">
        <v>184</v>
      </c>
    </row>
    <row r="155" spans="1:13">
      <c r="A155" t="s">
        <v>1133</v>
      </c>
      <c r="B155" t="s">
        <v>1158</v>
      </c>
      <c r="C155" t="s">
        <v>1159</v>
      </c>
      <c r="D155" t="s">
        <v>1160</v>
      </c>
      <c r="E155" t="s">
        <v>184</v>
      </c>
      <c r="F155" t="s">
        <v>1057</v>
      </c>
      <c r="G155" t="s">
        <v>184</v>
      </c>
      <c r="H155" t="s">
        <v>1161</v>
      </c>
      <c r="I155" t="s">
        <v>184</v>
      </c>
      <c r="J155" t="s">
        <v>184</v>
      </c>
      <c r="K155" t="s">
        <v>184</v>
      </c>
      <c r="L155" t="s">
        <v>1162</v>
      </c>
      <c r="M155" t="s">
        <v>184</v>
      </c>
    </row>
    <row r="156" spans="1:13">
      <c r="A156" t="s">
        <v>1163</v>
      </c>
      <c r="B156" t="s">
        <v>1164</v>
      </c>
      <c r="C156" t="s">
        <v>1165</v>
      </c>
      <c r="D156" t="s">
        <v>1166</v>
      </c>
      <c r="E156" t="s">
        <v>184</v>
      </c>
      <c r="F156" t="s">
        <v>1057</v>
      </c>
      <c r="G156" t="s">
        <v>184</v>
      </c>
      <c r="H156" t="s">
        <v>1167</v>
      </c>
      <c r="I156" t="s">
        <v>184</v>
      </c>
      <c r="J156" t="s">
        <v>184</v>
      </c>
      <c r="K156" t="s">
        <v>184</v>
      </c>
      <c r="L156" t="s">
        <v>1168</v>
      </c>
      <c r="M156" t="s">
        <v>184</v>
      </c>
    </row>
    <row r="157" spans="1:13">
      <c r="A157" t="s">
        <v>1163</v>
      </c>
      <c r="B157" t="s">
        <v>1169</v>
      </c>
      <c r="C157" t="s">
        <v>1170</v>
      </c>
      <c r="D157" t="s">
        <v>1171</v>
      </c>
      <c r="E157" t="s">
        <v>184</v>
      </c>
      <c r="F157" t="s">
        <v>1057</v>
      </c>
      <c r="G157" t="s">
        <v>184</v>
      </c>
      <c r="H157" t="s">
        <v>1172</v>
      </c>
      <c r="I157" t="s">
        <v>184</v>
      </c>
      <c r="J157" t="s">
        <v>184</v>
      </c>
      <c r="K157" t="s">
        <v>184</v>
      </c>
      <c r="L157" t="s">
        <v>1173</v>
      </c>
      <c r="M157" t="s">
        <v>184</v>
      </c>
    </row>
    <row r="158" spans="1:13">
      <c r="A158" t="s">
        <v>1163</v>
      </c>
      <c r="B158" t="s">
        <v>1174</v>
      </c>
      <c r="C158" t="s">
        <v>1175</v>
      </c>
      <c r="D158" t="s">
        <v>1176</v>
      </c>
      <c r="E158" t="s">
        <v>184</v>
      </c>
      <c r="F158" t="s">
        <v>1057</v>
      </c>
      <c r="G158" t="s">
        <v>184</v>
      </c>
      <c r="H158" t="s">
        <v>1177</v>
      </c>
      <c r="I158" t="s">
        <v>184</v>
      </c>
      <c r="J158" t="s">
        <v>184</v>
      </c>
      <c r="K158" t="s">
        <v>184</v>
      </c>
      <c r="L158" t="s">
        <v>1178</v>
      </c>
      <c r="M158" t="s">
        <v>184</v>
      </c>
    </row>
    <row r="159" spans="1:13">
      <c r="A159" t="s">
        <v>1163</v>
      </c>
      <c r="B159" t="s">
        <v>1179</v>
      </c>
      <c r="C159" t="s">
        <v>1180</v>
      </c>
      <c r="D159" t="s">
        <v>1181</v>
      </c>
      <c r="E159" t="s">
        <v>184</v>
      </c>
      <c r="F159" t="s">
        <v>184</v>
      </c>
      <c r="G159" t="s">
        <v>184</v>
      </c>
      <c r="H159" t="s">
        <v>184</v>
      </c>
      <c r="I159" t="s">
        <v>184</v>
      </c>
      <c r="J159" t="s">
        <v>184</v>
      </c>
      <c r="K159" t="s">
        <v>184</v>
      </c>
      <c r="L159" t="s">
        <v>1182</v>
      </c>
      <c r="M159" t="s">
        <v>184</v>
      </c>
    </row>
    <row r="160" spans="1:13">
      <c r="A160" t="s">
        <v>1163</v>
      </c>
      <c r="B160" t="s">
        <v>1183</v>
      </c>
      <c r="C160" t="s">
        <v>1184</v>
      </c>
      <c r="D160" t="s">
        <v>1185</v>
      </c>
      <c r="E160" t="s">
        <v>184</v>
      </c>
      <c r="F160" t="s">
        <v>1057</v>
      </c>
      <c r="G160" t="s">
        <v>184</v>
      </c>
      <c r="H160" t="s">
        <v>1186</v>
      </c>
      <c r="I160" t="s">
        <v>184</v>
      </c>
      <c r="J160" t="s">
        <v>184</v>
      </c>
      <c r="K160" t="s">
        <v>184</v>
      </c>
      <c r="L160" t="s">
        <v>1187</v>
      </c>
      <c r="M160" t="s">
        <v>184</v>
      </c>
    </row>
    <row r="161" spans="1:13">
      <c r="A161" t="s">
        <v>1163</v>
      </c>
      <c r="B161" t="s">
        <v>1188</v>
      </c>
      <c r="C161" t="s">
        <v>1189</v>
      </c>
      <c r="D161" t="s">
        <v>1190</v>
      </c>
      <c r="E161" t="s">
        <v>184</v>
      </c>
      <c r="F161" t="s">
        <v>1057</v>
      </c>
      <c r="G161" t="s">
        <v>184</v>
      </c>
      <c r="H161" t="s">
        <v>1191</v>
      </c>
      <c r="I161" t="s">
        <v>184</v>
      </c>
      <c r="J161" t="s">
        <v>184</v>
      </c>
      <c r="K161" t="s">
        <v>184</v>
      </c>
      <c r="L161" t="s">
        <v>1192</v>
      </c>
      <c r="M161" t="s">
        <v>184</v>
      </c>
    </row>
    <row r="162" spans="1:13">
      <c r="A162" t="s">
        <v>1193</v>
      </c>
      <c r="B162" t="s">
        <v>1194</v>
      </c>
      <c r="C162" t="s">
        <v>1195</v>
      </c>
      <c r="D162" t="s">
        <v>1196</v>
      </c>
      <c r="E162" t="s">
        <v>184</v>
      </c>
      <c r="F162" t="s">
        <v>1057</v>
      </c>
      <c r="G162" t="s">
        <v>184</v>
      </c>
      <c r="H162" t="s">
        <v>1197</v>
      </c>
      <c r="I162" t="s">
        <v>184</v>
      </c>
      <c r="J162" t="s">
        <v>184</v>
      </c>
      <c r="K162" t="s">
        <v>184</v>
      </c>
      <c r="L162" t="s">
        <v>1198</v>
      </c>
      <c r="M162" t="s">
        <v>184</v>
      </c>
    </row>
    <row r="163" spans="1:13">
      <c r="A163" t="s">
        <v>1193</v>
      </c>
      <c r="B163" t="s">
        <v>1199</v>
      </c>
      <c r="C163" t="s">
        <v>1200</v>
      </c>
      <c r="D163" t="s">
        <v>1201</v>
      </c>
      <c r="E163" t="s">
        <v>184</v>
      </c>
      <c r="F163" t="s">
        <v>1057</v>
      </c>
      <c r="G163" t="s">
        <v>184</v>
      </c>
      <c r="H163" t="s">
        <v>1202</v>
      </c>
      <c r="I163" t="s">
        <v>184</v>
      </c>
      <c r="J163" t="s">
        <v>184</v>
      </c>
      <c r="K163" t="s">
        <v>184</v>
      </c>
      <c r="L163" t="s">
        <v>1203</v>
      </c>
      <c r="M163" t="s">
        <v>184</v>
      </c>
    </row>
    <row r="164" spans="1:13">
      <c r="A164" t="s">
        <v>1193</v>
      </c>
      <c r="B164" t="s">
        <v>1204</v>
      </c>
      <c r="C164" t="s">
        <v>1205</v>
      </c>
      <c r="D164" t="s">
        <v>1206</v>
      </c>
      <c r="E164" t="s">
        <v>184</v>
      </c>
      <c r="F164" t="s">
        <v>1057</v>
      </c>
      <c r="G164" t="s">
        <v>184</v>
      </c>
      <c r="H164" t="s">
        <v>1207</v>
      </c>
      <c r="I164" t="s">
        <v>184</v>
      </c>
      <c r="J164" t="s">
        <v>184</v>
      </c>
      <c r="K164" t="s">
        <v>184</v>
      </c>
      <c r="L164" t="s">
        <v>1208</v>
      </c>
      <c r="M164" t="s">
        <v>184</v>
      </c>
    </row>
    <row r="165" spans="1:13">
      <c r="A165" t="s">
        <v>1193</v>
      </c>
      <c r="B165" t="s">
        <v>1209</v>
      </c>
      <c r="C165" t="s">
        <v>1210</v>
      </c>
      <c r="D165" t="s">
        <v>1211</v>
      </c>
      <c r="E165" t="s">
        <v>184</v>
      </c>
      <c r="F165" t="s">
        <v>1057</v>
      </c>
      <c r="G165" t="s">
        <v>184</v>
      </c>
      <c r="H165" t="s">
        <v>1212</v>
      </c>
      <c r="I165" t="s">
        <v>184</v>
      </c>
      <c r="J165" t="s">
        <v>184</v>
      </c>
      <c r="K165" t="s">
        <v>184</v>
      </c>
      <c r="L165" t="s">
        <v>1213</v>
      </c>
      <c r="M165" t="s">
        <v>184</v>
      </c>
    </row>
    <row r="166" spans="1:13">
      <c r="A166" t="s">
        <v>1193</v>
      </c>
      <c r="B166" t="s">
        <v>1214</v>
      </c>
      <c r="C166" t="s">
        <v>1215</v>
      </c>
      <c r="D166" t="s">
        <v>1214</v>
      </c>
      <c r="E166" t="s">
        <v>184</v>
      </c>
      <c r="F166" t="s">
        <v>1057</v>
      </c>
      <c r="G166" t="s">
        <v>184</v>
      </c>
      <c r="H166" t="s">
        <v>1216</v>
      </c>
      <c r="I166" t="s">
        <v>184</v>
      </c>
      <c r="J166" t="s">
        <v>184</v>
      </c>
      <c r="K166" t="s">
        <v>184</v>
      </c>
      <c r="L166" t="s">
        <v>1217</v>
      </c>
      <c r="M166" t="s">
        <v>184</v>
      </c>
    </row>
    <row r="167" spans="1:13">
      <c r="A167" t="s">
        <v>1193</v>
      </c>
      <c r="B167" t="s">
        <v>1218</v>
      </c>
      <c r="C167" t="s">
        <v>1219</v>
      </c>
      <c r="D167" t="s">
        <v>1218</v>
      </c>
      <c r="E167" t="s">
        <v>184</v>
      </c>
      <c r="F167" t="s">
        <v>1057</v>
      </c>
      <c r="G167" t="s">
        <v>184</v>
      </c>
      <c r="H167" t="s">
        <v>1220</v>
      </c>
      <c r="I167" t="s">
        <v>184</v>
      </c>
      <c r="J167" t="s">
        <v>184</v>
      </c>
      <c r="K167" t="s">
        <v>184</v>
      </c>
      <c r="L167" t="s">
        <v>1221</v>
      </c>
      <c r="M167" t="s">
        <v>184</v>
      </c>
    </row>
    <row r="168" spans="1:13">
      <c r="A168" t="s">
        <v>1193</v>
      </c>
      <c r="B168" t="s">
        <v>1222</v>
      </c>
      <c r="C168" t="s">
        <v>1223</v>
      </c>
      <c r="D168" t="s">
        <v>1222</v>
      </c>
      <c r="E168" t="s">
        <v>184</v>
      </c>
      <c r="F168" t="s">
        <v>1057</v>
      </c>
      <c r="G168" t="s">
        <v>184</v>
      </c>
      <c r="H168" t="s">
        <v>1197</v>
      </c>
      <c r="I168" t="s">
        <v>184</v>
      </c>
      <c r="J168" t="s">
        <v>184</v>
      </c>
      <c r="K168" t="s">
        <v>184</v>
      </c>
      <c r="L168" t="s">
        <v>1224</v>
      </c>
      <c r="M168" t="s">
        <v>184</v>
      </c>
    </row>
    <row r="169" spans="1:13">
      <c r="A169" t="s">
        <v>1193</v>
      </c>
      <c r="B169" t="s">
        <v>1225</v>
      </c>
      <c r="C169" t="s">
        <v>1226</v>
      </c>
      <c r="D169" t="s">
        <v>1225</v>
      </c>
      <c r="E169" t="s">
        <v>184</v>
      </c>
      <c r="F169" t="s">
        <v>1057</v>
      </c>
      <c r="G169" t="s">
        <v>184</v>
      </c>
      <c r="H169" t="s">
        <v>1227</v>
      </c>
      <c r="I169" t="s">
        <v>184</v>
      </c>
      <c r="J169" t="s">
        <v>184</v>
      </c>
      <c r="K169" t="s">
        <v>184</v>
      </c>
      <c r="L169" t="s">
        <v>1228</v>
      </c>
      <c r="M169" t="s">
        <v>184</v>
      </c>
    </row>
    <row r="170" spans="1:13">
      <c r="A170" t="s">
        <v>1193</v>
      </c>
      <c r="B170" t="s">
        <v>1229</v>
      </c>
      <c r="C170" t="s">
        <v>1230</v>
      </c>
      <c r="D170" t="s">
        <v>1229</v>
      </c>
      <c r="E170" t="s">
        <v>184</v>
      </c>
      <c r="F170" t="s">
        <v>1057</v>
      </c>
      <c r="G170" t="s">
        <v>184</v>
      </c>
      <c r="H170" t="s">
        <v>1231</v>
      </c>
      <c r="I170" t="s">
        <v>184</v>
      </c>
      <c r="J170" t="s">
        <v>184</v>
      </c>
      <c r="K170" t="s">
        <v>184</v>
      </c>
      <c r="L170" t="s">
        <v>1232</v>
      </c>
      <c r="M170" t="s">
        <v>184</v>
      </c>
    </row>
    <row r="171" spans="1:13">
      <c r="A171" t="s">
        <v>1233</v>
      </c>
      <c r="B171" t="s">
        <v>1234</v>
      </c>
      <c r="C171" t="s">
        <v>1235</v>
      </c>
      <c r="D171" t="s">
        <v>1234</v>
      </c>
      <c r="E171" t="s">
        <v>184</v>
      </c>
      <c r="F171" t="s">
        <v>1057</v>
      </c>
      <c r="G171" t="s">
        <v>184</v>
      </c>
      <c r="H171" t="s">
        <v>1236</v>
      </c>
      <c r="I171" t="s">
        <v>184</v>
      </c>
      <c r="J171" t="s">
        <v>184</v>
      </c>
      <c r="K171" t="s">
        <v>184</v>
      </c>
      <c r="L171" t="s">
        <v>1237</v>
      </c>
      <c r="M171" t="s">
        <v>184</v>
      </c>
    </row>
    <row r="172" spans="1:13">
      <c r="A172" t="s">
        <v>1233</v>
      </c>
      <c r="B172" t="s">
        <v>1238</v>
      </c>
      <c r="C172" t="s">
        <v>1239</v>
      </c>
      <c r="D172" t="s">
        <v>1238</v>
      </c>
      <c r="E172" t="s">
        <v>184</v>
      </c>
      <c r="F172" t="s">
        <v>1057</v>
      </c>
      <c r="G172" t="s">
        <v>184</v>
      </c>
      <c r="H172" t="s">
        <v>1240</v>
      </c>
      <c r="I172" t="s">
        <v>184</v>
      </c>
      <c r="J172" t="s">
        <v>184</v>
      </c>
      <c r="K172" t="s">
        <v>184</v>
      </c>
      <c r="L172" t="s">
        <v>1241</v>
      </c>
      <c r="M172" t="s">
        <v>184</v>
      </c>
    </row>
    <row r="173" spans="1:13">
      <c r="A173" t="s">
        <v>1233</v>
      </c>
      <c r="B173" t="s">
        <v>1242</v>
      </c>
      <c r="C173" t="s">
        <v>1243</v>
      </c>
      <c r="D173" t="s">
        <v>1242</v>
      </c>
      <c r="E173" t="s">
        <v>184</v>
      </c>
      <c r="F173" t="s">
        <v>1057</v>
      </c>
      <c r="G173" t="s">
        <v>184</v>
      </c>
      <c r="H173" t="s">
        <v>1244</v>
      </c>
      <c r="I173" t="s">
        <v>184</v>
      </c>
      <c r="J173" t="s">
        <v>184</v>
      </c>
      <c r="K173" t="s">
        <v>184</v>
      </c>
      <c r="L173" t="s">
        <v>1245</v>
      </c>
      <c r="M173" t="s">
        <v>184</v>
      </c>
    </row>
    <row r="174" spans="1:13">
      <c r="A174" t="s">
        <v>1233</v>
      </c>
      <c r="B174" t="s">
        <v>1246</v>
      </c>
      <c r="C174" t="s">
        <v>1247</v>
      </c>
      <c r="D174" t="s">
        <v>1246</v>
      </c>
      <c r="E174" t="s">
        <v>184</v>
      </c>
      <c r="F174" t="s">
        <v>1057</v>
      </c>
      <c r="G174" t="s">
        <v>184</v>
      </c>
      <c r="H174" t="s">
        <v>1248</v>
      </c>
      <c r="I174" t="s">
        <v>184</v>
      </c>
      <c r="J174" t="s">
        <v>184</v>
      </c>
      <c r="K174" t="s">
        <v>184</v>
      </c>
      <c r="L174" t="s">
        <v>1249</v>
      </c>
      <c r="M174" t="s">
        <v>184</v>
      </c>
    </row>
    <row r="175" spans="1:13">
      <c r="A175" t="s">
        <v>1233</v>
      </c>
      <c r="B175" t="s">
        <v>1250</v>
      </c>
      <c r="C175" t="s">
        <v>1251</v>
      </c>
      <c r="D175" t="s">
        <v>1250</v>
      </c>
      <c r="E175" t="s">
        <v>184</v>
      </c>
      <c r="F175" t="s">
        <v>1057</v>
      </c>
      <c r="G175" t="s">
        <v>184</v>
      </c>
      <c r="H175" t="s">
        <v>1252</v>
      </c>
      <c r="I175" t="s">
        <v>184</v>
      </c>
      <c r="J175" t="s">
        <v>184</v>
      </c>
      <c r="K175" t="s">
        <v>184</v>
      </c>
      <c r="L175" t="s">
        <v>1253</v>
      </c>
      <c r="M175" t="s">
        <v>184</v>
      </c>
    </row>
    <row r="176" spans="1:13">
      <c r="A176" t="s">
        <v>1233</v>
      </c>
      <c r="B176" t="s">
        <v>1254</v>
      </c>
      <c r="C176" t="s">
        <v>1255</v>
      </c>
      <c r="D176" t="s">
        <v>1254</v>
      </c>
      <c r="E176" t="s">
        <v>184</v>
      </c>
      <c r="F176" t="s">
        <v>1057</v>
      </c>
      <c r="G176" t="s">
        <v>184</v>
      </c>
      <c r="H176" t="s">
        <v>1256</v>
      </c>
      <c r="I176" t="s">
        <v>184</v>
      </c>
      <c r="J176" t="s">
        <v>184</v>
      </c>
      <c r="K176" t="s">
        <v>184</v>
      </c>
      <c r="L176" t="s">
        <v>1257</v>
      </c>
      <c r="M176" t="s">
        <v>184</v>
      </c>
    </row>
    <row r="177" spans="1:13">
      <c r="A177" t="s">
        <v>1258</v>
      </c>
      <c r="B177" t="s">
        <v>1259</v>
      </c>
      <c r="C177" t="s">
        <v>1260</v>
      </c>
      <c r="D177" t="s">
        <v>1259</v>
      </c>
      <c r="E177" t="s">
        <v>184</v>
      </c>
      <c r="F177" t="s">
        <v>1057</v>
      </c>
      <c r="G177" t="s">
        <v>184</v>
      </c>
      <c r="H177" t="s">
        <v>1261</v>
      </c>
      <c r="I177" t="s">
        <v>184</v>
      </c>
      <c r="J177" t="s">
        <v>184</v>
      </c>
      <c r="K177" t="s">
        <v>184</v>
      </c>
      <c r="L177" t="s">
        <v>1262</v>
      </c>
      <c r="M177" t="s">
        <v>184</v>
      </c>
    </row>
    <row r="178" spans="1:13">
      <c r="A178" t="s">
        <v>1258</v>
      </c>
      <c r="B178" t="s">
        <v>1263</v>
      </c>
      <c r="C178" t="s">
        <v>1264</v>
      </c>
      <c r="D178" t="s">
        <v>1263</v>
      </c>
      <c r="E178" t="s">
        <v>184</v>
      </c>
      <c r="F178" t="s">
        <v>1057</v>
      </c>
      <c r="G178" t="s">
        <v>184</v>
      </c>
      <c r="H178" t="s">
        <v>1265</v>
      </c>
      <c r="I178" t="s">
        <v>184</v>
      </c>
      <c r="J178" t="s">
        <v>184</v>
      </c>
      <c r="K178" t="s">
        <v>184</v>
      </c>
      <c r="L178" t="s">
        <v>1266</v>
      </c>
      <c r="M178" t="s">
        <v>184</v>
      </c>
    </row>
    <row r="179" spans="1:13">
      <c r="A179" t="s">
        <v>1258</v>
      </c>
      <c r="B179" t="s">
        <v>1267</v>
      </c>
      <c r="C179" t="s">
        <v>1268</v>
      </c>
      <c r="D179" t="s">
        <v>1267</v>
      </c>
      <c r="E179" t="s">
        <v>184</v>
      </c>
      <c r="F179" t="s">
        <v>1057</v>
      </c>
      <c r="G179" t="s">
        <v>184</v>
      </c>
      <c r="H179" t="s">
        <v>1269</v>
      </c>
      <c r="I179" t="s">
        <v>184</v>
      </c>
      <c r="J179" t="s">
        <v>184</v>
      </c>
      <c r="K179" t="s">
        <v>184</v>
      </c>
      <c r="L179" t="s">
        <v>1270</v>
      </c>
      <c r="M179" t="s">
        <v>184</v>
      </c>
    </row>
    <row r="180" spans="1:13">
      <c r="A180" t="s">
        <v>1271</v>
      </c>
      <c r="B180" t="s">
        <v>1259</v>
      </c>
      <c r="C180" t="s">
        <v>1272</v>
      </c>
      <c r="D180" t="s">
        <v>1259</v>
      </c>
      <c r="E180" t="s">
        <v>184</v>
      </c>
      <c r="F180" t="s">
        <v>1057</v>
      </c>
      <c r="G180" t="s">
        <v>184</v>
      </c>
      <c r="H180" t="s">
        <v>1261</v>
      </c>
      <c r="I180" t="s">
        <v>184</v>
      </c>
      <c r="J180" t="s">
        <v>184</v>
      </c>
      <c r="K180" t="s">
        <v>184</v>
      </c>
      <c r="L180" t="s">
        <v>1273</v>
      </c>
      <c r="M180" t="s">
        <v>184</v>
      </c>
    </row>
    <row r="181" spans="1:13">
      <c r="A181" t="s">
        <v>1271</v>
      </c>
      <c r="B181" t="s">
        <v>1263</v>
      </c>
      <c r="C181" t="s">
        <v>1274</v>
      </c>
      <c r="D181" t="s">
        <v>1263</v>
      </c>
      <c r="E181" t="s">
        <v>184</v>
      </c>
      <c r="F181" t="s">
        <v>1057</v>
      </c>
      <c r="G181" t="s">
        <v>184</v>
      </c>
      <c r="H181" t="s">
        <v>1265</v>
      </c>
      <c r="I181" t="s">
        <v>184</v>
      </c>
      <c r="J181" t="s">
        <v>184</v>
      </c>
      <c r="K181" t="s">
        <v>184</v>
      </c>
      <c r="L181" t="s">
        <v>1275</v>
      </c>
      <c r="M181" t="s">
        <v>184</v>
      </c>
    </row>
    <row r="182" spans="1:13">
      <c r="A182" t="s">
        <v>1271</v>
      </c>
      <c r="B182" t="s">
        <v>1267</v>
      </c>
      <c r="C182" t="s">
        <v>1276</v>
      </c>
      <c r="D182" t="s">
        <v>1267</v>
      </c>
      <c r="E182" t="s">
        <v>184</v>
      </c>
      <c r="F182" t="s">
        <v>1057</v>
      </c>
      <c r="G182" t="s">
        <v>184</v>
      </c>
      <c r="H182" t="s">
        <v>1269</v>
      </c>
      <c r="I182" t="s">
        <v>184</v>
      </c>
      <c r="J182" t="s">
        <v>184</v>
      </c>
      <c r="K182" t="s">
        <v>184</v>
      </c>
      <c r="L182" t="s">
        <v>1277</v>
      </c>
      <c r="M182" t="s">
        <v>184</v>
      </c>
    </row>
    <row r="183" spans="1:13">
      <c r="A183" t="s">
        <v>1278</v>
      </c>
      <c r="B183" t="s">
        <v>1279</v>
      </c>
      <c r="C183" t="s">
        <v>1280</v>
      </c>
      <c r="D183" t="s">
        <v>1279</v>
      </c>
      <c r="E183" t="s">
        <v>184</v>
      </c>
      <c r="F183" t="s">
        <v>1057</v>
      </c>
      <c r="G183" t="s">
        <v>184</v>
      </c>
      <c r="H183" t="s">
        <v>1281</v>
      </c>
      <c r="I183" t="s">
        <v>184</v>
      </c>
      <c r="J183" t="s">
        <v>184</v>
      </c>
      <c r="K183" t="s">
        <v>184</v>
      </c>
      <c r="L183" t="s">
        <v>1282</v>
      </c>
      <c r="M183" t="s">
        <v>184</v>
      </c>
    </row>
    <row r="184" spans="1:13">
      <c r="A184" t="s">
        <v>1278</v>
      </c>
      <c r="B184" t="s">
        <v>1283</v>
      </c>
      <c r="C184" t="s">
        <v>1284</v>
      </c>
      <c r="D184" t="s">
        <v>1283</v>
      </c>
      <c r="E184" t="s">
        <v>184</v>
      </c>
      <c r="F184" t="s">
        <v>1057</v>
      </c>
      <c r="G184" t="s">
        <v>184</v>
      </c>
      <c r="H184" t="s">
        <v>1285</v>
      </c>
      <c r="I184" t="s">
        <v>184</v>
      </c>
      <c r="J184" t="s">
        <v>184</v>
      </c>
      <c r="K184" t="s">
        <v>184</v>
      </c>
      <c r="L184" t="s">
        <v>1286</v>
      </c>
      <c r="M184" t="s">
        <v>184</v>
      </c>
    </row>
    <row r="185" spans="1:13">
      <c r="A185" t="s">
        <v>1278</v>
      </c>
      <c r="B185" t="s">
        <v>1287</v>
      </c>
      <c r="C185" t="s">
        <v>1288</v>
      </c>
      <c r="D185" t="s">
        <v>1287</v>
      </c>
      <c r="E185" t="s">
        <v>184</v>
      </c>
      <c r="F185" t="s">
        <v>1057</v>
      </c>
      <c r="G185" t="s">
        <v>184</v>
      </c>
      <c r="H185" t="s">
        <v>1289</v>
      </c>
      <c r="I185" t="s">
        <v>184</v>
      </c>
      <c r="J185" t="s">
        <v>184</v>
      </c>
      <c r="K185" t="s">
        <v>184</v>
      </c>
      <c r="L185" t="s">
        <v>1290</v>
      </c>
      <c r="M185" t="s">
        <v>184</v>
      </c>
    </row>
    <row r="186" spans="1:13">
      <c r="A186" t="s">
        <v>1278</v>
      </c>
      <c r="B186" t="s">
        <v>1291</v>
      </c>
      <c r="C186" s="73" t="s">
        <v>1461</v>
      </c>
      <c r="D186" t="s">
        <v>1291</v>
      </c>
      <c r="E186" t="s">
        <v>184</v>
      </c>
      <c r="F186" t="s">
        <v>1057</v>
      </c>
      <c r="G186" t="s">
        <v>184</v>
      </c>
      <c r="H186" t="s">
        <v>1292</v>
      </c>
      <c r="I186" t="s">
        <v>184</v>
      </c>
      <c r="J186" t="s">
        <v>184</v>
      </c>
      <c r="K186" t="s">
        <v>184</v>
      </c>
      <c r="L186" t="s">
        <v>1293</v>
      </c>
      <c r="M186" t="s">
        <v>184</v>
      </c>
    </row>
    <row r="187" spans="1:13">
      <c r="A187" t="s">
        <v>1278</v>
      </c>
      <c r="B187" t="s">
        <v>1294</v>
      </c>
      <c r="C187" t="s">
        <v>1295</v>
      </c>
      <c r="D187" t="s">
        <v>1294</v>
      </c>
      <c r="E187" t="s">
        <v>184</v>
      </c>
      <c r="F187" t="s">
        <v>1057</v>
      </c>
      <c r="G187" t="s">
        <v>184</v>
      </c>
      <c r="H187" t="s">
        <v>1296</v>
      </c>
      <c r="I187" t="s">
        <v>184</v>
      </c>
      <c r="J187" t="s">
        <v>184</v>
      </c>
      <c r="K187" t="s">
        <v>184</v>
      </c>
      <c r="L187" t="s">
        <v>1297</v>
      </c>
      <c r="M187" t="s">
        <v>184</v>
      </c>
    </row>
    <row r="188" spans="1:13">
      <c r="A188" t="s">
        <v>1278</v>
      </c>
      <c r="B188" t="s">
        <v>1298</v>
      </c>
      <c r="C188" t="s">
        <v>1299</v>
      </c>
      <c r="D188" t="s">
        <v>1298</v>
      </c>
      <c r="E188" t="s">
        <v>184</v>
      </c>
      <c r="F188" t="s">
        <v>1057</v>
      </c>
      <c r="G188" t="s">
        <v>184</v>
      </c>
      <c r="H188" t="s">
        <v>1300</v>
      </c>
      <c r="I188" t="s">
        <v>184</v>
      </c>
      <c r="J188" t="s">
        <v>184</v>
      </c>
      <c r="K188" t="s">
        <v>184</v>
      </c>
      <c r="L188" t="s">
        <v>1301</v>
      </c>
      <c r="M188" t="s">
        <v>184</v>
      </c>
    </row>
    <row r="189" spans="1:13">
      <c r="A189" t="s">
        <v>1278</v>
      </c>
      <c r="B189" t="s">
        <v>1242</v>
      </c>
      <c r="C189" t="s">
        <v>1302</v>
      </c>
      <c r="D189" t="s">
        <v>1242</v>
      </c>
      <c r="E189" t="s">
        <v>184</v>
      </c>
      <c r="F189" t="s">
        <v>1057</v>
      </c>
      <c r="G189" t="s">
        <v>184</v>
      </c>
      <c r="H189" t="s">
        <v>1244</v>
      </c>
      <c r="I189" t="s">
        <v>184</v>
      </c>
      <c r="J189" t="s">
        <v>184</v>
      </c>
      <c r="K189" t="s">
        <v>184</v>
      </c>
      <c r="L189" t="s">
        <v>1303</v>
      </c>
      <c r="M189" t="s">
        <v>184</v>
      </c>
    </row>
    <row r="190" spans="1:13">
      <c r="A190" t="s">
        <v>1278</v>
      </c>
      <c r="B190" t="s">
        <v>1138</v>
      </c>
      <c r="C190" t="s">
        <v>1304</v>
      </c>
      <c r="D190" t="s">
        <v>1138</v>
      </c>
      <c r="E190" t="s">
        <v>184</v>
      </c>
      <c r="F190" t="s">
        <v>1057</v>
      </c>
      <c r="G190" t="s">
        <v>184</v>
      </c>
      <c r="H190" t="s">
        <v>1305</v>
      </c>
      <c r="I190" t="s">
        <v>184</v>
      </c>
      <c r="J190" t="s">
        <v>184</v>
      </c>
      <c r="K190" t="s">
        <v>184</v>
      </c>
      <c r="L190" t="s">
        <v>1306</v>
      </c>
      <c r="M190" t="s">
        <v>184</v>
      </c>
    </row>
    <row r="191" spans="1:13">
      <c r="A191" t="s">
        <v>1307</v>
      </c>
      <c r="B191" t="s">
        <v>1308</v>
      </c>
      <c r="C191" t="s">
        <v>1309</v>
      </c>
      <c r="D191" t="s">
        <v>1308</v>
      </c>
      <c r="E191" t="s">
        <v>184</v>
      </c>
      <c r="F191" t="s">
        <v>1057</v>
      </c>
      <c r="G191" t="s">
        <v>184</v>
      </c>
      <c r="H191" t="s">
        <v>1310</v>
      </c>
      <c r="I191" t="s">
        <v>184</v>
      </c>
      <c r="J191" t="s">
        <v>184</v>
      </c>
      <c r="K191" t="s">
        <v>184</v>
      </c>
      <c r="L191" t="s">
        <v>1311</v>
      </c>
      <c r="M191" t="s">
        <v>184</v>
      </c>
    </row>
    <row r="192" spans="1:13">
      <c r="A192" t="s">
        <v>1307</v>
      </c>
      <c r="B192" t="s">
        <v>1312</v>
      </c>
      <c r="C192" t="s">
        <v>1313</v>
      </c>
      <c r="D192" t="s">
        <v>1312</v>
      </c>
      <c r="E192" t="s">
        <v>184</v>
      </c>
      <c r="F192" t="s">
        <v>1057</v>
      </c>
      <c r="G192" t="s">
        <v>184</v>
      </c>
      <c r="H192" t="s">
        <v>1314</v>
      </c>
      <c r="I192" t="s">
        <v>184</v>
      </c>
      <c r="J192" t="s">
        <v>184</v>
      </c>
      <c r="K192" t="s">
        <v>184</v>
      </c>
      <c r="L192" t="s">
        <v>1315</v>
      </c>
      <c r="M192" t="s">
        <v>184</v>
      </c>
    </row>
    <row r="193" spans="1:13">
      <c r="A193" t="s">
        <v>1307</v>
      </c>
      <c r="B193" t="s">
        <v>1316</v>
      </c>
      <c r="C193" t="s">
        <v>1317</v>
      </c>
      <c r="D193" t="s">
        <v>1316</v>
      </c>
      <c r="E193" t="s">
        <v>184</v>
      </c>
      <c r="F193" t="s">
        <v>1057</v>
      </c>
      <c r="G193" t="s">
        <v>184</v>
      </c>
      <c r="H193" t="s">
        <v>1318</v>
      </c>
      <c r="I193" t="s">
        <v>184</v>
      </c>
      <c r="J193" t="s">
        <v>184</v>
      </c>
      <c r="K193" t="s">
        <v>184</v>
      </c>
      <c r="L193" t="s">
        <v>1319</v>
      </c>
      <c r="M193" t="s">
        <v>184</v>
      </c>
    </row>
    <row r="194" spans="1:13">
      <c r="A194" t="s">
        <v>1307</v>
      </c>
      <c r="B194" t="s">
        <v>1320</v>
      </c>
      <c r="C194" t="s">
        <v>1321</v>
      </c>
      <c r="D194" t="s">
        <v>1320</v>
      </c>
      <c r="E194" t="s">
        <v>184</v>
      </c>
      <c r="F194" t="s">
        <v>1057</v>
      </c>
      <c r="G194" t="s">
        <v>184</v>
      </c>
      <c r="H194" t="s">
        <v>1322</v>
      </c>
      <c r="I194" t="s">
        <v>184</v>
      </c>
      <c r="J194" t="s">
        <v>184</v>
      </c>
      <c r="K194" t="s">
        <v>184</v>
      </c>
      <c r="L194" t="s">
        <v>1323</v>
      </c>
      <c r="M194" t="s">
        <v>184</v>
      </c>
    </row>
    <row r="195" spans="1:13">
      <c r="A195" t="s">
        <v>1307</v>
      </c>
      <c r="B195" t="s">
        <v>1324</v>
      </c>
      <c r="C195" t="s">
        <v>1325</v>
      </c>
      <c r="D195" t="s">
        <v>1324</v>
      </c>
      <c r="E195" t="s">
        <v>184</v>
      </c>
      <c r="F195" t="s">
        <v>184</v>
      </c>
      <c r="G195" t="s">
        <v>184</v>
      </c>
      <c r="H195" t="s">
        <v>184</v>
      </c>
      <c r="I195" t="s">
        <v>184</v>
      </c>
      <c r="J195" t="s">
        <v>184</v>
      </c>
      <c r="K195" t="s">
        <v>184</v>
      </c>
      <c r="L195" t="s">
        <v>1326</v>
      </c>
      <c r="M195" t="s">
        <v>184</v>
      </c>
    </row>
    <row r="196" spans="1:13">
      <c r="A196" t="s">
        <v>1307</v>
      </c>
      <c r="B196" t="s">
        <v>1327</v>
      </c>
      <c r="C196" t="s">
        <v>1328</v>
      </c>
      <c r="D196" t="s">
        <v>1327</v>
      </c>
      <c r="E196" t="s">
        <v>184</v>
      </c>
      <c r="F196" t="s">
        <v>184</v>
      </c>
      <c r="G196" t="s">
        <v>184</v>
      </c>
      <c r="H196" t="s">
        <v>184</v>
      </c>
      <c r="I196" t="s">
        <v>184</v>
      </c>
      <c r="J196" t="s">
        <v>184</v>
      </c>
      <c r="K196" t="s">
        <v>184</v>
      </c>
      <c r="L196" t="s">
        <v>1329</v>
      </c>
      <c r="M196" t="s">
        <v>184</v>
      </c>
    </row>
    <row r="197" spans="1:13">
      <c r="A197" t="s">
        <v>1330</v>
      </c>
      <c r="B197" t="s">
        <v>1331</v>
      </c>
      <c r="C197" t="s">
        <v>1332</v>
      </c>
      <c r="D197" t="s">
        <v>1331</v>
      </c>
      <c r="E197" t="s">
        <v>184</v>
      </c>
      <c r="F197" t="s">
        <v>1333</v>
      </c>
      <c r="G197" t="s">
        <v>184</v>
      </c>
      <c r="H197" t="s">
        <v>184</v>
      </c>
      <c r="I197" t="s">
        <v>184</v>
      </c>
      <c r="J197" t="s">
        <v>184</v>
      </c>
      <c r="K197" t="s">
        <v>184</v>
      </c>
      <c r="L197" t="s">
        <v>1334</v>
      </c>
      <c r="M197" t="s">
        <v>184</v>
      </c>
    </row>
    <row r="198" spans="1:13">
      <c r="A198" t="s">
        <v>1330</v>
      </c>
      <c r="B198" t="s">
        <v>1128</v>
      </c>
      <c r="C198" t="s">
        <v>1335</v>
      </c>
      <c r="D198" t="s">
        <v>1128</v>
      </c>
      <c r="E198" t="s">
        <v>184</v>
      </c>
      <c r="F198" t="s">
        <v>1333</v>
      </c>
      <c r="G198" t="s">
        <v>184</v>
      </c>
      <c r="H198" t="s">
        <v>184</v>
      </c>
      <c r="I198" t="s">
        <v>184</v>
      </c>
      <c r="J198" t="s">
        <v>184</v>
      </c>
      <c r="K198" t="s">
        <v>184</v>
      </c>
      <c r="L198" t="s">
        <v>1336</v>
      </c>
      <c r="M198" t="s">
        <v>184</v>
      </c>
    </row>
    <row r="199" spans="1:13">
      <c r="A199" t="s">
        <v>1330</v>
      </c>
      <c r="B199" t="s">
        <v>739</v>
      </c>
      <c r="C199" t="s">
        <v>1337</v>
      </c>
      <c r="D199" t="s">
        <v>739</v>
      </c>
      <c r="E199" t="s">
        <v>184</v>
      </c>
      <c r="F199" t="s">
        <v>1333</v>
      </c>
      <c r="G199" t="s">
        <v>184</v>
      </c>
      <c r="H199" t="s">
        <v>184</v>
      </c>
      <c r="I199" t="s">
        <v>184</v>
      </c>
      <c r="J199" t="s">
        <v>184</v>
      </c>
      <c r="K199" t="s">
        <v>184</v>
      </c>
      <c r="L199" t="s">
        <v>1338</v>
      </c>
      <c r="M199" t="s">
        <v>184</v>
      </c>
    </row>
    <row r="200" spans="1:13">
      <c r="A200" t="s">
        <v>1330</v>
      </c>
      <c r="B200" t="s">
        <v>1339</v>
      </c>
      <c r="C200" t="s">
        <v>1340</v>
      </c>
      <c r="D200" t="s">
        <v>1339</v>
      </c>
      <c r="E200" t="s">
        <v>184</v>
      </c>
      <c r="F200" t="s">
        <v>1333</v>
      </c>
      <c r="G200" t="s">
        <v>184</v>
      </c>
      <c r="H200" t="s">
        <v>184</v>
      </c>
      <c r="I200" t="s">
        <v>184</v>
      </c>
      <c r="J200" t="s">
        <v>184</v>
      </c>
      <c r="K200" t="s">
        <v>184</v>
      </c>
      <c r="L200" t="s">
        <v>1341</v>
      </c>
      <c r="M200" t="s">
        <v>184</v>
      </c>
    </row>
    <row r="201" spans="1:13">
      <c r="A201" t="s">
        <v>1330</v>
      </c>
      <c r="B201" t="s">
        <v>1342</v>
      </c>
      <c r="C201" t="s">
        <v>1343</v>
      </c>
      <c r="D201" t="s">
        <v>1342</v>
      </c>
      <c r="E201" t="s">
        <v>184</v>
      </c>
      <c r="F201" t="s">
        <v>1333</v>
      </c>
      <c r="G201" t="s">
        <v>184</v>
      </c>
      <c r="H201" t="s">
        <v>184</v>
      </c>
      <c r="I201" t="s">
        <v>184</v>
      </c>
      <c r="J201" t="s">
        <v>184</v>
      </c>
      <c r="K201" t="s">
        <v>184</v>
      </c>
      <c r="L201" t="s">
        <v>1344</v>
      </c>
      <c r="M201" t="s">
        <v>184</v>
      </c>
    </row>
    <row r="202" spans="1:13">
      <c r="A202" t="s">
        <v>1330</v>
      </c>
      <c r="B202" t="s">
        <v>1345</v>
      </c>
      <c r="C202" t="s">
        <v>1346</v>
      </c>
      <c r="D202" t="s">
        <v>1345</v>
      </c>
      <c r="E202" t="s">
        <v>184</v>
      </c>
      <c r="F202" t="s">
        <v>1333</v>
      </c>
      <c r="G202" t="s">
        <v>184</v>
      </c>
      <c r="H202" t="s">
        <v>184</v>
      </c>
      <c r="I202" t="s">
        <v>184</v>
      </c>
      <c r="J202" t="s">
        <v>184</v>
      </c>
      <c r="K202" t="s">
        <v>184</v>
      </c>
      <c r="L202" t="s">
        <v>1347</v>
      </c>
      <c r="M202" t="s">
        <v>184</v>
      </c>
    </row>
    <row r="203" spans="1:13">
      <c r="A203" t="s">
        <v>1330</v>
      </c>
      <c r="B203" t="s">
        <v>1348</v>
      </c>
      <c r="C203" t="s">
        <v>1349</v>
      </c>
      <c r="D203" t="s">
        <v>1348</v>
      </c>
      <c r="E203" t="s">
        <v>184</v>
      </c>
      <c r="F203" t="s">
        <v>1333</v>
      </c>
      <c r="G203" t="s">
        <v>184</v>
      </c>
      <c r="H203" t="s">
        <v>184</v>
      </c>
      <c r="I203" t="s">
        <v>184</v>
      </c>
      <c r="J203" t="s">
        <v>184</v>
      </c>
      <c r="K203" t="s">
        <v>184</v>
      </c>
      <c r="L203" t="s">
        <v>1350</v>
      </c>
      <c r="M203" t="s">
        <v>184</v>
      </c>
    </row>
    <row r="204" spans="1:13">
      <c r="A204" t="s">
        <v>1330</v>
      </c>
      <c r="B204" t="s">
        <v>1351</v>
      </c>
      <c r="C204" t="s">
        <v>1352</v>
      </c>
      <c r="D204" t="s">
        <v>1351</v>
      </c>
      <c r="E204" t="s">
        <v>184</v>
      </c>
      <c r="F204" t="s">
        <v>1333</v>
      </c>
      <c r="G204" t="s">
        <v>184</v>
      </c>
      <c r="H204" t="s">
        <v>184</v>
      </c>
      <c r="I204" t="s">
        <v>184</v>
      </c>
      <c r="J204" t="s">
        <v>184</v>
      </c>
      <c r="K204" t="s">
        <v>184</v>
      </c>
      <c r="L204" t="s">
        <v>1353</v>
      </c>
      <c r="M204" t="s">
        <v>184</v>
      </c>
    </row>
    <row r="205" spans="1:13">
      <c r="A205" t="s">
        <v>1330</v>
      </c>
      <c r="B205" t="s">
        <v>1354</v>
      </c>
      <c r="C205" t="s">
        <v>1355</v>
      </c>
      <c r="D205" t="s">
        <v>1354</v>
      </c>
      <c r="E205" t="s">
        <v>184</v>
      </c>
      <c r="F205" t="s">
        <v>1333</v>
      </c>
      <c r="G205" t="s">
        <v>184</v>
      </c>
      <c r="H205" t="s">
        <v>184</v>
      </c>
      <c r="I205" t="s">
        <v>184</v>
      </c>
      <c r="J205" t="s">
        <v>184</v>
      </c>
      <c r="K205" t="s">
        <v>184</v>
      </c>
      <c r="L205" t="s">
        <v>1356</v>
      </c>
      <c r="M205" t="s">
        <v>184</v>
      </c>
    </row>
    <row r="206" spans="1:13">
      <c r="A206" t="s">
        <v>1330</v>
      </c>
      <c r="B206" t="s">
        <v>1357</v>
      </c>
      <c r="C206" t="s">
        <v>1358</v>
      </c>
      <c r="D206" t="s">
        <v>1357</v>
      </c>
      <c r="E206" t="s">
        <v>184</v>
      </c>
      <c r="F206" t="s">
        <v>1333</v>
      </c>
      <c r="G206" t="s">
        <v>184</v>
      </c>
      <c r="H206" t="s">
        <v>184</v>
      </c>
      <c r="I206" t="s">
        <v>184</v>
      </c>
      <c r="J206" t="s">
        <v>184</v>
      </c>
      <c r="K206" t="s">
        <v>184</v>
      </c>
      <c r="L206" t="s">
        <v>1359</v>
      </c>
      <c r="M206" t="s">
        <v>1360</v>
      </c>
    </row>
    <row r="207" spans="1:13">
      <c r="A207" t="s">
        <v>1330</v>
      </c>
      <c r="B207" t="s">
        <v>1361</v>
      </c>
      <c r="C207" t="s">
        <v>1362</v>
      </c>
      <c r="D207" t="s">
        <v>1361</v>
      </c>
      <c r="E207" t="s">
        <v>184</v>
      </c>
      <c r="F207" t="s">
        <v>1333</v>
      </c>
      <c r="G207" t="s">
        <v>184</v>
      </c>
      <c r="H207" t="s">
        <v>184</v>
      </c>
      <c r="I207" t="s">
        <v>184</v>
      </c>
      <c r="J207" t="s">
        <v>184</v>
      </c>
      <c r="K207" t="s">
        <v>184</v>
      </c>
      <c r="L207" t="s">
        <v>1363</v>
      </c>
      <c r="M207" t="s">
        <v>184</v>
      </c>
    </row>
    <row r="208" spans="1:13">
      <c r="A208" t="s">
        <v>1330</v>
      </c>
      <c r="B208" t="s">
        <v>1364</v>
      </c>
      <c r="C208" t="s">
        <v>1365</v>
      </c>
      <c r="D208" t="s">
        <v>1364</v>
      </c>
      <c r="E208" t="s">
        <v>184</v>
      </c>
      <c r="F208" t="s">
        <v>1333</v>
      </c>
      <c r="G208" t="s">
        <v>184</v>
      </c>
      <c r="H208" t="s">
        <v>184</v>
      </c>
      <c r="I208" t="s">
        <v>184</v>
      </c>
      <c r="J208" t="s">
        <v>184</v>
      </c>
      <c r="K208" t="s">
        <v>184</v>
      </c>
      <c r="L208" t="s">
        <v>1366</v>
      </c>
      <c r="M208" t="s">
        <v>184</v>
      </c>
    </row>
    <row r="209" spans="1:13">
      <c r="A209" t="s">
        <v>1330</v>
      </c>
      <c r="B209" t="s">
        <v>1367</v>
      </c>
      <c r="C209" t="s">
        <v>1368</v>
      </c>
      <c r="D209" t="s">
        <v>1367</v>
      </c>
      <c r="E209" t="s">
        <v>184</v>
      </c>
      <c r="F209" t="s">
        <v>1333</v>
      </c>
      <c r="G209" t="s">
        <v>184</v>
      </c>
      <c r="H209" t="s">
        <v>184</v>
      </c>
      <c r="I209" t="s">
        <v>184</v>
      </c>
      <c r="J209" t="s">
        <v>184</v>
      </c>
      <c r="K209" t="s">
        <v>184</v>
      </c>
      <c r="L209" t="s">
        <v>1369</v>
      </c>
      <c r="M209" t="s">
        <v>184</v>
      </c>
    </row>
    <row r="210" spans="1:13">
      <c r="A210" t="s">
        <v>1370</v>
      </c>
      <c r="B210" t="s">
        <v>1331</v>
      </c>
      <c r="C210" t="s">
        <v>1371</v>
      </c>
      <c r="D210" t="s">
        <v>1331</v>
      </c>
      <c r="E210" t="s">
        <v>184</v>
      </c>
      <c r="F210" t="s">
        <v>1333</v>
      </c>
      <c r="G210" t="s">
        <v>184</v>
      </c>
      <c r="H210" t="s">
        <v>184</v>
      </c>
      <c r="I210" t="s">
        <v>184</v>
      </c>
      <c r="J210" t="s">
        <v>184</v>
      </c>
      <c r="K210" t="s">
        <v>184</v>
      </c>
      <c r="L210" t="s">
        <v>1372</v>
      </c>
      <c r="M210" t="s">
        <v>184</v>
      </c>
    </row>
    <row r="211" spans="1:13">
      <c r="A211" t="s">
        <v>1370</v>
      </c>
      <c r="B211" t="s">
        <v>1128</v>
      </c>
      <c r="C211" t="s">
        <v>1373</v>
      </c>
      <c r="D211" t="s">
        <v>1128</v>
      </c>
      <c r="E211" t="s">
        <v>184</v>
      </c>
      <c r="F211" t="s">
        <v>1333</v>
      </c>
      <c r="G211" t="s">
        <v>184</v>
      </c>
      <c r="H211" t="s">
        <v>184</v>
      </c>
      <c r="I211" t="s">
        <v>184</v>
      </c>
      <c r="J211" t="s">
        <v>184</v>
      </c>
      <c r="K211" t="s">
        <v>184</v>
      </c>
      <c r="L211" t="s">
        <v>1374</v>
      </c>
      <c r="M211" t="s">
        <v>184</v>
      </c>
    </row>
    <row r="212" spans="1:13">
      <c r="A212" t="s">
        <v>1370</v>
      </c>
      <c r="B212" t="s">
        <v>1375</v>
      </c>
      <c r="C212" t="s">
        <v>1376</v>
      </c>
      <c r="D212" t="s">
        <v>1375</v>
      </c>
      <c r="E212" t="s">
        <v>184</v>
      </c>
      <c r="F212" t="s">
        <v>1333</v>
      </c>
      <c r="G212" t="s">
        <v>184</v>
      </c>
      <c r="H212" t="s">
        <v>184</v>
      </c>
      <c r="I212" t="s">
        <v>184</v>
      </c>
      <c r="J212" t="s">
        <v>184</v>
      </c>
      <c r="K212" t="s">
        <v>184</v>
      </c>
      <c r="L212" t="s">
        <v>1377</v>
      </c>
      <c r="M212" t="s">
        <v>184</v>
      </c>
    </row>
    <row r="213" spans="1:13">
      <c r="A213" t="s">
        <v>1370</v>
      </c>
      <c r="B213" t="s">
        <v>1250</v>
      </c>
      <c r="C213" t="s">
        <v>1378</v>
      </c>
      <c r="D213" t="s">
        <v>1250</v>
      </c>
      <c r="E213" t="s">
        <v>184</v>
      </c>
      <c r="F213" t="s">
        <v>1333</v>
      </c>
      <c r="G213" t="s">
        <v>184</v>
      </c>
      <c r="H213" t="s">
        <v>184</v>
      </c>
      <c r="I213" t="s">
        <v>184</v>
      </c>
      <c r="J213" t="s">
        <v>184</v>
      </c>
      <c r="K213" t="s">
        <v>184</v>
      </c>
      <c r="L213" t="s">
        <v>1379</v>
      </c>
      <c r="M213" t="s">
        <v>184</v>
      </c>
    </row>
    <row r="214" spans="1:13">
      <c r="A214" t="s">
        <v>1370</v>
      </c>
      <c r="B214" t="s">
        <v>1380</v>
      </c>
      <c r="C214" t="s">
        <v>1381</v>
      </c>
      <c r="D214" t="s">
        <v>1380</v>
      </c>
      <c r="E214" t="s">
        <v>184</v>
      </c>
      <c r="F214" t="s">
        <v>1333</v>
      </c>
      <c r="G214" t="s">
        <v>184</v>
      </c>
      <c r="H214" t="s">
        <v>184</v>
      </c>
      <c r="I214" t="s">
        <v>184</v>
      </c>
      <c r="J214" t="s">
        <v>184</v>
      </c>
      <c r="K214" t="s">
        <v>184</v>
      </c>
      <c r="L214" t="s">
        <v>1382</v>
      </c>
      <c r="M214" t="s">
        <v>184</v>
      </c>
    </row>
    <row r="215" spans="1:13">
      <c r="A215" t="s">
        <v>1370</v>
      </c>
      <c r="B215" t="s">
        <v>1383</v>
      </c>
      <c r="C215" t="s">
        <v>1384</v>
      </c>
      <c r="D215" t="s">
        <v>1383</v>
      </c>
      <c r="E215" t="s">
        <v>184</v>
      </c>
      <c r="F215" t="s">
        <v>1333</v>
      </c>
      <c r="G215" t="s">
        <v>184</v>
      </c>
      <c r="H215" t="s">
        <v>184</v>
      </c>
      <c r="I215" t="s">
        <v>184</v>
      </c>
      <c r="J215" t="s">
        <v>184</v>
      </c>
      <c r="K215" t="s">
        <v>184</v>
      </c>
      <c r="L215" t="s">
        <v>1385</v>
      </c>
      <c r="M215" t="s">
        <v>184</v>
      </c>
    </row>
    <row r="216" spans="1:13">
      <c r="A216" t="s">
        <v>1370</v>
      </c>
      <c r="B216" t="s">
        <v>1386</v>
      </c>
      <c r="C216" t="s">
        <v>1387</v>
      </c>
      <c r="D216" t="s">
        <v>1386</v>
      </c>
      <c r="E216" t="s">
        <v>184</v>
      </c>
      <c r="F216" t="s">
        <v>1333</v>
      </c>
      <c r="G216" t="s">
        <v>184</v>
      </c>
      <c r="H216" t="s">
        <v>184</v>
      </c>
      <c r="I216" t="s">
        <v>184</v>
      </c>
      <c r="J216" t="s">
        <v>184</v>
      </c>
      <c r="K216" t="s">
        <v>184</v>
      </c>
      <c r="L216" t="s">
        <v>1388</v>
      </c>
      <c r="M216" t="s">
        <v>184</v>
      </c>
    </row>
    <row r="217" spans="1:13">
      <c r="A217" t="s">
        <v>1389</v>
      </c>
      <c r="B217" t="s">
        <v>16</v>
      </c>
      <c r="C217" t="s">
        <v>1390</v>
      </c>
      <c r="D217" t="s">
        <v>16</v>
      </c>
      <c r="E217" t="s">
        <v>184</v>
      </c>
      <c r="F217" t="s">
        <v>1333</v>
      </c>
      <c r="G217" t="s">
        <v>184</v>
      </c>
      <c r="H217" t="s">
        <v>184</v>
      </c>
      <c r="I217" t="s">
        <v>184</v>
      </c>
      <c r="J217" t="s">
        <v>184</v>
      </c>
      <c r="K217" t="s">
        <v>184</v>
      </c>
      <c r="L217" t="s">
        <v>1391</v>
      </c>
      <c r="M217" t="s">
        <v>184</v>
      </c>
    </row>
    <row r="218" spans="1:13">
      <c r="A218" t="s">
        <v>1389</v>
      </c>
      <c r="B218" t="s">
        <v>11</v>
      </c>
      <c r="C218" t="s">
        <v>1392</v>
      </c>
      <c r="D218" t="s">
        <v>11</v>
      </c>
      <c r="E218" t="s">
        <v>184</v>
      </c>
      <c r="F218" t="s">
        <v>1333</v>
      </c>
      <c r="G218" t="s">
        <v>184</v>
      </c>
      <c r="H218" t="s">
        <v>184</v>
      </c>
      <c r="I218" t="s">
        <v>184</v>
      </c>
      <c r="J218" t="s">
        <v>184</v>
      </c>
      <c r="K218" t="s">
        <v>184</v>
      </c>
      <c r="L218" t="s">
        <v>1393</v>
      </c>
      <c r="M218" t="s">
        <v>184</v>
      </c>
    </row>
    <row r="219" spans="1:13">
      <c r="A219" t="s">
        <v>1389</v>
      </c>
      <c r="B219" t="s">
        <v>476</v>
      </c>
      <c r="C219" t="s">
        <v>1394</v>
      </c>
      <c r="D219" t="s">
        <v>476</v>
      </c>
      <c r="E219" t="s">
        <v>184</v>
      </c>
      <c r="F219" t="s">
        <v>1333</v>
      </c>
      <c r="G219" t="s">
        <v>184</v>
      </c>
      <c r="H219" t="s">
        <v>184</v>
      </c>
      <c r="I219" t="s">
        <v>184</v>
      </c>
      <c r="J219" t="s">
        <v>184</v>
      </c>
      <c r="K219" t="s">
        <v>184</v>
      </c>
      <c r="L219" t="s">
        <v>1395</v>
      </c>
      <c r="M219" t="s">
        <v>184</v>
      </c>
    </row>
    <row r="220" spans="1:13">
      <c r="A220" t="s">
        <v>184</v>
      </c>
      <c r="B220" t="s">
        <v>184</v>
      </c>
      <c r="C220" t="s">
        <v>184</v>
      </c>
      <c r="D220" t="s">
        <v>184</v>
      </c>
      <c r="E220" t="s">
        <v>184</v>
      </c>
      <c r="F220" t="s">
        <v>184</v>
      </c>
      <c r="G220" t="s">
        <v>184</v>
      </c>
      <c r="H220" t="s">
        <v>184</v>
      </c>
      <c r="I220" t="s">
        <v>184</v>
      </c>
      <c r="J220" t="s">
        <v>184</v>
      </c>
      <c r="K220" t="s">
        <v>184</v>
      </c>
      <c r="L220" t="s">
        <v>184</v>
      </c>
      <c r="M220" t="s">
        <v>184</v>
      </c>
    </row>
    <row r="221" spans="1:13">
      <c r="A221" t="s">
        <v>184</v>
      </c>
      <c r="B221" t="s">
        <v>184</v>
      </c>
      <c r="C221" t="s">
        <v>184</v>
      </c>
      <c r="D221" t="s">
        <v>184</v>
      </c>
      <c r="E221" t="s">
        <v>184</v>
      </c>
      <c r="F221" t="s">
        <v>184</v>
      </c>
      <c r="G221" t="s">
        <v>184</v>
      </c>
      <c r="H221" t="s">
        <v>184</v>
      </c>
      <c r="I221" t="s">
        <v>184</v>
      </c>
      <c r="J221" t="s">
        <v>184</v>
      </c>
      <c r="K221" t="s">
        <v>184</v>
      </c>
      <c r="L221" t="s">
        <v>184</v>
      </c>
      <c r="M221" t="s">
        <v>184</v>
      </c>
    </row>
    <row r="222" spans="1:13">
      <c r="A222" t="s">
        <v>184</v>
      </c>
      <c r="B222" t="s">
        <v>184</v>
      </c>
      <c r="C222" t="s">
        <v>184</v>
      </c>
      <c r="D222" t="s">
        <v>184</v>
      </c>
      <c r="E222" t="s">
        <v>184</v>
      </c>
      <c r="F222" t="s">
        <v>184</v>
      </c>
      <c r="G222" t="s">
        <v>184</v>
      </c>
      <c r="H222" t="s">
        <v>184</v>
      </c>
      <c r="I222" t="s">
        <v>184</v>
      </c>
      <c r="J222" t="s">
        <v>184</v>
      </c>
      <c r="K222" t="s">
        <v>184</v>
      </c>
      <c r="L222" t="s">
        <v>184</v>
      </c>
      <c r="M222" t="s">
        <v>184</v>
      </c>
    </row>
    <row r="223" spans="1:13">
      <c r="A223" t="s">
        <v>184</v>
      </c>
      <c r="B223" t="s">
        <v>184</v>
      </c>
      <c r="C223" t="s">
        <v>184</v>
      </c>
      <c r="D223" t="s">
        <v>184</v>
      </c>
      <c r="E223" t="s">
        <v>184</v>
      </c>
      <c r="F223" t="s">
        <v>184</v>
      </c>
      <c r="G223" t="s">
        <v>184</v>
      </c>
      <c r="H223" t="s">
        <v>184</v>
      </c>
      <c r="I223" t="s">
        <v>184</v>
      </c>
      <c r="J223" t="s">
        <v>184</v>
      </c>
      <c r="K223" t="s">
        <v>184</v>
      </c>
      <c r="L223" t="s">
        <v>184</v>
      </c>
      <c r="M223" t="s">
        <v>184</v>
      </c>
    </row>
    <row r="224" spans="1:13">
      <c r="A224" t="s">
        <v>184</v>
      </c>
      <c r="B224" t="s">
        <v>184</v>
      </c>
      <c r="C224" t="s">
        <v>184</v>
      </c>
      <c r="D224" t="s">
        <v>184</v>
      </c>
      <c r="E224" t="s">
        <v>184</v>
      </c>
      <c r="F224" t="s">
        <v>184</v>
      </c>
      <c r="G224" t="s">
        <v>184</v>
      </c>
      <c r="H224" t="s">
        <v>184</v>
      </c>
      <c r="I224" t="s">
        <v>184</v>
      </c>
      <c r="J224" t="s">
        <v>184</v>
      </c>
      <c r="K224" t="s">
        <v>184</v>
      </c>
      <c r="L224" t="s">
        <v>184</v>
      </c>
      <c r="M224" t="s">
        <v>184</v>
      </c>
    </row>
    <row r="225" spans="1:13">
      <c r="A225" t="s">
        <v>184</v>
      </c>
      <c r="B225" t="s">
        <v>184</v>
      </c>
      <c r="C225" t="s">
        <v>184</v>
      </c>
      <c r="D225" t="s">
        <v>184</v>
      </c>
      <c r="E225" t="s">
        <v>184</v>
      </c>
      <c r="F225" t="s">
        <v>184</v>
      </c>
      <c r="G225" t="s">
        <v>184</v>
      </c>
      <c r="H225" t="s">
        <v>184</v>
      </c>
      <c r="I225" t="s">
        <v>184</v>
      </c>
      <c r="J225" t="s">
        <v>184</v>
      </c>
      <c r="K225" t="s">
        <v>184</v>
      </c>
      <c r="L225" t="s">
        <v>184</v>
      </c>
      <c r="M225" t="s">
        <v>184</v>
      </c>
    </row>
    <row r="226" spans="1:13">
      <c r="A226" t="s">
        <v>184</v>
      </c>
      <c r="B226" t="s">
        <v>184</v>
      </c>
      <c r="C226" t="s">
        <v>184</v>
      </c>
      <c r="D226" t="s">
        <v>184</v>
      </c>
      <c r="E226" t="s">
        <v>184</v>
      </c>
      <c r="F226" t="s">
        <v>184</v>
      </c>
      <c r="G226" t="s">
        <v>184</v>
      </c>
      <c r="H226" t="s">
        <v>184</v>
      </c>
      <c r="I226" t="s">
        <v>184</v>
      </c>
      <c r="J226" t="s">
        <v>184</v>
      </c>
      <c r="K226" t="s">
        <v>184</v>
      </c>
      <c r="L226" t="s">
        <v>184</v>
      </c>
      <c r="M226" t="s">
        <v>184</v>
      </c>
    </row>
    <row r="227" spans="1:13">
      <c r="A227" t="s">
        <v>184</v>
      </c>
      <c r="B227" t="s">
        <v>184</v>
      </c>
      <c r="C227" t="s">
        <v>184</v>
      </c>
      <c r="D227" t="s">
        <v>184</v>
      </c>
      <c r="E227" t="s">
        <v>184</v>
      </c>
      <c r="F227" t="s">
        <v>184</v>
      </c>
      <c r="G227" t="s">
        <v>184</v>
      </c>
      <c r="H227" t="s">
        <v>184</v>
      </c>
      <c r="I227" t="s">
        <v>184</v>
      </c>
      <c r="J227" t="s">
        <v>184</v>
      </c>
      <c r="K227" t="s">
        <v>184</v>
      </c>
      <c r="L227" t="s">
        <v>184</v>
      </c>
      <c r="M227" t="s">
        <v>184</v>
      </c>
    </row>
    <row r="228" spans="1:13">
      <c r="A228" t="s">
        <v>184</v>
      </c>
      <c r="B228" t="s">
        <v>184</v>
      </c>
      <c r="C228" t="s">
        <v>184</v>
      </c>
      <c r="D228" t="s">
        <v>184</v>
      </c>
      <c r="E228" t="s">
        <v>184</v>
      </c>
      <c r="F228" t="s">
        <v>184</v>
      </c>
      <c r="G228" t="s">
        <v>184</v>
      </c>
      <c r="H228" t="s">
        <v>184</v>
      </c>
      <c r="I228" t="s">
        <v>184</v>
      </c>
      <c r="J228" t="s">
        <v>184</v>
      </c>
      <c r="K228" t="s">
        <v>184</v>
      </c>
      <c r="L228" t="s">
        <v>184</v>
      </c>
      <c r="M228" t="s">
        <v>184</v>
      </c>
    </row>
    <row r="229" spans="1:13">
      <c r="A229" t="s">
        <v>184</v>
      </c>
      <c r="B229" t="s">
        <v>184</v>
      </c>
      <c r="C229" t="s">
        <v>184</v>
      </c>
      <c r="D229" t="s">
        <v>184</v>
      </c>
      <c r="E229" t="s">
        <v>184</v>
      </c>
      <c r="F229" t="s">
        <v>184</v>
      </c>
      <c r="G229" t="s">
        <v>184</v>
      </c>
      <c r="H229" t="s">
        <v>184</v>
      </c>
      <c r="I229" t="s">
        <v>184</v>
      </c>
      <c r="J229" t="s">
        <v>184</v>
      </c>
      <c r="K229" t="s">
        <v>184</v>
      </c>
      <c r="L229" t="s">
        <v>184</v>
      </c>
      <c r="M229" t="s">
        <v>184</v>
      </c>
    </row>
    <row r="230" spans="1:13">
      <c r="A230" t="s">
        <v>184</v>
      </c>
      <c r="B230" t="s">
        <v>184</v>
      </c>
      <c r="C230" t="s">
        <v>184</v>
      </c>
      <c r="D230" t="s">
        <v>184</v>
      </c>
      <c r="E230" t="s">
        <v>184</v>
      </c>
      <c r="F230" t="s">
        <v>184</v>
      </c>
      <c r="G230" t="s">
        <v>184</v>
      </c>
      <c r="H230" t="s">
        <v>184</v>
      </c>
      <c r="I230" t="s">
        <v>184</v>
      </c>
      <c r="J230" t="s">
        <v>184</v>
      </c>
      <c r="K230" t="s">
        <v>184</v>
      </c>
      <c r="L230" t="s">
        <v>184</v>
      </c>
      <c r="M230" t="s">
        <v>184</v>
      </c>
    </row>
    <row r="231" spans="1:13">
      <c r="A231" t="s">
        <v>184</v>
      </c>
      <c r="B231" t="s">
        <v>184</v>
      </c>
      <c r="C231" t="s">
        <v>184</v>
      </c>
      <c r="D231" t="s">
        <v>184</v>
      </c>
      <c r="E231" t="s">
        <v>184</v>
      </c>
      <c r="F231" t="s">
        <v>184</v>
      </c>
      <c r="G231" t="s">
        <v>184</v>
      </c>
      <c r="H231" t="s">
        <v>184</v>
      </c>
      <c r="I231" t="s">
        <v>184</v>
      </c>
      <c r="J231" t="s">
        <v>184</v>
      </c>
      <c r="K231" t="s">
        <v>184</v>
      </c>
      <c r="L231" t="s">
        <v>184</v>
      </c>
      <c r="M231" t="s">
        <v>184</v>
      </c>
    </row>
    <row r="232" spans="1:13">
      <c r="A232" t="s">
        <v>184</v>
      </c>
      <c r="B232" t="s">
        <v>184</v>
      </c>
      <c r="C232" t="s">
        <v>184</v>
      </c>
      <c r="D232" t="s">
        <v>184</v>
      </c>
      <c r="E232" t="s">
        <v>184</v>
      </c>
      <c r="F232" t="s">
        <v>184</v>
      </c>
      <c r="G232" t="s">
        <v>184</v>
      </c>
      <c r="H232" t="s">
        <v>184</v>
      </c>
      <c r="I232" t="s">
        <v>184</v>
      </c>
      <c r="J232" t="s">
        <v>184</v>
      </c>
      <c r="K232" t="s">
        <v>184</v>
      </c>
      <c r="L232" t="s">
        <v>184</v>
      </c>
      <c r="M232" t="s">
        <v>184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7ABBD-0EDD-459F-9EDD-07AD4CC97B66}">
  <dimension ref="A1:K49"/>
  <sheetViews>
    <sheetView zoomScale="115" zoomScaleNormal="115" workbookViewId="0">
      <selection activeCell="C25" sqref="C25"/>
    </sheetView>
  </sheetViews>
  <sheetFormatPr defaultRowHeight="14.75"/>
  <cols>
    <col min="2" max="2" width="47.6796875" bestFit="1" customWidth="1"/>
    <col min="3" max="3" width="40.58984375" bestFit="1" customWidth="1"/>
    <col min="4" max="4" width="86.31640625" bestFit="1" customWidth="1"/>
    <col min="5" max="5" width="16.04296875" bestFit="1" customWidth="1"/>
    <col min="7" max="7" width="19" customWidth="1"/>
    <col min="8" max="8" width="81" customWidth="1"/>
  </cols>
  <sheetData>
    <row r="1" spans="1:11">
      <c r="A1" s="100" t="s">
        <v>1760</v>
      </c>
      <c r="B1" s="100" t="s">
        <v>1759</v>
      </c>
      <c r="C1" s="100" t="s">
        <v>1758</v>
      </c>
      <c r="D1" s="100" t="s">
        <v>4</v>
      </c>
      <c r="E1" s="100" t="s">
        <v>7</v>
      </c>
      <c r="F1" s="100" t="s">
        <v>1469</v>
      </c>
      <c r="G1" s="100" t="s">
        <v>1757</v>
      </c>
      <c r="H1" s="100" t="s">
        <v>5</v>
      </c>
      <c r="I1" s="100" t="s">
        <v>6</v>
      </c>
    </row>
    <row r="2" spans="1:11">
      <c r="A2">
        <v>0</v>
      </c>
      <c r="B2" t="s">
        <v>1756</v>
      </c>
      <c r="C2" t="s">
        <v>14</v>
      </c>
      <c r="D2" t="s">
        <v>1755</v>
      </c>
      <c r="E2" t="s">
        <v>1754</v>
      </c>
      <c r="F2" t="s">
        <v>1753</v>
      </c>
      <c r="H2">
        <v>1</v>
      </c>
      <c r="I2">
        <v>1</v>
      </c>
      <c r="K2" s="112"/>
    </row>
    <row r="3" spans="1:11">
      <c r="A3">
        <v>1</v>
      </c>
      <c r="B3" t="s">
        <v>1752</v>
      </c>
      <c r="C3" t="s">
        <v>1472</v>
      </c>
      <c r="D3" t="s">
        <v>1475</v>
      </c>
      <c r="E3" t="s">
        <v>209</v>
      </c>
      <c r="F3" t="s">
        <v>213</v>
      </c>
      <c r="H3">
        <v>1</v>
      </c>
      <c r="I3">
        <v>1</v>
      </c>
    </row>
    <row r="4" spans="1:11">
      <c r="A4">
        <v>2</v>
      </c>
      <c r="B4" t="s">
        <v>1751</v>
      </c>
      <c r="C4" t="s">
        <v>1479</v>
      </c>
      <c r="D4" t="s">
        <v>1750</v>
      </c>
      <c r="E4" t="s">
        <v>1749</v>
      </c>
      <c r="F4" t="s">
        <v>1748</v>
      </c>
      <c r="H4">
        <v>1</v>
      </c>
      <c r="I4">
        <v>1</v>
      </c>
    </row>
    <row r="5" spans="1:11">
      <c r="A5">
        <v>3</v>
      </c>
      <c r="B5" t="s">
        <v>1747</v>
      </c>
      <c r="C5" t="s">
        <v>1483</v>
      </c>
      <c r="D5" t="s">
        <v>1484</v>
      </c>
      <c r="E5" t="s">
        <v>1485</v>
      </c>
      <c r="F5" t="s">
        <v>1488</v>
      </c>
      <c r="H5">
        <v>1</v>
      </c>
      <c r="I5">
        <v>1</v>
      </c>
    </row>
    <row r="6" spans="1:11">
      <c r="A6">
        <v>4</v>
      </c>
      <c r="B6" t="s">
        <v>1746</v>
      </c>
      <c r="C6" t="s">
        <v>1745</v>
      </c>
      <c r="D6" t="s">
        <v>1744</v>
      </c>
      <c r="E6" t="s">
        <v>275</v>
      </c>
      <c r="F6" t="s">
        <v>1743</v>
      </c>
      <c r="G6" t="s">
        <v>1743</v>
      </c>
      <c r="H6">
        <v>0</v>
      </c>
      <c r="I6">
        <v>1</v>
      </c>
    </row>
    <row r="7" spans="1:11">
      <c r="A7">
        <v>5</v>
      </c>
      <c r="B7" t="s">
        <v>1742</v>
      </c>
      <c r="C7" t="s">
        <v>1489</v>
      </c>
      <c r="D7" t="s">
        <v>1491</v>
      </c>
      <c r="E7" t="s">
        <v>275</v>
      </c>
      <c r="F7" t="s">
        <v>1741</v>
      </c>
      <c r="G7" t="s">
        <v>1740</v>
      </c>
      <c r="H7">
        <v>1</v>
      </c>
      <c r="I7">
        <v>1</v>
      </c>
    </row>
    <row r="8" spans="1:11">
      <c r="A8">
        <v>7</v>
      </c>
      <c r="B8" t="s">
        <v>1739</v>
      </c>
      <c r="C8" t="s">
        <v>1499</v>
      </c>
      <c r="D8" t="s">
        <v>1500</v>
      </c>
      <c r="E8" t="s">
        <v>185</v>
      </c>
      <c r="F8" t="s">
        <v>1738</v>
      </c>
      <c r="G8" t="s">
        <v>1737</v>
      </c>
      <c r="H8">
        <v>1</v>
      </c>
      <c r="I8">
        <v>1</v>
      </c>
    </row>
    <row r="9" spans="1:11">
      <c r="A9">
        <v>8</v>
      </c>
      <c r="B9" t="s">
        <v>1736</v>
      </c>
      <c r="C9" t="s">
        <v>1505</v>
      </c>
      <c r="D9" t="s">
        <v>1506</v>
      </c>
      <c r="E9" t="s">
        <v>185</v>
      </c>
      <c r="F9" t="s">
        <v>1735</v>
      </c>
      <c r="G9" t="s">
        <v>1734</v>
      </c>
      <c r="H9">
        <v>1</v>
      </c>
      <c r="I9">
        <v>1</v>
      </c>
    </row>
    <row r="10" spans="1:11">
      <c r="A10">
        <v>9</v>
      </c>
      <c r="B10" t="s">
        <v>1733</v>
      </c>
      <c r="C10" t="s">
        <v>1511</v>
      </c>
      <c r="D10" t="s">
        <v>1512</v>
      </c>
      <c r="E10" t="s">
        <v>185</v>
      </c>
      <c r="F10" t="s">
        <v>1732</v>
      </c>
      <c r="G10" t="s">
        <v>1731</v>
      </c>
      <c r="H10">
        <v>1</v>
      </c>
      <c r="I10">
        <v>1</v>
      </c>
    </row>
    <row r="11" spans="1:11">
      <c r="A11">
        <v>10</v>
      </c>
      <c r="B11" t="s">
        <v>1730</v>
      </c>
      <c r="C11" t="s">
        <v>1517</v>
      </c>
      <c r="D11" t="s">
        <v>1518</v>
      </c>
      <c r="E11" t="s">
        <v>185</v>
      </c>
      <c r="F11" t="s">
        <v>1729</v>
      </c>
      <c r="G11" t="s">
        <v>1728</v>
      </c>
      <c r="H11">
        <v>1</v>
      </c>
      <c r="I11">
        <v>1</v>
      </c>
    </row>
    <row r="12" spans="1:11">
      <c r="A12">
        <v>11</v>
      </c>
      <c r="B12" t="s">
        <v>1727</v>
      </c>
      <c r="C12" t="s">
        <v>1523</v>
      </c>
      <c r="D12" t="s">
        <v>1524</v>
      </c>
      <c r="E12" t="s">
        <v>185</v>
      </c>
      <c r="F12" t="s">
        <v>1726</v>
      </c>
      <c r="G12" t="s">
        <v>1725</v>
      </c>
      <c r="H12">
        <v>1</v>
      </c>
      <c r="I12">
        <v>1</v>
      </c>
    </row>
    <row r="13" spans="1:11">
      <c r="A13">
        <v>13</v>
      </c>
      <c r="B13" t="s">
        <v>1724</v>
      </c>
      <c r="C13" t="s">
        <v>1539</v>
      </c>
      <c r="D13" t="s">
        <v>1541</v>
      </c>
      <c r="E13" t="s">
        <v>185</v>
      </c>
      <c r="F13" t="s">
        <v>1723</v>
      </c>
      <c r="G13" t="s">
        <v>1722</v>
      </c>
      <c r="H13">
        <v>1</v>
      </c>
      <c r="I13">
        <v>1</v>
      </c>
    </row>
    <row r="14" spans="1:11">
      <c r="A14">
        <v>14</v>
      </c>
      <c r="B14" t="s">
        <v>1721</v>
      </c>
      <c r="C14" t="s">
        <v>1545</v>
      </c>
      <c r="D14" t="s">
        <v>1546</v>
      </c>
      <c r="E14" t="s">
        <v>185</v>
      </c>
      <c r="F14" t="s">
        <v>1720</v>
      </c>
      <c r="G14" t="s">
        <v>1719</v>
      </c>
      <c r="H14">
        <v>1</v>
      </c>
      <c r="I14">
        <v>1</v>
      </c>
    </row>
    <row r="15" spans="1:11">
      <c r="A15">
        <v>15</v>
      </c>
      <c r="B15" t="s">
        <v>1718</v>
      </c>
      <c r="C15" t="s">
        <v>1548</v>
      </c>
      <c r="D15" t="s">
        <v>1549</v>
      </c>
      <c r="E15" t="s">
        <v>185</v>
      </c>
      <c r="F15" t="s">
        <v>1717</v>
      </c>
      <c r="G15" t="s">
        <v>1716</v>
      </c>
      <c r="H15">
        <v>1</v>
      </c>
      <c r="I15">
        <v>1</v>
      </c>
    </row>
    <row r="16" spans="1:11">
      <c r="A16">
        <v>16</v>
      </c>
      <c r="B16" t="s">
        <v>1715</v>
      </c>
      <c r="C16" t="s">
        <v>1551</v>
      </c>
      <c r="D16" t="s">
        <v>1552</v>
      </c>
      <c r="E16" t="s">
        <v>185</v>
      </c>
      <c r="F16" t="s">
        <v>1714</v>
      </c>
      <c r="G16" t="s">
        <v>1713</v>
      </c>
      <c r="H16">
        <v>1</v>
      </c>
      <c r="I16">
        <v>1</v>
      </c>
    </row>
    <row r="17" spans="1:9">
      <c r="A17">
        <v>17</v>
      </c>
      <c r="B17" t="s">
        <v>1712</v>
      </c>
      <c r="C17" t="s">
        <v>1554</v>
      </c>
      <c r="D17" t="s">
        <v>1555</v>
      </c>
      <c r="E17" t="s">
        <v>185</v>
      </c>
      <c r="F17" t="s">
        <v>1711</v>
      </c>
      <c r="G17" t="s">
        <v>1710</v>
      </c>
      <c r="H17">
        <v>1</v>
      </c>
      <c r="I17">
        <v>1</v>
      </c>
    </row>
    <row r="18" spans="1:9">
      <c r="A18">
        <v>18</v>
      </c>
      <c r="B18" t="s">
        <v>1709</v>
      </c>
      <c r="C18" t="s">
        <v>1557</v>
      </c>
      <c r="D18" t="s">
        <v>1558</v>
      </c>
      <c r="E18" t="s">
        <v>185</v>
      </c>
      <c r="F18" t="s">
        <v>1559</v>
      </c>
      <c r="G18" t="s">
        <v>1708</v>
      </c>
      <c r="H18">
        <v>1</v>
      </c>
      <c r="I18">
        <v>1</v>
      </c>
    </row>
    <row r="19" spans="1:9">
      <c r="A19">
        <v>19</v>
      </c>
      <c r="B19" t="s">
        <v>1707</v>
      </c>
      <c r="C19" t="s">
        <v>1560</v>
      </c>
      <c r="D19" t="s">
        <v>1561</v>
      </c>
      <c r="E19" t="s">
        <v>185</v>
      </c>
      <c r="F19" t="s">
        <v>1562</v>
      </c>
      <c r="G19" t="s">
        <v>1706</v>
      </c>
      <c r="H19">
        <v>1</v>
      </c>
      <c r="I19">
        <v>1</v>
      </c>
    </row>
    <row r="20" spans="1:9">
      <c r="A20">
        <v>20</v>
      </c>
      <c r="B20" t="s">
        <v>1705</v>
      </c>
      <c r="C20" t="s">
        <v>1563</v>
      </c>
      <c r="D20" t="s">
        <v>1564</v>
      </c>
      <c r="E20" t="s">
        <v>185</v>
      </c>
      <c r="F20" t="s">
        <v>1566</v>
      </c>
      <c r="G20" t="s">
        <v>1702</v>
      </c>
      <c r="H20">
        <v>0</v>
      </c>
      <c r="I20">
        <v>1</v>
      </c>
    </row>
    <row r="21" spans="1:9">
      <c r="A21">
        <v>21</v>
      </c>
      <c r="B21" t="s">
        <v>1704</v>
      </c>
      <c r="C21" t="s">
        <v>1574</v>
      </c>
      <c r="D21" t="s">
        <v>1575</v>
      </c>
      <c r="E21" t="s">
        <v>185</v>
      </c>
      <c r="F21" t="s">
        <v>1577</v>
      </c>
      <c r="G21" t="s">
        <v>1702</v>
      </c>
      <c r="H21">
        <v>0</v>
      </c>
      <c r="I21">
        <v>1</v>
      </c>
    </row>
    <row r="22" spans="1:9">
      <c r="A22">
        <v>22</v>
      </c>
      <c r="B22" t="s">
        <v>1703</v>
      </c>
      <c r="C22" t="s">
        <v>1600</v>
      </c>
      <c r="D22" t="s">
        <v>1601</v>
      </c>
      <c r="E22" t="s">
        <v>185</v>
      </c>
      <c r="F22" t="s">
        <v>1585</v>
      </c>
      <c r="G22" t="s">
        <v>1702</v>
      </c>
      <c r="H22">
        <v>0</v>
      </c>
      <c r="I22">
        <v>1</v>
      </c>
    </row>
    <row r="27" spans="1:9">
      <c r="C27" s="9" t="s">
        <v>3</v>
      </c>
      <c r="D27" s="1" t="s">
        <v>4</v>
      </c>
      <c r="E27" s="3" t="s">
        <v>5</v>
      </c>
      <c r="F27" s="3" t="s">
        <v>6</v>
      </c>
      <c r="G27" s="3" t="s">
        <v>7</v>
      </c>
      <c r="H27" s="105" t="s">
        <v>1610</v>
      </c>
    </row>
    <row r="28" spans="1:9">
      <c r="B28" t="str">
        <f>B2</f>
        <v>CancerEpisode.Patient</v>
      </c>
      <c r="C28" t="str">
        <f t="shared" ref="C28:D28" si="0">C2</f>
        <v>Patient</v>
      </c>
      <c r="D28" t="str">
        <f t="shared" si="0"/>
        <v>Patient element containing the data regarding the patient followed by the hospital</v>
      </c>
      <c r="E28">
        <f>H2</f>
        <v>1</v>
      </c>
      <c r="F28">
        <f>I2</f>
        <v>1</v>
      </c>
      <c r="G28" t="str">
        <f>E2</f>
        <v>ElementReference</v>
      </c>
      <c r="H28" s="2" t="str">
        <f>CONCATENATE(F2,$K$2,G2)</f>
        <v>A patient element data</v>
      </c>
    </row>
    <row r="29" spans="1:9">
      <c r="B29" t="str">
        <f t="shared" ref="B29:D49" si="1">B3</f>
        <v>CancerEpisode.DateOfDiagnosis(BiopsyOrSurgicalPiece)</v>
      </c>
      <c r="C29" t="str">
        <f t="shared" si="1"/>
        <v>Date of diagnosis (biopsy or surgical piece)</v>
      </c>
      <c r="D29" t="str">
        <f t="shared" si="1"/>
        <v>Date of the procedure from which the specimen was obtained that allowed the histological diagnosis.</v>
      </c>
      <c r="E29">
        <f t="shared" ref="E29:F29" si="2">H3</f>
        <v>1</v>
      </c>
      <c r="F29">
        <f t="shared" si="2"/>
        <v>1</v>
      </c>
      <c r="G29" t="str">
        <f t="shared" ref="G29:G48" si="3">E3</f>
        <v>Date</v>
      </c>
      <c r="H29" s="2" t="str">
        <f t="shared" ref="H29:H48" si="4">CONCATENATE(F3,$K$2,G3)</f>
        <v>YYYY-MM-DD</v>
      </c>
    </row>
    <row r="30" spans="1:9">
      <c r="B30" t="str">
        <f t="shared" si="1"/>
        <v>CancerEpisode.BiopsyDoneBy</v>
      </c>
      <c r="C30" t="str">
        <f t="shared" si="1"/>
        <v>Biopsy done by</v>
      </c>
      <c r="D30" t="str">
        <f t="shared" si="1"/>
        <v>Describes the institution where diagnostic procedure was performed</v>
      </c>
      <c r="E30">
        <f t="shared" ref="E30:F30" si="5">H4</f>
        <v>1</v>
      </c>
      <c r="F30">
        <f t="shared" si="5"/>
        <v>1</v>
      </c>
      <c r="G30" t="str">
        <f t="shared" si="3"/>
        <v>CustomCode</v>
      </c>
      <c r="H30" s="2" t="str">
        <f t="shared" si="4"/>
        <v>The hospital; A different hospital</v>
      </c>
    </row>
    <row r="31" spans="1:9">
      <c r="B31" t="str">
        <f t="shared" si="1"/>
        <v>CancerEpisode.AgeAtDiagnosis</v>
      </c>
      <c r="C31" t="str">
        <f t="shared" si="1"/>
        <v>Age at diagnosis</v>
      </c>
      <c r="D31" t="str">
        <f t="shared" si="1"/>
        <v>Age of the patient at the time of the diagnosis.</v>
      </c>
      <c r="E31">
        <f t="shared" ref="E31:F31" si="6">H5</f>
        <v>1</v>
      </c>
      <c r="F31">
        <f t="shared" si="6"/>
        <v>1</v>
      </c>
      <c r="G31" t="str">
        <f t="shared" si="3"/>
        <v xml:space="preserve">Integer </v>
      </c>
      <c r="H31" s="2" t="str">
        <f t="shared" si="4"/>
        <v>Whole number greater than 0</v>
      </c>
    </row>
    <row r="32" spans="1:9">
      <c r="B32" t="str">
        <f t="shared" si="1"/>
        <v>CancerEpisode.Grading</v>
      </c>
      <c r="C32" t="str">
        <f t="shared" si="1"/>
        <v>Grading</v>
      </c>
      <c r="D32" t="str">
        <f t="shared" si="1"/>
        <v>Grading of the cancer</v>
      </c>
      <c r="E32">
        <f t="shared" ref="E32:F32" si="7">H6</f>
        <v>0</v>
      </c>
      <c r="F32">
        <f t="shared" si="7"/>
        <v>1</v>
      </c>
      <c r="G32" t="str">
        <f t="shared" si="3"/>
        <v>Code</v>
      </c>
      <c r="H32" s="2" t="str">
        <f t="shared" si="4"/>
        <v>Check thisCheck this</v>
      </c>
    </row>
    <row r="33" spans="2:8" ht="265.5">
      <c r="B33" t="str">
        <f t="shared" si="1"/>
        <v>CancerEpisode.Histology(Who2017)Group</v>
      </c>
      <c r="C33" t="str">
        <f t="shared" si="1"/>
        <v>Histology (WHO 2017) group</v>
      </c>
      <c r="D33" t="str">
        <f t="shared" si="1"/>
        <v>Histology of prymary tumour  according to WHO 2017 clasification.</v>
      </c>
      <c r="E33">
        <f t="shared" ref="E33:F33" si="8">H7</f>
        <v>1</v>
      </c>
      <c r="F33">
        <f t="shared" si="8"/>
        <v>1</v>
      </c>
      <c r="G33" t="str">
        <f t="shared" si="3"/>
        <v>Code</v>
      </c>
      <c r="H33" s="2" t="str">
        <f t="shared" si="4"/>
        <v>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v>
      </c>
    </row>
    <row r="34" spans="2:8" ht="409.5">
      <c r="B34" t="str">
        <f t="shared" si="1"/>
        <v>CUS.HistologySquamous</v>
      </c>
      <c r="C34" t="str">
        <f t="shared" si="1"/>
        <v>Histology Squamous</v>
      </c>
      <c r="D34" t="str">
        <f t="shared" si="1"/>
        <v>Specifies the histological subgroup for squamous cancers</v>
      </c>
      <c r="E34">
        <f t="shared" ref="E34:F34" si="9">H8</f>
        <v>1</v>
      </c>
      <c r="F34">
        <f t="shared" si="9"/>
        <v>1</v>
      </c>
      <c r="G34" t="str">
        <f t="shared" si="3"/>
        <v>String</v>
      </c>
      <c r="H34" s="2" t="str">
        <f t="shared" si="4"/>
        <v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v>
      </c>
    </row>
    <row r="35" spans="2:8" ht="409.5">
      <c r="B35" t="str">
        <f t="shared" si="1"/>
        <v>CUS.HistologyAdenocarcinoma</v>
      </c>
      <c r="C35" t="str">
        <f t="shared" si="1"/>
        <v>Histology Adenocarcinoma</v>
      </c>
      <c r="D35" t="str">
        <f t="shared" si="1"/>
        <v>Specifies the histological subgroup for adenocarcinomas</v>
      </c>
      <c r="E35">
        <f t="shared" ref="E35:F35" si="10">H9</f>
        <v>1</v>
      </c>
      <c r="F35">
        <f t="shared" si="10"/>
        <v>1</v>
      </c>
      <c r="G35" t="str">
        <f t="shared" si="3"/>
        <v>String</v>
      </c>
      <c r="H35" s="2" t="str">
        <f t="shared" si="4"/>
        <v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v>
      </c>
    </row>
    <row r="36" spans="2:8" ht="177">
      <c r="B36" t="str">
        <f t="shared" si="1"/>
        <v>CUS.HistologyNeuroendocrine</v>
      </c>
      <c r="C36" t="str">
        <f t="shared" si="1"/>
        <v>Histology Neuroendocrine</v>
      </c>
      <c r="D36" t="str">
        <f t="shared" si="1"/>
        <v xml:space="preserve">Specifies the histological subgroup for neuroendocrine cancers </v>
      </c>
      <c r="E36">
        <f t="shared" ref="E36:F36" si="11">H10</f>
        <v>1</v>
      </c>
      <c r="F36">
        <f t="shared" si="11"/>
        <v>1</v>
      </c>
      <c r="G36" t="str">
        <f t="shared" si="3"/>
        <v>String</v>
      </c>
      <c r="H36" s="2" t="str">
        <f t="shared" si="4"/>
        <v>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v>
      </c>
    </row>
    <row r="37" spans="2:8" ht="206.5">
      <c r="B37" t="str">
        <f t="shared" si="1"/>
        <v>CUS.HistologyOdontogenicCarcinoma</v>
      </c>
      <c r="C37" t="str">
        <f t="shared" si="1"/>
        <v>Histology Odontogenic Carcinoma</v>
      </c>
      <c r="D37" t="str">
        <f t="shared" si="1"/>
        <v>Specifies the histological subgroup for odontogenic carcinomas</v>
      </c>
      <c r="E37">
        <f t="shared" ref="E37:F37" si="12">H11</f>
        <v>1</v>
      </c>
      <c r="F37">
        <f t="shared" si="12"/>
        <v>1</v>
      </c>
      <c r="G37" t="str">
        <f t="shared" si="3"/>
        <v>String</v>
      </c>
      <c r="H37" s="2" t="str">
        <f t="shared" si="4"/>
        <v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v>
      </c>
    </row>
    <row r="38" spans="2:8" ht="88.5">
      <c r="B38" t="str">
        <f t="shared" si="1"/>
        <v>CUS.HistologySNUC</v>
      </c>
      <c r="C38" t="str">
        <f t="shared" si="1"/>
        <v>Histology Sinonasal undifferentiated carcinoma</v>
      </c>
      <c r="D38" t="str">
        <f t="shared" si="1"/>
        <v>Specifies the histological subgroup for sinonasl undifferentiated carcinomas</v>
      </c>
      <c r="E38">
        <f t="shared" ref="E38:F38" si="13">H12</f>
        <v>1</v>
      </c>
      <c r="F38">
        <f t="shared" si="13"/>
        <v>1</v>
      </c>
      <c r="G38" t="str">
        <f t="shared" si="3"/>
        <v>String</v>
      </c>
      <c r="H38" s="2" t="str">
        <f t="shared" si="4"/>
        <v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v>
      </c>
    </row>
    <row r="39" spans="2:8" ht="103.25">
      <c r="B39" t="str">
        <f t="shared" si="1"/>
        <v>CUS.NasalCavityAndParanasalSinusesSubsite</v>
      </c>
      <c r="C39" t="str">
        <f t="shared" si="1"/>
        <v>Nasal cavity and paranasal sinuses subsite</v>
      </c>
      <c r="D39" t="str">
        <f t="shared" si="1"/>
        <v>Specifies the subsite for cancers occurred in nasal cavity and paranasal sinusess</v>
      </c>
      <c r="E39">
        <f t="shared" ref="E39:F39" si="14">H13</f>
        <v>1</v>
      </c>
      <c r="F39">
        <f t="shared" si="14"/>
        <v>1</v>
      </c>
      <c r="G39" t="str">
        <f t="shared" si="3"/>
        <v>String</v>
      </c>
      <c r="H39" s="2" t="str">
        <f t="shared" si="4"/>
        <v>AJCC 8th Edition Cancer Staging Manual
Nasal cavity;Maxillary sinus;Ethmoid sinus;Frontal sinus;Sphenoid sinusNasal cavity - 4088327
Maxillary sinus - 4050631
Ethmoid sinus - 4182234
Frontal sinus - 4204534
Sphenoid sinus - 4097172</v>
      </c>
    </row>
    <row r="40" spans="2:8" ht="103.25">
      <c r="B40" t="str">
        <f t="shared" si="1"/>
        <v>CUS.NasopharynxSubsite</v>
      </c>
      <c r="C40" t="str">
        <f t="shared" si="1"/>
        <v>Nasopharynx  subsite</v>
      </c>
      <c r="D40" t="str">
        <f t="shared" si="1"/>
        <v>Specifies the subsite for cancers occurred in nasopharynx</v>
      </c>
      <c r="E40">
        <f t="shared" ref="E40:F40" si="15">H14</f>
        <v>1</v>
      </c>
      <c r="F40">
        <f t="shared" si="15"/>
        <v>1</v>
      </c>
      <c r="G40" t="str">
        <f t="shared" si="3"/>
        <v>String</v>
      </c>
      <c r="H40" s="2" t="str">
        <f t="shared" si="4"/>
        <v>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v>
      </c>
    </row>
    <row r="41" spans="2:8" ht="132.75">
      <c r="B41" t="str">
        <f t="shared" si="1"/>
        <v>CUS.HypopharynxSubsite</v>
      </c>
      <c r="C41" t="str">
        <f t="shared" si="1"/>
        <v>Hypopharynx subsite</v>
      </c>
      <c r="D41" t="str">
        <f t="shared" si="1"/>
        <v>Specifies the subsite for cancers occurred in hypopharynx</v>
      </c>
      <c r="E41">
        <f t="shared" ref="E41:F41" si="16">H15</f>
        <v>1</v>
      </c>
      <c r="F41">
        <f t="shared" si="16"/>
        <v>1</v>
      </c>
      <c r="G41" t="str">
        <f t="shared" si="3"/>
        <v>String</v>
      </c>
      <c r="H41" s="2" t="str">
        <f t="shared" si="4"/>
        <v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v>
      </c>
    </row>
    <row r="42" spans="2:8" ht="354">
      <c r="B42" t="str">
        <f t="shared" si="1"/>
        <v>CUS.OropharynxSubsite</v>
      </c>
      <c r="C42" t="str">
        <f t="shared" si="1"/>
        <v>Oropharynx subsite</v>
      </c>
      <c r="D42" t="str">
        <f t="shared" si="1"/>
        <v>Specifies the subsite for cancers occurred in oropharynx</v>
      </c>
      <c r="E42">
        <f t="shared" ref="E42:F42" si="17">H16</f>
        <v>1</v>
      </c>
      <c r="F42">
        <f t="shared" si="17"/>
        <v>1</v>
      </c>
      <c r="G42" t="str">
        <f t="shared" si="3"/>
        <v>String</v>
      </c>
      <c r="H42" s="2" t="str">
        <f t="shared" si="4"/>
        <v>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v>
      </c>
    </row>
    <row r="43" spans="2:8" ht="103.25">
      <c r="B43" t="str">
        <f t="shared" si="1"/>
        <v>CUS.LarynxSubsite</v>
      </c>
      <c r="C43" t="str">
        <f t="shared" si="1"/>
        <v>Larynx subsite</v>
      </c>
      <c r="D43" t="str">
        <f t="shared" si="1"/>
        <v>Specifies the subsite for cancers occurred in larynx</v>
      </c>
      <c r="E43">
        <f t="shared" ref="E43:F43" si="18">H17</f>
        <v>1</v>
      </c>
      <c r="F43">
        <f t="shared" si="18"/>
        <v>1</v>
      </c>
      <c r="G43" t="str">
        <f t="shared" si="3"/>
        <v>String</v>
      </c>
      <c r="H43" s="2" t="str">
        <f t="shared" si="4"/>
        <v xml:space="preserve">AJCC 8th Edition Cancer Staging Manual
Glottis;Supraglottis;Subglottis;Laryngeal cartilage
Glottis - 4047227
Supraglottis - 4001049
Subglottis - 4002724
Laryngeal cartilage - 4279711
</v>
      </c>
    </row>
    <row r="44" spans="2:8" ht="409.5">
      <c r="B44" t="str">
        <f t="shared" si="1"/>
        <v>CUS.OralCavitySubsite</v>
      </c>
      <c r="C44" t="str">
        <f t="shared" si="1"/>
        <v>Oral cavity subsite</v>
      </c>
      <c r="D44" t="str">
        <f t="shared" si="1"/>
        <v>Specifies the subsite for cancers occurred in oral cavity</v>
      </c>
      <c r="E44">
        <f t="shared" ref="E44:F44" si="19">H18</f>
        <v>1</v>
      </c>
      <c r="F44">
        <f t="shared" si="19"/>
        <v>1</v>
      </c>
      <c r="G44" t="str">
        <f t="shared" si="3"/>
        <v>String</v>
      </c>
      <c r="H44" s="2" t="str">
        <f t="shared" si="4"/>
        <v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v>
      </c>
    </row>
    <row r="45" spans="2:8" ht="147.5">
      <c r="B45" t="str">
        <f t="shared" si="1"/>
        <v>CUS.LipSubsite</v>
      </c>
      <c r="C45" t="str">
        <f t="shared" si="1"/>
        <v>Lip subsite</v>
      </c>
      <c r="D45" t="str">
        <f t="shared" si="1"/>
        <v>Specifies the subsite for cancers occurred in lip</v>
      </c>
      <c r="E45">
        <f t="shared" ref="E45:F45" si="20">H19</f>
        <v>1</v>
      </c>
      <c r="F45">
        <f t="shared" si="20"/>
        <v>1</v>
      </c>
      <c r="G45" t="str">
        <f t="shared" si="3"/>
        <v>String</v>
      </c>
      <c r="H45" s="2" t="str">
        <f t="shared" si="4"/>
        <v>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v>
      </c>
    </row>
    <row r="46" spans="2:8" ht="44.25">
      <c r="B46" t="str">
        <f t="shared" si="1"/>
        <v>CUS.PlasmaticEbvDnaAtBaseline</v>
      </c>
      <c r="C46" t="str">
        <f t="shared" si="1"/>
        <v>Plasmatic EBV DNA at baseline</v>
      </c>
      <c r="D46" t="str">
        <f t="shared" si="1"/>
        <v xml:space="preserve">Describes the result of EBV DNA plasma testing before treatment in NPC type II and III (WHO) </v>
      </c>
      <c r="E46">
        <f t="shared" ref="E46:F46" si="21">H20</f>
        <v>0</v>
      </c>
      <c r="F46">
        <f t="shared" si="21"/>
        <v>1</v>
      </c>
      <c r="G46" t="str">
        <f t="shared" si="3"/>
        <v>String</v>
      </c>
      <c r="H46" s="2" t="str">
        <f t="shared" si="4"/>
        <v xml:space="preserve"> Positive; Negative; not tested; Positive - 9191
 Negative - 9189
not tested - 45878602</v>
      </c>
    </row>
    <row r="47" spans="2:8" ht="44.25">
      <c r="B47" t="str">
        <f t="shared" si="1"/>
        <v>CUS.HpvStatus</v>
      </c>
      <c r="C47" t="str">
        <f t="shared" si="1"/>
        <v>HPV status</v>
      </c>
      <c r="D47" t="str">
        <f t="shared" si="1"/>
        <v xml:space="preserve">Describes the result of HPV tumor testing in oral carcinoma </v>
      </c>
      <c r="E47">
        <f t="shared" ref="E47:F47" si="22">H21</f>
        <v>0</v>
      </c>
      <c r="F47">
        <f t="shared" si="22"/>
        <v>1</v>
      </c>
      <c r="G47" t="str">
        <f t="shared" si="3"/>
        <v>String</v>
      </c>
      <c r="H47" s="2" t="str">
        <f t="shared" si="4"/>
        <v xml:space="preserve"> Positive; Negative; Not tested; Positive - 9191
 Negative - 9189
not tested - 45878602</v>
      </c>
    </row>
    <row r="48" spans="2:8" ht="44.25">
      <c r="B48" t="str">
        <f t="shared" si="1"/>
        <v>CUS.Crp–CReactiveProteinTested</v>
      </c>
      <c r="C48" t="str">
        <f t="shared" si="1"/>
        <v xml:space="preserve">CRP – C reactive protein tested </v>
      </c>
      <c r="D48" t="str">
        <f t="shared" si="1"/>
        <v>Describes the result of C reactive protein testing</v>
      </c>
      <c r="E48">
        <f t="shared" ref="E48:F48" si="23">H22</f>
        <v>0</v>
      </c>
      <c r="F48">
        <f t="shared" si="23"/>
        <v>1</v>
      </c>
      <c r="G48" t="str">
        <f t="shared" si="3"/>
        <v>String</v>
      </c>
      <c r="H48" s="2" t="str">
        <f t="shared" si="4"/>
        <v>Positive; Negative; Not tested; Positive - 9191
 Negative - 9189
not tested - 45878602</v>
      </c>
    </row>
    <row r="49" spans="2:4">
      <c r="B49">
        <f t="shared" si="1"/>
        <v>0</v>
      </c>
      <c r="C49">
        <f t="shared" si="1"/>
        <v>0</v>
      </c>
      <c r="D49">
        <f t="shared" si="1"/>
        <v>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M75"/>
  <sheetViews>
    <sheetView topLeftCell="A19" zoomScale="85" zoomScaleNormal="85" workbookViewId="0">
      <selection activeCell="B21" sqref="B21"/>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1766</v>
      </c>
      <c r="J4" s="16" t="str">
        <f>CONCATENATE("Logical: ",B4)</f>
        <v>Logical: CancerEpisodeI4rc</v>
      </c>
    </row>
    <row r="5" spans="1:12">
      <c r="A5" s="14" t="s">
        <v>16</v>
      </c>
      <c r="B5" s="46" t="s">
        <v>1767</v>
      </c>
      <c r="J5" s="16" t="str">
        <f>CONCATENATE("Id: ",B5)</f>
        <v>Id: CancerEpisode</v>
      </c>
    </row>
    <row r="6" spans="1:12">
      <c r="A6" s="14" t="s">
        <v>10</v>
      </c>
      <c r="B6" s="47" t="s">
        <v>1862</v>
      </c>
      <c r="J6" s="17" t="str">
        <f>CONCATENATE("Title: ##34#",B6,"##34#")</f>
        <v>Title: ##34#Cancer  Episode##34#</v>
      </c>
    </row>
    <row r="7" spans="1:12" ht="30.25" thickBot="1">
      <c r="A7" s="26" t="s">
        <v>2</v>
      </c>
      <c r="B7" s="48" t="s">
        <v>1768</v>
      </c>
      <c r="C7" s="9" t="s">
        <v>3</v>
      </c>
      <c r="D7" s="1" t="s">
        <v>4</v>
      </c>
      <c r="E7" s="3" t="s">
        <v>5</v>
      </c>
      <c r="F7" s="3" t="s">
        <v>6</v>
      </c>
      <c r="G7" s="3" t="s">
        <v>7</v>
      </c>
      <c r="H7" s="105" t="s">
        <v>1610</v>
      </c>
      <c r="J7" s="17" t="str">
        <f>CONCATENATE("Description: "," ##334#",B7,"##334#",)</f>
        <v>Description:  ##334#Cancer Episode
Maturity Level: 0 Draft##334#</v>
      </c>
    </row>
    <row r="8" spans="1:12" ht="44.25">
      <c r="A8" s="11">
        <v>0</v>
      </c>
      <c r="B8" s="107" t="s">
        <v>1783</v>
      </c>
      <c r="C8" s="12" t="s">
        <v>14</v>
      </c>
      <c r="D8" s="12" t="s">
        <v>1755</v>
      </c>
      <c r="E8" s="11">
        <v>1</v>
      </c>
      <c r="F8" s="11">
        <v>1</v>
      </c>
      <c r="G8" s="113" t="s">
        <v>1761</v>
      </c>
      <c r="I8" s="25"/>
      <c r="J8" s="12" t="str">
        <f t="shared" ref="J8"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c>
    </row>
    <row r="9" spans="1:12" ht="44.25">
      <c r="A9" s="11">
        <v>1</v>
      </c>
      <c r="B9" s="109" t="s">
        <v>1784</v>
      </c>
      <c r="C9" s="12" t="s">
        <v>1472</v>
      </c>
      <c r="D9" s="12" t="s">
        <v>1475</v>
      </c>
      <c r="E9" s="11">
        <v>1</v>
      </c>
      <c r="F9" s="11">
        <v>1</v>
      </c>
      <c r="G9" s="108" t="s">
        <v>156</v>
      </c>
      <c r="I9" s="25"/>
      <c r="J9" s="12" t="str">
        <f t="shared" ref="J9:J62" si="1">CONCATENATE("* ",B9, " ",E9,"..",F9," ",G9," ##34#",C9,"##34# ##334#",D9,"##334#")</f>
        <v>* dateOfDiagnosis 1..1 date ##34#Date of diagnosis (biopsy or surgical piece)##34# ##334#Date of the procedure from which the specimen was obtained that allowed the histological diagnosis.##334#</v>
      </c>
      <c r="L9" s="12" t="str">
        <f t="shared" ref="L9:L62" si="2">IF(H9="",IF(J9="*  ..  ##34###34# ##334###334#",J9,""),IF(J9="*  ..  ##34###34# ##334###334#",J9,CONCATENATE("* ",B9," ^comment = ##334#",H9,"##334#")))</f>
        <v/>
      </c>
    </row>
    <row r="10" spans="1:12" ht="177">
      <c r="A10" s="11">
        <v>2</v>
      </c>
      <c r="B10" t="s">
        <v>2448</v>
      </c>
      <c r="C10" t="s">
        <v>2449</v>
      </c>
      <c r="D10" s="2" t="s">
        <v>2450</v>
      </c>
      <c r="E10" s="11">
        <v>1</v>
      </c>
      <c r="F10" s="11">
        <v>1</v>
      </c>
      <c r="G10" s="12" t="s">
        <v>1764</v>
      </c>
      <c r="H10" s="2" t="s">
        <v>2539</v>
      </c>
      <c r="I10" s="25"/>
      <c r="J10" s="12" t="str">
        <f t="shared" si="1"/>
        <v>* typeOfBiopsy 1..1 CodeableConcept ##34#Type of biopsy##34# ##334#Type of biopsy performed##334#</v>
      </c>
      <c r="L10" s="12" t="str">
        <f t="shared" si="2"/>
        <v>* typeOfBiopsy ^comment = ##334#FNA
core-trcut
incisional
excisional
unplanned excision
Fine needle biopsy - 4171863
Core needle biopsy - 4321878
Incisional biopsy - 4321986
Excisional biopsy - 4228202
Excision - 4279903
##334#</v>
      </c>
    </row>
    <row r="11" spans="1:12" ht="44.25">
      <c r="A11" s="11">
        <v>3</v>
      </c>
      <c r="B11" s="107" t="s">
        <v>1785</v>
      </c>
      <c r="C11" s="12" t="s">
        <v>1479</v>
      </c>
      <c r="D11" s="12" t="s">
        <v>1750</v>
      </c>
      <c r="E11" s="11">
        <v>1</v>
      </c>
      <c r="F11" s="11">
        <v>1</v>
      </c>
      <c r="G11" s="108" t="s">
        <v>1764</v>
      </c>
      <c r="I11" s="25"/>
      <c r="J11" s="12" t="str">
        <f t="shared" si="1"/>
        <v>* biopsyDoneBy 1..1 CodeableConcept ##34#Biopsy done by##34# ##334#Describes the institution where diagnostic procedure was performed##334#</v>
      </c>
      <c r="L11" s="12" t="str">
        <f t="shared" si="2"/>
        <v/>
      </c>
    </row>
    <row r="12" spans="1:12" ht="29.5">
      <c r="A12" s="11">
        <v>4</v>
      </c>
      <c r="B12" s="107" t="s">
        <v>1786</v>
      </c>
      <c r="C12" s="12" t="s">
        <v>1483</v>
      </c>
      <c r="D12" s="12" t="s">
        <v>1484</v>
      </c>
      <c r="E12" s="11">
        <v>1</v>
      </c>
      <c r="F12" s="11">
        <v>1</v>
      </c>
      <c r="G12" s="108" t="s">
        <v>1762</v>
      </c>
      <c r="I12" s="25"/>
      <c r="J12" s="12" t="str">
        <f t="shared" si="1"/>
        <v>* ageAtDiagnosis 1..1 integer  ##34#Age at diagnosis##34# ##334#Age of the patient at the time of the diagnosis.##334#</v>
      </c>
      <c r="L12" s="12" t="str">
        <f t="shared" si="2"/>
        <v/>
      </c>
    </row>
    <row r="13" spans="1:12" ht="73.75">
      <c r="A13" s="11">
        <v>5</v>
      </c>
      <c r="B13" t="s">
        <v>2451</v>
      </c>
      <c r="C13" t="s">
        <v>2452</v>
      </c>
      <c r="D13" s="2" t="s">
        <v>2453</v>
      </c>
      <c r="E13" s="11">
        <v>1</v>
      </c>
      <c r="F13" s="11">
        <v>1</v>
      </c>
      <c r="G13" s="12" t="s">
        <v>157</v>
      </c>
      <c r="H13" s="2" t="s">
        <v>2540</v>
      </c>
      <c r="I13" s="25"/>
      <c r="J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L13" s="12" t="str">
        <f t="shared" si="2"/>
        <v>* radiotherapyInducedSarcoma ^comment = ##334#Radiation therapy induced change
Radiation therapy induced change - 37117814
##334#</v>
      </c>
    </row>
    <row r="14" spans="1:12" ht="147.5">
      <c r="A14" s="11">
        <v>6</v>
      </c>
      <c r="B14" s="107" t="s">
        <v>1787</v>
      </c>
      <c r="C14" s="12" t="s">
        <v>1745</v>
      </c>
      <c r="D14" s="12" t="s">
        <v>1744</v>
      </c>
      <c r="E14" s="11">
        <v>0</v>
      </c>
      <c r="F14" s="11">
        <v>1</v>
      </c>
      <c r="G14" s="108" t="s">
        <v>1764</v>
      </c>
      <c r="H14" s="2" t="s">
        <v>2541</v>
      </c>
      <c r="I14" s="25"/>
      <c r="J14" s="12" t="str">
        <f t="shared" si="1"/>
        <v>* grading 0..1 CodeableConcept ##34#Grading##34# ##334#Grading of the cancer##334#</v>
      </c>
      <c r="L14" s="12" t="str">
        <f t="shared" si="2"/>
        <v>* grading ^comment = ##334#1
2
3
high
low
Grade-1 - 1634371
Grade-2 - 1634752
Grade-3 - 1633749
Grade-H - 1635587
Grade-L - 1634085##334#</v>
      </c>
    </row>
    <row r="15" spans="1:12" s="102" customFormat="1" ht="29.5">
      <c r="A15" s="11">
        <v>7</v>
      </c>
      <c r="B15" s="6" t="s">
        <v>1788</v>
      </c>
      <c r="C15" s="4" t="s">
        <v>1763</v>
      </c>
      <c r="D15" s="4" t="s">
        <v>1763</v>
      </c>
      <c r="E15" s="6">
        <v>1</v>
      </c>
      <c r="F15" s="6">
        <v>1</v>
      </c>
      <c r="G15" s="4" t="s">
        <v>1</v>
      </c>
      <c r="H15" s="4" t="s">
        <v>2542</v>
      </c>
      <c r="I15" s="115"/>
      <c r="J15" s="12" t="str">
        <f t="shared" si="1"/>
        <v>* histologySubGroup 1..1 BackboneElement ##34#Histology Subgroups##34# ##334#Histology Subgroups##334#</v>
      </c>
      <c r="K15"/>
      <c r="L15" s="12" t="str">
        <f t="shared" si="2"/>
        <v>* histologySubGroup ^comment = ##334#Added to the model for grouping elements##334#</v>
      </c>
    </row>
    <row r="16" spans="1:12" s="2" customFormat="1" ht="409.5">
      <c r="A16" s="11">
        <v>8</v>
      </c>
      <c r="B16" s="109" t="s">
        <v>1789</v>
      </c>
      <c r="C16" s="12" t="s">
        <v>1499</v>
      </c>
      <c r="D16" s="12" t="s">
        <v>1500</v>
      </c>
      <c r="E16" s="116">
        <v>1</v>
      </c>
      <c r="F16" s="11">
        <v>1</v>
      </c>
      <c r="G16" s="114" t="s">
        <v>1764</v>
      </c>
      <c r="H16" s="2" t="s">
        <v>2520</v>
      </c>
      <c r="I16" s="25"/>
      <c r="J16" s="12" t="str">
        <f t="shared" si="1"/>
        <v>* histologySubGroup.histologySquamous 1..1 CodeableConcept ##34#Histology Squamous##34# ##334#Specifies the histological subgroup for squamous cancers##334#</v>
      </c>
      <c r="K16"/>
      <c r="L16" s="12" t="str">
        <f t="shared" si="2"/>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17" spans="1:12" s="2" customFormat="1" ht="409.5">
      <c r="A17" s="11">
        <v>9</v>
      </c>
      <c r="B17" s="109" t="s">
        <v>1790</v>
      </c>
      <c r="C17" s="12" t="s">
        <v>1505</v>
      </c>
      <c r="D17" s="12" t="s">
        <v>1506</v>
      </c>
      <c r="E17" s="116">
        <v>1</v>
      </c>
      <c r="F17" s="11">
        <v>1</v>
      </c>
      <c r="G17" s="114" t="s">
        <v>1764</v>
      </c>
      <c r="H17" s="2" t="s">
        <v>2521</v>
      </c>
      <c r="I17" s="25"/>
      <c r="J17" s="12" t="str">
        <f t="shared" si="1"/>
        <v>* histologySubGroup.histologyAdenocarcinoma 1..1 CodeableConcept ##34#Histology Adenocarcinoma##34# ##334#Specifies the histological subgroup for adenocarcinomas##334#</v>
      </c>
      <c r="K17"/>
      <c r="L17" s="12" t="str">
        <f t="shared" si="2"/>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18" spans="1:12" s="2" customFormat="1" ht="250.75">
      <c r="A18" s="11">
        <v>10</v>
      </c>
      <c r="B18" s="109" t="s">
        <v>1791</v>
      </c>
      <c r="C18" s="12" t="s">
        <v>1511</v>
      </c>
      <c r="D18" s="12" t="s">
        <v>1512</v>
      </c>
      <c r="E18" s="116">
        <v>1</v>
      </c>
      <c r="F18" s="11">
        <v>1</v>
      </c>
      <c r="G18" s="114" t="s">
        <v>1764</v>
      </c>
      <c r="H18" s="2" t="s">
        <v>2522</v>
      </c>
      <c r="I18" s="25"/>
      <c r="J18" s="12" t="str">
        <f t="shared" si="1"/>
        <v>* histologySubGroup.histologyNeuroendocrine 1..1 CodeableConcept ##34#Histology Neuroendocrine##34# ##334#Specifies the histological subgroup for neuroendocrine cancers ##334#</v>
      </c>
      <c r="K18"/>
      <c r="L18" s="12" t="str">
        <f t="shared" si="2"/>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19" spans="1:12" s="2" customFormat="1" ht="295">
      <c r="A19" s="11">
        <v>11</v>
      </c>
      <c r="B19" s="109" t="s">
        <v>1792</v>
      </c>
      <c r="C19" s="12" t="s">
        <v>1517</v>
      </c>
      <c r="D19" s="12" t="s">
        <v>1518</v>
      </c>
      <c r="E19" s="116">
        <v>1</v>
      </c>
      <c r="F19" s="11">
        <v>1</v>
      </c>
      <c r="G19" s="114" t="s">
        <v>1764</v>
      </c>
      <c r="H19" s="2" t="s">
        <v>2523</v>
      </c>
      <c r="I19" s="25"/>
      <c r="J19" s="12" t="str">
        <f t="shared" si="1"/>
        <v>* histologySubGroup.histologyOdontogenicCarcinoma 1..1 CodeableConcept ##34#Histology Odontogenic Carcinoma##34# ##334#Specifies the histological subgroup for odontogenic carcinomas##334#</v>
      </c>
      <c r="K19"/>
      <c r="L19" s="12" t="str">
        <f t="shared" si="2"/>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20" spans="1:12" s="2" customFormat="1" ht="103.25">
      <c r="A20" s="3">
        <v>12</v>
      </c>
      <c r="B20" s="190" t="s">
        <v>1793</v>
      </c>
      <c r="C20" s="191" t="s">
        <v>1523</v>
      </c>
      <c r="D20" s="191" t="s">
        <v>1524</v>
      </c>
      <c r="E20" s="170">
        <v>1</v>
      </c>
      <c r="F20" s="3">
        <v>1</v>
      </c>
      <c r="G20" s="192" t="s">
        <v>1764</v>
      </c>
      <c r="H20" s="2" t="s">
        <v>2524</v>
      </c>
      <c r="I20" s="171"/>
      <c r="J20" s="191" t="str">
        <f t="shared" si="1"/>
        <v>* histologySubGroup.histologySNUC 1..1 CodeableConcept ##34#Histology Sinonasal undifferentiated carcinoma##34# ##334#Specifies the histological subgroup for sinonasl undifferentiated carcinomas##334#</v>
      </c>
      <c r="K20"/>
      <c r="L20" s="191" t="str">
        <f t="shared" si="2"/>
        <v>* histologySubGroup.histologySNUC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21" spans="1:12" s="12" customFormat="1" ht="206.5">
      <c r="A21" s="11">
        <v>13</v>
      </c>
      <c r="B21" s="11" t="s">
        <v>2557</v>
      </c>
      <c r="C21" s="11" t="s">
        <v>2454</v>
      </c>
      <c r="D21" s="12" t="s">
        <v>2455</v>
      </c>
      <c r="E21" s="116">
        <v>1</v>
      </c>
      <c r="F21" s="11">
        <v>1</v>
      </c>
      <c r="G21" s="12" t="s">
        <v>1764</v>
      </c>
      <c r="H21" s="12" t="s">
        <v>2525</v>
      </c>
      <c r="I21" s="11"/>
      <c r="J21" s="12" t="str">
        <f t="shared" si="1"/>
        <v>* histologySubGroup.adipocyticTumours 1..1 CodeableConcept ##34#Histology subgroup Adipocytic tumours##34# ##334#Specifies the histological subgroup for adipocytic tumours##334#</v>
      </c>
      <c r="K21" s="11"/>
      <c r="L21" s="12" t="str">
        <f t="shared" si="2"/>
        <v>* histologySubGroup.adipocyticTumours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22" spans="1:12" s="12" customFormat="1" ht="409.5">
      <c r="A22" s="11">
        <v>14</v>
      </c>
      <c r="B22" s="11" t="s">
        <v>2558</v>
      </c>
      <c r="C22" s="11" t="s">
        <v>2456</v>
      </c>
      <c r="D22" s="119" t="s">
        <v>2456</v>
      </c>
      <c r="E22" s="116">
        <v>1</v>
      </c>
      <c r="F22" s="11">
        <v>1</v>
      </c>
      <c r="G22" s="12" t="s">
        <v>1764</v>
      </c>
      <c r="H22" s="12" t="s">
        <v>2526</v>
      </c>
      <c r="I22" s="11"/>
      <c r="J22" s="12" t="str">
        <f t="shared" si="1"/>
        <v>* histologySubGroup.fmtTumours 1..1 CodeableConcept ##34#Histology subgroup Fibroblastic and myofibroblastic tumours##34# ##334#Histology subgroup Fibroblastic and myofibroblastic tumours##334#</v>
      </c>
      <c r="K22" s="11"/>
      <c r="L22" s="12" t="str">
        <f t="shared" si="2"/>
        <v>* histologySubGroup.fmtTumours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23" spans="1:12" s="12" customFormat="1" ht="162.25">
      <c r="A23" s="11">
        <v>15</v>
      </c>
      <c r="B23" s="11" t="s">
        <v>2559</v>
      </c>
      <c r="C23" s="11" t="s">
        <v>2457</v>
      </c>
      <c r="D23" s="11" t="s">
        <v>2457</v>
      </c>
      <c r="E23" s="116">
        <v>1</v>
      </c>
      <c r="F23" s="11">
        <v>1</v>
      </c>
      <c r="G23" s="12" t="s">
        <v>1764</v>
      </c>
      <c r="H23" s="12" t="s">
        <v>2527</v>
      </c>
      <c r="I23" s="11"/>
      <c r="J23" s="12" t="str">
        <f t="shared" si="1"/>
        <v>* histologySubGroup.socalledFibrohistiocyticTumours 1..1 CodeableConcept ##34#Histology subgroup So-called fibrohistiocytic tumours
##34# ##334#Histology subgroup So-called fibrohistiocytic tumours
##334#</v>
      </c>
      <c r="K23" s="11"/>
      <c r="L23" s="12" t="str">
        <f t="shared" si="2"/>
        <v>* histologySubGroup.socalledFibrohistiocyticTumours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24" spans="1:12" s="2" customFormat="1" ht="29.5">
      <c r="A24" s="193"/>
      <c r="B24" s="73" t="s">
        <v>2543</v>
      </c>
      <c r="C24" s="73" t="s">
        <v>2544</v>
      </c>
      <c r="D24" s="73" t="s">
        <v>2544</v>
      </c>
      <c r="E24" s="193">
        <v>1</v>
      </c>
      <c r="F24" s="193">
        <v>1</v>
      </c>
      <c r="G24" s="175" t="s">
        <v>1</v>
      </c>
      <c r="H24" s="102" t="s">
        <v>2545</v>
      </c>
      <c r="I24" s="174"/>
      <c r="J24" s="175" t="str">
        <f t="shared" si="1"/>
        <v>* tumorGroup 1..1 BackboneElement ##34#Tumor group (TBD)##34# ##334#Tumor group (TBD)##334#</v>
      </c>
      <c r="K24"/>
      <c r="L24" s="175" t="str">
        <f t="shared" si="2"/>
        <v>* tumorGroup ^comment = ##334#TO BE CHECKED . Added tpo group other tumors##334#</v>
      </c>
    </row>
    <row r="25" spans="1:12" s="2" customFormat="1" ht="324.5">
      <c r="A25" s="11">
        <v>16</v>
      </c>
      <c r="B25" t="s">
        <v>2546</v>
      </c>
      <c r="C25" t="s">
        <v>2458</v>
      </c>
      <c r="D25" t="s">
        <v>2458</v>
      </c>
      <c r="E25" s="116">
        <v>1</v>
      </c>
      <c r="F25" s="11">
        <v>1</v>
      </c>
      <c r="G25" s="12" t="s">
        <v>1764</v>
      </c>
      <c r="H25" s="2" t="s">
        <v>2528</v>
      </c>
      <c r="I25" s="25"/>
      <c r="J25" s="12" t="str">
        <f t="shared" si="1"/>
        <v>* tumorGroup.vascularTumours 1..1 CodeableConcept ##34#Vascular tumours ##34# ##334#Vascular tumours ##334#</v>
      </c>
      <c r="K25"/>
      <c r="L25" s="12" t="str">
        <f t="shared" si="2"/>
        <v>* tumorGroup.vascularTumours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26" spans="1:12" s="2" customFormat="1" ht="73.75">
      <c r="A26" s="11">
        <v>17</v>
      </c>
      <c r="B26" t="s">
        <v>2547</v>
      </c>
      <c r="C26" t="s">
        <v>2459</v>
      </c>
      <c r="D26" t="s">
        <v>2459</v>
      </c>
      <c r="E26" s="116">
        <v>1</v>
      </c>
      <c r="F26" s="11">
        <v>1</v>
      </c>
      <c r="G26" s="12" t="s">
        <v>1764</v>
      </c>
      <c r="H26" s="2" t="s">
        <v>2529</v>
      </c>
      <c r="I26" s="25"/>
      <c r="J26" s="12" t="str">
        <f t="shared" si="1"/>
        <v>* tumorGroup.pericyticPerivascularTumours 1..1 CodeableConcept ##34#Pericytic (perivascular) tumours
##34# ##334#Pericytic (perivascular) tumours
##334#</v>
      </c>
      <c r="K26"/>
      <c r="L26" s="12" t="str">
        <f t="shared" si="2"/>
        <v>* tumorGroup.pericyticPerivascularTumours ^comment = ##334#Glomus tumour NOS
Glomus tumour - 40571984
##334#</v>
      </c>
    </row>
    <row r="27" spans="1:12" s="2" customFormat="1" ht="354">
      <c r="A27" s="3">
        <v>18</v>
      </c>
      <c r="B27" t="s">
        <v>2548</v>
      </c>
      <c r="C27" t="s">
        <v>2460</v>
      </c>
      <c r="D27" t="s">
        <v>2460</v>
      </c>
      <c r="E27" s="170">
        <v>1</v>
      </c>
      <c r="F27" s="3">
        <v>1</v>
      </c>
      <c r="G27" s="12" t="s">
        <v>1764</v>
      </c>
      <c r="H27" s="2" t="s">
        <v>2530</v>
      </c>
      <c r="I27" s="171"/>
      <c r="J27" s="12" t="str">
        <f t="shared" si="1"/>
        <v>* tumorGroup.smoothMuscleTumours 1..1 CodeableConcept ##34#Smooth muscle tumours##34# ##334#Smooth muscle tumours##334#</v>
      </c>
      <c r="K27"/>
      <c r="L27" s="12" t="str">
        <f t="shared" si="2"/>
        <v>* tumorGroup.smoothMuscleTumours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28" spans="1:12" s="2" customFormat="1" ht="191.75">
      <c r="A28" s="11">
        <v>19</v>
      </c>
      <c r="B28" s="11" t="s">
        <v>2549</v>
      </c>
      <c r="C28" s="11" t="s">
        <v>2461</v>
      </c>
      <c r="D28" s="11" t="s">
        <v>2461</v>
      </c>
      <c r="E28" s="116">
        <v>1</v>
      </c>
      <c r="F28" s="11">
        <v>1</v>
      </c>
      <c r="G28" s="12" t="s">
        <v>1764</v>
      </c>
      <c r="H28" s="12" t="s">
        <v>2531</v>
      </c>
      <c r="I28" s="11"/>
      <c r="J28" s="12" t="str">
        <f t="shared" si="1"/>
        <v>* tumorGroup.skeletalMuscleTumours 1..1 CodeableConcept ##34#Skeletal muscle tumours##34# ##334#Skeletal muscle tumours##334#</v>
      </c>
      <c r="K28"/>
      <c r="L28" s="12" t="str">
        <f t="shared" si="2"/>
        <v>* tumorGroup.skeletalMuscleTumours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29" spans="1:12" s="2" customFormat="1" ht="73.75">
      <c r="A29" s="11">
        <v>20</v>
      </c>
      <c r="B29" s="11" t="s">
        <v>2550</v>
      </c>
      <c r="C29" s="11" t="s">
        <v>2462</v>
      </c>
      <c r="D29" s="11" t="s">
        <v>2462</v>
      </c>
      <c r="E29" s="116">
        <v>1</v>
      </c>
      <c r="F29" s="11">
        <v>1</v>
      </c>
      <c r="G29" s="12" t="s">
        <v>1764</v>
      </c>
      <c r="H29" s="12" t="s">
        <v>2532</v>
      </c>
      <c r="I29" s="11"/>
      <c r="J29" s="12" t="str">
        <f t="shared" si="1"/>
        <v>* tumorGroup.chondroOsseousTumours 1..1 CodeableConcept ##34#Chondro-osseous tumours
##34# ##334#Chondro-osseous tumours
##334#</v>
      </c>
      <c r="K29"/>
      <c r="L29" s="12" t="str">
        <f t="shared" si="2"/>
        <v>* tumorGroup.chondroOsseousTumours ^comment = ##334#Extraskeletal osteosarcoma
Extraskeletal osteosarcoma - 4298240
##334#</v>
      </c>
    </row>
    <row r="30" spans="1:12" s="2" customFormat="1" ht="177">
      <c r="A30" s="11">
        <v>21</v>
      </c>
      <c r="B30" s="11" t="s">
        <v>2551</v>
      </c>
      <c r="C30" s="11" t="s">
        <v>2463</v>
      </c>
      <c r="D30" s="11" t="s">
        <v>2463</v>
      </c>
      <c r="E30" s="116">
        <v>1</v>
      </c>
      <c r="F30" s="11">
        <v>1</v>
      </c>
      <c r="G30" s="12" t="s">
        <v>1764</v>
      </c>
      <c r="H30" s="12" t="s">
        <v>2533</v>
      </c>
      <c r="I30" s="11"/>
      <c r="J30" s="12" t="str">
        <f t="shared" si="1"/>
        <v>* tumorGroup.peripheralNerveSheathTumours 1..1 CodeableConcept ##34#Peripheral nerve sheath tumours##34# ##334#Peripheral nerve sheath tumours##334#</v>
      </c>
      <c r="K30"/>
      <c r="L30" s="12" t="str">
        <f t="shared" si="2"/>
        <v>* tumorGroup.peripheralNerveSheathTumours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31" spans="1:12" s="2" customFormat="1" ht="409.5">
      <c r="A31" s="11">
        <v>22</v>
      </c>
      <c r="B31" s="11" t="s">
        <v>2552</v>
      </c>
      <c r="C31" s="11" t="s">
        <v>2464</v>
      </c>
      <c r="D31" s="11" t="s">
        <v>2464</v>
      </c>
      <c r="E31" s="116">
        <v>1</v>
      </c>
      <c r="F31" s="11">
        <v>1</v>
      </c>
      <c r="G31" s="12" t="s">
        <v>1764</v>
      </c>
      <c r="H31" s="12" t="s">
        <v>2534</v>
      </c>
      <c r="I31" s="11"/>
      <c r="J31" s="12" t="str">
        <f t="shared" si="1"/>
        <v>* tumorGroup.tumoursOfUncertainDifferentiation 1..1 CodeableConcept ##34#Tumours of uncertain differentiation##34# ##334#Tumours of uncertain differentiation##334#</v>
      </c>
      <c r="K31"/>
      <c r="L31" s="12" t="str">
        <f t="shared" si="2"/>
        <v>* tumorGroup.tumoursOfUncertainDifferentiation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32" spans="1:12" s="2" customFormat="1" ht="162.25">
      <c r="A32" s="11">
        <v>23</v>
      </c>
      <c r="B32" s="11" t="s">
        <v>2553</v>
      </c>
      <c r="C32" s="11" t="s">
        <v>2465</v>
      </c>
      <c r="D32" s="11" t="s">
        <v>2465</v>
      </c>
      <c r="E32" s="116">
        <v>1</v>
      </c>
      <c r="F32" s="11">
        <v>1</v>
      </c>
      <c r="G32" s="12" t="s">
        <v>1764</v>
      </c>
      <c r="H32" s="12" t="s">
        <v>2535</v>
      </c>
      <c r="I32" s="11"/>
      <c r="J32" s="12" t="str">
        <f t="shared" si="1"/>
        <v>* tumorGroup.undifSmallRCelSarcBonAndSofTis 1..1 CodeableConcept ##34#Undifferentiated small round cell sarcomas of bone and soft tissue##34# ##334#Undifferentiated small round cell sarcomas of bone and soft tissue##334#</v>
      </c>
      <c r="K32"/>
      <c r="L32" s="12" t="str">
        <f t="shared" si="2"/>
        <v>* tumorGroup.undifSmallRCelSarcBonAndSofTis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33" spans="1:12" s="2" customFormat="1" ht="103.25">
      <c r="A33" s="11">
        <v>24</v>
      </c>
      <c r="B33" s="11" t="s">
        <v>2556</v>
      </c>
      <c r="C33" s="11" t="s">
        <v>2466</v>
      </c>
      <c r="D33" s="11" t="s">
        <v>2466</v>
      </c>
      <c r="E33" s="116">
        <v>1</v>
      </c>
      <c r="F33" s="11">
        <v>1</v>
      </c>
      <c r="G33" s="12" t="s">
        <v>1764</v>
      </c>
      <c r="H33" s="12" t="s">
        <v>2536</v>
      </c>
      <c r="I33" s="11"/>
      <c r="J33" s="12" t="str">
        <f t="shared" si="1"/>
        <v>* tumorGroup.endStrAndRelatedTumours 1..1 CodeableConcept ##34#Endometrial stromal and related tumours##34# ##334#Endometrial stromal and related tumours##334#</v>
      </c>
      <c r="K33"/>
      <c r="L33" s="12" t="str">
        <f t="shared" si="2"/>
        <v>* tumorGroup.endStrAndRelatedTumours ^comment = ##334#Endometrial stromal sarcoma, high grade
Endometrial stromal sarcoma, low grade
Endometrial stromal sarcoma, high grade - 4290926
Endometrial stromal sarcoma, low grade - 4028557
##334#</v>
      </c>
    </row>
    <row r="34" spans="1:12" s="2" customFormat="1" ht="354">
      <c r="A34" s="11">
        <v>25</v>
      </c>
      <c r="B34" s="11" t="s">
        <v>2554</v>
      </c>
      <c r="C34" s="11" t="s">
        <v>2467</v>
      </c>
      <c r="D34" s="11" t="s">
        <v>2467</v>
      </c>
      <c r="E34" s="116">
        <v>1</v>
      </c>
      <c r="F34" s="11">
        <v>1</v>
      </c>
      <c r="G34" s="12" t="s">
        <v>1764</v>
      </c>
      <c r="H34" s="12" t="s">
        <v>2537</v>
      </c>
      <c r="I34" s="11"/>
      <c r="J34" s="12" t="str">
        <f t="shared" si="1"/>
        <v>* tumorGroup.miscellaniousMesenchimalTumors 1..1 CodeableConcept ##34#Miscellanious mesenchimal tumors##34# ##334#Miscellanious mesenchimal tumors##334#</v>
      </c>
      <c r="K34"/>
      <c r="L34" s="12" t="str">
        <f t="shared" si="2"/>
        <v>* tumorGroup.miscellaniousMesenchimalTumors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35" spans="1:12" s="2" customFormat="1" ht="73.75">
      <c r="A35" s="11">
        <v>26</v>
      </c>
      <c r="B35" s="11" t="s">
        <v>2555</v>
      </c>
      <c r="C35" s="11" t="s">
        <v>2468</v>
      </c>
      <c r="D35" s="11" t="s">
        <v>2468</v>
      </c>
      <c r="E35" s="116">
        <v>1</v>
      </c>
      <c r="F35" s="11">
        <v>1</v>
      </c>
      <c r="G35" s="12" t="s">
        <v>1764</v>
      </c>
      <c r="H35" s="12" t="s">
        <v>2538</v>
      </c>
      <c r="I35" s="11"/>
      <c r="J35" s="12" t="str">
        <f t="shared" si="1"/>
        <v>* tumorGroup.mixedEpithelialAndMesenchymalTumours 1..1 CodeableConcept ##34#Mixed epithelial and mesenchymal tumours##34# ##334#Mixed epithelial and mesenchymal tumours##334#</v>
      </c>
      <c r="K35"/>
      <c r="L35" s="12" t="str">
        <f t="shared" si="2"/>
        <v>* tumorGroup.mixedEpithelialAndMesenchymalTumours ^comment = ##334#Adenosarcoma; please clarify if adenosarcoma with sarcomatous overgrowth
Adenosarcoma - 4135215##334#</v>
      </c>
    </row>
    <row r="36" spans="1:12" s="2" customFormat="1">
      <c r="A36" s="11"/>
      <c r="B36" s="11" t="s">
        <v>2487</v>
      </c>
      <c r="C36" s="11"/>
      <c r="D36" s="11"/>
      <c r="E36" s="116">
        <v>1</v>
      </c>
      <c r="F36" s="169">
        <v>1</v>
      </c>
      <c r="G36" s="12" t="s">
        <v>1</v>
      </c>
      <c r="H36" s="12"/>
      <c r="I36" s="11"/>
      <c r="J36" s="12" t="str">
        <f t="shared" si="1"/>
        <v>* subsites 1..1 BackboneElement ##34###34# ##334###334#</v>
      </c>
      <c r="K36"/>
      <c r="L36" s="12" t="str">
        <f t="shared" si="2"/>
        <v/>
      </c>
    </row>
    <row r="37" spans="1:12" s="2" customFormat="1" ht="147.5">
      <c r="A37" s="11">
        <v>27</v>
      </c>
      <c r="B37" s="109" t="s">
        <v>2488</v>
      </c>
      <c r="C37" s="12" t="s">
        <v>1539</v>
      </c>
      <c r="D37" s="12" t="s">
        <v>1541</v>
      </c>
      <c r="E37" s="116">
        <v>1</v>
      </c>
      <c r="F37" s="11">
        <v>1</v>
      </c>
      <c r="G37" s="114" t="s">
        <v>1764</v>
      </c>
      <c r="H37" s="12" t="s">
        <v>2503</v>
      </c>
      <c r="I37" s="11"/>
      <c r="J37" s="12" t="str">
        <f t="shared" si="1"/>
        <v>* subsites.nasalCavityAndParanasalSinusesSubsite 1..1 CodeableConcept ##34#Nasal cavity and paranasal sinuses subsite##34# ##334#Specifies the subsite for cancers occurred in nasal cavity and paranasal sinusess##334#</v>
      </c>
      <c r="K37"/>
      <c r="L37" s="12" t="str">
        <f t="shared" si="2"/>
        <v>* subsites.nasalCavityAndParanasalSinusesSubsite ^comment = ##334#AJCC 8th Edition Cancer Staging Manual
Nasal cavity;Maxillary sinus;Ethmoid sinus;Frontal sinus;Sphenoid sinus
Nasal cavity - 4088327
Maxillary sinus - 4050631
Ethmoid sinus - 4182234
Frontal sinus - 4204534
Sphenoid sinus - 4097172##334#</v>
      </c>
    </row>
    <row r="38" spans="1:12" s="2" customFormat="1" ht="147.5">
      <c r="A38" s="11">
        <v>28</v>
      </c>
      <c r="B38" s="109" t="s">
        <v>2489</v>
      </c>
      <c r="C38" s="12" t="s">
        <v>1545</v>
      </c>
      <c r="D38" s="12" t="s">
        <v>1546</v>
      </c>
      <c r="E38" s="116">
        <v>1</v>
      </c>
      <c r="F38" s="11">
        <v>1</v>
      </c>
      <c r="G38" s="114" t="s">
        <v>1764</v>
      </c>
      <c r="H38" s="12" t="s">
        <v>2504</v>
      </c>
      <c r="I38" s="11"/>
      <c r="J38" s="12" t="str">
        <f t="shared" si="1"/>
        <v>* subsites.nasopharynxSubsite 1..1 CodeableConcept ##34#Nasopharynx  subsite##34# ##334#Specifies the subsite for cancers occurred in nasopharynx##334#</v>
      </c>
      <c r="K38"/>
      <c r="L38" s="12" t="str">
        <f t="shared" si="2"/>
        <v>* subsites.nasopharynxSubsite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39" spans="1:12" s="2" customFormat="1" ht="162.25">
      <c r="A39" s="61">
        <v>29</v>
      </c>
      <c r="B39" s="176" t="s">
        <v>2490</v>
      </c>
      <c r="C39" s="175" t="s">
        <v>1548</v>
      </c>
      <c r="D39" s="175" t="s">
        <v>1549</v>
      </c>
      <c r="E39" s="172">
        <v>1</v>
      </c>
      <c r="F39" s="61">
        <v>1</v>
      </c>
      <c r="G39" s="173" t="s">
        <v>1764</v>
      </c>
      <c r="H39" s="175" t="s">
        <v>2505</v>
      </c>
      <c r="I39" s="174"/>
      <c r="J39" s="12" t="str">
        <f t="shared" si="1"/>
        <v>* subsites.hypopharynxSubsite 1..1 CodeableConcept ##34#Hypopharynx subsite##34# ##334#Specifies the subsite for cancers occurred in hypopharynx##334#</v>
      </c>
      <c r="K39"/>
      <c r="L39" s="12" t="str">
        <f t="shared" si="2"/>
        <v>* subsites.hypopharynxSubsite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40" spans="1:12" s="2" customFormat="1" ht="398.25">
      <c r="A40" s="11">
        <v>30</v>
      </c>
      <c r="B40" s="109" t="s">
        <v>2491</v>
      </c>
      <c r="C40" s="12" t="s">
        <v>1551</v>
      </c>
      <c r="D40" s="12" t="s">
        <v>1552</v>
      </c>
      <c r="E40" s="116">
        <v>1</v>
      </c>
      <c r="F40" s="11">
        <v>1</v>
      </c>
      <c r="G40" s="114" t="s">
        <v>1764</v>
      </c>
      <c r="H40" s="12" t="s">
        <v>2506</v>
      </c>
      <c r="I40" s="25"/>
      <c r="J40" s="12" t="str">
        <f t="shared" si="1"/>
        <v>* subsites.oropharynxSubsite 1..1 CodeableConcept ##34#Oropharynx subsite##34# ##334#Specifies the subsite for cancers occurred in oropharynx##334#</v>
      </c>
      <c r="K40"/>
      <c r="L40" s="12" t="str">
        <f t="shared" si="2"/>
        <v>* subsites.oropharynxSubsite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41" spans="1:12" s="2" customFormat="1" ht="132.75">
      <c r="A41" s="11">
        <v>31</v>
      </c>
      <c r="B41" s="109" t="s">
        <v>2492</v>
      </c>
      <c r="C41" s="12" t="s">
        <v>1554</v>
      </c>
      <c r="D41" s="12" t="s">
        <v>1555</v>
      </c>
      <c r="E41" s="116">
        <v>1</v>
      </c>
      <c r="F41" s="11">
        <v>1</v>
      </c>
      <c r="G41" s="114" t="s">
        <v>1764</v>
      </c>
      <c r="H41" s="12" t="s">
        <v>2507</v>
      </c>
      <c r="I41" s="25"/>
      <c r="J41" s="12" t="str">
        <f t="shared" si="1"/>
        <v>* subsites.larynxSubsite 1..1 CodeableConcept ##34#Larynx subsite##34# ##334#Specifies the subsite for cancers occurred in larynx##334#</v>
      </c>
      <c r="K41"/>
      <c r="L41" s="12" t="str">
        <f t="shared" si="2"/>
        <v>* subsites.larynxSubsite ^comment = ##334#AJCC 8th Edition Cancer Staging Manual
Glottis;Supraglottis;Subglottis;Laryngeal cartilage
Glottis - 4047227
Supraglottis - 4001049
Subglottis - 4002724
Laryngeal cartilage - 4279711
##334#</v>
      </c>
    </row>
    <row r="42" spans="1:12" s="2" customFormat="1" ht="409.5">
      <c r="A42" s="11">
        <v>32</v>
      </c>
      <c r="B42" s="109" t="s">
        <v>2493</v>
      </c>
      <c r="C42" s="12" t="s">
        <v>1557</v>
      </c>
      <c r="D42" s="12" t="s">
        <v>1558</v>
      </c>
      <c r="E42" s="116">
        <v>1</v>
      </c>
      <c r="F42" s="11">
        <v>1</v>
      </c>
      <c r="G42" s="114" t="s">
        <v>1764</v>
      </c>
      <c r="H42" s="12" t="s">
        <v>2508</v>
      </c>
      <c r="I42" s="25"/>
      <c r="J42" s="12" t="str">
        <f t="shared" si="1"/>
        <v>* subsites.oralCavitySubsite 1..1 CodeableConcept ##34#Oral cavity subsite##34# ##334#Specifies the subsite for cancers occurred in oral cavity##334#</v>
      </c>
      <c r="K42"/>
      <c r="L42" s="12" t="str">
        <f t="shared" si="2"/>
        <v>* subsites.oralCavitySubsite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43" spans="1:12" s="2" customFormat="1" ht="191.75">
      <c r="A43" s="11">
        <v>33</v>
      </c>
      <c r="B43" s="109" t="s">
        <v>2494</v>
      </c>
      <c r="C43" s="12" t="s">
        <v>1560</v>
      </c>
      <c r="D43" s="12" t="s">
        <v>1561</v>
      </c>
      <c r="E43" s="116">
        <v>1</v>
      </c>
      <c r="F43" s="11">
        <v>1</v>
      </c>
      <c r="G43" s="114" t="s">
        <v>1764</v>
      </c>
      <c r="H43" s="12" t="s">
        <v>2509</v>
      </c>
      <c r="I43" s="25"/>
      <c r="J43" s="12" t="str">
        <f t="shared" si="1"/>
        <v>* subsites.lipSubsite 1..1 CodeableConcept ##34#Lip subsite##34# ##334#Specifies the subsite for cancers occurred in lip##334#</v>
      </c>
      <c r="K43"/>
      <c r="L43" s="12" t="str">
        <f t="shared" si="2"/>
        <v>* subsites.lipSubsite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44" spans="1:12" s="2" customFormat="1" ht="409.5">
      <c r="A44" s="11">
        <v>34</v>
      </c>
      <c r="B44" t="s">
        <v>2495</v>
      </c>
      <c r="C44" t="s">
        <v>2469</v>
      </c>
      <c r="D44" s="2" t="s">
        <v>2470</v>
      </c>
      <c r="E44" s="116">
        <v>1</v>
      </c>
      <c r="F44" s="11">
        <v>1</v>
      </c>
      <c r="G44" s="12" t="s">
        <v>1764</v>
      </c>
      <c r="H44" s="12" t="s">
        <v>2510</v>
      </c>
      <c r="I44" s="25"/>
      <c r="J44" s="12" t="str">
        <f t="shared" si="1"/>
        <v>* subsites.upperAndLowerLimbsSubsite 1..1 CodeableConcept ##34#Upper and Lower limbs subsite##34# ##334#Specifies the subsite for cancers occurred in##334#</v>
      </c>
      <c r="K44"/>
      <c r="L44" s="12" t="str">
        <f t="shared" si="2"/>
        <v>* subsites.upperAndLowerLimbsSubsite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45" spans="1:12" s="2" customFormat="1" ht="162.25">
      <c r="A45" s="11">
        <v>35</v>
      </c>
      <c r="B45" t="s">
        <v>2496</v>
      </c>
      <c r="C45" t="s">
        <v>2471</v>
      </c>
      <c r="D45" s="2" t="s">
        <v>2470</v>
      </c>
      <c r="E45" s="116">
        <v>1</v>
      </c>
      <c r="F45" s="11">
        <v>1</v>
      </c>
      <c r="G45" s="12" t="s">
        <v>1764</v>
      </c>
      <c r="H45" s="12" t="s">
        <v>2511</v>
      </c>
      <c r="I45" s="25"/>
      <c r="J45" s="12" t="str">
        <f t="shared" si="1"/>
        <v>* subsites.trunkWallSubsite 1..1 CodeableConcept ##34#Trunk wall subsite##34# ##334#Specifies the subsite for cancers occurred in##334#</v>
      </c>
      <c r="K45"/>
      <c r="L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46" spans="1:12" s="2" customFormat="1" ht="409.5">
      <c r="A46" s="11">
        <v>36</v>
      </c>
      <c r="B46" t="s">
        <v>2497</v>
      </c>
      <c r="C46" t="s">
        <v>2472</v>
      </c>
      <c r="D46" s="2" t="s">
        <v>2470</v>
      </c>
      <c r="E46" s="116">
        <v>1</v>
      </c>
      <c r="F46" s="11">
        <v>1</v>
      </c>
      <c r="G46" s="12" t="s">
        <v>1764</v>
      </c>
      <c r="H46" s="12" t="s">
        <v>2512</v>
      </c>
      <c r="I46" s="25"/>
      <c r="J46" s="12" t="str">
        <f t="shared" si="1"/>
        <v>* subsites.intraAbdominalSubsite 1..1 CodeableConcept ##34#Intra abdominal subsite##34# ##334#Specifies the subsite for cancers occurred in##334#</v>
      </c>
      <c r="K46"/>
      <c r="L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47" spans="1:12" s="2" customFormat="1" ht="265.5">
      <c r="A47" s="11">
        <v>37</v>
      </c>
      <c r="B47" t="s">
        <v>2498</v>
      </c>
      <c r="C47" t="s">
        <v>2473</v>
      </c>
      <c r="D47" s="2" t="s">
        <v>2470</v>
      </c>
      <c r="E47" s="116">
        <v>1</v>
      </c>
      <c r="F47" s="11">
        <v>1</v>
      </c>
      <c r="G47" s="12" t="s">
        <v>1764</v>
      </c>
      <c r="H47" s="12" t="s">
        <v>2513</v>
      </c>
      <c r="I47" s="25"/>
      <c r="J47" s="12" t="str">
        <f t="shared" si="1"/>
        <v>* subsites.intraThoracicSubsite 1..1 CodeableConcept ##34#Intra thoracic subsite##34# ##334#Specifies the subsite for cancers occurred in##334#</v>
      </c>
      <c r="K47"/>
      <c r="L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48" spans="1:12" s="2" customFormat="1" ht="409.5">
      <c r="A48" s="11">
        <v>38</v>
      </c>
      <c r="B48" t="s">
        <v>2499</v>
      </c>
      <c r="C48" t="s">
        <v>2474</v>
      </c>
      <c r="D48" s="2" t="s">
        <v>2470</v>
      </c>
      <c r="E48" s="116">
        <v>1</v>
      </c>
      <c r="F48" s="11">
        <v>1</v>
      </c>
      <c r="G48" s="12" t="s">
        <v>1764</v>
      </c>
      <c r="H48" s="12" t="s">
        <v>2514</v>
      </c>
      <c r="I48" s="25"/>
      <c r="J48" s="12" t="str">
        <f t="shared" si="1"/>
        <v>* subsites.genitoUrinarySubsite 1..1 CodeableConcept ##34#Genito urinary subsite##34# ##334#Specifies the subsite for cancers occurred in##334#</v>
      </c>
      <c r="K48"/>
      <c r="L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49" spans="1:12" s="2" customFormat="1" ht="44.25">
      <c r="A49" s="11">
        <v>39</v>
      </c>
      <c r="B49" t="s">
        <v>2500</v>
      </c>
      <c r="C49" t="s">
        <v>2475</v>
      </c>
      <c r="D49" s="2" t="s">
        <v>2470</v>
      </c>
      <c r="E49" s="116">
        <v>1</v>
      </c>
      <c r="F49" s="11">
        <v>1</v>
      </c>
      <c r="G49" s="12" t="s">
        <v>1764</v>
      </c>
      <c r="H49" s="12" t="s">
        <v>2515</v>
      </c>
      <c r="I49" s="25"/>
      <c r="J49" s="12" t="str">
        <f t="shared" si="1"/>
        <v>* subsites.headAndNeckSubsite 1..1 CodeableConcept ##34#Head and Neck subsite##34# ##334#Specifies the subsite for cancers occurred in##334#</v>
      </c>
      <c r="K49"/>
      <c r="L49" s="12" t="str">
        <f t="shared" si="2"/>
        <v>* subsites.headAndNeckSubsite ^comment = ##334#Head and neck
Face and/or neck structure - 4122633##334#</v>
      </c>
    </row>
    <row r="50" spans="1:12" s="2" customFormat="1" ht="29.5">
      <c r="A50" s="11">
        <v>40</v>
      </c>
      <c r="B50" t="s">
        <v>2501</v>
      </c>
      <c r="C50" t="s">
        <v>2476</v>
      </c>
      <c r="D50" s="2" t="s">
        <v>2470</v>
      </c>
      <c r="E50" s="116">
        <v>1</v>
      </c>
      <c r="F50" s="11">
        <v>1</v>
      </c>
      <c r="G50" s="12" t="s">
        <v>1764</v>
      </c>
      <c r="H50" s="12" t="s">
        <v>2516</v>
      </c>
      <c r="I50" s="25"/>
      <c r="J50" s="12" t="str">
        <f t="shared" si="1"/>
        <v>* subsites.breastSubsite 1..1 CodeableConcept ##34#Breast subsite##34# ##334#Specifies the subsite for cancers occurred in##334#</v>
      </c>
      <c r="K50"/>
      <c r="L50" s="12" t="str">
        <f t="shared" si="2"/>
        <v>* subsites.breastSubsite ^comment = ##334#Breast
Breast structure - 4298444##334#</v>
      </c>
    </row>
    <row r="51" spans="1:12" s="2" customFormat="1" ht="29.5">
      <c r="A51" s="11">
        <v>41</v>
      </c>
      <c r="B51" t="s">
        <v>2502</v>
      </c>
      <c r="C51" t="s">
        <v>2477</v>
      </c>
      <c r="D51" s="2" t="s">
        <v>2470</v>
      </c>
      <c r="E51" s="116">
        <v>1</v>
      </c>
      <c r="F51" s="11">
        <v>1</v>
      </c>
      <c r="G51" s="12" t="s">
        <v>1764</v>
      </c>
      <c r="H51" s="12"/>
      <c r="I51" s="25"/>
      <c r="J51" s="12" t="str">
        <f t="shared" si="1"/>
        <v>* subsites.otherSubsite 1..1 CodeableConcept ##34#Other subsite##34# ##334#Specifies the subsite for cancers occurred in##334#</v>
      </c>
      <c r="K51"/>
      <c r="L51" s="12" t="str">
        <f t="shared" si="2"/>
        <v/>
      </c>
    </row>
    <row r="52" spans="1:12" s="2" customFormat="1" ht="44.25">
      <c r="A52" s="11">
        <v>42</v>
      </c>
      <c r="B52" t="s">
        <v>2478</v>
      </c>
      <c r="C52" t="s">
        <v>2479</v>
      </c>
      <c r="D52" s="2" t="s">
        <v>2480</v>
      </c>
      <c r="E52" s="116">
        <v>1</v>
      </c>
      <c r="F52" s="11">
        <v>1</v>
      </c>
      <c r="G52" s="12" t="s">
        <v>2443</v>
      </c>
      <c r="H52" s="12"/>
      <c r="I52" s="25"/>
      <c r="J52" s="12" t="str">
        <f t="shared" si="1"/>
        <v>* tumorSize 1..1 Quantity ##34#Tumor Size##34# ##334#(the longest diameter; longest dimension between pre operatory imaging and pathological specimen) cm ##334#</v>
      </c>
      <c r="K52"/>
      <c r="L52" s="12" t="str">
        <f t="shared" si="2"/>
        <v/>
      </c>
    </row>
    <row r="53" spans="1:12" s="2" customFormat="1" ht="73.75">
      <c r="A53" s="11">
        <v>43</v>
      </c>
      <c r="B53" t="s">
        <v>2481</v>
      </c>
      <c r="C53" t="s">
        <v>2482</v>
      </c>
      <c r="D53" s="2" t="s">
        <v>2483</v>
      </c>
      <c r="E53" s="116">
        <v>1</v>
      </c>
      <c r="F53" s="11">
        <v>1</v>
      </c>
      <c r="G53" s="12" t="s">
        <v>1764</v>
      </c>
      <c r="H53" s="12"/>
      <c r="I53" s="25"/>
      <c r="J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K53"/>
      <c r="L53" s="12" t="str">
        <f t="shared" si="2"/>
        <v/>
      </c>
    </row>
    <row r="54" spans="1:12" s="2" customFormat="1" ht="29.5">
      <c r="A54" s="11">
        <v>44</v>
      </c>
      <c r="B54" t="s">
        <v>2484</v>
      </c>
      <c r="C54" t="s">
        <v>2485</v>
      </c>
      <c r="D54" s="2" t="s">
        <v>2486</v>
      </c>
      <c r="E54" s="116">
        <v>1</v>
      </c>
      <c r="F54" s="11">
        <v>1</v>
      </c>
      <c r="G54" s="12" t="s">
        <v>2443</v>
      </c>
      <c r="H54" s="12"/>
      <c r="I54" s="25"/>
      <c r="J54" s="12" t="str">
        <f t="shared" si="1"/>
        <v>* biopsyMitoticCount 1..1 Quantity ##34#Biopsy Mitotic count ##34# ##334#(Number/10HPF/1mm2, 50HPF/5mm2)##334#</v>
      </c>
      <c r="K54"/>
      <c r="L54" s="12" t="str">
        <f t="shared" si="2"/>
        <v/>
      </c>
    </row>
    <row r="55" spans="1:12" s="2" customFormat="1" ht="73.75">
      <c r="A55" s="11">
        <v>45</v>
      </c>
      <c r="B55" s="107" t="s">
        <v>1794</v>
      </c>
      <c r="C55" s="12" t="s">
        <v>1563</v>
      </c>
      <c r="D55" s="12" t="s">
        <v>1564</v>
      </c>
      <c r="E55" s="116">
        <v>0</v>
      </c>
      <c r="F55" s="11">
        <v>1</v>
      </c>
      <c r="G55" s="114" t="s">
        <v>1764</v>
      </c>
      <c r="H55" s="12" t="s">
        <v>2517</v>
      </c>
      <c r="I55" s="25"/>
      <c r="J55" s="12" t="str">
        <f t="shared" si="1"/>
        <v>* plasmaticEbvDnaAtBaseline 0..1 CodeableConcept ##34#Plasmatic EBV DNA at baseline##34# ##334#Describes the result of EBV DNA plasma testing before treatment in NPC type II and III (WHO) ##334#</v>
      </c>
      <c r="K55"/>
      <c r="L55" s="12" t="str">
        <f t="shared" si="2"/>
        <v>* plasmaticEbvDnaAtBaseline ^comment = ##334# Positive; Negative; not tested;
 Positive - 9191
 Negative - 9189
not tested - 45878602##334#</v>
      </c>
    </row>
    <row r="56" spans="1:12" s="2" customFormat="1" ht="59">
      <c r="A56" s="11">
        <v>46</v>
      </c>
      <c r="B56" s="107" t="s">
        <v>1795</v>
      </c>
      <c r="C56" s="12" t="s">
        <v>1574</v>
      </c>
      <c r="D56" s="12" t="s">
        <v>1575</v>
      </c>
      <c r="E56" s="11">
        <v>0</v>
      </c>
      <c r="F56" s="11">
        <v>1</v>
      </c>
      <c r="G56" s="114" t="s">
        <v>1764</v>
      </c>
      <c r="H56" s="12" t="s">
        <v>2518</v>
      </c>
      <c r="I56" s="25"/>
      <c r="J56" s="12" t="str">
        <f t="shared" si="1"/>
        <v>* hpvStatus 0..1 CodeableConcept ##34#HPV status##34# ##334#Describes the result of HPV tumor testing in oral carcinoma ##334#</v>
      </c>
      <c r="K56"/>
      <c r="L56" s="12" t="str">
        <f t="shared" si="2"/>
        <v>* hpvStatus ^comment = ##334# Positive; Negative; Not tested;
 Positive - 9191
 Negative - 9189
not tested - 45878602##334#</v>
      </c>
    </row>
    <row r="57" spans="1:12" s="2" customFormat="1" ht="73.75">
      <c r="A57" s="11">
        <v>47</v>
      </c>
      <c r="B57" s="109" t="s">
        <v>1796</v>
      </c>
      <c r="C57" s="12" t="s">
        <v>2203</v>
      </c>
      <c r="D57" s="12" t="s">
        <v>1601</v>
      </c>
      <c r="E57" s="11">
        <v>0</v>
      </c>
      <c r="F57" s="11">
        <v>1</v>
      </c>
      <c r="G57" s="114" t="s">
        <v>1764</v>
      </c>
      <c r="H57" s="12" t="s">
        <v>2519</v>
      </c>
      <c r="I57" s="25"/>
      <c r="J57" s="12" t="str">
        <f t="shared" si="1"/>
        <v>* crpCReactiveProteinTested 0..1 CodeableConcept ##34#CRP - C reactive protein tested##34# ##334#Describes the result of C reactive protein testing##334#</v>
      </c>
      <c r="K57"/>
      <c r="L57" s="12" t="str">
        <f t="shared" si="2"/>
        <v>* crpCReactiveProteinTested ^comment = ##334#Positive; Negative; Not tested;
 Positive - 9191
 Negative - 9189
not tested - 45878602##334#</v>
      </c>
    </row>
    <row r="58" spans="1:12" s="2" customFormat="1">
      <c r="A58" s="11"/>
      <c r="B58" s="11"/>
      <c r="C58" s="12"/>
      <c r="D58" s="12"/>
      <c r="E58" s="11"/>
      <c r="F58" s="11"/>
      <c r="G58" s="12"/>
      <c r="H58" s="12"/>
      <c r="I58" s="25"/>
      <c r="J58" s="12" t="str">
        <f t="shared" si="1"/>
        <v>*  ..  ##34###34# ##334###334#</v>
      </c>
      <c r="K58"/>
      <c r="L58" s="12" t="str">
        <f t="shared" si="2"/>
        <v>*  ..  ##34###34# ##334###334#</v>
      </c>
    </row>
    <row r="59" spans="1:12" s="2" customFormat="1">
      <c r="A59" s="11"/>
      <c r="B59" s="11"/>
      <c r="C59" s="12"/>
      <c r="D59" s="12"/>
      <c r="E59" s="11"/>
      <c r="F59" s="11"/>
      <c r="G59" s="12"/>
      <c r="H59" s="12"/>
      <c r="I59" s="25"/>
      <c r="J59" s="12" t="str">
        <f t="shared" si="1"/>
        <v>*  ..  ##34###34# ##334###334#</v>
      </c>
      <c r="K59"/>
      <c r="L59" s="12" t="str">
        <f t="shared" si="2"/>
        <v>*  ..  ##34###34# ##334###334#</v>
      </c>
    </row>
    <row r="60" spans="1:12" s="2" customFormat="1">
      <c r="A60" s="11"/>
      <c r="B60" s="11"/>
      <c r="C60" s="12"/>
      <c r="D60" s="12"/>
      <c r="E60" s="11"/>
      <c r="F60" s="11"/>
      <c r="G60" s="12"/>
      <c r="H60" s="12"/>
      <c r="I60" s="25"/>
      <c r="J60" s="12" t="str">
        <f t="shared" si="1"/>
        <v>*  ..  ##34###34# ##334###334#</v>
      </c>
      <c r="K60"/>
      <c r="L60" s="12" t="str">
        <f t="shared" si="2"/>
        <v>*  ..  ##34###34# ##334###334#</v>
      </c>
    </row>
    <row r="61" spans="1:12" s="2" customFormat="1">
      <c r="A61" s="11"/>
      <c r="B61" s="11"/>
      <c r="C61" s="12"/>
      <c r="D61" s="12"/>
      <c r="E61" s="11"/>
      <c r="F61" s="11"/>
      <c r="G61" s="12"/>
      <c r="H61" s="12"/>
      <c r="I61" s="25"/>
      <c r="J61" s="12" t="str">
        <f t="shared" si="1"/>
        <v>*  ..  ##34###34# ##334###334#</v>
      </c>
      <c r="K61"/>
      <c r="L61" s="12" t="str">
        <f t="shared" si="2"/>
        <v>*  ..  ##34###34# ##334###334#</v>
      </c>
    </row>
    <row r="62" spans="1:12" s="2" customFormat="1">
      <c r="A62" s="11"/>
      <c r="B62" s="11"/>
      <c r="C62" s="12"/>
      <c r="D62" s="12"/>
      <c r="E62" s="11"/>
      <c r="F62" s="11"/>
      <c r="G62" s="12"/>
      <c r="H62" s="12"/>
      <c r="I62" s="25"/>
      <c r="J62" s="12" t="str">
        <f t="shared" si="1"/>
        <v>*  ..  ##34###34# ##334###334#</v>
      </c>
      <c r="K62"/>
      <c r="L62" s="12" t="str">
        <f t="shared" si="2"/>
        <v>*  ..  ##34###34# ##334###334#</v>
      </c>
    </row>
    <row r="63" spans="1:12" s="2" customFormat="1">
      <c r="A63" s="11"/>
      <c r="B63" s="11"/>
      <c r="C63" s="12"/>
      <c r="D63" s="12"/>
      <c r="E63" s="11"/>
      <c r="F63" s="11"/>
      <c r="G63" s="12"/>
      <c r="H63" s="12"/>
      <c r="I63" s="25"/>
      <c r="J63" s="12"/>
      <c r="K63"/>
      <c r="L63" s="12"/>
    </row>
    <row r="64" spans="1:12" s="2" customFormat="1">
      <c r="A64" s="11"/>
      <c r="B64" s="11"/>
      <c r="C64" s="12"/>
      <c r="D64" s="12"/>
      <c r="E64" s="11"/>
      <c r="F64" s="11"/>
      <c r="G64" s="12"/>
      <c r="H64" s="12"/>
      <c r="I64" s="25"/>
      <c r="J64" s="12"/>
      <c r="K64"/>
      <c r="L64" s="12"/>
    </row>
    <row r="65" spans="1:12" s="2" customFormat="1">
      <c r="A65" s="11"/>
      <c r="B65" s="11"/>
      <c r="C65" s="12"/>
      <c r="D65" s="12"/>
      <c r="E65" s="11"/>
      <c r="F65" s="11"/>
      <c r="G65" s="12"/>
      <c r="H65" s="12"/>
      <c r="I65" s="25"/>
      <c r="J65" s="12"/>
      <c r="K65"/>
      <c r="L65" s="12"/>
    </row>
    <row r="66" spans="1:12" s="2" customFormat="1">
      <c r="A66" s="11"/>
      <c r="B66" s="11"/>
      <c r="C66" s="12"/>
      <c r="D66" s="12"/>
      <c r="E66" s="11"/>
      <c r="F66" s="11"/>
      <c r="G66" s="12"/>
      <c r="H66" s="12"/>
      <c r="I66" s="25"/>
      <c r="J66" s="12"/>
      <c r="K66"/>
      <c r="L66" s="12"/>
    </row>
    <row r="67" spans="1:12" s="2" customFormat="1">
      <c r="A67" s="11"/>
      <c r="B67" s="11"/>
      <c r="C67" s="12"/>
      <c r="D67" s="12"/>
      <c r="E67" s="11"/>
      <c r="F67" s="11"/>
      <c r="G67" s="12"/>
      <c r="H67" s="12"/>
      <c r="I67" s="25"/>
      <c r="J67" s="12"/>
      <c r="K67"/>
      <c r="L67" s="12"/>
    </row>
    <row r="68" spans="1:12" s="2" customFormat="1">
      <c r="A68"/>
      <c r="B68"/>
      <c r="E68"/>
      <c r="F68"/>
      <c r="G68"/>
      <c r="I68"/>
      <c r="J68" s="12"/>
      <c r="K68"/>
      <c r="L68" s="12"/>
    </row>
    <row r="69" spans="1:12" s="2" customFormat="1">
      <c r="A69"/>
      <c r="B69"/>
      <c r="E69"/>
      <c r="F69"/>
      <c r="G69"/>
      <c r="I69"/>
      <c r="J69" s="12"/>
      <c r="K69"/>
      <c r="L69" s="12"/>
    </row>
    <row r="70" spans="1:12" s="2" customFormat="1">
      <c r="A70"/>
      <c r="B70"/>
      <c r="E70"/>
      <c r="F70"/>
      <c r="G70"/>
      <c r="I70"/>
      <c r="J70" s="12"/>
      <c r="K70"/>
      <c r="L70" s="12"/>
    </row>
    <row r="71" spans="1:12" s="2" customFormat="1">
      <c r="A71"/>
      <c r="B71"/>
      <c r="E71"/>
      <c r="F71"/>
      <c r="G71"/>
      <c r="I71"/>
      <c r="J71" s="12"/>
      <c r="K71"/>
      <c r="L71" s="12"/>
    </row>
    <row r="72" spans="1:12" s="2" customFormat="1">
      <c r="A72"/>
      <c r="B72"/>
      <c r="E72"/>
      <c r="F72"/>
      <c r="G72"/>
      <c r="I72"/>
      <c r="J72" s="12"/>
      <c r="K72"/>
      <c r="L72" s="12"/>
    </row>
    <row r="73" spans="1:12" s="2" customFormat="1">
      <c r="A73"/>
      <c r="B73"/>
      <c r="E73"/>
      <c r="F73"/>
      <c r="G73"/>
      <c r="I73"/>
      <c r="J73" s="12"/>
      <c r="K73"/>
      <c r="L73" s="12"/>
    </row>
    <row r="74" spans="1:12" s="2" customFormat="1">
      <c r="A74"/>
      <c r="B74"/>
      <c r="E74"/>
      <c r="F74"/>
      <c r="G74"/>
      <c r="I74"/>
      <c r="J74" s="12"/>
      <c r="K74"/>
      <c r="L74" s="12"/>
    </row>
    <row r="75" spans="1:12" s="2" customFormat="1">
      <c r="A75"/>
      <c r="B75"/>
      <c r="E75"/>
      <c r="F75"/>
      <c r="G75"/>
      <c r="I75"/>
      <c r="J75" s="12"/>
      <c r="K75"/>
      <c r="L75" s="12"/>
    </row>
  </sheetData>
  <autoFilter ref="A7:M67" xr:uid="{8509A97B-13A2-4A61-A2A1-3198312EE21A}"/>
  <hyperlinks>
    <hyperlink ref="G8" r:id="rId1" xr:uid="{8520CBD4-123C-4565-A339-5500472AFFC9}"/>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123"/>
  <sheetViews>
    <sheetView tabSelected="1" workbookViewId="0">
      <selection activeCell="B124" sqref="B124:G219"/>
    </sheetView>
  </sheetViews>
  <sheetFormatPr defaultRowHeight="14.75"/>
  <cols>
    <col min="3" max="3" width="108.2265625" style="12" customWidth="1"/>
    <col min="7" max="7" width="29.54296875" customWidth="1"/>
    <col min="8" max="8" width="54.90625" customWidth="1"/>
  </cols>
  <sheetData>
    <row r="1" spans="3:7" ht="15.5" thickBot="1">
      <c r="C1" s="23" t="str">
        <f>CancerEpisode!J1</f>
        <v>//===================================================</v>
      </c>
    </row>
    <row r="2" spans="3:7" ht="16.75" thickBot="1">
      <c r="C2" s="24" t="str">
        <f>CancerEpisode!J2</f>
        <v>//  Logical Model</v>
      </c>
      <c r="G2" s="29" t="s">
        <v>1765</v>
      </c>
    </row>
    <row r="3" spans="3:7">
      <c r="C3" s="24" t="str">
        <f>CancerEpisode!J3</f>
        <v>//===================================================</v>
      </c>
    </row>
    <row r="4" spans="3:7">
      <c r="C4" s="16" t="str">
        <f>CancerEpisode!J4</f>
        <v>Logical: CancerEpisodeI4rc</v>
      </c>
    </row>
    <row r="5" spans="3:7">
      <c r="C5" s="16" t="str">
        <f>CancerEpisode!J5</f>
        <v>Id: CancerEpisode</v>
      </c>
    </row>
    <row r="6" spans="3:7">
      <c r="C6" s="16" t="str">
        <f>CancerEpisode!J6</f>
        <v>Title: ##34#Cancer  Episode##34#</v>
      </c>
    </row>
    <row r="7" spans="3:7" ht="29.5">
      <c r="C7" s="16" t="str">
        <f>CancerEpisode!J7</f>
        <v>Description:  ##334#Cancer Episode
Maturity Level: 0 Draft##334#</v>
      </c>
    </row>
    <row r="8" spans="3:7" ht="29.5">
      <c r="C8" s="12" t="str">
        <f>IF(CancerEpisode!J8="*  ..  ##34###34# ##334###334#","//--- END",CancerEpisode!J8)</f>
        <v>* patient 1..1 http://hl7.eu/fhir/ig/idea4rc/StructureDefinition/Subject ##34#Patient##34# ##334#Patient element containing the data regarding the patient followed by the hospital##334#</v>
      </c>
    </row>
    <row r="9" spans="3:7" ht="29.5">
      <c r="C9" s="12" t="str">
        <f>IF(CancerEpisode!J9="*  ..  ##34###34# ##334###334#","//--- END",CancerEpisode!J9)</f>
        <v>* dateOfDiagnosis 1..1 date ##34#Date of diagnosis (biopsy or surgical piece)##34# ##334#Date of the procedure from which the specimen was obtained that allowed the histological diagnosis.##334#</v>
      </c>
    </row>
    <row r="10" spans="3:7">
      <c r="C10" s="12" t="str">
        <f>IF(CancerEpisode!J10="*  ..  ##34###34# ##334###334#","//--- END",CancerEpisode!J10)</f>
        <v>* typeOfBiopsy 1..1 CodeableConcept ##34#Type of biopsy##34# ##334#Type of biopsy performed##334#</v>
      </c>
    </row>
    <row r="11" spans="3:7" ht="29.5">
      <c r="C11" s="12" t="str">
        <f>IF(CancerEpisode!J11="*  ..  ##34###34# ##334###334#","//--- END",CancerEpisode!J11)</f>
        <v>* biopsyDoneBy 1..1 CodeableConcept ##34#Biopsy done by##34# ##334#Describes the institution where diagnostic procedure was performed##334#</v>
      </c>
    </row>
    <row r="12" spans="3:7">
      <c r="C12" s="12" t="str">
        <f>IF(CancerEpisode!J12="*  ..  ##34###34# ##334###334#","//--- END",CancerEpisode!J12)</f>
        <v>* ageAtDiagnosis 1..1 integer  ##34#Age at diagnosis##34# ##334#Age of the patient at the time of the diagnosis.##334#</v>
      </c>
    </row>
    <row r="13" spans="3:7" ht="44.25">
      <c r="C13" s="12" t="str">
        <f>IF(CancerEpisode!J13="*  ..  ##34###34# ##334###334#","//--- END",CancerEpisode!J13)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c r="C14" s="12" t="str">
        <f>IF(CancerEpisode!J14="*  ..  ##34###34# ##334###334#","//--- END",CancerEpisode!J14)</f>
        <v>* grading 0..1 CodeableConcept ##34#Grading##34# ##334#Grading of the cancer##334#</v>
      </c>
    </row>
    <row r="15" spans="3:7">
      <c r="C15" s="12" t="str">
        <f>IF(CancerEpisode!J15="*  ..  ##34###34# ##334###334#","//--- END",CancerEpisode!J15)</f>
        <v>* histologySubGroup 1..1 BackboneElement ##34#Histology Subgroups##34# ##334#Histology Subgroups##334#</v>
      </c>
    </row>
    <row r="16" spans="3:7" ht="29.5">
      <c r="C16" s="12" t="str">
        <f>IF(CancerEpisode!J16="*  ..  ##34###34# ##334###334#","//--- END",CancerEpisode!J16)</f>
        <v>* histologySubGroup.histologySquamous 1..1 CodeableConcept ##34#Histology Squamous##34# ##334#Specifies the histological subgroup for squamous cancers##334#</v>
      </c>
    </row>
    <row r="17" spans="3:3" ht="29.5">
      <c r="C17" s="12" t="str">
        <f>IF(CancerEpisode!J17="*  ..  ##34###34# ##334###334#","//--- END",CancerEpisode!J17)</f>
        <v>* histologySubGroup.histologyAdenocarcinoma 1..1 CodeableConcept ##34#Histology Adenocarcinoma##34# ##334#Specifies the histological subgroup for adenocarcinomas##334#</v>
      </c>
    </row>
    <row r="18" spans="3:3" ht="29.5">
      <c r="C18" s="12" t="str">
        <f>IF(CancerEpisode!J18="*  ..  ##34###34# ##334###334#","//--- END",CancerEpisode!J18)</f>
        <v>* histologySubGroup.histologyNeuroendocrine 1..1 CodeableConcept ##34#Histology Neuroendocrine##34# ##334#Specifies the histological subgroup for neuroendocrine cancers ##334#</v>
      </c>
    </row>
    <row r="19" spans="3:3" ht="29.5">
      <c r="C19" s="12" t="str">
        <f>IF(CancerEpisode!J19="*  ..  ##34###34# ##334###334#","//--- END",CancerEpisode!J19)</f>
        <v>* histologySubGroup.histologyOdontogenicCarcinoma 1..1 CodeableConcept ##34#Histology Odontogenic Carcinoma##34# ##334#Specifies the histological subgroup for odontogenic carcinomas##334#</v>
      </c>
    </row>
    <row r="20" spans="3:3" ht="29.5">
      <c r="C20" s="12" t="str">
        <f>IF(CancerEpisode!J20="*  ..  ##34###34# ##334###334#","//--- END",CancerEpisode!J20)</f>
        <v>* histologySubGroup.histologySNUC 1..1 CodeableConcept ##34#Histology Sinonasal undifferentiated carcinoma##34# ##334#Specifies the histological subgroup for sinonasl undifferentiated carcinomas##334#</v>
      </c>
    </row>
    <row r="21" spans="3:3" ht="29.5">
      <c r="C21" s="12" t="str">
        <f>IF(CancerEpisode!J21="*  ..  ##34###34# ##334###334#","//--- END",CancerEpisode!J21)</f>
        <v>* histologySubGroup.adipocyticTumours 1..1 CodeableConcept ##34#Histology subgroup Adipocytic tumours##34# ##334#Specifies the histological subgroup for adipocytic tumours##334#</v>
      </c>
    </row>
    <row r="22" spans="3:3" ht="29.5">
      <c r="C22" s="12" t="str">
        <f>IF(CancerEpisode!J22="*  ..  ##34###34# ##334###334#","//--- END",CancerEpisode!J22)</f>
        <v>* histologySubGroup.fmtTumours 1..1 CodeableConcept ##34#Histology subgroup Fibroblastic and myofibroblastic tumours##34# ##334#Histology subgroup Fibroblastic and myofibroblastic tumours##334#</v>
      </c>
    </row>
    <row r="23" spans="3:3" ht="88.5">
      <c r="C23" s="12" t="str">
        <f>IF(CancerEpisode!J23="*  ..  ##34###34# ##334###334#","//--- END",CancerEpisode!J23)</f>
        <v>* histologySubGroup.socalledFibrohistiocyticTumours 1..1 CodeableConcept ##34#Histology subgroup So-called fibrohistiocytic tumours
##34# ##334#Histology subgroup So-called fibrohistiocytic tumours
##334#</v>
      </c>
    </row>
    <row r="24" spans="3:3">
      <c r="C24" s="12" t="str">
        <f>IF(CancerEpisode!J24="*  ..  ##34###34# ##334###334#","//--- END",CancerEpisode!J24)</f>
        <v>* tumorGroup 1..1 BackboneElement ##34#Tumor group (TBD)##34# ##334#Tumor group (TBD)##334#</v>
      </c>
    </row>
    <row r="25" spans="3:3">
      <c r="C25" s="12" t="str">
        <f>IF(CancerEpisode!J25="*  ..  ##34###34# ##334###334#","//--- END",CancerEpisode!J25)</f>
        <v>* tumorGroup.vascularTumours 1..1 CodeableConcept ##34#Vascular tumours ##34# ##334#Vascular tumours ##334#</v>
      </c>
    </row>
    <row r="26" spans="3:3" ht="44.25">
      <c r="C26" s="12" t="str">
        <f>IF(CancerEpisode!J26="*  ..  ##34###34# ##334###334#","//--- END",CancerEpisode!J26)</f>
        <v>* tumorGroup.pericyticPerivascularTumours 1..1 CodeableConcept ##34#Pericytic (perivascular) tumours
##34# ##334#Pericytic (perivascular) tumours
##334#</v>
      </c>
    </row>
    <row r="27" spans="3:3" ht="29.5">
      <c r="C27" s="12" t="str">
        <f>IF(CancerEpisode!J27="*  ..  ##34###34# ##334###334#","//--- END",CancerEpisode!J27)</f>
        <v>* tumorGroup.smoothMuscleTumours 1..1 CodeableConcept ##34#Smooth muscle tumours##34# ##334#Smooth muscle tumours##334#</v>
      </c>
    </row>
    <row r="28" spans="3:3" ht="29.5">
      <c r="C28" s="12" t="str">
        <f>IF(CancerEpisode!J28="*  ..  ##34###34# ##334###334#","//--- END",CancerEpisode!J28)</f>
        <v>* tumorGroup.skeletalMuscleTumours 1..1 CodeableConcept ##34#Skeletal muscle tumours##34# ##334#Skeletal muscle tumours##334#</v>
      </c>
    </row>
    <row r="29" spans="3:3" ht="44.25">
      <c r="C29" s="12" t="str">
        <f>IF(CancerEpisode!J29="*  ..  ##34###34# ##334###334#","//--- END",CancerEpisode!J29)</f>
        <v>* tumorGroup.chondroOsseousTumours 1..1 CodeableConcept ##34#Chondro-osseous tumours
##34# ##334#Chondro-osseous tumours
##334#</v>
      </c>
    </row>
    <row r="30" spans="3:3" ht="29.5">
      <c r="C30" s="12" t="str">
        <f>IF(CancerEpisode!J30="*  ..  ##34###34# ##334###334#","//--- END",CancerEpisode!J30)</f>
        <v>* tumorGroup.peripheralNerveSheathTumours 1..1 CodeableConcept ##34#Peripheral nerve sheath tumours##34# ##334#Peripheral nerve sheath tumours##334#</v>
      </c>
    </row>
    <row r="31" spans="3:3" ht="29.5">
      <c r="C31" s="12" t="str">
        <f>IF(CancerEpisode!J31="*  ..  ##34###34# ##334###334#","//--- END",CancerEpisode!J31)</f>
        <v>* tumorGroup.tumoursOfUncertainDifferentiation 1..1 CodeableConcept ##34#Tumours of uncertain differentiation##34# ##334#Tumours of uncertain differentiation##334#</v>
      </c>
    </row>
    <row r="32" spans="3:3" ht="29.5">
      <c r="C32" s="12" t="str">
        <f>IF(CancerEpisode!J32="*  ..  ##34###34# ##334###334#","//--- END",CancerEpisode!J32)</f>
        <v>* tumorGroup.undifSmallRCelSarcBonAndSofTis 1..1 CodeableConcept ##34#Undifferentiated small round cell sarcomas of bone and soft tissue##34# ##334#Undifferentiated small round cell sarcomas of bone and soft tissue##334#</v>
      </c>
    </row>
    <row r="33" spans="3:3" ht="29.5">
      <c r="C33" s="12" t="str">
        <f>IF(CancerEpisode!J33="*  ..  ##34###34# ##334###334#","//--- END",CancerEpisode!J33)</f>
        <v>* tumorGroup.endStrAndRelatedTumours 1..1 CodeableConcept ##34#Endometrial stromal and related tumours##34# ##334#Endometrial stromal and related tumours##334#</v>
      </c>
    </row>
    <row r="34" spans="3:3" ht="29.5">
      <c r="C34" s="12" t="str">
        <f>IF(CancerEpisode!J34="*  ..  ##34###34# ##334###334#","//--- END",CancerEpisode!J34)</f>
        <v>* tumorGroup.miscellaniousMesenchimalTumors 1..1 CodeableConcept ##34#Miscellanious mesenchimal tumors##34# ##334#Miscellanious mesenchimal tumors##334#</v>
      </c>
    </row>
    <row r="35" spans="3:3" ht="29.5">
      <c r="C35" s="12" t="str">
        <f>IF(CancerEpisode!J35="*  ..  ##34###34# ##334###334#","//--- END",CancerEpisode!J35)</f>
        <v>* tumorGroup.mixedEpithelialAndMesenchymalTumours 1..1 CodeableConcept ##34#Mixed epithelial and mesenchymal tumours##34# ##334#Mixed epithelial and mesenchymal tumours##334#</v>
      </c>
    </row>
    <row r="36" spans="3:3">
      <c r="C36" s="12" t="str">
        <f>IF(CancerEpisode!J36="*  ..  ##34###34# ##334###334#","//--- END",CancerEpisode!J36)</f>
        <v>* subsites 1..1 BackboneElement ##34###34# ##334###334#</v>
      </c>
    </row>
    <row r="37" spans="3:3" ht="29.5">
      <c r="C37" s="12" t="str">
        <f>IF(CancerEpisode!J37="*  ..  ##34###34# ##334###334#","//--- END",CancerEpisode!J37)</f>
        <v>* subsites.nasalCavityAndParanasalSinusesSubsite 1..1 CodeableConcept ##34#Nasal cavity and paranasal sinuses subsite##34# ##334#Specifies the subsite for cancers occurred in nasal cavity and paranasal sinusess##334#</v>
      </c>
    </row>
    <row r="38" spans="3:3" ht="29.5">
      <c r="C38" s="12" t="str">
        <f>IF(CancerEpisode!J38="*  ..  ##34###34# ##334###334#","//--- END",CancerEpisode!J38)</f>
        <v>* subsites.nasopharynxSubsite 1..1 CodeableConcept ##34#Nasopharynx  subsite##34# ##334#Specifies the subsite for cancers occurred in nasopharynx##334#</v>
      </c>
    </row>
    <row r="39" spans="3:3" ht="29.5">
      <c r="C39" s="12" t="str">
        <f>IF(CancerEpisode!J39="*  ..  ##34###34# ##334###334#","//--- END",CancerEpisode!J39)</f>
        <v>* subsites.hypopharynxSubsite 1..1 CodeableConcept ##34#Hypopharynx subsite##34# ##334#Specifies the subsite for cancers occurred in hypopharynx##334#</v>
      </c>
    </row>
    <row r="40" spans="3:3" ht="29.5">
      <c r="C40" s="12" t="str">
        <f>IF(CancerEpisode!J40="*  ..  ##34###34# ##334###334#","//--- END",CancerEpisode!J40)</f>
        <v>* subsites.oropharynxSubsite 1..1 CodeableConcept ##34#Oropharynx subsite##34# ##334#Specifies the subsite for cancers occurred in oropharynx##334#</v>
      </c>
    </row>
    <row r="41" spans="3:3" ht="29.5">
      <c r="C41" s="12" t="str">
        <f>IF(CancerEpisode!J41="*  ..  ##34###34# ##334###334#","//--- END",CancerEpisode!J41)</f>
        <v>* subsites.larynxSubsite 1..1 CodeableConcept ##34#Larynx subsite##34# ##334#Specifies the subsite for cancers occurred in larynx##334#</v>
      </c>
    </row>
    <row r="42" spans="3:3" ht="29.5">
      <c r="C42" s="12" t="str">
        <f>IF(CancerEpisode!J42="*  ..  ##34###34# ##334###334#","//--- END",CancerEpisode!J42)</f>
        <v>* subsites.oralCavitySubsite 1..1 CodeableConcept ##34#Oral cavity subsite##34# ##334#Specifies the subsite for cancers occurred in oral cavity##334#</v>
      </c>
    </row>
    <row r="43" spans="3:3">
      <c r="C43" s="12" t="str">
        <f>IF(CancerEpisode!J43="*  ..  ##34###34# ##334###334#","//--- END",CancerEpisode!J43)</f>
        <v>* subsites.lipSubsite 1..1 CodeableConcept ##34#Lip subsite##34# ##334#Specifies the subsite for cancers occurred in lip##334#</v>
      </c>
    </row>
    <row r="44" spans="3:3" ht="29.5">
      <c r="C44" s="12" t="str">
        <f>IF(CancerEpisode!J44="*  ..  ##34###34# ##334###334#","//--- END",CancerEpisode!J44)</f>
        <v>* subsites.upperAndLowerLimbsSubsite 1..1 CodeableConcept ##34#Upper and Lower limbs subsite##34# ##334#Specifies the subsite for cancers occurred in##334#</v>
      </c>
    </row>
    <row r="45" spans="3:3" ht="29.5">
      <c r="C45" s="12" t="str">
        <f>IF(CancerEpisode!J45="*  ..  ##34###34# ##334###334#","//--- END",CancerEpisode!J45)</f>
        <v>* subsites.trunkWallSubsite 1..1 CodeableConcept ##34#Trunk wall subsite##34# ##334#Specifies the subsite for cancers occurred in##334#</v>
      </c>
    </row>
    <row r="46" spans="3:3" ht="29.5">
      <c r="C46" s="12" t="str">
        <f>IF(CancerEpisode!J46="*  ..  ##34###34# ##334###334#","//--- END",CancerEpisode!J46)</f>
        <v>* subsites.intraAbdominalSubsite 1..1 CodeableConcept ##34#Intra abdominal subsite##34# ##334#Specifies the subsite for cancers occurred in##334#</v>
      </c>
    </row>
    <row r="47" spans="3:3" ht="29.5">
      <c r="C47" s="12" t="str">
        <f>IF(CancerEpisode!J47="*  ..  ##34###34# ##334###334#","//--- END",CancerEpisode!J47)</f>
        <v>* subsites.intraThoracicSubsite 1..1 CodeableConcept ##34#Intra thoracic subsite##34# ##334#Specifies the subsite for cancers occurred in##334#</v>
      </c>
    </row>
    <row r="48" spans="3:3" ht="29.5">
      <c r="C48" s="12" t="str">
        <f>IF(CancerEpisode!J48="*  ..  ##34###34# ##334###334#","//--- END",CancerEpisode!J48)</f>
        <v>* subsites.genitoUrinarySubsite 1..1 CodeableConcept ##34#Genito urinary subsite##34# ##334#Specifies the subsite for cancers occurred in##334#</v>
      </c>
    </row>
    <row r="49" spans="3:3" ht="29.5">
      <c r="C49" s="12" t="str">
        <f>IF(CancerEpisode!J49="*  ..  ##34###34# ##334###334#","//--- END",CancerEpisode!J49)</f>
        <v>* subsites.headAndNeckSubsite 1..1 CodeableConcept ##34#Head and Neck subsite##34# ##334#Specifies the subsite for cancers occurred in##334#</v>
      </c>
    </row>
    <row r="50" spans="3:3" ht="29.5">
      <c r="C50" s="12" t="str">
        <f>IF(CancerEpisode!J50="*  ..  ##34###34# ##334###334#","//--- END",CancerEpisode!J50)</f>
        <v>* subsites.breastSubsite 1..1 CodeableConcept ##34#Breast subsite##34# ##334#Specifies the subsite for cancers occurred in##334#</v>
      </c>
    </row>
    <row r="51" spans="3:3" ht="29.5">
      <c r="C51" s="12" t="str">
        <f>IF(CancerEpisode!J51="*  ..  ##34###34# ##334###334#","//--- END",CancerEpisode!J51)</f>
        <v>* subsites.otherSubsite 1..1 CodeableConcept ##34#Other subsite##34# ##334#Specifies the subsite for cancers occurred in##334#</v>
      </c>
    </row>
    <row r="52" spans="3:3" ht="29.5">
      <c r="C52" s="12" t="str">
        <f>IF(CancerEpisode!J52="*  ..  ##34###34# ##334###334#","//--- END",CancerEpisode!J52)</f>
        <v>* tumorSize 1..1 Quantity ##34#Tumor Size##34# ##334#(the longest diameter; longest dimension between pre operatory imaging and pathological specimen) cm ##334#</v>
      </c>
    </row>
    <row r="53" spans="3:3" ht="44.25">
      <c r="C53" s="12" t="str">
        <f>IF(CancerEpisode!J53="*  ..  ##34###34# ##334###334#","//--- END",CancerEpisode!J53)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c r="C54" s="12" t="str">
        <f>IF(CancerEpisode!J54="*  ..  ##34###34# ##334###334#","//--- END",CancerEpisode!J54)</f>
        <v>* biopsyMitoticCount 1..1 Quantity ##34#Biopsy Mitotic count ##34# ##334#(Number/10HPF/1mm2, 50HPF/5mm2)##334#</v>
      </c>
    </row>
    <row r="55" spans="3:3" ht="29.5">
      <c r="C55" s="12" t="str">
        <f>IF(CancerEpisode!J55="*  ..  ##34###34# ##334###334#","//--- END",CancerEpisode!J55)</f>
        <v>* plasmaticEbvDnaAtBaseline 0..1 CodeableConcept ##34#Plasmatic EBV DNA at baseline##34# ##334#Describes the result of EBV DNA plasma testing before treatment in NPC type II and III (WHO) ##334#</v>
      </c>
    </row>
    <row r="56" spans="3:3" ht="29.5">
      <c r="C56" s="12" t="str">
        <f>IF(CancerEpisode!J56="*  ..  ##34###34# ##334###334#","//--- END",CancerEpisode!J56)</f>
        <v>* hpvStatus 0..1 CodeableConcept ##34#HPV status##34# ##334#Describes the result of HPV tumor testing in oral carcinoma ##334#</v>
      </c>
    </row>
    <row r="57" spans="3:3" ht="29.5">
      <c r="C57" s="12" t="str">
        <f>IF(CancerEpisode!J57="*  ..  ##34###34# ##334###334#","//--- END",CancerEpisode!J57)</f>
        <v>* crpCReactiveProteinTested 0..1 CodeableConcept ##34#CRP - C reactive protein tested##34# ##334#Describes the result of C reactive protein testing##334#</v>
      </c>
    </row>
    <row r="58" spans="3:3">
      <c r="C58" s="12" t="str">
        <f>IF(CancerEpisode!J58="*  ..  ##34###34# ##334###334#","//--- END",CancerEpisode!J58)</f>
        <v>//--- END</v>
      </c>
    </row>
    <row r="59" spans="3:3">
      <c r="C59" s="12" t="str">
        <f>IF(CancerEpisode!J59="*  ..  ##34###34# ##334###334#","//--- END",CancerEpisode!J59)</f>
        <v>//--- END</v>
      </c>
    </row>
    <row r="60" spans="3:3">
      <c r="C60" s="12" t="str">
        <f>IF(CancerEpisode!J60="*  ..  ##34###34# ##334###334#","//--- END",CancerEpisode!J60)</f>
        <v>//--- END</v>
      </c>
    </row>
    <row r="61" spans="3:3">
      <c r="C61" s="12" t="str">
        <f>IF(CancerEpisode!J61="*  ..  ##34###34# ##334###334#","//--- END",CancerEpisode!J61)</f>
        <v>//--- END</v>
      </c>
    </row>
    <row r="66" spans="3:3">
      <c r="C66" s="23" t="s">
        <v>1613</v>
      </c>
    </row>
    <row r="67" spans="3:3">
      <c r="C67" s="24" t="s">
        <v>1701</v>
      </c>
    </row>
    <row r="68" spans="3:3">
      <c r="C68" s="24" t="s">
        <v>1613</v>
      </c>
    </row>
    <row r="69" spans="3:3">
      <c r="C69" s="12" t="str">
        <f>IF(CancerEpisode!L8="*  ..  ##34###34# ##334###334#","//--- END",CancerEpisode!L8)</f>
        <v/>
      </c>
    </row>
    <row r="70" spans="3:3">
      <c r="C70" s="12" t="str">
        <f>IF(CancerEpisode!L9="*  ..  ##34###34# ##334###334#","//--- END",CancerEpisode!L9)</f>
        <v/>
      </c>
    </row>
    <row r="71" spans="3:3" ht="177">
      <c r="C71" s="12" t="str">
        <f>IF(CancerEpisode!L10="*  ..  ##34###34# ##334###334#","//--- END",CancerEpisode!L10)</f>
        <v>* typeOfBiopsy ^comment = ##334#FNA
core-trcut
incisional
excisional
unplanned excision
Fine needle biopsy - 4171863
Core needle biopsy - 4321878
Incisional biopsy - 4321986
Excisional biopsy - 4228202
Excision - 4279903
##334#</v>
      </c>
    </row>
    <row r="72" spans="3:3">
      <c r="C72" s="12" t="str">
        <f>IF(CancerEpisode!L11="*  ..  ##34###34# ##334###334#","//--- END",CancerEpisode!L11)</f>
        <v/>
      </c>
    </row>
    <row r="73" spans="3:3">
      <c r="C73" s="12" t="str">
        <f>IF(CancerEpisode!L12="*  ..  ##34###34# ##334###334#","//--- END",CancerEpisode!L12)</f>
        <v/>
      </c>
    </row>
    <row r="74" spans="3:3" ht="59">
      <c r="C74" s="12" t="str">
        <f>IF(CancerEpisode!L13="*  ..  ##34###34# ##334###334#","//--- END",CancerEpisode!L13)</f>
        <v>* radiotherapyInducedSarcoma ^comment = ##334#Radiation therapy induced change
Radiation therapy induced change - 37117814
##334#</v>
      </c>
    </row>
    <row r="75" spans="3:3" ht="147.5">
      <c r="C75" s="12" t="str">
        <f>IF(CancerEpisode!L14="*  ..  ##34###34# ##334###334#","//--- END",CancerEpisode!L14)</f>
        <v>* grading ^comment = ##334#1
2
3
high
low
Grade-1 - 1634371
Grade-2 - 1634752
Grade-3 - 1633749
Grade-H - 1635587
Grade-L - 1634085##334#</v>
      </c>
    </row>
    <row r="76" spans="3:3">
      <c r="C76" s="12" t="str">
        <f>IF(CancerEpisode!L15="*  ..  ##34###34# ##334###334#","//--- END",CancerEpisode!L15)</f>
        <v>* histologySubGroup ^comment = ##334#Added to the model for grouping elements##334#</v>
      </c>
    </row>
    <row r="77" spans="3:3" ht="368.75">
      <c r="C77" s="12" t="str">
        <f>IF(CancerEpisode!L16="*  ..  ##34###34# ##334###334#","//--- END",CancerEpisode!L16)</f>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c r="C78" s="12" t="str">
        <f>IF(CancerEpisode!L17="*  ..  ##34###34# ##334###334#","//--- END",CancerEpisode!L17)</f>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c r="C79" s="12" t="str">
        <f>IF(CancerEpisode!L18="*  ..  ##34###34# ##334###334#","//--- END",CancerEpisode!L18)</f>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c r="C80" s="12" t="str">
        <f>IF(CancerEpisode!L19="*  ..  ##34###34# ##334###334#","//--- END",CancerEpisode!L19)</f>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c r="C81" s="12" t="str">
        <f>IF(CancerEpisode!L20="*  ..  ##34###34# ##334###334#","//--- END",CancerEpisode!L20)</f>
        <v>* histologySubGroup.histologySNUC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91.75">
      <c r="C82" s="12" t="str">
        <f>IF(CancerEpisode!L21="*  ..  ##34###34# ##334###334#","//--- END",CancerEpisode!L21)</f>
        <v>* histologySubGroup.adipocyticTumours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c r="C83" s="12" t="str">
        <f>IF(CancerEpisode!L22="*  ..  ##34###34# ##334###334#","//--- END",CancerEpisode!L22)</f>
        <v>* histologySubGroup.fmtTumours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c r="C84" s="12" t="str">
        <f>IF(CancerEpisode!L23="*  ..  ##34###34# ##334###334#","//--- END",CancerEpisode!L23)</f>
        <v>* histologySubGroup.socalledFibrohistiocyticTumours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c r="C85" s="12" t="str">
        <f>IF(CancerEpisode!L24="*  ..  ##34###34# ##334###334#","//--- END",CancerEpisode!L24)</f>
        <v>* tumorGroup ^comment = ##334#TO BE CHECKED . Added tpo group other tumors##334#</v>
      </c>
    </row>
    <row r="86" spans="3:3" ht="265.5">
      <c r="C86" s="12" t="str">
        <f>IF(CancerEpisode!L25="*  ..  ##34###34# ##334###334#","//--- END",CancerEpisode!L25)</f>
        <v>* tumorGroup.vascularTumours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c r="C87" s="12" t="str">
        <f>IF(CancerEpisode!L26="*  ..  ##34###34# ##334###334#","//--- END",CancerEpisode!L26)</f>
        <v>* tumorGroup.pericyticPerivascularTumours ^comment = ##334#Glomus tumour NOS
Glomus tumour - 40571984
##334#</v>
      </c>
    </row>
    <row r="88" spans="3:3" ht="280.25">
      <c r="C88" s="12" t="str">
        <f>IF(CancerEpisode!L27="*  ..  ##34###34# ##334###334#","//--- END",CancerEpisode!L27)</f>
        <v>* tumorGroup.smoothMuscleTumours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c r="C89" s="12" t="str">
        <f>IF(CancerEpisode!L28="*  ..  ##34###34# ##334###334#","//--- END",CancerEpisode!L28)</f>
        <v>* tumorGroup.skeletalMuscleTumours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c r="C90" s="12" t="str">
        <f>IF(CancerEpisode!L29="*  ..  ##34###34# ##334###334#","//--- END",CancerEpisode!L29)</f>
        <v>* tumorGroup.chondroOsseousTumours ^comment = ##334#Extraskeletal osteosarcoma
Extraskeletal osteosarcoma - 4298240
##334#</v>
      </c>
    </row>
    <row r="91" spans="3:3" ht="147.5">
      <c r="C91" s="12" t="str">
        <f>IF(CancerEpisode!L30="*  ..  ##34###34# ##334###334#","//--- END",CancerEpisode!L30)</f>
        <v>* tumorGroup.peripheralNerveSheathTumours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c r="C92" s="12" t="str">
        <f>IF(CancerEpisode!L31="*  ..  ##34###34# ##334###334#","//--- END",CancerEpisode!L31)</f>
        <v>* tumorGroup.tumoursOfUncertainDifferentiation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c r="C93" s="12" t="str">
        <f>IF(CancerEpisode!L32="*  ..  ##34###34# ##334###334#","//--- END",CancerEpisode!L32)</f>
        <v>* tumorGroup.undifSmallRCelSarcBonAndSofTis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c r="C94" s="12" t="str">
        <f>IF(CancerEpisode!L33="*  ..  ##34###34# ##334###334#","//--- END",CancerEpisode!L33)</f>
        <v>* tumorGroup.endStrAndRelatedTumours ^comment = ##334#Endometrial stromal sarcoma, high grade
Endometrial stromal sarcoma, low grade
Endometrial stromal sarcoma, high grade - 4290926
Endometrial stromal sarcoma, low grade - 4028557
##334#</v>
      </c>
    </row>
    <row r="95" spans="3:3" ht="339.25">
      <c r="C95" s="12" t="str">
        <f>IF(CancerEpisode!L34="*  ..  ##34###34# ##334###334#","//--- END",CancerEpisode!L34)</f>
        <v>* tumorGroup.miscellaniousMesenchimalTumors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c r="C96" s="12" t="str">
        <f>IF(CancerEpisode!L35="*  ..  ##34###34# ##334###334#","//--- END",CancerEpisode!L35)</f>
        <v>* tumorGroup.mixedEpithelialAndMesenchymalTumours ^comment = ##334#Adenosarcoma; please clarify if adenosarcoma with sarcomatous overgrowth
Adenosarcoma - 4135215##334#</v>
      </c>
    </row>
    <row r="97" spans="3:3">
      <c r="C97" s="12" t="str">
        <f>IF(CancerEpisode!L36="*  ..  ##34###34# ##334###334#","//--- END",CancerEpisode!L36)</f>
        <v/>
      </c>
    </row>
    <row r="98" spans="3:3" ht="118">
      <c r="C98" s="12" t="str">
        <f>IF(CancerEpisode!L37="*  ..  ##34###34# ##334###334#","//--- END",CancerEpisode!L37)</f>
        <v>* subsites.nasalCavityAndParanasalSinusesSubsite ^comment = ##334#AJCC 8th Edition Cancer Staging Manual
Nasal cavity;Maxillary sinus;Ethmoid sinus;Frontal sinus;Sphenoid sinus
Nasal cavity - 4088327
Maxillary sinus - 4050631
Ethmoid sinus - 4182234
Frontal sinus - 4204534
Sphenoid sinus - 4097172##334#</v>
      </c>
    </row>
    <row r="99" spans="3:3" ht="103.25">
      <c r="C99" s="12" t="str">
        <f>IF(CancerEpisode!L38="*  ..  ##34###34# ##334###334#","//--- END",CancerEpisode!L38)</f>
        <v>* subsites.nasopharynxSubsite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c r="C100" s="12" t="str">
        <f>IF(CancerEpisode!L39="*  ..  ##34###34# ##334###334#","//--- END",CancerEpisode!L39)</f>
        <v>* subsites.hypopharynxSubsite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c r="C101" s="12" t="str">
        <f>IF(CancerEpisode!L40="*  ..  ##34###34# ##334###334#","//--- END",CancerEpisode!L40)</f>
        <v>* subsites.oropharynxSubsite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c r="C102" s="12" t="str">
        <f>IF(CancerEpisode!L41="*  ..  ##34###34# ##334###334#","//--- END",CancerEpisode!L41)</f>
        <v>* subsites.larynxSubsite ^comment = ##334#AJCC 8th Edition Cancer Staging Manual
Glottis;Supraglottis;Subglottis;Laryngeal cartilage
Glottis - 4047227
Supraglottis - 4001049
Subglottis - 4002724
Laryngeal cartilage - 4279711
##334#</v>
      </c>
    </row>
    <row r="103" spans="3:3" ht="409.5">
      <c r="C103" s="12" t="str">
        <f>IF(CancerEpisode!L42="*  ..  ##34###34# ##334###334#","//--- END",CancerEpisode!L42)</f>
        <v>* subsites.oralCavitySubsite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c r="C104" s="12" t="str">
        <f>IF(CancerEpisode!L43="*  ..  ##34###34# ##334###334#","//--- END",CancerEpisode!L43)</f>
        <v>* subsites.lipSubsite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c r="C105" s="12" t="str">
        <f>IF(CancerEpisode!L44="*  ..  ##34###34# ##334###334#","//--- END",CancerEpisode!L44)</f>
        <v>* subsites.upperAndLowerLimbsSubsite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c r="C106" s="12" t="str">
        <f>IF(CancerEpisode!L45="*  ..  ##34###34# ##334###334#","//--- END",CancerEpisode!L45)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c r="C107" s="12" t="str">
        <f>IF(CancerEpisode!L46="*  ..  ##34###34# ##334###334#","//--- END",CancerEpisode!L46)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c r="C108" s="12" t="str">
        <f>IF(CancerEpisode!L47="*  ..  ##34###34# ##334###334#","//--- END",CancerEpisode!L47)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c r="C109" s="12" t="str">
        <f>IF(CancerEpisode!L48="*  ..  ##34###34# ##334###334#","//--- END",CancerEpisode!L48)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c r="C110" s="12" t="str">
        <f>IF(CancerEpisode!L49="*  ..  ##34###34# ##334###334#","//--- END",CancerEpisode!L49)</f>
        <v>* subsites.headAndNeckSubsite ^comment = ##334#Head and neck
Face and/or neck structure - 4122633##334#</v>
      </c>
    </row>
    <row r="111" spans="3:3" ht="29.5">
      <c r="C111" s="12" t="str">
        <f>IF(CancerEpisode!L50="*  ..  ##34###34# ##334###334#","//--- END",CancerEpisode!L50)</f>
        <v>* subsites.breastSubsite ^comment = ##334#Breast
Breast structure - 4298444##334#</v>
      </c>
    </row>
    <row r="112" spans="3:3">
      <c r="C112" s="12" t="str">
        <f>IF(CancerEpisode!L51="*  ..  ##34###34# ##334###334#","//--- END",CancerEpisode!L51)</f>
        <v/>
      </c>
    </row>
    <row r="113" spans="3:3">
      <c r="C113" s="12" t="str">
        <f>IF(CancerEpisode!L52="*  ..  ##34###34# ##334###334#","//--- END",CancerEpisode!L52)</f>
        <v/>
      </c>
    </row>
    <row r="114" spans="3:3">
      <c r="C114" s="12" t="str">
        <f>IF(CancerEpisode!L53="*  ..  ##34###34# ##334###334#","//--- END",CancerEpisode!L53)</f>
        <v/>
      </c>
    </row>
    <row r="115" spans="3:3">
      <c r="C115" s="12" t="str">
        <f>IF(CancerEpisode!L54="*  ..  ##34###34# ##334###334#","//--- END",CancerEpisode!L54)</f>
        <v/>
      </c>
    </row>
    <row r="116" spans="3:3" ht="59">
      <c r="C116" s="12" t="str">
        <f>IF(CancerEpisode!L55="*  ..  ##34###34# ##334###334#","//--- END",CancerEpisode!L55)</f>
        <v>* plasmaticEbvDnaAtBaseline ^comment = ##334# Positive; Negative; not tested;
 Positive - 9191
 Negative - 9189
not tested - 45878602##334#</v>
      </c>
    </row>
    <row r="117" spans="3:3" ht="59">
      <c r="C117" s="12" t="str">
        <f>IF(CancerEpisode!L56="*  ..  ##34###34# ##334###334#","//--- END",CancerEpisode!L56)</f>
        <v>* hpvStatus ^comment = ##334# Positive; Negative; Not tested;
 Positive - 9191
 Negative - 9189
not tested - 45878602##334#</v>
      </c>
    </row>
    <row r="118" spans="3:3" ht="59">
      <c r="C118" s="12" t="str">
        <f>IF(CancerEpisode!L57="*  ..  ##34###34# ##334###334#","//--- END",CancerEpisode!L57)</f>
        <v>* crpCReactiveProteinTested ^comment = ##334#Positive; Negative; Not tested;
 Positive - 9191
 Negative - 9189
not tested - 45878602##334#</v>
      </c>
    </row>
    <row r="119" spans="3:3">
      <c r="C119" s="12" t="str">
        <f>IF(CancerEpisode!L58="*  ..  ##34###34# ##334###334#","//--- END",CancerEpisode!L58)</f>
        <v>//--- END</v>
      </c>
    </row>
    <row r="120" spans="3:3">
      <c r="C120" s="12" t="str">
        <f>IF(CancerEpisode!L59="*  ..  ##34###34# ##334###334#","//--- END",CancerEpisode!L59)</f>
        <v>//--- END</v>
      </c>
    </row>
    <row r="121" spans="3:3">
      <c r="C121" s="12" t="str">
        <f>IF(CancerEpisode!L60="*  ..  ##34###34# ##334###334#","//--- END",CancerEpisode!L60)</f>
        <v>//--- END</v>
      </c>
    </row>
    <row r="122" spans="3:3">
      <c r="C122" s="12" t="str">
        <f>IF(CancerEpisode!L61="*  ..  ##34###34# ##334###334#","//--- END",CancerEpisode!L61)</f>
        <v>//--- END</v>
      </c>
    </row>
    <row r="123" spans="3:3">
      <c r="C123" s="12" t="str">
        <f>IF(CancerEpisode!L62="*  ..  ##34###34# ##334###334#","//--- END",CancerEpisode!L62)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50"/>
  <sheetViews>
    <sheetView workbookViewId="0">
      <selection activeCell="A20" sqref="A20:XFD20"/>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1835</v>
      </c>
      <c r="D3" s="62" t="s">
        <v>1769</v>
      </c>
      <c r="E3" s="117" t="str">
        <f>$C$1&amp;CancerEpisode!B5</f>
        <v>http://hl7.eu/fhir/ig/idea4rc/StructureDefinition/CancerEpisode</v>
      </c>
    </row>
    <row r="4" spans="1:19">
      <c r="B4" s="62" t="s">
        <v>16</v>
      </c>
      <c r="C4" s="28" t="s">
        <v>1778</v>
      </c>
      <c r="D4" s="62" t="s">
        <v>1770</v>
      </c>
      <c r="E4" s="184" t="s">
        <v>1782</v>
      </c>
      <c r="F4" s="185"/>
      <c r="G4" s="185"/>
    </row>
    <row r="5" spans="1:19">
      <c r="B5" s="62" t="s">
        <v>10</v>
      </c>
      <c r="C5" s="7" t="s">
        <v>1779</v>
      </c>
      <c r="D5" s="62"/>
      <c r="E5" s="7"/>
    </row>
    <row r="6" spans="1:19">
      <c r="B6" s="62" t="s">
        <v>18</v>
      </c>
      <c r="C6" s="56"/>
      <c r="D6" s="62" t="s">
        <v>1771</v>
      </c>
      <c r="E6" s="184" t="str">
        <f>E3</f>
        <v>http://hl7.eu/fhir/ig/idea4rc/StructureDefinition/CancerEpisode</v>
      </c>
      <c r="F6" s="185"/>
      <c r="G6" s="185"/>
    </row>
    <row r="7" spans="1:19">
      <c r="B7" s="62" t="s">
        <v>15</v>
      </c>
      <c r="C7" s="118"/>
      <c r="D7" s="62" t="s">
        <v>1772</v>
      </c>
      <c r="E7" s="184" t="s">
        <v>1782</v>
      </c>
      <c r="F7" s="185"/>
      <c r="G7" s="185"/>
    </row>
    <row r="8" spans="1:19" ht="44.25">
      <c r="B8" s="62" t="s">
        <v>1773</v>
      </c>
      <c r="C8" s="119" t="s">
        <v>1779</v>
      </c>
      <c r="D8" s="62"/>
      <c r="E8" s="7"/>
      <c r="I8" s="12" t="s">
        <v>1402</v>
      </c>
      <c r="J8" s="12" t="s">
        <v>1403</v>
      </c>
      <c r="K8" s="12" t="s">
        <v>1404</v>
      </c>
      <c r="L8" s="12" t="s">
        <v>1405</v>
      </c>
      <c r="M8" s="11" t="s">
        <v>1406</v>
      </c>
      <c r="P8" s="49" t="s">
        <v>1441</v>
      </c>
      <c r="Q8" s="49">
        <v>6</v>
      </c>
    </row>
    <row r="9" spans="1:19" ht="29.5">
      <c r="B9" s="62" t="s">
        <v>1774</v>
      </c>
      <c r="C9" s="12" t="s">
        <v>1780</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1797</v>
      </c>
      <c r="E14" s="6"/>
      <c r="F14" s="64"/>
      <c r="G14" s="64"/>
      <c r="I14" s="12"/>
      <c r="J14" s="11"/>
      <c r="K14" s="11"/>
      <c r="L14" s="11"/>
      <c r="M14" s="63"/>
      <c r="N14" s="66"/>
    </row>
    <row r="15" spans="1:19" ht="44.25">
      <c r="A15" s="59"/>
      <c r="B15" s="11" t="str">
        <f>CancerEpisode!B8</f>
        <v>patient</v>
      </c>
      <c r="C15" s="11" t="str">
        <f>CancerEpisode!C8</f>
        <v>Patient</v>
      </c>
      <c r="D15" s="12" t="s">
        <v>1798</v>
      </c>
      <c r="E15" s="57"/>
      <c r="F15" s="64" t="s">
        <v>1429</v>
      </c>
      <c r="G15" s="64"/>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INDEX('CancerEpisode-ConceptMap-1'!$I$15:$N$125,Q15+1,R15)</f>
        <v>* group[=].element[+].code = #CancerEpisode.patient</v>
      </c>
    </row>
    <row r="16" spans="1:19" ht="44.25" customHeight="1">
      <c r="A16" s="59"/>
      <c r="B16" s="11" t="str">
        <f>CancerEpisode!B9</f>
        <v>dateOfDiagnosis</v>
      </c>
      <c r="C16" s="11" t="str">
        <f>CancerEpisode!C9</f>
        <v>Date of diagnosis (biopsy or surgical piece)</v>
      </c>
      <c r="D16" s="12" t="s">
        <v>1801</v>
      </c>
      <c r="E16" s="11"/>
      <c r="F16" s="64" t="s">
        <v>1407</v>
      </c>
      <c r="G16" s="120" t="s">
        <v>1775</v>
      </c>
      <c r="H16" s="58"/>
      <c r="I16" s="12" t="str">
        <f t="shared" ref="I16:I28" si="7">"* group[=].element[+].code = #"&amp;$B$14&amp;"."&amp;B16</f>
        <v>* group[=].element[+].code = #CancerEpisode.dateOfDiagnosis</v>
      </c>
      <c r="J16" s="12" t="str">
        <f t="shared" ref="J16:J29" si="8">"* group[=].element[=].display = ##34#"&amp;C16&amp;"##34#"</f>
        <v>* group[=].element[=].display = ##34#Date of diagnosis (biopsy or surgical piece)##34#</v>
      </c>
      <c r="K16" s="12" t="str">
        <f t="shared" ref="K16:K29" si="9">IF(F16="unmatched","//-- unmatched","* group[=].element[=].target.code = #"&amp;$D$14&amp;"."&amp;D16)</f>
        <v>* group[=].element[=].target.code = #Condition.extension:assertedDate.valueDateTime</v>
      </c>
      <c r="L16" s="12" t="str">
        <f t="shared" ref="L16:L29" si="10">IF(F16="unmatched","//-- unmatched","* group[=].element[=].target.display = ##34#"&amp;E16&amp;"##34#")</f>
        <v>* group[=].element[=].target.display = ##34###34#</v>
      </c>
      <c r="M16" s="12" t="str">
        <f t="shared" ref="M16:M29" si="11">"* group[=].element[=].target.equivalence = #"&amp;F16</f>
        <v>* group[=].element[=].target.equivalence = #relatedto</v>
      </c>
      <c r="N16" s="12" t="str">
        <f t="shared" ref="N16:N29" si="12">IF(G16&lt;&gt;"",CONCATENATE("* group[=].element[=].target.comment = ","##34#",G16,"##34#"),"")</f>
        <v>* group[=].element[=].target.comment = ##34#to be checked##34#</v>
      </c>
      <c r="P16" s="11">
        <v>2</v>
      </c>
      <c r="Q16" s="11">
        <f t="shared" ref="Q16:Q55" si="13">IF(MOD(P16,$Q$8)=0,P16/$Q$8-1,INT(P16/$Q$8))</f>
        <v>0</v>
      </c>
      <c r="R16" s="11">
        <f t="shared" ref="R16:R55" si="14">IF(MOD(P16,$Q$8)=0,$Q$8,MOD(P16,$Q$8))</f>
        <v>2</v>
      </c>
      <c r="S16" s="12" t="str" cm="1">
        <f t="array" ref="S16">INDEX('CancerEpisode-ConceptMap-1'!$I$15:$N$125,Q16+1,R16)</f>
        <v>* group[=].element[=].display = ##34#Patient##34#</v>
      </c>
    </row>
    <row r="17" spans="1:19" ht="44.25" customHeight="1">
      <c r="A17" s="59"/>
      <c r="B17" s="11" t="str">
        <f>CancerEpisode!B10</f>
        <v>typeOfBiopsy</v>
      </c>
      <c r="C17" s="11" t="str">
        <f>CancerEpisode!C10</f>
        <v>Type of biopsy</v>
      </c>
      <c r="D17" s="12"/>
      <c r="E17" s="11"/>
      <c r="F17" s="64"/>
      <c r="G17" s="120"/>
      <c r="H17" s="58"/>
      <c r="I17" s="12"/>
      <c r="J17" s="12"/>
      <c r="K17" s="12"/>
      <c r="L17" s="12"/>
      <c r="M17" s="12"/>
      <c r="N17" s="12"/>
      <c r="P17" s="11"/>
      <c r="Q17" s="11"/>
      <c r="R17" s="11"/>
      <c r="S17" s="12"/>
    </row>
    <row r="18" spans="1:19" ht="103.25">
      <c r="A18" s="59"/>
      <c r="B18" s="11" t="str">
        <f>CancerEpisode!B11</f>
        <v>biopsyDoneBy</v>
      </c>
      <c r="C18" s="11" t="str">
        <f>CancerEpisode!C11</f>
        <v>Biopsy done by</v>
      </c>
      <c r="D18" s="12" t="s">
        <v>1802</v>
      </c>
      <c r="E18" s="11"/>
      <c r="F18" s="64" t="s">
        <v>1407</v>
      </c>
      <c r="G18" s="122" t="s">
        <v>1869</v>
      </c>
      <c r="H18" s="58"/>
      <c r="I18" s="12" t="str">
        <f t="shared" si="7"/>
        <v>* group[=].element[+].code = #CancerEpisode.biopsyDoneBy</v>
      </c>
      <c r="J18" s="12" t="str">
        <f t="shared" si="8"/>
        <v>* group[=].element[=].display = ##34#Biopsy done by##34#</v>
      </c>
      <c r="K18" s="12" t="str">
        <f t="shared" si="9"/>
        <v>* group[=].element[=].target.code = #Condition.evidence:diagnosisDetails.detail.performer</v>
      </c>
      <c r="L18" s="12" t="str">
        <f t="shared" si="10"/>
        <v>* group[=].element[=].target.display = ##34###34#</v>
      </c>
      <c r="M18" s="12" t="str">
        <f t="shared" si="11"/>
        <v>* group[=].element[=].target.equivalence = #relatedto</v>
      </c>
      <c r="N18" s="12" t="str">
        <f t="shared" si="12"/>
        <v>* group[=].element[=].target.comment = ##34#detail  id ofType Observation and conformsTo http://hl7.eu/fhir/ig/idea4rc/StructureDefinition/Observation-diagnosis-eu-i4rc##34#</v>
      </c>
      <c r="P18" s="11">
        <v>3</v>
      </c>
      <c r="Q18" s="11">
        <f t="shared" si="13"/>
        <v>0</v>
      </c>
      <c r="R18" s="11">
        <f t="shared" si="14"/>
        <v>3</v>
      </c>
      <c r="S18" s="12" t="str" cm="1">
        <f t="array" ref="S18">INDEX('CancerEpisode-ConceptMap-1'!$I$15:$N$125,Q18+1,R18)</f>
        <v>* group[=].element[=].target.code = #Condition.subject</v>
      </c>
    </row>
    <row r="19" spans="1:19" ht="73.75">
      <c r="A19" s="59"/>
      <c r="B19" s="11" t="str">
        <f>CancerEpisode!B12</f>
        <v>ageAtDiagnosis</v>
      </c>
      <c r="C19" s="11" t="str">
        <f>CancerEpisode!C12</f>
        <v>Age at diagnosis</v>
      </c>
      <c r="D19" s="12" t="s">
        <v>1800</v>
      </c>
      <c r="E19" s="11"/>
      <c r="F19" s="64" t="s">
        <v>1430</v>
      </c>
      <c r="G19" s="123" t="s">
        <v>1803</v>
      </c>
      <c r="H19" s="58"/>
      <c r="I19" s="12" t="str">
        <f t="shared" si="7"/>
        <v>* group[=].element[+].code = #CancerEpisode.ageAtDiagnosis</v>
      </c>
      <c r="J19" s="12" t="str">
        <f t="shared" si="8"/>
        <v>* group[=].element[=].display = ##34#Age at diagnosis##34#</v>
      </c>
      <c r="K19" s="12" t="str">
        <f t="shared" si="9"/>
        <v>* group[=].element[=].target.code = #Condition.onsetAge</v>
      </c>
      <c r="L19" s="12" t="str">
        <f t="shared" si="10"/>
        <v>* group[=].element[=].target.display = ##34###34#</v>
      </c>
      <c r="M19" s="12" t="str">
        <f t="shared" si="11"/>
        <v>* group[=].element[=].target.equivalence = #equal</v>
      </c>
      <c r="N19" s="12" t="str">
        <f t="shared" si="12"/>
        <v>* group[=].element[=].target.comment = ##34#to be checked if an onSetdatTime or period is needed##34#</v>
      </c>
      <c r="P19" s="11">
        <v>4</v>
      </c>
      <c r="Q19" s="11">
        <f t="shared" si="13"/>
        <v>0</v>
      </c>
      <c r="R19" s="11">
        <f t="shared" si="14"/>
        <v>4</v>
      </c>
      <c r="S19" s="12" t="str" cm="1">
        <f t="array" ref="S19">INDEX('CancerEpisode-ConceptMap-1'!$I$15:$N$125,Q19+1,R19)</f>
        <v>* group[=].element[=].target.display = ##34###34#</v>
      </c>
    </row>
    <row r="20" spans="1:19">
      <c r="A20" s="59"/>
      <c r="B20" s="11"/>
      <c r="C20" s="11"/>
      <c r="D20" s="12"/>
      <c r="E20" s="11"/>
      <c r="F20" s="64"/>
      <c r="G20" s="123"/>
      <c r="H20" s="58"/>
      <c r="I20" s="12"/>
      <c r="J20" s="12"/>
      <c r="K20" s="12"/>
      <c r="L20" s="12"/>
      <c r="M20" s="12"/>
      <c r="N20" s="12"/>
      <c r="P20" s="11"/>
      <c r="Q20" s="11"/>
      <c r="R20" s="11"/>
      <c r="S20" s="12"/>
    </row>
    <row r="21" spans="1:19" ht="44.25">
      <c r="A21" s="59"/>
      <c r="B21" s="11" t="str">
        <f>CancerEpisode!B14</f>
        <v>grading</v>
      </c>
      <c r="C21" s="11" t="str">
        <f>CancerEpisode!C14</f>
        <v>Grading</v>
      </c>
      <c r="D21" s="124" t="s">
        <v>1804</v>
      </c>
      <c r="E21" s="11"/>
      <c r="F21" s="64" t="s">
        <v>1407</v>
      </c>
      <c r="G21" s="64" t="s">
        <v>1775</v>
      </c>
      <c r="H21" s="58"/>
      <c r="I21" s="12" t="str">
        <f t="shared" si="7"/>
        <v>* group[=].element[+].code = #CancerEpisode.grading</v>
      </c>
      <c r="J21" s="12" t="str">
        <f t="shared" si="8"/>
        <v>* group[=].element[=].display = ##34#Grading##34#</v>
      </c>
      <c r="K21" s="12" t="str">
        <f t="shared" si="9"/>
        <v>* group[=].element[=].target.code = #Condition.stage.summary</v>
      </c>
      <c r="L21" s="12" t="str">
        <f t="shared" si="10"/>
        <v>* group[=].element[=].target.display = ##34###34#</v>
      </c>
      <c r="M21" s="12" t="str">
        <f t="shared" si="11"/>
        <v>* group[=].element[=].target.equivalence = #relatedto</v>
      </c>
      <c r="N21" s="12" t="str">
        <f t="shared" si="12"/>
        <v>* group[=].element[=].target.comment = ##34#to be checked##34#</v>
      </c>
      <c r="P21" s="11">
        <v>5</v>
      </c>
      <c r="Q21" s="11">
        <f t="shared" si="13"/>
        <v>0</v>
      </c>
      <c r="R21" s="11">
        <f t="shared" si="14"/>
        <v>5</v>
      </c>
      <c r="S21" s="12" t="str" cm="1">
        <f t="array" ref="S21">INDEX('CancerEpisode-ConceptMap-1'!$I$15:$N$125,Q21+1,R21)</f>
        <v>* group[=].element[=].target.equivalence = #equivalent</v>
      </c>
    </row>
    <row r="22" spans="1:19" ht="103.25">
      <c r="A22" s="59"/>
      <c r="B22" s="6" t="e">
        <f>CancerEpisode!#REF!</f>
        <v>#REF!</v>
      </c>
      <c r="C22" s="11" t="e">
        <f>CancerEpisode!#REF!</f>
        <v>#REF!</v>
      </c>
      <c r="D22" s="12" t="s">
        <v>1834</v>
      </c>
      <c r="E22" s="11"/>
      <c r="F22" s="64" t="s">
        <v>1407</v>
      </c>
      <c r="G22" s="122" t="s">
        <v>1870</v>
      </c>
      <c r="H22" s="58"/>
      <c r="I22" s="12" t="e">
        <f t="shared" si="7"/>
        <v>#REF!</v>
      </c>
      <c r="J22" s="12" t="e">
        <f t="shared" si="8"/>
        <v>#REF!</v>
      </c>
      <c r="K22" s="12" t="str">
        <f t="shared" si="9"/>
        <v>* group[=].element[=].target.code = #Condition.extension:histologyMorphologyBehavior.valueCodeableConcept</v>
      </c>
      <c r="L22" s="12" t="str">
        <f t="shared" si="10"/>
        <v>* group[=].element[=].target.display = ##34###34#</v>
      </c>
      <c r="M22" s="12" t="str">
        <f t="shared" si="11"/>
        <v>* group[=].element[=].target.equivalence = #relatedto</v>
      </c>
      <c r="N22" s="12" t="str">
        <f t="shared" si="12"/>
        <v>* group[=].element[=].target.comment = ##34#to be checked. How to manage this with the other subgroups. To be seen if a multiconding approach is sufficient##34#</v>
      </c>
      <c r="P22" s="11">
        <v>6</v>
      </c>
      <c r="Q22" s="11">
        <f t="shared" si="13"/>
        <v>0</v>
      </c>
      <c r="R22" s="11">
        <f t="shared" si="14"/>
        <v>6</v>
      </c>
      <c r="S22" s="12" t="str" cm="1">
        <f t="array" ref="S22">INDEX('CancerEpisode-ConceptMap-1'!$I$15:$N$125,Q22+1,R22)</f>
        <v/>
      </c>
    </row>
    <row r="23" spans="1:19" ht="88.5">
      <c r="A23" s="59"/>
      <c r="B23" s="11" t="str">
        <f>CancerEpisode!B15</f>
        <v>histologySubGroup</v>
      </c>
      <c r="C23" s="11" t="str">
        <f>CancerEpisode!C15</f>
        <v>Histology Subgroups</v>
      </c>
      <c r="D23" s="12" t="s">
        <v>1442</v>
      </c>
      <c r="E23" s="11"/>
      <c r="F23" s="64" t="s">
        <v>1407</v>
      </c>
      <c r="G23" s="146" t="s">
        <v>2364</v>
      </c>
      <c r="H23" s="58"/>
      <c r="I23" s="12" t="str">
        <f t="shared" si="7"/>
        <v>* group[=].element[+].code = #CancerEpisode.histologySubGroup</v>
      </c>
      <c r="J23" s="12" t="str">
        <f t="shared" si="8"/>
        <v>* group[=].element[=].display = ##34#Histology Subgroups##34#</v>
      </c>
      <c r="K23" s="12" t="str">
        <f t="shared" si="9"/>
        <v>* group[=].element[=].target.code = #Condition.code</v>
      </c>
      <c r="L23" s="12" t="str">
        <f t="shared" si="10"/>
        <v>* group[=].element[=].target.display = ##34###34#</v>
      </c>
      <c r="M23" s="12" t="str">
        <f t="shared" si="11"/>
        <v>* group[=].element[=].target.equivalence = #relatedto</v>
      </c>
      <c r="N23" s="12" t="str">
        <f t="shared" si="12"/>
        <v>* group[=].element[=].target.comment = ##34#To be checked, linked to the code since the concpet includes both morhphology and topography##34#</v>
      </c>
      <c r="P23" s="11">
        <v>7</v>
      </c>
      <c r="Q23" s="11">
        <f t="shared" si="13"/>
        <v>1</v>
      </c>
      <c r="R23" s="11">
        <f t="shared" si="14"/>
        <v>1</v>
      </c>
      <c r="S23" s="12" t="str" cm="1">
        <f t="array" ref="S23">INDEX('CancerEpisode-ConceptMap-1'!$I$15:$N$125,Q23+1,R23)</f>
        <v>* group[=].element[+].code = #CancerEpisode.dateOfDiagnosis</v>
      </c>
    </row>
    <row r="24" spans="1:19" ht="88.5">
      <c r="A24" s="59"/>
      <c r="B24" s="11" t="str">
        <f>CancerEpisode!B16</f>
        <v>histologySubGroup.histologySquamous</v>
      </c>
      <c r="C24" s="11" t="str">
        <f>CancerEpisode!C16</f>
        <v>Histology Squamous</v>
      </c>
      <c r="D24" s="12" t="s">
        <v>1442</v>
      </c>
      <c r="E24" s="11"/>
      <c r="F24" s="64" t="s">
        <v>1407</v>
      </c>
      <c r="G24" s="146" t="s">
        <v>2364</v>
      </c>
      <c r="H24" s="58"/>
      <c r="I24" s="12" t="str">
        <f t="shared" si="7"/>
        <v>* group[=].element[+].code = #CancerEpisode.histologySubGroup.histologySquamous</v>
      </c>
      <c r="J24" s="12" t="str">
        <f t="shared" si="8"/>
        <v>* group[=].element[=].display = ##34#Histology Squamous##34#</v>
      </c>
      <c r="K24" s="12" t="str">
        <f t="shared" si="9"/>
        <v>* group[=].element[=].target.code = #Condition.code</v>
      </c>
      <c r="L24" s="12" t="str">
        <f t="shared" si="10"/>
        <v>* group[=].element[=].target.display = ##34###34#</v>
      </c>
      <c r="M24" s="12" t="str">
        <f t="shared" si="11"/>
        <v>* group[=].element[=].target.equivalence = #relatedto</v>
      </c>
      <c r="N24" s="12" t="str">
        <f t="shared" si="12"/>
        <v>* group[=].element[=].target.comment = ##34#To be checked, linked to the code since the concpet includes both morhphology and topography##34#</v>
      </c>
      <c r="P24" s="11">
        <v>8</v>
      </c>
      <c r="Q24" s="11">
        <f t="shared" si="13"/>
        <v>1</v>
      </c>
      <c r="R24" s="11">
        <f t="shared" si="14"/>
        <v>2</v>
      </c>
      <c r="S24" s="12" t="str" cm="1">
        <f t="array" ref="S24">INDEX('CancerEpisode-ConceptMap-1'!$I$15:$N$125,Q24+1,R24)</f>
        <v>* group[=].element[=].display = ##34#Date of diagnosis (biopsy or surgical piece)##34#</v>
      </c>
    </row>
    <row r="25" spans="1:19" ht="29.5" customHeight="1">
      <c r="A25" s="59"/>
      <c r="B25" s="11" t="str">
        <f>CancerEpisode!B17</f>
        <v>histologySubGroup.histologyAdenocarcinoma</v>
      </c>
      <c r="C25" s="11" t="str">
        <f>CancerEpisode!C17</f>
        <v>Histology Adenocarcinoma</v>
      </c>
      <c r="D25" s="12" t="s">
        <v>1442</v>
      </c>
      <c r="E25" s="11"/>
      <c r="F25" s="64" t="s">
        <v>1407</v>
      </c>
      <c r="G25" s="146" t="s">
        <v>2364</v>
      </c>
      <c r="H25" s="58"/>
      <c r="I25" s="12" t="str">
        <f t="shared" si="7"/>
        <v>* group[=].element[+].code = #CancerEpisode.histologySubGroup.histologyAdenocarcinoma</v>
      </c>
      <c r="J25" s="12" t="str">
        <f t="shared" si="8"/>
        <v>* group[=].element[=].display = ##34#Histology Adenocarcinoma##34#</v>
      </c>
      <c r="K25" s="12" t="str">
        <f t="shared" si="9"/>
        <v>* group[=].element[=].target.code = #Condition.code</v>
      </c>
      <c r="L25" s="12" t="str">
        <f t="shared" si="10"/>
        <v>* group[=].element[=].target.display = ##34###34#</v>
      </c>
      <c r="M25" s="12" t="str">
        <f t="shared" si="11"/>
        <v>* group[=].element[=].target.equivalence = #relatedto</v>
      </c>
      <c r="N25" s="12" t="str">
        <f t="shared" si="12"/>
        <v>* group[=].element[=].target.comment = ##34#To be checked, linked to the code since the concpet includes both morhphology and topography##34#</v>
      </c>
      <c r="P25" s="11">
        <v>9</v>
      </c>
      <c r="Q25" s="11">
        <f t="shared" si="13"/>
        <v>1</v>
      </c>
      <c r="R25" s="11">
        <f t="shared" si="14"/>
        <v>3</v>
      </c>
      <c r="S25" s="12" t="str" cm="1">
        <f t="array" ref="S25">INDEX('CancerEpisode-ConceptMap-1'!$I$15:$N$125,Q25+1,R25)</f>
        <v>* group[=].element[=].target.code = #Condition.extension:assertedDate.valueDateTime</v>
      </c>
    </row>
    <row r="26" spans="1:19" ht="88.5">
      <c r="A26" s="59"/>
      <c r="B26" s="11" t="str">
        <f>CancerEpisode!B18</f>
        <v>histologySubGroup.histologyNeuroendocrine</v>
      </c>
      <c r="C26" s="11" t="str">
        <f>CancerEpisode!C18</f>
        <v>Histology Neuroendocrine</v>
      </c>
      <c r="D26" s="12" t="s">
        <v>1442</v>
      </c>
      <c r="E26" s="11"/>
      <c r="F26" s="64" t="s">
        <v>1407</v>
      </c>
      <c r="G26" s="146" t="s">
        <v>2364</v>
      </c>
      <c r="H26" s="58"/>
      <c r="I26" s="12" t="str">
        <f t="shared" si="7"/>
        <v>* group[=].element[+].code = #CancerEpisode.histologySubGroup.histologyNeuroendocrine</v>
      </c>
      <c r="J26" s="12" t="str">
        <f t="shared" si="8"/>
        <v>* group[=].element[=].display = ##34#Histology Neuroendocrine##34#</v>
      </c>
      <c r="K26" s="12" t="str">
        <f t="shared" si="9"/>
        <v>* group[=].element[=].target.code = #Condition.code</v>
      </c>
      <c r="L26" s="12" t="str">
        <f t="shared" si="10"/>
        <v>* group[=].element[=].target.display = ##34###34#</v>
      </c>
      <c r="M26" s="12" t="str">
        <f t="shared" si="11"/>
        <v>* group[=].element[=].target.equivalence = #relatedto</v>
      </c>
      <c r="N26" s="12" t="str">
        <f t="shared" si="12"/>
        <v>* group[=].element[=].target.comment = ##34#To be checked, linked to the code since the concpet includes both morhphology and topography##34#</v>
      </c>
      <c r="P26" s="11">
        <v>10</v>
      </c>
      <c r="Q26" s="11">
        <f t="shared" si="13"/>
        <v>1</v>
      </c>
      <c r="R26" s="11">
        <f t="shared" si="14"/>
        <v>4</v>
      </c>
      <c r="S26" s="12" t="str" cm="1">
        <f t="array" ref="S26">INDEX('CancerEpisode-ConceptMap-1'!$I$15:$N$125,Q26+1,R26)</f>
        <v>* group[=].element[=].target.display = ##34###34#</v>
      </c>
    </row>
    <row r="27" spans="1:19" ht="88.5">
      <c r="A27" s="59"/>
      <c r="B27" s="11" t="str">
        <f>CancerEpisode!B19</f>
        <v>histologySubGroup.histologyOdontogenicCarcinoma</v>
      </c>
      <c r="C27" s="11" t="str">
        <f>CancerEpisode!C19</f>
        <v>Histology Odontogenic Carcinoma</v>
      </c>
      <c r="D27" s="12" t="s">
        <v>1442</v>
      </c>
      <c r="E27" s="12"/>
      <c r="F27" s="64" t="s">
        <v>1407</v>
      </c>
      <c r="G27" s="146" t="s">
        <v>2364</v>
      </c>
      <c r="H27" s="58"/>
      <c r="I27" s="12" t="str">
        <f t="shared" si="7"/>
        <v>* group[=].element[+].code = #CancerEpisode.histologySubGroup.histologyOdontogenicCarcinoma</v>
      </c>
      <c r="J27" s="12" t="str">
        <f t="shared" si="8"/>
        <v>* group[=].element[=].display = ##34#Histology Odontogenic Carcinoma##34#</v>
      </c>
      <c r="K27" s="12" t="str">
        <f t="shared" si="9"/>
        <v>* group[=].element[=].target.code = #Condition.code</v>
      </c>
      <c r="L27" s="12" t="str">
        <f t="shared" si="10"/>
        <v>* group[=].element[=].target.display = ##34###34#</v>
      </c>
      <c r="M27" s="12" t="str">
        <f t="shared" si="11"/>
        <v>* group[=].element[=].target.equivalence = #relatedto</v>
      </c>
      <c r="N27" s="12" t="str">
        <f t="shared" si="12"/>
        <v>* group[=].element[=].target.comment = ##34#To be checked, linked to the code since the concpet includes both morhphology and topography##34#</v>
      </c>
      <c r="P27" s="11">
        <v>11</v>
      </c>
      <c r="Q27" s="11">
        <f t="shared" si="13"/>
        <v>1</v>
      </c>
      <c r="R27" s="11">
        <f t="shared" si="14"/>
        <v>5</v>
      </c>
      <c r="S27" s="12" t="str" cm="1">
        <f t="array" ref="S27">INDEX('CancerEpisode-ConceptMap-1'!$I$15:$N$125,Q27+1,R27)</f>
        <v>* group[=].element[=].target.equivalence = #relatedto</v>
      </c>
    </row>
    <row r="28" spans="1:19" ht="88.5">
      <c r="A28" s="59"/>
      <c r="B28" s="11" t="str">
        <f>CancerEpisode!B20</f>
        <v>histologySubGroup.histologySNUC</v>
      </c>
      <c r="C28" s="11" t="str">
        <f>CancerEpisode!C20</f>
        <v>Histology Sinonasal undifferentiated carcinoma</v>
      </c>
      <c r="D28" s="12" t="s">
        <v>1442</v>
      </c>
      <c r="E28" s="12"/>
      <c r="F28" s="64" t="s">
        <v>1407</v>
      </c>
      <c r="G28" s="146" t="s">
        <v>2364</v>
      </c>
      <c r="H28" s="58"/>
      <c r="I28" s="12" t="str">
        <f t="shared" si="7"/>
        <v>* group[=].element[+].code = #CancerEpisode.histologySubGroup.histologySNUC</v>
      </c>
      <c r="J28" s="12" t="str">
        <f t="shared" si="8"/>
        <v>* group[=].element[=].display = ##34#Histology Sinonasal undifferentiated carcinoma##34#</v>
      </c>
      <c r="K28" s="12" t="str">
        <f t="shared" si="9"/>
        <v>* group[=].element[=].target.code = #Condition.code</v>
      </c>
      <c r="L28" s="12" t="str">
        <f t="shared" si="10"/>
        <v>* group[=].element[=].target.display = ##34###34#</v>
      </c>
      <c r="M28" s="12" t="str">
        <f t="shared" si="11"/>
        <v>* group[=].element[=].target.equivalence = #relatedto</v>
      </c>
      <c r="N28" s="12" t="str">
        <f t="shared" si="12"/>
        <v>* group[=].element[=].target.comment = ##34#To be checked, linked to the code since the concpet includes both morhphology and topography##34#</v>
      </c>
      <c r="P28" s="11">
        <v>12</v>
      </c>
      <c r="Q28" s="11">
        <f t="shared" si="13"/>
        <v>1</v>
      </c>
      <c r="R28" s="11">
        <f t="shared" si="14"/>
        <v>6</v>
      </c>
      <c r="S28" s="12" t="str" cm="1">
        <f t="array" ref="S28">INDEX('CancerEpisode-ConceptMap-1'!$I$15:$N$125,Q28+1,R28)</f>
        <v>* group[=].element[=].target.comment = ##34#to be checked##34#</v>
      </c>
    </row>
    <row r="29" spans="1:19" ht="88.5">
      <c r="B29" s="11" t="str">
        <f>CancerEpisode!B37</f>
        <v>subsites.nasalCavityAndParanasalSinusesSubsite</v>
      </c>
      <c r="C29" s="11" t="str">
        <f>CancerEpisode!C37</f>
        <v>Nasal cavity and paranasal sinuses subsite</v>
      </c>
      <c r="D29" s="12" t="s">
        <v>1442</v>
      </c>
      <c r="E29" s="12"/>
      <c r="F29" s="64" t="s">
        <v>1407</v>
      </c>
      <c r="G29" s="146" t="s">
        <v>2364</v>
      </c>
      <c r="H29" s="58"/>
      <c r="I29" s="12" t="str">
        <f>"* group[=].element[+].code = #"&amp;$B$14&amp;"."&amp;B29</f>
        <v>* group[=].element[+].code = #CancerEpisode.subsites.nasalCavityAndParanasalSinusesSubsite</v>
      </c>
      <c r="J29" s="12" t="str">
        <f t="shared" si="8"/>
        <v>* group[=].element[=].display = ##34#Nasal cavity and paranasal sinuses subsite##34#</v>
      </c>
      <c r="K29" s="12" t="str">
        <f t="shared" si="9"/>
        <v>* group[=].element[=].target.code = #Condition.code</v>
      </c>
      <c r="L29" s="12" t="str">
        <f t="shared" si="10"/>
        <v>* group[=].element[=].target.display = ##34###34#</v>
      </c>
      <c r="M29" s="12" t="str">
        <f t="shared" si="11"/>
        <v>* group[=].element[=].target.equivalence = #relatedto</v>
      </c>
      <c r="N29" s="12" t="str">
        <f t="shared" si="12"/>
        <v>* group[=].element[=].target.comment = ##34#To be checked, linked to the code since the concpet includes both morhphology and topography##34#</v>
      </c>
      <c r="P29" s="11">
        <v>13</v>
      </c>
      <c r="Q29" s="11">
        <f t="shared" si="13"/>
        <v>2</v>
      </c>
      <c r="R29" s="11">
        <f t="shared" si="14"/>
        <v>1</v>
      </c>
      <c r="S29" s="12" cm="1">
        <f t="array" ref="S29">INDEX('CancerEpisode-ConceptMap-1'!$I$15:$N$125,Q29+1,R29)</f>
        <v>0</v>
      </c>
    </row>
    <row r="30" spans="1:19" ht="88.5">
      <c r="B30" s="11" t="str">
        <f>CancerEpisode!B38</f>
        <v>subsites.nasopharynxSubsite</v>
      </c>
      <c r="C30" s="11" t="str">
        <f>CancerEpisode!C38</f>
        <v>Nasopharynx  subsite</v>
      </c>
      <c r="D30" s="12" t="s">
        <v>1442</v>
      </c>
      <c r="E30" s="12"/>
      <c r="F30" s="64" t="s">
        <v>1407</v>
      </c>
      <c r="G30" s="146" t="s">
        <v>2364</v>
      </c>
      <c r="H30" s="58"/>
      <c r="I30" s="12" t="str">
        <f t="shared" ref="I30:I38" si="15">"* group[=].element[+].code = #"&amp;$B$14&amp;"."&amp;B30</f>
        <v>* group[=].element[+].code = #CancerEpisode.subsites.nasopharynxSubsite</v>
      </c>
      <c r="J30" s="12" t="str">
        <f t="shared" ref="J30:J38" si="16">"* group[=].element[=].display = ##34#"&amp;C30&amp;"##34#"</f>
        <v>* group[=].element[=].display = ##34#Nasopharynx  subsite##34#</v>
      </c>
      <c r="K30" s="12" t="str">
        <f t="shared" ref="K30:K38" si="17">IF(F30="unmatched","//-- unmatched","* group[=].element[=].target.code = #"&amp;$D$14&amp;"."&amp;D30)</f>
        <v>* group[=].element[=].target.code = #Condition.code</v>
      </c>
      <c r="L30" s="12" t="str">
        <f t="shared" ref="L30:L38" si="18">IF(F30="unmatched","//-- unmatched","* group[=].element[=].target.display = ##34#"&amp;E30&amp;"##34#")</f>
        <v>* group[=].element[=].target.display = ##34###34#</v>
      </c>
      <c r="M30" s="12" t="str">
        <f t="shared" ref="M30:M38" si="19">"* group[=].element[=].target.equivalence = #"&amp;F30</f>
        <v>* group[=].element[=].target.equivalence = #relatedto</v>
      </c>
      <c r="N30" s="12" t="str">
        <f t="shared" ref="N30:N38" si="20">IF(G30&lt;&gt;"",CONCATENATE("* group[=].element[=].target.comment = ","##34#",G30,"##34#"),"")</f>
        <v>* group[=].element[=].target.comment = ##34#To be checked, linked to the code since the concpet includes both morhphology and topography##34#</v>
      </c>
      <c r="P30" s="11">
        <v>14</v>
      </c>
      <c r="Q30" s="11">
        <f t="shared" si="13"/>
        <v>2</v>
      </c>
      <c r="R30" s="11">
        <f t="shared" si="14"/>
        <v>2</v>
      </c>
      <c r="S30" s="12" cm="1">
        <f t="array" ref="S30">INDEX('CancerEpisode-ConceptMap-1'!$I$15:$N$125,Q30+1,R30)</f>
        <v>0</v>
      </c>
    </row>
    <row r="31" spans="1:19" ht="88.5">
      <c r="B31" s="11" t="str">
        <f>CancerEpisode!B39</f>
        <v>subsites.hypopharynxSubsite</v>
      </c>
      <c r="C31" s="11" t="str">
        <f>CancerEpisode!C39</f>
        <v>Hypopharynx subsite</v>
      </c>
      <c r="D31" s="12" t="s">
        <v>1442</v>
      </c>
      <c r="E31" s="12"/>
      <c r="F31" s="64" t="s">
        <v>1407</v>
      </c>
      <c r="G31" s="146" t="s">
        <v>2364</v>
      </c>
      <c r="H31" s="58"/>
      <c r="I31" s="12" t="str">
        <f t="shared" si="15"/>
        <v>* group[=].element[+].code = #CancerEpisode.subsites.hypopharynxSubsite</v>
      </c>
      <c r="J31" s="12" t="str">
        <f t="shared" si="16"/>
        <v>* group[=].element[=].display = ##34#Hypopharynx subsite##34#</v>
      </c>
      <c r="K31" s="12" t="str">
        <f t="shared" si="17"/>
        <v>* group[=].element[=].target.code = #Condition.code</v>
      </c>
      <c r="L31" s="12" t="str">
        <f t="shared" si="18"/>
        <v>* group[=].element[=].target.display = ##34###34#</v>
      </c>
      <c r="M31" s="12" t="str">
        <f t="shared" si="19"/>
        <v>* group[=].element[=].target.equivalence = #relatedto</v>
      </c>
      <c r="N31" s="12" t="str">
        <f t="shared" si="20"/>
        <v>* group[=].element[=].target.comment = ##34#To be checked, linked to the code since the concpet includes both morhphology and topography##34#</v>
      </c>
      <c r="P31" s="11">
        <v>15</v>
      </c>
      <c r="Q31" s="11">
        <f t="shared" si="13"/>
        <v>2</v>
      </c>
      <c r="R31" s="11">
        <f t="shared" si="14"/>
        <v>3</v>
      </c>
      <c r="S31" s="12" cm="1">
        <f t="array" ref="S31">INDEX('CancerEpisode-ConceptMap-1'!$I$15:$N$125,Q31+1,R31)</f>
        <v>0</v>
      </c>
    </row>
    <row r="32" spans="1:19" ht="88.5">
      <c r="B32" s="11" t="str">
        <f>CancerEpisode!B40</f>
        <v>subsites.oropharynxSubsite</v>
      </c>
      <c r="C32" s="11" t="str">
        <f>CancerEpisode!C40</f>
        <v>Oropharynx subsite</v>
      </c>
      <c r="D32" s="12" t="s">
        <v>1442</v>
      </c>
      <c r="E32" s="12"/>
      <c r="F32" s="64" t="s">
        <v>1407</v>
      </c>
      <c r="G32" s="146" t="s">
        <v>2364</v>
      </c>
      <c r="H32" s="58"/>
      <c r="I32" s="12" t="str">
        <f t="shared" si="15"/>
        <v>* group[=].element[+].code = #CancerEpisode.subsites.oropharynxSubsite</v>
      </c>
      <c r="J32" s="12" t="str">
        <f t="shared" si="16"/>
        <v>* group[=].element[=].display = ##34#Oropharynx subsite##34#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##34#To be checked, linked to the code since the concpet includes both morhphology and topography##34#</v>
      </c>
      <c r="P32" s="11">
        <v>16</v>
      </c>
      <c r="Q32" s="11">
        <f t="shared" si="13"/>
        <v>2</v>
      </c>
      <c r="R32" s="11">
        <f t="shared" si="14"/>
        <v>4</v>
      </c>
      <c r="S32" s="12" cm="1">
        <f t="array" ref="S32">INDEX('CancerEpisode-ConceptMap-1'!$I$15:$N$125,Q32+1,R32)</f>
        <v>0</v>
      </c>
    </row>
    <row r="33" spans="1:19" ht="88.5">
      <c r="B33" s="11" t="str">
        <f>CancerEpisode!B41</f>
        <v>subsites.larynxSubsite</v>
      </c>
      <c r="C33" s="11" t="str">
        <f>CancerEpisode!C41</f>
        <v>Larynx subsite</v>
      </c>
      <c r="D33" s="12" t="s">
        <v>1442</v>
      </c>
      <c r="E33" s="12"/>
      <c r="F33" s="64" t="s">
        <v>1407</v>
      </c>
      <c r="G33" s="146" t="s">
        <v>2364</v>
      </c>
      <c r="H33" s="58"/>
      <c r="I33" s="12" t="str">
        <f t="shared" si="15"/>
        <v>* group[=].element[+].code = #CancerEpisode.subsites.larynxSubsite</v>
      </c>
      <c r="J33" s="12" t="str">
        <f t="shared" si="16"/>
        <v>* group[=].element[=].display = ##34#Larynx subsite##34#</v>
      </c>
      <c r="K33" s="12" t="str">
        <f t="shared" si="17"/>
        <v>* group[=].element[=].target.code = #Condition.code</v>
      </c>
      <c r="L33" s="12" t="str">
        <f t="shared" si="18"/>
        <v>* group[=].element[=].target.display = ##34###34#</v>
      </c>
      <c r="M33" s="12" t="str">
        <f t="shared" si="19"/>
        <v>* group[=].element[=].target.equivalence = #relatedto</v>
      </c>
      <c r="N33" s="12" t="str">
        <f t="shared" si="20"/>
        <v>* group[=].element[=].target.comment = ##34#To be checked, linked to the code since the concpet includes both morhphology and topography##34#</v>
      </c>
      <c r="P33" s="11">
        <v>17</v>
      </c>
      <c r="Q33" s="11">
        <f t="shared" si="13"/>
        <v>2</v>
      </c>
      <c r="R33" s="11">
        <f t="shared" si="14"/>
        <v>5</v>
      </c>
      <c r="S33" s="12" cm="1">
        <f t="array" ref="S33">INDEX('CancerEpisode-ConceptMap-1'!$I$15:$N$125,Q33+1,R33)</f>
        <v>0</v>
      </c>
    </row>
    <row r="34" spans="1:19" ht="88.5">
      <c r="B34" s="11" t="str">
        <f>CancerEpisode!B42</f>
        <v>subsites.oralCavitySubsite</v>
      </c>
      <c r="C34" s="11" t="str">
        <f>CancerEpisode!C42</f>
        <v>Oral cavity subsite</v>
      </c>
      <c r="D34" s="12" t="s">
        <v>1442</v>
      </c>
      <c r="E34" s="12"/>
      <c r="F34" s="64" t="s">
        <v>1407</v>
      </c>
      <c r="G34" s="146" t="s">
        <v>2364</v>
      </c>
      <c r="H34" s="58"/>
      <c r="I34" s="12" t="str">
        <f t="shared" si="15"/>
        <v>* group[=].element[+].code = #CancerEpisode.subsites.oralCavitySubsite</v>
      </c>
      <c r="J34" s="12" t="str">
        <f t="shared" si="16"/>
        <v>* group[=].element[=].display = ##34#Oral cavity subsite##34#</v>
      </c>
      <c r="K34" s="12" t="str">
        <f t="shared" si="17"/>
        <v>* group[=].element[=].target.code = #Condition.code</v>
      </c>
      <c r="L34" s="12" t="str">
        <f t="shared" si="18"/>
        <v>* group[=].element[=].target.display = ##34###34#</v>
      </c>
      <c r="M34" s="12" t="str">
        <f t="shared" si="19"/>
        <v>* group[=].element[=].target.equivalence = #relatedto</v>
      </c>
      <c r="N34" s="12" t="str">
        <f t="shared" si="20"/>
        <v>* group[=].element[=].target.comment = ##34#To be checked, linked to the code since the concpet includes both morhphology and topography##34#</v>
      </c>
      <c r="P34" s="11">
        <v>18</v>
      </c>
      <c r="Q34" s="11">
        <f t="shared" si="13"/>
        <v>2</v>
      </c>
      <c r="R34" s="11">
        <f t="shared" si="14"/>
        <v>6</v>
      </c>
      <c r="S34" s="12" cm="1">
        <f t="array" ref="S34">INDEX('CancerEpisode-ConceptMap-1'!$I$15:$N$125,Q34+1,R34)</f>
        <v>0</v>
      </c>
    </row>
    <row r="35" spans="1:19" ht="88.5">
      <c r="B35" s="11" t="str">
        <f>CancerEpisode!B43</f>
        <v>subsites.lipSubsite</v>
      </c>
      <c r="C35" s="11" t="str">
        <f>CancerEpisode!C43</f>
        <v>Lip subsite</v>
      </c>
      <c r="D35" s="12" t="s">
        <v>1442</v>
      </c>
      <c r="E35" s="12"/>
      <c r="F35" s="64" t="s">
        <v>1407</v>
      </c>
      <c r="G35" s="146" t="s">
        <v>2364</v>
      </c>
      <c r="H35" s="58"/>
      <c r="I35" s="12" t="str">
        <f t="shared" si="15"/>
        <v>* group[=].element[+].code = #CancerEpisode.subsites.lipSubsite</v>
      </c>
      <c r="J35" s="12" t="str">
        <f t="shared" si="16"/>
        <v>* group[=].element[=].display = ##34#Lip subsite##34#</v>
      </c>
      <c r="K35" s="12" t="str">
        <f t="shared" si="17"/>
        <v>* group[=].element[=].target.code = #Condition.code</v>
      </c>
      <c r="L35" s="12" t="str">
        <f t="shared" si="18"/>
        <v>* group[=].element[=].target.display = ##34###34#</v>
      </c>
      <c r="M35" s="12" t="str">
        <f t="shared" si="19"/>
        <v>* group[=].element[=].target.equivalence = #relatedto</v>
      </c>
      <c r="N35" s="12" t="str">
        <f t="shared" si="20"/>
        <v>* group[=].element[=].target.comment = ##34#To be checked, linked to the code since the concpet includes both morhphology and topography##34#</v>
      </c>
      <c r="P35" s="11">
        <v>19</v>
      </c>
      <c r="Q35" s="11">
        <f t="shared" si="13"/>
        <v>3</v>
      </c>
      <c r="R35" s="11">
        <f t="shared" si="14"/>
        <v>1</v>
      </c>
      <c r="S35" s="12" t="str" cm="1">
        <f t="array" ref="S35">INDEX('CancerEpisode-ConceptMap-1'!$I$15:$N$125,Q35+1,R35)</f>
        <v>* group[=].element[+].code = #CancerEpisode.biopsyDoneBy</v>
      </c>
    </row>
    <row r="36" spans="1:19" ht="103.25">
      <c r="B36" s="11" t="str">
        <f>CancerEpisode!B55</f>
        <v>plasmaticEbvDnaAtBaseline</v>
      </c>
      <c r="C36" s="11" t="str">
        <f>CancerEpisode!C55</f>
        <v>Plasmatic EBV DNA at baseline</v>
      </c>
      <c r="D36" s="125" t="s">
        <v>1863</v>
      </c>
      <c r="E36" s="12"/>
      <c r="F36" s="64" t="s">
        <v>1407</v>
      </c>
      <c r="G36" s="138" t="s">
        <v>1866</v>
      </c>
      <c r="H36" s="58"/>
      <c r="I36" s="12" t="str">
        <f t="shared" si="15"/>
        <v>* group[=].element[+].code = #CancerEpisode.plasmaticEbvDnaAtBaseline</v>
      </c>
      <c r="J36" s="12" t="str">
        <f t="shared" si="16"/>
        <v>* group[=].element[=].display = ##34#Plasmatic EBV DNA at baseline##34#</v>
      </c>
      <c r="K36" s="12" t="str">
        <f t="shared" si="17"/>
        <v>* group[=].element[=].target.code = #Condition.evidence:plasmaticEbvDnaAtBaseline.valueCodeableConcept</v>
      </c>
      <c r="L36" s="12" t="str">
        <f t="shared" si="18"/>
        <v>* group[=].element[=].target.display = ##34###34#</v>
      </c>
      <c r="M36" s="12" t="str">
        <f t="shared" si="19"/>
        <v>* group[=].element[=].target.equivalence = #relatedto</v>
      </c>
      <c r="N36" s="12" t="str">
        <f t="shared" si="20"/>
        <v>* group[=].element[=].target.comment = ##34#Where Observation.code is 43730-1 EBV DNA NAA+probe Qn.
NOTE : code to be changed !##34#</v>
      </c>
      <c r="P36" s="11">
        <v>20</v>
      </c>
      <c r="Q36" s="11">
        <f t="shared" si="13"/>
        <v>3</v>
      </c>
      <c r="R36" s="11">
        <f t="shared" si="14"/>
        <v>2</v>
      </c>
      <c r="S36" s="12" t="str" cm="1">
        <f t="array" ref="S36">INDEX('CancerEpisode-ConceptMap-1'!$I$15:$N$125,Q36+1,R36)</f>
        <v>* group[=].element[=].display = ##34#Biopsy done by##34#</v>
      </c>
    </row>
    <row r="37" spans="1:19" ht="147.5">
      <c r="B37" s="11" t="str">
        <f>CancerEpisode!B56</f>
        <v>hpvStatus</v>
      </c>
      <c r="C37" s="11" t="str">
        <f>CancerEpisode!C56</f>
        <v>HPV status</v>
      </c>
      <c r="D37" s="125" t="s">
        <v>1864</v>
      </c>
      <c r="E37" s="12"/>
      <c r="F37" s="64" t="s">
        <v>1407</v>
      </c>
      <c r="G37" s="138" t="s">
        <v>1867</v>
      </c>
      <c r="H37" s="58"/>
      <c r="I37" s="12" t="str">
        <f t="shared" si="15"/>
        <v>* group[=].element[+].code = #CancerEpisode.hpvStatus</v>
      </c>
      <c r="J37" s="12" t="str">
        <f t="shared" si="16"/>
        <v>* group[=].element[=].display = ##34#HPV status##34#</v>
      </c>
      <c r="K37" s="12" t="str">
        <f t="shared" si="17"/>
        <v>* group[=].element[=].target.code = #Condition.evidence:hpvStatus.valueCodeableConcept</v>
      </c>
      <c r="L37" s="12" t="str">
        <f t="shared" si="18"/>
        <v>* group[=].element[=].target.display = ##34###34#</v>
      </c>
      <c r="M37" s="12" t="str">
        <f t="shared" si="19"/>
        <v>* group[=].element[=].target.equivalence = #relatedto</v>
      </c>
      <c r="N37" s="12" t="str">
        <f t="shared" si="20"/>
        <v>* group[=].element[=].target.comment = ##34#Where Observation.code is 77377-0 HPV 16 and 18 and 31+33+35+39+45+51+52+56+58+59+66+68 DNA (Specimen) [Interp]
NOTE : code to be checked !##34#</v>
      </c>
      <c r="P37" s="11">
        <v>21</v>
      </c>
      <c r="Q37" s="11">
        <f t="shared" si="13"/>
        <v>3</v>
      </c>
      <c r="R37" s="11">
        <f t="shared" si="14"/>
        <v>3</v>
      </c>
      <c r="S37" s="12" t="str" cm="1">
        <f t="array" ref="S37">INDEX('CancerEpisode-ConceptMap-1'!$I$15:$N$125,Q37+1,R37)</f>
        <v>* group[=].element[=].target.code = #Condition.evidence:diagnosisDetails.detail.performer</v>
      </c>
    </row>
    <row r="38" spans="1:19" ht="118">
      <c r="B38" s="11" t="str">
        <f>CancerEpisode!B57</f>
        <v>crpCReactiveProteinTested</v>
      </c>
      <c r="C38" s="11" t="str">
        <f>CancerEpisode!C57</f>
        <v>CRP - C reactive protein tested</v>
      </c>
      <c r="D38" s="125" t="s">
        <v>1865</v>
      </c>
      <c r="E38" s="12"/>
      <c r="F38" s="64" t="s">
        <v>1407</v>
      </c>
      <c r="G38" s="138" t="s">
        <v>1868</v>
      </c>
      <c r="H38" s="58"/>
      <c r="I38" s="12" t="str">
        <f t="shared" si="15"/>
        <v>* group[=].element[+].code = #CancerEpisode.crpCReactiveProteinTested</v>
      </c>
      <c r="J38" s="12" t="str">
        <f t="shared" si="16"/>
        <v>* group[=].element[=].display = ##34#CRP - C reactive protein tested##34#</v>
      </c>
      <c r="K38" s="12" t="str">
        <f t="shared" si="17"/>
        <v>* group[=].element[=].target.code = #Condition.evidence:crpCReactiveProteinTested.valueCodeableConcept</v>
      </c>
      <c r="L38" s="12" t="str">
        <f t="shared" si="18"/>
        <v>* group[=].element[=].target.display = ##34###34#</v>
      </c>
      <c r="M38" s="12" t="str">
        <f t="shared" si="19"/>
        <v>* group[=].element[=].target.equivalence = #relatedto</v>
      </c>
      <c r="N38" s="12" t="str">
        <f t="shared" si="20"/>
        <v>* group[=].element[=].target.comment = ##34#Where Observation.code is 11039-5 C reactive protein [Presence] in Serum or Plasma
NOTE : code to be checked !##34#</v>
      </c>
      <c r="P38" s="11">
        <v>22</v>
      </c>
      <c r="Q38" s="11">
        <f t="shared" si="13"/>
        <v>3</v>
      </c>
      <c r="R38" s="11">
        <f t="shared" si="14"/>
        <v>4</v>
      </c>
      <c r="S38" s="12" t="str" cm="1">
        <f t="array" ref="S38">INDEX('CancerEpisode-ConceptMap-1'!$I$15:$N$125,Q38+1,R38)</f>
        <v>* group[=].element[=].target.display = ##34###34#</v>
      </c>
    </row>
    <row r="39" spans="1:19">
      <c r="B39" s="11"/>
      <c r="C39" s="11"/>
      <c r="D39" s="12"/>
      <c r="E39" s="12"/>
      <c r="F39" s="64"/>
      <c r="G39" s="64"/>
      <c r="H39" s="58"/>
      <c r="K39" s="58"/>
      <c r="L39" s="58"/>
      <c r="M39" s="66"/>
      <c r="N39" s="66"/>
      <c r="P39" s="11">
        <v>23</v>
      </c>
      <c r="Q39" s="11">
        <f t="shared" si="13"/>
        <v>3</v>
      </c>
      <c r="R39" s="11">
        <f t="shared" si="14"/>
        <v>5</v>
      </c>
      <c r="S39" s="12" t="str" cm="1">
        <f t="array" ref="S39">INDEX('CancerEpisode-ConceptMap-1'!$I$15:$N$125,Q39+1,R39)</f>
        <v>* group[=].element[=].target.equivalence = #relatedto</v>
      </c>
    </row>
    <row r="40" spans="1:19" ht="44.25">
      <c r="B40" s="11"/>
      <c r="C40" s="11"/>
      <c r="D40" s="12"/>
      <c r="E40" s="12"/>
      <c r="F40" s="64"/>
      <c r="G40" s="64"/>
      <c r="H40" s="58"/>
      <c r="K40" s="58"/>
      <c r="L40" s="58"/>
      <c r="M40" s="66"/>
      <c r="N40" s="66"/>
      <c r="P40" s="11">
        <v>24</v>
      </c>
      <c r="Q40" s="11">
        <f t="shared" si="13"/>
        <v>3</v>
      </c>
      <c r="R40" s="11">
        <f t="shared" si="14"/>
        <v>6</v>
      </c>
      <c r="S40" s="12" t="str" cm="1">
        <f t="array" ref="S40">INDEX('CancerEpisode-ConceptMap-1'!$I$15:$N$125,Q40+1,R40)</f>
        <v>* group[=].element[=].target.comment = ##34#detail  id ofType Observation and conformsTo http://hl7.eu/fhir/ig/idea4rc/StructureDefinition/Observation-diagnosis-eu-i4rc##34#</v>
      </c>
    </row>
    <row r="41" spans="1:19" s="2" customFormat="1">
      <c r="A41"/>
      <c r="B41" s="11"/>
      <c r="C41" s="11"/>
      <c r="D41" s="12"/>
      <c r="E41" s="12"/>
      <c r="F41" s="64"/>
      <c r="G41" s="58"/>
      <c r="H41" s="58"/>
      <c r="J41"/>
      <c r="K41" s="58"/>
      <c r="L41" s="58"/>
      <c r="M41" s="66"/>
      <c r="N41" s="66"/>
      <c r="P41" s="11">
        <v>25</v>
      </c>
      <c r="Q41" s="11">
        <f t="shared" si="13"/>
        <v>4</v>
      </c>
      <c r="R41" s="11">
        <f t="shared" si="14"/>
        <v>1</v>
      </c>
      <c r="S41" s="12" t="str" cm="1">
        <f t="array" ref="S41">INDEX('CancerEpisode-ConceptMap-1'!$I$15:$N$125,Q41+1,R41)</f>
        <v>* group[=].element[+].code = #CancerEpisode.ageAtDiagnosis</v>
      </c>
    </row>
    <row r="42" spans="1:19" s="2" customFormat="1">
      <c r="A42"/>
      <c r="B42" s="11"/>
      <c r="C42" s="11"/>
      <c r="D42" s="12"/>
      <c r="F42" s="58"/>
      <c r="G42" s="58"/>
      <c r="H42" s="58"/>
      <c r="J42"/>
      <c r="K42" s="58"/>
      <c r="L42" s="58"/>
      <c r="M42" s="66"/>
      <c r="N42" s="66"/>
      <c r="P42" s="11">
        <v>26</v>
      </c>
      <c r="Q42" s="11">
        <f t="shared" si="13"/>
        <v>4</v>
      </c>
      <c r="R42" s="11">
        <f t="shared" si="14"/>
        <v>2</v>
      </c>
      <c r="S42" s="12" t="str" cm="1">
        <f t="array" ref="S42">INDEX('CancerEpisode-ConceptMap-1'!$I$15:$N$125,Q42+1,R42)</f>
        <v>* group[=].element[=].display = ##34#Age at diagnosis##34#</v>
      </c>
    </row>
    <row r="43" spans="1:19" s="2" customFormat="1">
      <c r="A43"/>
      <c r="B43" s="11"/>
      <c r="C43" s="11"/>
      <c r="D43" s="12"/>
      <c r="F43" s="58"/>
      <c r="G43" s="58"/>
      <c r="H43" s="58"/>
      <c r="J43"/>
      <c r="K43" s="58"/>
      <c r="L43" s="58"/>
      <c r="M43" s="66"/>
      <c r="N43" s="66"/>
      <c r="P43" s="11">
        <v>27</v>
      </c>
      <c r="Q43" s="11">
        <f t="shared" si="13"/>
        <v>4</v>
      </c>
      <c r="R43" s="11">
        <f t="shared" si="14"/>
        <v>3</v>
      </c>
      <c r="S43" s="12" t="str" cm="1">
        <f t="array" ref="S43">INDEX('CancerEpisode-ConceptMap-1'!$I$15:$N$125,Q43+1,R43)</f>
        <v>* group[=].element[=].target.code = #Condition.onsetAge</v>
      </c>
    </row>
    <row r="44" spans="1:19" s="2" customFormat="1">
      <c r="A44"/>
      <c r="B44" s="11"/>
      <c r="C44" s="11"/>
      <c r="D44" s="12"/>
      <c r="F44" s="58"/>
      <c r="G44" s="58"/>
      <c r="H44" s="58"/>
      <c r="J44" s="58"/>
      <c r="K44" s="58"/>
      <c r="L44" s="58"/>
      <c r="M44" s="66"/>
      <c r="N44" s="66"/>
      <c r="P44" s="11">
        <v>28</v>
      </c>
      <c r="Q44" s="11">
        <f t="shared" si="13"/>
        <v>4</v>
      </c>
      <c r="R44" s="11">
        <f t="shared" si="14"/>
        <v>4</v>
      </c>
      <c r="S44" s="12" t="str" cm="1">
        <f t="array" ref="S44">INDEX('CancerEpisode-ConceptMap-1'!$I$15:$N$125,Q44+1,R44)</f>
        <v>* group[=].element[=].target.display = ##34###34#</v>
      </c>
    </row>
    <row r="45" spans="1:19" s="2" customFormat="1">
      <c r="A45"/>
      <c r="B45" s="11"/>
      <c r="C45" s="11"/>
      <c r="F45" s="58"/>
      <c r="G45" s="58"/>
      <c r="H45" s="58"/>
      <c r="J45" s="58"/>
      <c r="K45" s="58"/>
      <c r="L45" s="58"/>
      <c r="M45" s="66"/>
      <c r="N45" s="66"/>
      <c r="P45" s="11">
        <v>29</v>
      </c>
      <c r="Q45" s="11">
        <f t="shared" si="13"/>
        <v>4</v>
      </c>
      <c r="R45" s="11">
        <f t="shared" si="14"/>
        <v>5</v>
      </c>
      <c r="S45" s="12" t="str" cm="1">
        <f t="array" ref="S45">INDEX('CancerEpisode-ConceptMap-1'!$I$15:$N$125,Q45+1,R45)</f>
        <v>* group[=].element[=].target.equivalence = #equal</v>
      </c>
    </row>
    <row r="46" spans="1:19" ht="29.5">
      <c r="B46" s="11"/>
      <c r="C46" s="11"/>
      <c r="P46" s="11">
        <v>30</v>
      </c>
      <c r="Q46" s="11">
        <f t="shared" si="13"/>
        <v>4</v>
      </c>
      <c r="R46" s="11">
        <f t="shared" si="14"/>
        <v>6</v>
      </c>
      <c r="S46" s="12" t="str" cm="1">
        <f t="array" ref="S46">INDEX('CancerEpisode-ConceptMap-1'!$I$15:$N$125,Q46+1,R46)</f>
        <v>* group[=].element[=].target.comment = ##34#to be checked if an onSetdatTime or period is needed##34#</v>
      </c>
    </row>
    <row r="47" spans="1:19">
      <c r="B47" s="11"/>
      <c r="C47" s="11"/>
      <c r="P47" s="11">
        <v>31</v>
      </c>
      <c r="Q47" s="11">
        <f t="shared" si="13"/>
        <v>5</v>
      </c>
      <c r="R47" s="11">
        <f t="shared" si="14"/>
        <v>1</v>
      </c>
      <c r="S47" s="12" cm="1">
        <f t="array" ref="S47">INDEX('CancerEpisode-ConceptMap-1'!$I$15:$N$125,Q47+1,R47)</f>
        <v>0</v>
      </c>
    </row>
    <row r="48" spans="1:19">
      <c r="P48" s="11">
        <v>32</v>
      </c>
      <c r="Q48" s="11">
        <f t="shared" si="13"/>
        <v>5</v>
      </c>
      <c r="R48" s="11">
        <f t="shared" si="14"/>
        <v>2</v>
      </c>
      <c r="S48" s="12" cm="1">
        <f t="array" ref="S48">INDEX('CancerEpisode-ConceptMap-1'!$I$15:$N$125,Q48+1,R48)</f>
        <v>0</v>
      </c>
    </row>
    <row r="49" spans="16:19">
      <c r="P49" s="11">
        <v>33</v>
      </c>
      <c r="Q49" s="11">
        <f t="shared" si="13"/>
        <v>5</v>
      </c>
      <c r="R49" s="11">
        <f t="shared" si="14"/>
        <v>3</v>
      </c>
      <c r="S49" s="12" cm="1">
        <f t="array" ref="S49">INDEX('CancerEpisode-ConceptMap-1'!$I$15:$N$125,Q49+1,R49)</f>
        <v>0</v>
      </c>
    </row>
    <row r="50" spans="16:19">
      <c r="P50" s="11">
        <v>34</v>
      </c>
      <c r="Q50" s="11">
        <f t="shared" si="13"/>
        <v>5</v>
      </c>
      <c r="R50" s="11">
        <f t="shared" si="14"/>
        <v>4</v>
      </c>
      <c r="S50" s="12" cm="1">
        <f t="array" ref="S50">INDEX('CancerEpisode-ConceptMap-1'!$I$15:$N$125,Q50+1,R50)</f>
        <v>0</v>
      </c>
    </row>
    <row r="51" spans="16:19">
      <c r="P51" s="11">
        <v>35</v>
      </c>
      <c r="Q51" s="11">
        <f t="shared" si="13"/>
        <v>5</v>
      </c>
      <c r="R51" s="11">
        <f t="shared" si="14"/>
        <v>5</v>
      </c>
      <c r="S51" s="12" cm="1">
        <f t="array" ref="S51">INDEX('CancerEpisode-ConceptMap-1'!$I$15:$N$125,Q51+1,R51)</f>
        <v>0</v>
      </c>
    </row>
    <row r="52" spans="16:19">
      <c r="P52" s="11">
        <v>36</v>
      </c>
      <c r="Q52" s="11">
        <f t="shared" si="13"/>
        <v>5</v>
      </c>
      <c r="R52" s="11">
        <f t="shared" si="14"/>
        <v>6</v>
      </c>
      <c r="S52" s="12" cm="1">
        <f t="array" ref="S52">INDEX('CancerEpisode-ConceptMap-1'!$I$15:$N$125,Q52+1,R52)</f>
        <v>0</v>
      </c>
    </row>
    <row r="53" spans="16:19">
      <c r="P53" s="11">
        <v>37</v>
      </c>
      <c r="Q53" s="11">
        <f t="shared" si="13"/>
        <v>6</v>
      </c>
      <c r="R53" s="11">
        <f t="shared" si="14"/>
        <v>1</v>
      </c>
      <c r="S53" s="12" t="str" cm="1">
        <f t="array" ref="S53">INDEX('CancerEpisode-ConceptMap-1'!$I$15:$N$125,Q53+1,R53)</f>
        <v>* group[=].element[+].code = #CancerEpisode.grading</v>
      </c>
    </row>
    <row r="54" spans="16:19">
      <c r="P54" s="11">
        <v>38</v>
      </c>
      <c r="Q54" s="11">
        <f t="shared" si="13"/>
        <v>6</v>
      </c>
      <c r="R54" s="11">
        <f t="shared" si="14"/>
        <v>2</v>
      </c>
      <c r="S54" s="12" t="str" cm="1">
        <f t="array" ref="S54">INDEX('CancerEpisode-ConceptMap-1'!$I$15:$N$125,Q54+1,R54)</f>
        <v>* group[=].element[=].display = ##34#Grading##34#</v>
      </c>
    </row>
    <row r="55" spans="16:19">
      <c r="P55" s="11">
        <v>39</v>
      </c>
      <c r="Q55" s="11">
        <f t="shared" si="13"/>
        <v>6</v>
      </c>
      <c r="R55" s="11">
        <f t="shared" si="14"/>
        <v>3</v>
      </c>
      <c r="S55" s="12" t="str" cm="1">
        <f t="array" ref="S55">INDEX('CancerEpisode-ConceptMap-1'!$I$15:$N$125,Q55+1,R55)</f>
        <v>* group[=].element[=].target.code = #Condition.stage.summary</v>
      </c>
    </row>
    <row r="56" spans="16:19">
      <c r="P56" s="11">
        <v>40</v>
      </c>
      <c r="Q56" s="11">
        <f t="shared" ref="Q56:Q119" si="21">IF(MOD(P56,$Q$8)=0,P56/$Q$8-1,INT(P56/$Q$8))</f>
        <v>6</v>
      </c>
      <c r="R56" s="11">
        <f t="shared" ref="R56:R119" si="22">IF(MOD(P56,$Q$8)=0,$Q$8,MOD(P56,$Q$8))</f>
        <v>4</v>
      </c>
      <c r="S56" s="12" t="str" cm="1">
        <f t="array" ref="S56">INDEX('CancerEpisode-ConceptMap-1'!$I$15:$N$125,Q56+1,R56)</f>
        <v>* group[=].element[=].target.display = ##34###34#</v>
      </c>
    </row>
    <row r="57" spans="16:19">
      <c r="P57" s="11">
        <v>41</v>
      </c>
      <c r="Q57" s="11">
        <f t="shared" si="21"/>
        <v>6</v>
      </c>
      <c r="R57" s="11">
        <f t="shared" si="22"/>
        <v>5</v>
      </c>
      <c r="S57" s="12" t="str" cm="1">
        <f t="array" ref="S57">INDEX('CancerEpisode-ConceptMap-1'!$I$15:$N$125,Q57+1,R57)</f>
        <v>* group[=].element[=].target.equivalence = #relatedto</v>
      </c>
    </row>
    <row r="58" spans="16:19">
      <c r="P58" s="11">
        <v>42</v>
      </c>
      <c r="Q58" s="11">
        <f t="shared" si="21"/>
        <v>6</v>
      </c>
      <c r="R58" s="11">
        <f t="shared" si="22"/>
        <v>6</v>
      </c>
      <c r="S58" s="12" t="str" cm="1">
        <f t="array" ref="S58">INDEX('CancerEpisode-ConceptMap-1'!$I$15:$N$125,Q58+1,R58)</f>
        <v>* group[=].element[=].target.comment = ##34#to be checked##34#</v>
      </c>
    </row>
    <row r="59" spans="16:19">
      <c r="P59" s="11">
        <v>43</v>
      </c>
      <c r="Q59" s="11">
        <f t="shared" si="21"/>
        <v>7</v>
      </c>
      <c r="R59" s="11">
        <f t="shared" si="22"/>
        <v>1</v>
      </c>
      <c r="S59" s="12" t="e" cm="1">
        <f t="array" ref="S59">INDEX('CancerEpisode-ConceptMap-1'!$I$15:$N$125,Q59+1,R59)</f>
        <v>#REF!</v>
      </c>
    </row>
    <row r="60" spans="16:19">
      <c r="P60" s="11">
        <v>44</v>
      </c>
      <c r="Q60" s="11">
        <f t="shared" si="21"/>
        <v>7</v>
      </c>
      <c r="R60" s="11">
        <f t="shared" si="22"/>
        <v>2</v>
      </c>
      <c r="S60" s="12" t="e" cm="1">
        <f t="array" ref="S60">INDEX('CancerEpisode-ConceptMap-1'!$I$15:$N$125,Q60+1,R60)</f>
        <v>#REF!</v>
      </c>
    </row>
    <row r="61" spans="16:19" ht="29.5">
      <c r="P61" s="11">
        <v>45</v>
      </c>
      <c r="Q61" s="11">
        <f t="shared" si="21"/>
        <v>7</v>
      </c>
      <c r="R61" s="11">
        <f t="shared" si="22"/>
        <v>3</v>
      </c>
      <c r="S61" s="12" t="str" cm="1">
        <f t="array" ref="S61">INDEX('CancerEpisode-ConceptMap-1'!$I$15:$N$125,Q61+1,R61)</f>
        <v>* group[=].element[=].target.code = #Condition.extension:histologyMorphologyBehavior.valueCodeableConcept</v>
      </c>
    </row>
    <row r="62" spans="16:19">
      <c r="P62" s="11">
        <v>46</v>
      </c>
      <c r="Q62" s="11">
        <f t="shared" si="21"/>
        <v>7</v>
      </c>
      <c r="R62" s="11">
        <f t="shared" si="22"/>
        <v>4</v>
      </c>
      <c r="S62" s="12" t="str" cm="1">
        <f t="array" ref="S62">INDEX('CancerEpisode-ConceptMap-1'!$I$15:$N$125,Q62+1,R62)</f>
        <v>* group[=].element[=].target.display = ##34###34#</v>
      </c>
    </row>
    <row r="63" spans="16:19">
      <c r="P63" s="11">
        <v>47</v>
      </c>
      <c r="Q63" s="11">
        <f t="shared" si="21"/>
        <v>7</v>
      </c>
      <c r="R63" s="11">
        <f t="shared" si="22"/>
        <v>5</v>
      </c>
      <c r="S63" s="12" t="str" cm="1">
        <f t="array" ref="S63">INDEX('CancerEpisode-ConceptMap-1'!$I$15:$N$125,Q63+1,R63)</f>
        <v>* group[=].element[=].target.equivalence = #relatedto</v>
      </c>
    </row>
    <row r="64" spans="16:19" ht="29.5">
      <c r="P64" s="11">
        <v>48</v>
      </c>
      <c r="Q64" s="11">
        <f t="shared" si="21"/>
        <v>7</v>
      </c>
      <c r="R64" s="11">
        <f t="shared" si="22"/>
        <v>6</v>
      </c>
      <c r="S64" s="12" t="str" cm="1">
        <f t="array" ref="S64">INDEX('CancerEpisode-ConceptMap-1'!$I$15:$N$125,Q64+1,R64)</f>
        <v>* group[=].element[=].target.comment = ##34#to be checked. How to manage this with the other subgroups. To be seen if a multiconding approach is sufficient##34#</v>
      </c>
    </row>
    <row r="65" spans="16:19">
      <c r="P65" s="11">
        <v>49</v>
      </c>
      <c r="Q65" s="11">
        <f t="shared" si="21"/>
        <v>8</v>
      </c>
      <c r="R65" s="11">
        <f t="shared" si="22"/>
        <v>1</v>
      </c>
      <c r="S65" s="12" t="str" cm="1">
        <f t="array" ref="S65">INDEX('CancerEpisode-ConceptMap-1'!$I$15:$N$125,Q65+1,R65)</f>
        <v>* group[=].element[+].code = #CancerEpisode.histologySubGroup</v>
      </c>
    </row>
    <row r="66" spans="16:19">
      <c r="P66" s="11">
        <v>50</v>
      </c>
      <c r="Q66" s="11">
        <f t="shared" si="21"/>
        <v>8</v>
      </c>
      <c r="R66" s="11">
        <f t="shared" si="22"/>
        <v>2</v>
      </c>
      <c r="S66" s="12" t="str" cm="1">
        <f t="array" ref="S66">INDEX('CancerEpisode-ConceptMap-1'!$I$15:$N$125,Q66+1,R66)</f>
        <v>* group[=].element[=].display = ##34#Histology Subgroups##34#</v>
      </c>
    </row>
    <row r="67" spans="16:19">
      <c r="P67" s="11">
        <v>51</v>
      </c>
      <c r="Q67" s="11">
        <f t="shared" si="21"/>
        <v>8</v>
      </c>
      <c r="R67" s="11">
        <f t="shared" si="22"/>
        <v>3</v>
      </c>
      <c r="S67" s="12" t="str" cm="1">
        <f t="array" ref="S67">INDEX('CancerEpisode-ConceptMap-1'!$I$15:$N$125,Q67+1,R67)</f>
        <v>* group[=].element[=].target.code = #Condition.code</v>
      </c>
    </row>
    <row r="68" spans="16:19">
      <c r="P68" s="11">
        <v>52</v>
      </c>
      <c r="Q68" s="11">
        <f t="shared" si="21"/>
        <v>8</v>
      </c>
      <c r="R68" s="11">
        <f t="shared" si="22"/>
        <v>4</v>
      </c>
      <c r="S68" s="12" t="str" cm="1">
        <f t="array" ref="S68">INDEX('CancerEpisode-ConceptMap-1'!$I$15:$N$125,Q68+1,R68)</f>
        <v>* group[=].element[=].target.display = ##34###34#</v>
      </c>
    </row>
    <row r="69" spans="16:19">
      <c r="P69" s="11">
        <v>53</v>
      </c>
      <c r="Q69" s="11">
        <f t="shared" si="21"/>
        <v>8</v>
      </c>
      <c r="R69" s="11">
        <f t="shared" si="22"/>
        <v>5</v>
      </c>
      <c r="S69" s="12" t="str" cm="1">
        <f t="array" ref="S69">INDEX('CancerEpisode-ConceptMap-1'!$I$15:$N$125,Q69+1,R69)</f>
        <v>* group[=].element[=].target.equivalence = #relatedto</v>
      </c>
    </row>
    <row r="70" spans="16:19" ht="29.5">
      <c r="P70" s="11">
        <v>54</v>
      </c>
      <c r="Q70" s="11">
        <f t="shared" si="21"/>
        <v>8</v>
      </c>
      <c r="R70" s="11">
        <f t="shared" si="22"/>
        <v>6</v>
      </c>
      <c r="S70" s="12" t="str" cm="1">
        <f t="array" ref="S70">INDEX('CancerEpisode-ConceptMap-1'!$I$15:$N$125,Q70+1,R70)</f>
        <v>* group[=].element[=].target.comment = ##34#To be checked, linked to the code since the concpet includes both morhphology and topography##34#</v>
      </c>
    </row>
    <row r="71" spans="16:19">
      <c r="P71" s="11">
        <v>55</v>
      </c>
      <c r="Q71" s="11">
        <f t="shared" si="21"/>
        <v>9</v>
      </c>
      <c r="R71" s="11">
        <f t="shared" si="22"/>
        <v>1</v>
      </c>
      <c r="S71" s="12" t="str" cm="1">
        <f t="array" ref="S71">INDEX('CancerEpisode-ConceptMap-1'!$I$15:$N$125,Q71+1,R71)</f>
        <v>* group[=].element[+].code = #CancerEpisode.histologySubGroup.histologySquamous</v>
      </c>
    </row>
    <row r="72" spans="16:19">
      <c r="P72" s="11">
        <v>56</v>
      </c>
      <c r="Q72" s="11">
        <f t="shared" si="21"/>
        <v>9</v>
      </c>
      <c r="R72" s="11">
        <f t="shared" si="22"/>
        <v>2</v>
      </c>
      <c r="S72" s="12" t="str" cm="1">
        <f t="array" ref="S72">INDEX('CancerEpisode-ConceptMap-1'!$I$15:$N$125,Q72+1,R72)</f>
        <v>* group[=].element[=].display = ##34#Histology Squamous##34#</v>
      </c>
    </row>
    <row r="73" spans="16:19">
      <c r="P73" s="11">
        <v>57</v>
      </c>
      <c r="Q73" s="11">
        <f t="shared" si="21"/>
        <v>9</v>
      </c>
      <c r="R73" s="11">
        <f t="shared" si="22"/>
        <v>3</v>
      </c>
      <c r="S73" s="12" t="str" cm="1">
        <f t="array" ref="S73">INDEX('CancerEpisode-ConceptMap-1'!$I$15:$N$125,Q73+1,R73)</f>
        <v>* group[=].element[=].target.code = #Condition.code</v>
      </c>
    </row>
    <row r="74" spans="16:19">
      <c r="P74" s="11">
        <v>58</v>
      </c>
      <c r="Q74" s="11">
        <f t="shared" si="21"/>
        <v>9</v>
      </c>
      <c r="R74" s="11">
        <f t="shared" si="22"/>
        <v>4</v>
      </c>
      <c r="S74" s="12" t="str" cm="1">
        <f t="array" ref="S74">INDEX('CancerEpisode-ConceptMap-1'!$I$15:$N$125,Q74+1,R74)</f>
        <v>* group[=].element[=].target.display = ##34###34#</v>
      </c>
    </row>
    <row r="75" spans="16:19">
      <c r="P75" s="11">
        <v>59</v>
      </c>
      <c r="Q75" s="11">
        <f t="shared" si="21"/>
        <v>9</v>
      </c>
      <c r="R75" s="11">
        <f t="shared" si="22"/>
        <v>5</v>
      </c>
      <c r="S75" s="12" t="str" cm="1">
        <f t="array" ref="S75">INDEX('CancerEpisode-ConceptMap-1'!$I$15:$N$125,Q75+1,R75)</f>
        <v>* group[=].element[=].target.equivalence = #relatedto</v>
      </c>
    </row>
    <row r="76" spans="16:19" ht="29.5">
      <c r="P76" s="11">
        <v>60</v>
      </c>
      <c r="Q76" s="11">
        <f t="shared" si="21"/>
        <v>9</v>
      </c>
      <c r="R76" s="11">
        <f t="shared" si="22"/>
        <v>6</v>
      </c>
      <c r="S76" s="12" t="str" cm="1">
        <f t="array" ref="S76">INDEX('CancerEpisode-ConceptMap-1'!$I$15:$N$125,Q76+1,R76)</f>
        <v>* group[=].element[=].target.comment = ##34#To be checked, linked to the code since the concpet includes both morhphology and topography##34#</v>
      </c>
    </row>
    <row r="77" spans="16:19" ht="29.5">
      <c r="P77" s="11">
        <v>61</v>
      </c>
      <c r="Q77" s="11">
        <f t="shared" si="21"/>
        <v>10</v>
      </c>
      <c r="R77" s="11">
        <f t="shared" si="22"/>
        <v>1</v>
      </c>
      <c r="S77" s="12" t="str" cm="1">
        <f t="array" ref="S77">INDEX('CancerEpisode-ConceptMap-1'!$I$15:$N$125,Q77+1,R77)</f>
        <v>* group[=].element[+].code = #CancerEpisode.histologySubGroup.histologyAdenocarcinoma</v>
      </c>
    </row>
    <row r="78" spans="16:19">
      <c r="P78" s="11">
        <v>62</v>
      </c>
      <c r="Q78" s="11">
        <f t="shared" si="21"/>
        <v>10</v>
      </c>
      <c r="R78" s="11">
        <f t="shared" si="22"/>
        <v>2</v>
      </c>
      <c r="S78" s="12" t="str" cm="1">
        <f t="array" ref="S78">INDEX('CancerEpisode-ConceptMap-1'!$I$15:$N$125,Q78+1,R78)</f>
        <v>* group[=].element[=].display = ##34#Histology Adenocarcinoma##34#</v>
      </c>
    </row>
    <row r="79" spans="16:19">
      <c r="P79" s="11">
        <v>63</v>
      </c>
      <c r="Q79" s="11">
        <f t="shared" si="21"/>
        <v>10</v>
      </c>
      <c r="R79" s="11">
        <f t="shared" si="22"/>
        <v>3</v>
      </c>
      <c r="S79" s="12" t="str" cm="1">
        <f t="array" ref="S79">INDEX('CancerEpisode-ConceptMap-1'!$I$15:$N$125,Q79+1,R79)</f>
        <v>* group[=].element[=].target.code = #Condition.code</v>
      </c>
    </row>
    <row r="80" spans="16:19">
      <c r="P80" s="11">
        <v>64</v>
      </c>
      <c r="Q80" s="11">
        <f t="shared" si="21"/>
        <v>10</v>
      </c>
      <c r="R80" s="11">
        <f t="shared" si="22"/>
        <v>4</v>
      </c>
      <c r="S80" s="12" t="str" cm="1">
        <f t="array" ref="S80">INDEX('CancerEpisode-ConceptMap-1'!$I$15:$N$125,Q80+1,R80)</f>
        <v>* group[=].element[=].target.display = ##34###34#</v>
      </c>
    </row>
    <row r="81" spans="16:19">
      <c r="P81" s="11">
        <v>65</v>
      </c>
      <c r="Q81" s="11">
        <f t="shared" si="21"/>
        <v>10</v>
      </c>
      <c r="R81" s="11">
        <f t="shared" si="22"/>
        <v>5</v>
      </c>
      <c r="S81" s="12" t="str" cm="1">
        <f t="array" ref="S81">INDEX('CancerEpisode-ConceptMap-1'!$I$15:$N$125,Q81+1,R81)</f>
        <v>* group[=].element[=].target.equivalence = #relatedto</v>
      </c>
    </row>
    <row r="82" spans="16:19" ht="29.5">
      <c r="P82" s="11">
        <v>66</v>
      </c>
      <c r="Q82" s="11">
        <f t="shared" si="21"/>
        <v>10</v>
      </c>
      <c r="R82" s="11">
        <f t="shared" si="22"/>
        <v>6</v>
      </c>
      <c r="S82" s="12" t="str" cm="1">
        <f t="array" ref="S82">INDEX('CancerEpisode-ConceptMap-1'!$I$15:$N$125,Q82+1,R82)</f>
        <v>* group[=].element[=].target.comment = ##34#To be checked, linked to the code since the concpet includes both morhphology and topography##34#</v>
      </c>
    </row>
    <row r="83" spans="16:19" ht="29.5">
      <c r="P83" s="11">
        <v>67</v>
      </c>
      <c r="Q83" s="11">
        <f t="shared" si="21"/>
        <v>11</v>
      </c>
      <c r="R83" s="11">
        <f t="shared" si="22"/>
        <v>1</v>
      </c>
      <c r="S83" s="12" t="str" cm="1">
        <f t="array" ref="S83">INDEX('CancerEpisode-ConceptMap-1'!$I$15:$N$125,Q83+1,R83)</f>
        <v>* group[=].element[+].code = #CancerEpisode.histologySubGroup.histologyNeuroendocrine</v>
      </c>
    </row>
    <row r="84" spans="16:19">
      <c r="P84" s="11">
        <v>68</v>
      </c>
      <c r="Q84" s="11">
        <f t="shared" si="21"/>
        <v>11</v>
      </c>
      <c r="R84" s="11">
        <f t="shared" si="22"/>
        <v>2</v>
      </c>
      <c r="S84" s="12" t="str" cm="1">
        <f t="array" ref="S84">INDEX('CancerEpisode-ConceptMap-1'!$I$15:$N$125,Q84+1,R84)</f>
        <v>* group[=].element[=].display = ##34#Histology Neuroendocrine##34#</v>
      </c>
    </row>
    <row r="85" spans="16:19">
      <c r="P85" s="11">
        <v>69</v>
      </c>
      <c r="Q85" s="11">
        <f t="shared" si="21"/>
        <v>11</v>
      </c>
      <c r="R85" s="11">
        <f t="shared" si="22"/>
        <v>3</v>
      </c>
      <c r="S85" s="12" t="str" cm="1">
        <f t="array" ref="S85">INDEX('CancerEpisode-ConceptMap-1'!$I$15:$N$125,Q85+1,R85)</f>
        <v>* group[=].element[=].target.code = #Condition.code</v>
      </c>
    </row>
    <row r="86" spans="16:19">
      <c r="P86" s="11">
        <v>70</v>
      </c>
      <c r="Q86" s="11">
        <f t="shared" si="21"/>
        <v>11</v>
      </c>
      <c r="R86" s="11">
        <f t="shared" si="22"/>
        <v>4</v>
      </c>
      <c r="S86" s="12" t="str" cm="1">
        <f t="array" ref="S86">INDEX('CancerEpisode-ConceptMap-1'!$I$15:$N$125,Q86+1,R86)</f>
        <v>* group[=].element[=].target.display = ##34###34#</v>
      </c>
    </row>
    <row r="87" spans="16:19">
      <c r="P87" s="11">
        <v>71</v>
      </c>
      <c r="Q87" s="11">
        <f t="shared" si="21"/>
        <v>11</v>
      </c>
      <c r="R87" s="11">
        <f t="shared" si="22"/>
        <v>5</v>
      </c>
      <c r="S87" s="12" t="str" cm="1">
        <f t="array" ref="S87">INDEX('CancerEpisode-ConceptMap-1'!$I$15:$N$125,Q87+1,R87)</f>
        <v>* group[=].element[=].target.equivalence = #relatedto</v>
      </c>
    </row>
    <row r="88" spans="16:19" ht="29.5">
      <c r="P88" s="11">
        <v>72</v>
      </c>
      <c r="Q88" s="11">
        <f t="shared" si="21"/>
        <v>11</v>
      </c>
      <c r="R88" s="11">
        <f t="shared" si="22"/>
        <v>6</v>
      </c>
      <c r="S88" s="12" t="str" cm="1">
        <f t="array" ref="S88">INDEX('CancerEpisode-ConceptMap-1'!$I$15:$N$125,Q88+1,R88)</f>
        <v>* group[=].element[=].target.comment = ##34#To be checked, linked to the code since the concpet includes both morhphology and topography##34#</v>
      </c>
    </row>
    <row r="89" spans="16:19" ht="29.5">
      <c r="P89" s="11">
        <v>73</v>
      </c>
      <c r="Q89" s="11">
        <f t="shared" si="21"/>
        <v>12</v>
      </c>
      <c r="R89" s="11">
        <f t="shared" si="22"/>
        <v>1</v>
      </c>
      <c r="S89" s="12" t="str" cm="1">
        <f t="array" ref="S89">INDEX('CancerEpisode-ConceptMap-1'!$I$15:$N$125,Q89+1,R89)</f>
        <v>* group[=].element[+].code = #CancerEpisode.histologySubGroup.histologyOdontogenicCarcinoma</v>
      </c>
    </row>
    <row r="90" spans="16:19">
      <c r="P90" s="11">
        <v>74</v>
      </c>
      <c r="Q90" s="11">
        <f t="shared" si="21"/>
        <v>12</v>
      </c>
      <c r="R90" s="11">
        <f t="shared" si="22"/>
        <v>2</v>
      </c>
      <c r="S90" s="12" t="str" cm="1">
        <f t="array" ref="S90">INDEX('CancerEpisode-ConceptMap-1'!$I$15:$N$125,Q90+1,R90)</f>
        <v>* group[=].element[=].display = ##34#Histology Odontogenic Carcinoma##34#</v>
      </c>
    </row>
    <row r="91" spans="16:19">
      <c r="P91" s="11">
        <v>75</v>
      </c>
      <c r="Q91" s="11">
        <f t="shared" si="21"/>
        <v>12</v>
      </c>
      <c r="R91" s="11">
        <f t="shared" si="22"/>
        <v>3</v>
      </c>
      <c r="S91" s="12" t="str" cm="1">
        <f t="array" ref="S91">INDEX('CancerEpisode-ConceptMap-1'!$I$15:$N$125,Q91+1,R91)</f>
        <v>* group[=].element[=].target.code = #Condition.code</v>
      </c>
    </row>
    <row r="92" spans="16:19">
      <c r="P92" s="11">
        <v>76</v>
      </c>
      <c r="Q92" s="11">
        <f t="shared" si="21"/>
        <v>12</v>
      </c>
      <c r="R92" s="11">
        <f t="shared" si="22"/>
        <v>4</v>
      </c>
      <c r="S92" s="12" t="str" cm="1">
        <f t="array" ref="S92">INDEX('CancerEpisode-ConceptMap-1'!$I$15:$N$125,Q92+1,R92)</f>
        <v>* group[=].element[=].target.display = ##34###34#</v>
      </c>
    </row>
    <row r="93" spans="16:19">
      <c r="P93" s="11">
        <v>77</v>
      </c>
      <c r="Q93" s="11">
        <f t="shared" si="21"/>
        <v>12</v>
      </c>
      <c r="R93" s="11">
        <f t="shared" si="22"/>
        <v>5</v>
      </c>
      <c r="S93" s="12" t="str" cm="1">
        <f t="array" ref="S93">INDEX('CancerEpisode-ConceptMap-1'!$I$15:$N$125,Q93+1,R93)</f>
        <v>* group[=].element[=].target.equivalence = #relatedto</v>
      </c>
    </row>
    <row r="94" spans="16:19" ht="29.5">
      <c r="P94" s="11">
        <v>78</v>
      </c>
      <c r="Q94" s="11">
        <f t="shared" si="21"/>
        <v>12</v>
      </c>
      <c r="R94" s="11">
        <f t="shared" si="22"/>
        <v>6</v>
      </c>
      <c r="S94" s="12" t="str" cm="1">
        <f t="array" ref="S94">INDEX('CancerEpisode-ConceptMap-1'!$I$15:$N$125,Q94+1,R94)</f>
        <v>* group[=].element[=].target.comment = ##34#To be checked, linked to the code since the concpet includes both morhphology and topography##34#</v>
      </c>
    </row>
    <row r="95" spans="16:19">
      <c r="P95" s="11">
        <v>79</v>
      </c>
      <c r="Q95" s="11">
        <f t="shared" si="21"/>
        <v>13</v>
      </c>
      <c r="R95" s="11">
        <f t="shared" si="22"/>
        <v>1</v>
      </c>
      <c r="S95" s="12" t="str" cm="1">
        <f t="array" ref="S95">INDEX('CancerEpisode-ConceptMap-1'!$I$15:$N$125,Q95+1,R95)</f>
        <v>* group[=].element[+].code = #CancerEpisode.histologySubGroup.histologySNUC</v>
      </c>
    </row>
    <row r="96" spans="16:19" ht="29.5">
      <c r="P96" s="11">
        <v>80</v>
      </c>
      <c r="Q96" s="11">
        <f t="shared" si="21"/>
        <v>13</v>
      </c>
      <c r="R96" s="11">
        <f t="shared" si="22"/>
        <v>2</v>
      </c>
      <c r="S96" s="12" t="str" cm="1">
        <f t="array" ref="S96">INDEX('CancerEpisode-ConceptMap-1'!$I$15:$N$125,Q96+1,R96)</f>
        <v>* group[=].element[=].display = ##34#Histology Sinonasal undifferentiated carcinoma##34#</v>
      </c>
    </row>
    <row r="97" spans="16:19">
      <c r="P97" s="11">
        <v>81</v>
      </c>
      <c r="Q97" s="11">
        <f t="shared" si="21"/>
        <v>13</v>
      </c>
      <c r="R97" s="11">
        <f t="shared" si="22"/>
        <v>3</v>
      </c>
      <c r="S97" s="12" t="str" cm="1">
        <f t="array" ref="S97">INDEX('CancerEpisode-ConceptMap-1'!$I$15:$N$125,Q97+1,R97)</f>
        <v>* group[=].element[=].target.code = #Condition.code</v>
      </c>
    </row>
    <row r="98" spans="16:19">
      <c r="P98" s="11">
        <v>82</v>
      </c>
      <c r="Q98" s="11">
        <f t="shared" si="21"/>
        <v>13</v>
      </c>
      <c r="R98" s="11">
        <f t="shared" si="22"/>
        <v>4</v>
      </c>
      <c r="S98" s="12" t="str" cm="1">
        <f t="array" ref="S98">INDEX('CancerEpisode-ConceptMap-1'!$I$15:$N$125,Q98+1,R98)</f>
        <v>* group[=].element[=].target.display = ##34###34#</v>
      </c>
    </row>
    <row r="99" spans="16:19">
      <c r="P99" s="11">
        <v>83</v>
      </c>
      <c r="Q99" s="11">
        <f t="shared" si="21"/>
        <v>13</v>
      </c>
      <c r="R99" s="11">
        <f t="shared" si="22"/>
        <v>5</v>
      </c>
      <c r="S99" s="12" t="str" cm="1">
        <f t="array" ref="S99">INDEX('CancerEpisode-ConceptMap-1'!$I$15:$N$125,Q99+1,R99)</f>
        <v>* group[=].element[=].target.equivalence = #relatedto</v>
      </c>
    </row>
    <row r="100" spans="16:19" ht="29.5">
      <c r="P100" s="11">
        <v>84</v>
      </c>
      <c r="Q100" s="11">
        <f t="shared" si="21"/>
        <v>13</v>
      </c>
      <c r="R100" s="11">
        <f t="shared" si="22"/>
        <v>6</v>
      </c>
      <c r="S100" s="12" t="str" cm="1">
        <f t="array" ref="S100">INDEX('CancerEpisode-ConceptMap-1'!$I$15:$N$125,Q100+1,R100)</f>
        <v>* group[=].element[=].target.comment = ##34#To be checked, linked to the code since the concpet includes both morhphology and topography##34#</v>
      </c>
    </row>
    <row r="101" spans="16:19" ht="29.5">
      <c r="P101" s="11">
        <v>85</v>
      </c>
      <c r="Q101" s="11">
        <f t="shared" si="21"/>
        <v>14</v>
      </c>
      <c r="R101" s="11">
        <f t="shared" si="22"/>
        <v>1</v>
      </c>
      <c r="S101" s="12" t="str" cm="1">
        <f t="array" ref="S101">INDEX('CancerEpisode-ConceptMap-1'!$I$15:$N$125,Q101+1,R101)</f>
        <v>* group[=].element[+].code = #CancerEpisode.subsites.nasalCavityAndParanasalSinusesSubsite</v>
      </c>
    </row>
    <row r="102" spans="16:19" ht="29.5">
      <c r="P102" s="11">
        <v>86</v>
      </c>
      <c r="Q102" s="11">
        <f t="shared" si="21"/>
        <v>14</v>
      </c>
      <c r="R102" s="11">
        <f t="shared" si="22"/>
        <v>2</v>
      </c>
      <c r="S102" s="12" t="str" cm="1">
        <f t="array" ref="S102">INDEX('CancerEpisode-ConceptMap-1'!$I$15:$N$125,Q102+1,R102)</f>
        <v>* group[=].element[=].display = ##34#Nasal cavity and paranasal sinuses subsite##34#</v>
      </c>
    </row>
    <row r="103" spans="16:19">
      <c r="P103" s="11">
        <v>87</v>
      </c>
      <c r="Q103" s="11">
        <f t="shared" si="21"/>
        <v>14</v>
      </c>
      <c r="R103" s="11">
        <f t="shared" si="22"/>
        <v>3</v>
      </c>
      <c r="S103" s="12" t="str" cm="1">
        <f t="array" ref="S103">INDEX('CancerEpisode-ConceptMap-1'!$I$15:$N$125,Q103+1,R103)</f>
        <v>* group[=].element[=].target.code = #Condition.code</v>
      </c>
    </row>
    <row r="104" spans="16:19">
      <c r="P104" s="11">
        <v>88</v>
      </c>
      <c r="Q104" s="11">
        <f t="shared" si="21"/>
        <v>14</v>
      </c>
      <c r="R104" s="11">
        <f t="shared" si="22"/>
        <v>4</v>
      </c>
      <c r="S104" s="12" t="str" cm="1">
        <f t="array" ref="S104">INDEX('CancerEpisode-ConceptMap-1'!$I$15:$N$125,Q104+1,R104)</f>
        <v>* group[=].element[=].target.display = ##34###34#</v>
      </c>
    </row>
    <row r="105" spans="16:19">
      <c r="P105" s="11">
        <v>89</v>
      </c>
      <c r="Q105" s="11">
        <f t="shared" si="21"/>
        <v>14</v>
      </c>
      <c r="R105" s="11">
        <f t="shared" si="22"/>
        <v>5</v>
      </c>
      <c r="S105" s="12" t="str" cm="1">
        <f t="array" ref="S105">INDEX('CancerEpisode-ConceptMap-1'!$I$15:$N$125,Q105+1,R105)</f>
        <v>* group[=].element[=].target.equivalence = #relatedto</v>
      </c>
    </row>
    <row r="106" spans="16:19" ht="29.5">
      <c r="P106" s="11">
        <v>90</v>
      </c>
      <c r="Q106" s="11">
        <f t="shared" si="21"/>
        <v>14</v>
      </c>
      <c r="R106" s="11">
        <f t="shared" si="22"/>
        <v>6</v>
      </c>
      <c r="S106" s="12" t="str" cm="1">
        <f t="array" ref="S106">INDEX('CancerEpisode-ConceptMap-1'!$I$15:$N$125,Q106+1,R106)</f>
        <v>* group[=].element[=].target.comment = ##34#To be checked, linked to the code since the concpet includes both morhphology and topography##34#</v>
      </c>
    </row>
    <row r="107" spans="16:19">
      <c r="P107" s="11">
        <v>91</v>
      </c>
      <c r="Q107" s="11">
        <f t="shared" si="21"/>
        <v>15</v>
      </c>
      <c r="R107" s="11">
        <f t="shared" si="22"/>
        <v>1</v>
      </c>
      <c r="S107" s="12" t="str" cm="1">
        <f t="array" ref="S107">INDEX('CancerEpisode-ConceptMap-1'!$I$15:$N$125,Q107+1,R107)</f>
        <v>* group[=].element[+].code = #CancerEpisode.subsites.nasopharynxSubsite</v>
      </c>
    </row>
    <row r="108" spans="16:19">
      <c r="P108" s="11">
        <v>92</v>
      </c>
      <c r="Q108" s="11">
        <f t="shared" si="21"/>
        <v>15</v>
      </c>
      <c r="R108" s="11">
        <f t="shared" si="22"/>
        <v>2</v>
      </c>
      <c r="S108" s="12" t="str" cm="1">
        <f t="array" ref="S108">INDEX('CancerEpisode-ConceptMap-1'!$I$15:$N$125,Q108+1,R108)</f>
        <v>* group[=].element[=].display = ##34#Nasopharynx  subsite##34#</v>
      </c>
    </row>
    <row r="109" spans="16:19">
      <c r="P109" s="11">
        <v>93</v>
      </c>
      <c r="Q109" s="11">
        <f t="shared" si="21"/>
        <v>15</v>
      </c>
      <c r="R109" s="11">
        <f t="shared" si="22"/>
        <v>3</v>
      </c>
      <c r="S109" s="12" t="str" cm="1">
        <f t="array" ref="S109">INDEX('CancerEpisode-ConceptMap-1'!$I$15:$N$125,Q109+1,R109)</f>
        <v>* group[=].element[=].target.code = #Condition.code</v>
      </c>
    </row>
    <row r="110" spans="16:19">
      <c r="P110" s="11">
        <v>94</v>
      </c>
      <c r="Q110" s="11">
        <f t="shared" si="21"/>
        <v>15</v>
      </c>
      <c r="R110" s="11">
        <f t="shared" si="22"/>
        <v>4</v>
      </c>
      <c r="S110" s="12" t="str" cm="1">
        <f t="array" ref="S110">INDEX('CancerEpisode-ConceptMap-1'!$I$15:$N$125,Q110+1,R110)</f>
        <v>* group[=].element[=].target.display = ##34###34#</v>
      </c>
    </row>
    <row r="111" spans="16:19">
      <c r="P111" s="11">
        <v>95</v>
      </c>
      <c r="Q111" s="11">
        <f t="shared" si="21"/>
        <v>15</v>
      </c>
      <c r="R111" s="11">
        <f t="shared" si="22"/>
        <v>5</v>
      </c>
      <c r="S111" s="12" t="str" cm="1">
        <f t="array" ref="S111">INDEX('CancerEpisode-ConceptMap-1'!$I$15:$N$125,Q111+1,R111)</f>
        <v>* group[=].element[=].target.equivalence = #relatedto</v>
      </c>
    </row>
    <row r="112" spans="16:19" ht="29.5">
      <c r="P112" s="11">
        <v>96</v>
      </c>
      <c r="Q112" s="11">
        <f t="shared" si="21"/>
        <v>15</v>
      </c>
      <c r="R112" s="11">
        <f t="shared" si="22"/>
        <v>6</v>
      </c>
      <c r="S112" s="12" t="str" cm="1">
        <f t="array" ref="S112">INDEX('CancerEpisode-ConceptMap-1'!$I$15:$N$125,Q112+1,R112)</f>
        <v>* group[=].element[=].target.comment = ##34#To be checked, linked to the code since the concpet includes both morhphology and topography##34#</v>
      </c>
    </row>
    <row r="113" spans="16:19">
      <c r="P113" s="11">
        <v>97</v>
      </c>
      <c r="Q113" s="11">
        <f t="shared" si="21"/>
        <v>16</v>
      </c>
      <c r="R113" s="11">
        <f t="shared" si="22"/>
        <v>1</v>
      </c>
      <c r="S113" s="12" t="str" cm="1">
        <f t="array" ref="S113">INDEX('CancerEpisode-ConceptMap-1'!$I$15:$N$125,Q113+1,R113)</f>
        <v>* group[=].element[+].code = #CancerEpisode.subsites.hypopharynxSubsite</v>
      </c>
    </row>
    <row r="114" spans="16:19">
      <c r="P114" s="11">
        <v>98</v>
      </c>
      <c r="Q114" s="11">
        <f t="shared" si="21"/>
        <v>16</v>
      </c>
      <c r="R114" s="11">
        <f t="shared" si="22"/>
        <v>2</v>
      </c>
      <c r="S114" s="12" t="str" cm="1">
        <f t="array" ref="S114">INDEX('CancerEpisode-ConceptMap-1'!$I$15:$N$125,Q114+1,R114)</f>
        <v>* group[=].element[=].display = ##34#Hypopharynx subsite##34#</v>
      </c>
    </row>
    <row r="115" spans="16:19">
      <c r="P115" s="11">
        <v>99</v>
      </c>
      <c r="Q115" s="11">
        <f t="shared" si="21"/>
        <v>16</v>
      </c>
      <c r="R115" s="11">
        <f t="shared" si="22"/>
        <v>3</v>
      </c>
      <c r="S115" s="12" t="str" cm="1">
        <f t="array" ref="S115">INDEX('CancerEpisode-ConceptMap-1'!$I$15:$N$125,Q115+1,R115)</f>
        <v>* group[=].element[=].target.code = #Condition.code</v>
      </c>
    </row>
    <row r="116" spans="16:19">
      <c r="P116" s="11">
        <v>100</v>
      </c>
      <c r="Q116" s="11">
        <f t="shared" si="21"/>
        <v>16</v>
      </c>
      <c r="R116" s="11">
        <f t="shared" si="22"/>
        <v>4</v>
      </c>
      <c r="S116" s="12" t="str" cm="1">
        <f t="array" ref="S116">INDEX('CancerEpisode-ConceptMap-1'!$I$15:$N$125,Q116+1,R116)</f>
        <v>* group[=].element[=].target.display = ##34###34#</v>
      </c>
    </row>
    <row r="117" spans="16:19">
      <c r="P117" s="11">
        <v>101</v>
      </c>
      <c r="Q117" s="11">
        <f t="shared" si="21"/>
        <v>16</v>
      </c>
      <c r="R117" s="11">
        <f t="shared" si="22"/>
        <v>5</v>
      </c>
      <c r="S117" s="12" t="str" cm="1">
        <f t="array" ref="S117">INDEX('CancerEpisode-ConceptMap-1'!$I$15:$N$125,Q117+1,R117)</f>
        <v>* group[=].element[=].target.equivalence = #relatedto</v>
      </c>
    </row>
    <row r="118" spans="16:19" ht="29.5">
      <c r="P118" s="11">
        <v>102</v>
      </c>
      <c r="Q118" s="11">
        <f t="shared" si="21"/>
        <v>16</v>
      </c>
      <c r="R118" s="11">
        <f t="shared" si="22"/>
        <v>6</v>
      </c>
      <c r="S118" s="12" t="str" cm="1">
        <f t="array" ref="S118">INDEX('CancerEpisode-ConceptMap-1'!$I$15:$N$125,Q118+1,R118)</f>
        <v>* group[=].element[=].target.comment = ##34#To be checked, linked to the code since the concpet includes both morhphology and topography##34#</v>
      </c>
    </row>
    <row r="119" spans="16:19">
      <c r="P119" s="11">
        <v>103</v>
      </c>
      <c r="Q119" s="11">
        <f t="shared" si="21"/>
        <v>17</v>
      </c>
      <c r="R119" s="11">
        <f t="shared" si="22"/>
        <v>1</v>
      </c>
      <c r="S119" s="12" t="str" cm="1">
        <f t="array" ref="S119">INDEX('CancerEpisode-ConceptMap-1'!$I$15:$N$125,Q119+1,R119)</f>
        <v>* group[=].element[+].code = #CancerEpisode.subsites.oropharynxSubsite</v>
      </c>
    </row>
    <row r="120" spans="16:19">
      <c r="P120" s="11">
        <v>104</v>
      </c>
      <c r="Q120" s="11">
        <f t="shared" ref="Q120:Q150" si="23">IF(MOD(P120,$Q$8)=0,P120/$Q$8-1,INT(P120/$Q$8))</f>
        <v>17</v>
      </c>
      <c r="R120" s="11">
        <f t="shared" ref="R120:R150" si="24">IF(MOD(P120,$Q$8)=0,$Q$8,MOD(P120,$Q$8))</f>
        <v>2</v>
      </c>
      <c r="S120" s="12" t="str" cm="1">
        <f t="array" ref="S120">INDEX('CancerEpisode-ConceptMap-1'!$I$15:$N$125,Q120+1,R120)</f>
        <v>* group[=].element[=].display = ##34#Oropharynx subsite##34#</v>
      </c>
    </row>
    <row r="121" spans="16:19">
      <c r="P121" s="11">
        <v>105</v>
      </c>
      <c r="Q121" s="11">
        <f t="shared" si="23"/>
        <v>17</v>
      </c>
      <c r="R121" s="11">
        <f t="shared" si="24"/>
        <v>3</v>
      </c>
      <c r="S121" s="12" t="str" cm="1">
        <f t="array" ref="S121">INDEX('CancerEpisode-ConceptMap-1'!$I$15:$N$125,Q121+1,R121)</f>
        <v>* group[=].element[=].target.code = #Condition.code</v>
      </c>
    </row>
    <row r="122" spans="16:19">
      <c r="P122" s="11">
        <v>106</v>
      </c>
      <c r="Q122" s="11">
        <f t="shared" si="23"/>
        <v>17</v>
      </c>
      <c r="R122" s="11">
        <f t="shared" si="24"/>
        <v>4</v>
      </c>
      <c r="S122" s="12" t="str" cm="1">
        <f t="array" ref="S122">INDEX('CancerEpisode-ConceptMap-1'!$I$15:$N$125,Q122+1,R122)</f>
        <v>* group[=].element[=].target.display = ##34###34#</v>
      </c>
    </row>
    <row r="123" spans="16:19">
      <c r="P123" s="11">
        <v>107</v>
      </c>
      <c r="Q123" s="11">
        <f t="shared" si="23"/>
        <v>17</v>
      </c>
      <c r="R123" s="11">
        <f t="shared" si="24"/>
        <v>5</v>
      </c>
      <c r="S123" s="12" t="str" cm="1">
        <f t="array" ref="S123">INDEX('CancerEpisode-ConceptMap-1'!$I$15:$N$125,Q123+1,R123)</f>
        <v>* group[=].element[=].target.equivalence = #relatedto</v>
      </c>
    </row>
    <row r="124" spans="16:19" ht="29.5">
      <c r="P124" s="11">
        <v>108</v>
      </c>
      <c r="Q124" s="11">
        <f t="shared" si="23"/>
        <v>17</v>
      </c>
      <c r="R124" s="11">
        <f t="shared" si="24"/>
        <v>6</v>
      </c>
      <c r="S124" s="12" t="str" cm="1">
        <f t="array" ref="S124">INDEX('CancerEpisode-ConceptMap-1'!$I$15:$N$125,Q124+1,R124)</f>
        <v>* group[=].element[=].target.comment = ##34#To be checked, linked to the code since the concpet includes both morhphology and topography##34#</v>
      </c>
    </row>
    <row r="125" spans="16:19">
      <c r="P125" s="11">
        <v>109</v>
      </c>
      <c r="Q125" s="11">
        <f t="shared" si="23"/>
        <v>18</v>
      </c>
      <c r="R125" s="11">
        <f t="shared" si="24"/>
        <v>1</v>
      </c>
      <c r="S125" s="12" t="str" cm="1">
        <f t="array" ref="S125">INDEX('CancerEpisode-ConceptMap-1'!$I$15:$N$125,Q125+1,R125)</f>
        <v>* group[=].element[+].code = #CancerEpisode.subsites.larynxSubsite</v>
      </c>
    </row>
    <row r="126" spans="16:19">
      <c r="P126" s="11">
        <v>110</v>
      </c>
      <c r="Q126" s="11">
        <f t="shared" si="23"/>
        <v>18</v>
      </c>
      <c r="R126" s="11">
        <f t="shared" si="24"/>
        <v>2</v>
      </c>
      <c r="S126" s="12" t="str" cm="1">
        <f t="array" ref="S126">INDEX('CancerEpisode-ConceptMap-1'!$I$15:$N$125,Q126+1,R126)</f>
        <v>* group[=].element[=].display = ##34#Larynx subsite##34#</v>
      </c>
    </row>
    <row r="127" spans="16:19">
      <c r="P127" s="11">
        <v>111</v>
      </c>
      <c r="Q127" s="11">
        <f t="shared" si="23"/>
        <v>18</v>
      </c>
      <c r="R127" s="11">
        <f t="shared" si="24"/>
        <v>3</v>
      </c>
      <c r="S127" s="12" t="str" cm="1">
        <f t="array" ref="S127">INDEX('CancerEpisode-ConceptMap-1'!$I$15:$N$125,Q127+1,R127)</f>
        <v>* group[=].element[=].target.code = #Condition.code</v>
      </c>
    </row>
    <row r="128" spans="16:19">
      <c r="P128" s="11">
        <v>112</v>
      </c>
      <c r="Q128" s="11">
        <f t="shared" si="23"/>
        <v>18</v>
      </c>
      <c r="R128" s="11">
        <f t="shared" si="24"/>
        <v>4</v>
      </c>
      <c r="S128" s="12" t="str" cm="1">
        <f t="array" ref="S128">INDEX('CancerEpisode-ConceptMap-1'!$I$15:$N$125,Q128+1,R128)</f>
        <v>* group[=].element[=].target.display = ##34###34#</v>
      </c>
    </row>
    <row r="129" spans="16:19">
      <c r="P129" s="11">
        <v>113</v>
      </c>
      <c r="Q129" s="11">
        <f t="shared" si="23"/>
        <v>18</v>
      </c>
      <c r="R129" s="11">
        <f t="shared" si="24"/>
        <v>5</v>
      </c>
      <c r="S129" s="12" t="str" cm="1">
        <f t="array" ref="S129">INDEX('CancerEpisode-ConceptMap-1'!$I$15:$N$125,Q129+1,R129)</f>
        <v>* group[=].element[=].target.equivalence = #relatedto</v>
      </c>
    </row>
    <row r="130" spans="16:19" ht="29.5">
      <c r="P130" s="11">
        <v>114</v>
      </c>
      <c r="Q130" s="11">
        <f t="shared" si="23"/>
        <v>18</v>
      </c>
      <c r="R130" s="11">
        <f t="shared" si="24"/>
        <v>6</v>
      </c>
      <c r="S130" s="12" t="str" cm="1">
        <f t="array" ref="S130">INDEX('CancerEpisode-ConceptMap-1'!$I$15:$N$125,Q130+1,R130)</f>
        <v>* group[=].element[=].target.comment = ##34#To be checked, linked to the code since the concpet includes both morhphology and topography##34#</v>
      </c>
    </row>
    <row r="131" spans="16:19">
      <c r="P131" s="11">
        <v>115</v>
      </c>
      <c r="Q131" s="11">
        <f t="shared" si="23"/>
        <v>19</v>
      </c>
      <c r="R131" s="11">
        <f t="shared" si="24"/>
        <v>1</v>
      </c>
      <c r="S131" s="12" t="str" cm="1">
        <f t="array" ref="S131">INDEX('CancerEpisode-ConceptMap-1'!$I$15:$N$125,Q131+1,R131)</f>
        <v>* group[=].element[+].code = #CancerEpisode.subsites.oralCavitySubsite</v>
      </c>
    </row>
    <row r="132" spans="16:19">
      <c r="P132" s="11">
        <v>116</v>
      </c>
      <c r="Q132" s="11">
        <f t="shared" si="23"/>
        <v>19</v>
      </c>
      <c r="R132" s="11">
        <f t="shared" si="24"/>
        <v>2</v>
      </c>
      <c r="S132" s="12" t="str" cm="1">
        <f t="array" ref="S132">INDEX('CancerEpisode-ConceptMap-1'!$I$15:$N$125,Q132+1,R132)</f>
        <v>* group[=].element[=].display = ##34#Oral cavity subsite##34#</v>
      </c>
    </row>
    <row r="133" spans="16:19">
      <c r="P133" s="11">
        <v>117</v>
      </c>
      <c r="Q133" s="11">
        <f t="shared" si="23"/>
        <v>19</v>
      </c>
      <c r="R133" s="11">
        <f t="shared" si="24"/>
        <v>3</v>
      </c>
      <c r="S133" s="12" t="str" cm="1">
        <f t="array" ref="S133">INDEX('CancerEpisode-ConceptMap-1'!$I$15:$N$125,Q133+1,R133)</f>
        <v>* group[=].element[=].target.code = #Condition.code</v>
      </c>
    </row>
    <row r="134" spans="16:19">
      <c r="P134" s="11">
        <v>118</v>
      </c>
      <c r="Q134" s="11">
        <f t="shared" si="23"/>
        <v>19</v>
      </c>
      <c r="R134" s="11">
        <f t="shared" si="24"/>
        <v>4</v>
      </c>
      <c r="S134" s="12" t="str" cm="1">
        <f t="array" ref="S134">INDEX('CancerEpisode-ConceptMap-1'!$I$15:$N$125,Q134+1,R134)</f>
        <v>* group[=].element[=].target.display = ##34###34#</v>
      </c>
    </row>
    <row r="135" spans="16:19">
      <c r="P135" s="11">
        <v>119</v>
      </c>
      <c r="Q135" s="11">
        <f t="shared" si="23"/>
        <v>19</v>
      </c>
      <c r="R135" s="11">
        <f t="shared" si="24"/>
        <v>5</v>
      </c>
      <c r="S135" s="12" t="str" cm="1">
        <f t="array" ref="S135">INDEX('CancerEpisode-ConceptMap-1'!$I$15:$N$125,Q135+1,R135)</f>
        <v>* group[=].element[=].target.equivalence = #relatedto</v>
      </c>
    </row>
    <row r="136" spans="16:19" ht="29.5">
      <c r="P136" s="11">
        <v>120</v>
      </c>
      <c r="Q136" s="11">
        <f t="shared" si="23"/>
        <v>19</v>
      </c>
      <c r="R136" s="11">
        <f t="shared" si="24"/>
        <v>6</v>
      </c>
      <c r="S136" s="12" t="str" cm="1">
        <f t="array" ref="S136">INDEX('CancerEpisode-ConceptMap-1'!$I$15:$N$125,Q136+1,R136)</f>
        <v>* group[=].element[=].target.comment = ##34#To be checked, linked to the code since the concpet includes both morhphology and topography##34#</v>
      </c>
    </row>
    <row r="137" spans="16:19">
      <c r="P137" s="11">
        <v>121</v>
      </c>
      <c r="Q137" s="11">
        <f t="shared" si="23"/>
        <v>20</v>
      </c>
      <c r="R137" s="11">
        <f t="shared" si="24"/>
        <v>1</v>
      </c>
      <c r="S137" s="12" t="str" cm="1">
        <f t="array" ref="S137">INDEX('CancerEpisode-ConceptMap-1'!$I$15:$N$125,Q137+1,R137)</f>
        <v>* group[=].element[+].code = #CancerEpisode.subsites.lipSubsite</v>
      </c>
    </row>
    <row r="138" spans="16:19">
      <c r="P138" s="11">
        <v>122</v>
      </c>
      <c r="Q138" s="11">
        <f t="shared" si="23"/>
        <v>20</v>
      </c>
      <c r="R138" s="11">
        <f t="shared" si="24"/>
        <v>2</v>
      </c>
      <c r="S138" s="12" t="str" cm="1">
        <f t="array" ref="S138">INDEX('CancerEpisode-ConceptMap-1'!$I$15:$N$125,Q138+1,R138)</f>
        <v>* group[=].element[=].display = ##34#Lip subsite##34#</v>
      </c>
    </row>
    <row r="139" spans="16:19">
      <c r="P139" s="11">
        <v>123</v>
      </c>
      <c r="Q139" s="11">
        <f t="shared" si="23"/>
        <v>20</v>
      </c>
      <c r="R139" s="11">
        <f t="shared" si="24"/>
        <v>3</v>
      </c>
      <c r="S139" s="12" t="str" cm="1">
        <f t="array" ref="S139">INDEX('CancerEpisode-ConceptMap-1'!$I$15:$N$125,Q139+1,R139)</f>
        <v>* group[=].element[=].target.code = #Condition.code</v>
      </c>
    </row>
    <row r="140" spans="16:19">
      <c r="P140" s="11">
        <v>124</v>
      </c>
      <c r="Q140" s="11">
        <f t="shared" si="23"/>
        <v>20</v>
      </c>
      <c r="R140" s="11">
        <f t="shared" si="24"/>
        <v>4</v>
      </c>
      <c r="S140" s="12" t="str" cm="1">
        <f t="array" ref="S140">INDEX('CancerEpisode-ConceptMap-1'!$I$15:$N$125,Q140+1,R140)</f>
        <v>* group[=].element[=].target.display = ##34###34#</v>
      </c>
    </row>
    <row r="141" spans="16:19">
      <c r="P141" s="11">
        <v>125</v>
      </c>
      <c r="Q141" s="11">
        <f t="shared" si="23"/>
        <v>20</v>
      </c>
      <c r="R141" s="11">
        <f t="shared" si="24"/>
        <v>5</v>
      </c>
      <c r="S141" s="12" t="str" cm="1">
        <f t="array" ref="S141">INDEX('CancerEpisode-ConceptMap-1'!$I$15:$N$125,Q141+1,R141)</f>
        <v>* group[=].element[=].target.equivalence = #relatedto</v>
      </c>
    </row>
    <row r="142" spans="16:19" ht="29.5">
      <c r="P142" s="11">
        <v>126</v>
      </c>
      <c r="Q142" s="11">
        <f t="shared" si="23"/>
        <v>20</v>
      </c>
      <c r="R142" s="11">
        <f t="shared" si="24"/>
        <v>6</v>
      </c>
      <c r="S142" s="12" t="str" cm="1">
        <f t="array" ref="S142">INDEX('CancerEpisode-ConceptMap-1'!$I$15:$N$125,Q142+1,R142)</f>
        <v>* group[=].element[=].target.comment = ##34#To be checked, linked to the code since the concpet includes both morhphology and topography##34#</v>
      </c>
    </row>
    <row r="143" spans="16:19">
      <c r="P143" s="11">
        <v>127</v>
      </c>
      <c r="Q143" s="11">
        <f t="shared" si="23"/>
        <v>21</v>
      </c>
      <c r="R143" s="11">
        <f t="shared" si="24"/>
        <v>1</v>
      </c>
      <c r="S143" s="12" t="str" cm="1">
        <f t="array" ref="S143">INDEX('CancerEpisode-ConceptMap-1'!$I$15:$N$125,Q143+1,R143)</f>
        <v>* group[=].element[+].code = #CancerEpisode.plasmaticEbvDnaAtBaseline</v>
      </c>
    </row>
    <row r="144" spans="16:19">
      <c r="P144" s="11">
        <v>128</v>
      </c>
      <c r="Q144" s="11">
        <f t="shared" si="23"/>
        <v>21</v>
      </c>
      <c r="R144" s="11">
        <f t="shared" si="24"/>
        <v>2</v>
      </c>
      <c r="S144" s="12" t="str" cm="1">
        <f t="array" ref="S144">INDEX('CancerEpisode-ConceptMap-1'!$I$15:$N$125,Q144+1,R144)</f>
        <v>* group[=].element[=].display = ##34#Plasmatic EBV DNA at baseline##34#</v>
      </c>
    </row>
    <row r="145" spans="16:19" ht="29.5">
      <c r="P145" s="11">
        <v>129</v>
      </c>
      <c r="Q145" s="11">
        <f t="shared" si="23"/>
        <v>21</v>
      </c>
      <c r="R145" s="11">
        <f t="shared" si="24"/>
        <v>3</v>
      </c>
      <c r="S145" s="12" t="str" cm="1">
        <f t="array" ref="S145">INDEX('CancerEpisode-ConceptMap-1'!$I$15:$N$125,Q145+1,R145)</f>
        <v>* group[=].element[=].target.code = #Condition.evidence:plasmaticEbvDnaAtBaseline.valueCodeableConcept</v>
      </c>
    </row>
    <row r="146" spans="16:19">
      <c r="P146" s="11">
        <v>130</v>
      </c>
      <c r="Q146" s="11">
        <f t="shared" si="23"/>
        <v>21</v>
      </c>
      <c r="R146" s="11">
        <f t="shared" si="24"/>
        <v>4</v>
      </c>
      <c r="S146" s="12" t="str" cm="1">
        <f t="array" ref="S146">INDEX('CancerEpisode-ConceptMap-1'!$I$15:$N$125,Q146+1,R146)</f>
        <v>* group[=].element[=].target.display = ##34###34#</v>
      </c>
    </row>
    <row r="147" spans="16:19">
      <c r="P147" s="11">
        <v>131</v>
      </c>
      <c r="Q147" s="11">
        <f t="shared" si="23"/>
        <v>21</v>
      </c>
      <c r="R147" s="11">
        <f t="shared" si="24"/>
        <v>5</v>
      </c>
      <c r="S147" s="12" t="str" cm="1">
        <f t="array" ref="S147">INDEX('CancerEpisode-ConceptMap-1'!$I$15:$N$125,Q147+1,R147)</f>
        <v>* group[=].element[=].target.equivalence = #relatedto</v>
      </c>
    </row>
    <row r="148" spans="16:19" ht="44.25">
      <c r="P148" s="11">
        <v>132</v>
      </c>
      <c r="Q148" s="11">
        <f t="shared" si="23"/>
        <v>21</v>
      </c>
      <c r="R148" s="11">
        <f t="shared" si="24"/>
        <v>6</v>
      </c>
      <c r="S148" s="12" t="str" cm="1">
        <f t="array" ref="S148">INDEX('CancerEpisode-ConceptMap-1'!$I$15:$N$125,Q148+1,R148)</f>
        <v>* group[=].element[=].target.comment = ##34#Where Observation.code is 43730-1 EBV DNA NAA+probe Qn.
NOTE : code to be changed !##34#</v>
      </c>
    </row>
    <row r="149" spans="16:19">
      <c r="P149" s="11">
        <v>133</v>
      </c>
      <c r="Q149" s="11">
        <f t="shared" si="23"/>
        <v>22</v>
      </c>
      <c r="R149" s="11">
        <f t="shared" si="24"/>
        <v>1</v>
      </c>
      <c r="S149" s="12"/>
    </row>
    <row r="150" spans="16:19">
      <c r="P150" s="11">
        <v>134</v>
      </c>
      <c r="Q150" s="11">
        <f t="shared" si="23"/>
        <v>22</v>
      </c>
      <c r="R150" s="11">
        <f t="shared" si="24"/>
        <v>2</v>
      </c>
      <c r="S150" s="12"/>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legacyDrawing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topLeftCell="A10"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1835</v>
      </c>
      <c r="D3" s="62" t="s">
        <v>1769</v>
      </c>
      <c r="E3" s="117" t="str">
        <f>$C$1&amp;CancerEpisode!B5</f>
        <v>http://hl7.eu/fhir/ig/idea4rc/StructureDefinition/CancerEpisode</v>
      </c>
    </row>
    <row r="4" spans="1:19">
      <c r="B4" s="62" t="s">
        <v>16</v>
      </c>
      <c r="C4" s="28" t="s">
        <v>1778</v>
      </c>
      <c r="D4" s="62" t="s">
        <v>1770</v>
      </c>
      <c r="E4" s="117" t="s">
        <v>1799</v>
      </c>
    </row>
    <row r="5" spans="1:19">
      <c r="B5" s="62" t="s">
        <v>10</v>
      </c>
      <c r="C5" s="7" t="s">
        <v>1779</v>
      </c>
      <c r="D5" s="62"/>
      <c r="E5" s="7"/>
    </row>
    <row r="6" spans="1:19">
      <c r="B6" s="62" t="s">
        <v>18</v>
      </c>
      <c r="C6" s="56"/>
      <c r="D6" s="62" t="s">
        <v>1771</v>
      </c>
      <c r="E6" s="184" t="str">
        <f>E3</f>
        <v>http://hl7.eu/fhir/ig/idea4rc/StructureDefinition/CancerEpisode</v>
      </c>
      <c r="F6" s="185"/>
      <c r="G6" s="185"/>
    </row>
    <row r="7" spans="1:19">
      <c r="B7" s="62" t="s">
        <v>15</v>
      </c>
      <c r="C7" s="118"/>
      <c r="D7" s="62" t="s">
        <v>1772</v>
      </c>
      <c r="E7" s="184" t="s">
        <v>1858</v>
      </c>
      <c r="F7" s="185"/>
      <c r="G7" s="185"/>
    </row>
    <row r="8" spans="1:19" ht="44.25">
      <c r="B8" s="62" t="s">
        <v>1773</v>
      </c>
      <c r="C8" s="119" t="s">
        <v>1779</v>
      </c>
      <c r="D8" s="62"/>
      <c r="E8" s="7"/>
      <c r="I8" s="12" t="s">
        <v>1402</v>
      </c>
      <c r="J8" s="12" t="s">
        <v>1403</v>
      </c>
      <c r="K8" s="12" t="s">
        <v>1404</v>
      </c>
      <c r="L8" s="12" t="s">
        <v>1405</v>
      </c>
      <c r="M8" s="11" t="s">
        <v>1406</v>
      </c>
      <c r="P8" s="49" t="s">
        <v>1441</v>
      </c>
      <c r="Q8" s="49">
        <v>6</v>
      </c>
    </row>
    <row r="9" spans="1:19" ht="29.5">
      <c r="B9" s="62" t="s">
        <v>1774</v>
      </c>
      <c r="C9" s="12" t="s">
        <v>1780</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1797</v>
      </c>
      <c r="E14" s="6"/>
      <c r="F14" s="64"/>
      <c r="G14" s="64"/>
      <c r="I14" s="12"/>
      <c r="J14" s="11"/>
      <c r="K14" s="11"/>
      <c r="L14" s="11"/>
      <c r="M14" s="63"/>
      <c r="N14" s="66"/>
    </row>
    <row r="15" spans="1:19" ht="44.25">
      <c r="A15" s="59"/>
      <c r="B15" s="11" t="str">
        <f>CancerEpisode!B8</f>
        <v>patient</v>
      </c>
      <c r="C15" s="11" t="str">
        <f>CancerEpisode!C8</f>
        <v>Patient</v>
      </c>
      <c r="D15" s="12" t="s">
        <v>1798</v>
      </c>
      <c r="E15" s="57"/>
      <c r="F15" s="64" t="s">
        <v>1429</v>
      </c>
      <c r="G15" s="64"/>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c r="A16" s="59"/>
      <c r="B16" s="11" t="str">
        <f>CancerEpisode!B9</f>
        <v>dateOfDiagnosis</v>
      </c>
      <c r="C16" s="11" t="str">
        <f>CancerEpisode!C9</f>
        <v>Date of diagnosis (biopsy or surgical piece)</v>
      </c>
      <c r="D16" s="12" t="s">
        <v>1860</v>
      </c>
      <c r="E16" s="11"/>
      <c r="F16" s="64" t="s">
        <v>1429</v>
      </c>
      <c r="G16" s="64"/>
      <c r="H16" s="58"/>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c r="A17" s="59"/>
      <c r="B17" s="11" t="str">
        <f>CancerEpisode!B11</f>
        <v>biopsyDoneBy</v>
      </c>
      <c r="C17" s="11" t="str">
        <f>CancerEpisode!C11</f>
        <v>Biopsy done by</v>
      </c>
      <c r="D17" s="12" t="s">
        <v>1859</v>
      </c>
      <c r="E17" s="11"/>
      <c r="F17" s="64" t="s">
        <v>1407</v>
      </c>
      <c r="G17" s="64"/>
      <c r="H17" s="58"/>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c r="A18" s="59"/>
      <c r="B18" s="11"/>
      <c r="C18" s="11"/>
      <c r="D18" s="12"/>
      <c r="E18" s="11"/>
      <c r="F18" s="64"/>
      <c r="G18" s="123"/>
      <c r="H18" s="58"/>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c r="A19" s="59"/>
      <c r="B19" s="11"/>
      <c r="C19" s="11"/>
      <c r="D19" s="12"/>
      <c r="E19" s="11"/>
      <c r="F19" s="64"/>
      <c r="G19" s="123"/>
      <c r="H19" s="58"/>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c r="A20" s="59"/>
      <c r="B20" s="11"/>
      <c r="C20" s="11"/>
      <c r="D20" s="12"/>
      <c r="E20" s="11"/>
      <c r="F20" s="64"/>
      <c r="G20" s="123"/>
      <c r="H20" s="58"/>
      <c r="I20" s="12"/>
      <c r="J20" s="12"/>
      <c r="K20" s="12"/>
      <c r="L20" s="12"/>
      <c r="M20" s="12"/>
      <c r="N20" s="12"/>
      <c r="P20" s="11">
        <v>6</v>
      </c>
      <c r="Q20" s="11">
        <f t="shared" si="5"/>
        <v>0</v>
      </c>
      <c r="R20" s="11">
        <f t="shared" si="6"/>
        <v>6</v>
      </c>
      <c r="S20" s="12" t="str" cm="1">
        <f t="array" ref="S20">INDEX('CancerEpisode-ConceptMap-2'!$I$15:$N$123,Q20+1,R20)</f>
        <v/>
      </c>
    </row>
    <row r="21" spans="1:19">
      <c r="A21" s="59"/>
      <c r="B21" s="11"/>
      <c r="C21" s="11"/>
      <c r="D21" s="12"/>
      <c r="E21" s="11"/>
      <c r="F21" s="64"/>
      <c r="G21" s="123"/>
      <c r="H21" s="58"/>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c r="A22" s="59"/>
      <c r="B22" s="11"/>
      <c r="C22" s="11"/>
      <c r="D22" s="12"/>
      <c r="E22" s="11"/>
      <c r="F22" s="64"/>
      <c r="G22" s="123"/>
      <c r="H22" s="58"/>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c r="A23" s="59"/>
      <c r="B23" s="11"/>
      <c r="C23" s="11"/>
      <c r="D23" s="12"/>
      <c r="E23" s="11"/>
      <c r="F23" s="64"/>
      <c r="G23" s="123"/>
      <c r="H23" s="58"/>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c r="A24" s="59"/>
      <c r="B24" s="11"/>
      <c r="C24" s="11"/>
      <c r="D24" s="12"/>
      <c r="E24" s="11"/>
      <c r="F24" s="64"/>
      <c r="G24" s="123"/>
      <c r="H24" s="58"/>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c r="A25" s="59"/>
      <c r="B25" s="11"/>
      <c r="C25" s="11"/>
      <c r="D25" s="12"/>
      <c r="E25" s="11"/>
      <c r="F25" s="64"/>
      <c r="G25" s="123"/>
      <c r="H25" s="58"/>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c r="A26" s="59"/>
      <c r="B26" s="11"/>
      <c r="C26" s="11"/>
      <c r="D26" s="12"/>
      <c r="E26" s="11"/>
      <c r="F26" s="64"/>
      <c r="G26" s="123"/>
      <c r="H26" s="58"/>
      <c r="I26" s="12"/>
      <c r="J26" s="12"/>
      <c r="K26" s="12"/>
      <c r="L26" s="12"/>
      <c r="M26" s="12"/>
      <c r="N26" s="12"/>
      <c r="P26" s="11">
        <v>12</v>
      </c>
      <c r="Q26" s="11">
        <f t="shared" si="5"/>
        <v>1</v>
      </c>
      <c r="R26" s="11">
        <f t="shared" si="6"/>
        <v>6</v>
      </c>
      <c r="S26" s="12" t="str" cm="1">
        <f t="array" ref="S26">INDEX('CancerEpisode-ConceptMap-2'!$I$15:$N$123,Q26+1,R26)</f>
        <v/>
      </c>
    </row>
    <row r="27" spans="1:19">
      <c r="A27" s="59"/>
      <c r="B27" s="11"/>
      <c r="C27" s="11"/>
      <c r="D27" s="12"/>
      <c r="E27" s="11"/>
      <c r="F27" s="64"/>
      <c r="G27" s="123"/>
      <c r="H27" s="58"/>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c r="A28" s="59"/>
      <c r="B28" s="11"/>
      <c r="C28" s="11"/>
      <c r="D28" s="12"/>
      <c r="E28" s="11"/>
      <c r="F28" s="64"/>
      <c r="G28" s="123"/>
      <c r="H28" s="58"/>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c r="A29" s="59"/>
      <c r="B29" s="11"/>
      <c r="C29" s="11"/>
      <c r="D29" s="12"/>
      <c r="E29" s="11"/>
      <c r="F29" s="64"/>
      <c r="G29" s="123"/>
      <c r="H29" s="58"/>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c r="A30" s="59"/>
      <c r="B30" s="11"/>
      <c r="C30" s="11"/>
      <c r="D30" s="12"/>
      <c r="E30" s="11"/>
      <c r="F30" s="64"/>
      <c r="G30" s="123"/>
      <c r="H30" s="58"/>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c r="A31" s="59"/>
      <c r="B31" s="11"/>
      <c r="C31" s="11"/>
      <c r="D31" s="12"/>
      <c r="E31" s="11"/>
      <c r="F31" s="64"/>
      <c r="G31" s="123"/>
      <c r="H31" s="58"/>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c r="A32" s="59"/>
      <c r="B32" s="11"/>
      <c r="C32" s="11"/>
      <c r="D32" s="12"/>
      <c r="E32" s="11"/>
      <c r="F32" s="64"/>
      <c r="G32" s="123"/>
      <c r="H32" s="58"/>
      <c r="I32" s="12"/>
      <c r="J32" s="12"/>
      <c r="K32" s="12"/>
      <c r="L32" s="12"/>
      <c r="M32" s="12"/>
      <c r="N32" s="12"/>
      <c r="P32" s="11">
        <v>18</v>
      </c>
      <c r="Q32" s="11">
        <f t="shared" si="5"/>
        <v>2</v>
      </c>
      <c r="R32" s="11">
        <f t="shared" si="6"/>
        <v>6</v>
      </c>
      <c r="S32" s="12" t="str" cm="1">
        <f t="array" ref="S32">INDEX('CancerEpisode-ConceptMap-2'!$I$15:$N$123,Q32+1,R32)</f>
        <v/>
      </c>
    </row>
    <row r="33" spans="1:19">
      <c r="A33" s="59"/>
      <c r="B33" s="11"/>
      <c r="C33" s="11"/>
      <c r="D33" s="12"/>
      <c r="E33" s="11"/>
      <c r="F33" s="64"/>
      <c r="G33" s="123"/>
      <c r="H33" s="58"/>
      <c r="I33" s="12"/>
      <c r="J33" s="12"/>
      <c r="K33" s="12"/>
      <c r="L33" s="12"/>
      <c r="M33" s="12"/>
      <c r="N33" s="12"/>
      <c r="P33" s="11">
        <v>19</v>
      </c>
      <c r="Q33" s="11">
        <f t="shared" si="5"/>
        <v>3</v>
      </c>
      <c r="R33" s="11">
        <f t="shared" si="6"/>
        <v>1</v>
      </c>
      <c r="S33" s="12" cm="1">
        <f t="array" ref="S33">INDEX('CancerEpisode-ConceptMap-2'!$I$15:$N$123,Q33+1,R33)</f>
        <v>0</v>
      </c>
    </row>
    <row r="34" spans="1:19">
      <c r="A34" s="59"/>
      <c r="B34" s="11"/>
      <c r="C34" s="11"/>
      <c r="D34" s="12"/>
      <c r="E34" s="11"/>
      <c r="F34" s="64"/>
      <c r="G34" s="123"/>
      <c r="H34" s="58"/>
      <c r="I34" s="12"/>
      <c r="J34" s="12"/>
      <c r="K34" s="12"/>
      <c r="L34" s="12"/>
      <c r="M34" s="12"/>
      <c r="N34" s="12"/>
      <c r="P34" s="11">
        <v>20</v>
      </c>
      <c r="Q34" s="11">
        <f t="shared" si="5"/>
        <v>3</v>
      </c>
      <c r="R34" s="11">
        <f t="shared" si="6"/>
        <v>2</v>
      </c>
      <c r="S34" s="12" cm="1">
        <f t="array" ref="S34">INDEX('CancerEpisode-ConceptMap-2'!$I$15:$N$123,Q34+1,R34)</f>
        <v>0</v>
      </c>
    </row>
    <row r="35" spans="1:19">
      <c r="A35" s="59"/>
      <c r="B35" s="11"/>
      <c r="C35" s="11"/>
      <c r="D35" s="12"/>
      <c r="E35" s="11"/>
      <c r="F35" s="64"/>
      <c r="G35" s="123"/>
      <c r="H35" s="58"/>
      <c r="I35" s="12"/>
      <c r="J35" s="12"/>
      <c r="K35" s="12"/>
      <c r="L35" s="12"/>
      <c r="M35" s="12"/>
      <c r="N35" s="12"/>
      <c r="P35" s="11">
        <v>21</v>
      </c>
      <c r="Q35" s="11">
        <f t="shared" si="5"/>
        <v>3</v>
      </c>
      <c r="R35" s="11">
        <f t="shared" si="6"/>
        <v>3</v>
      </c>
      <c r="S35" s="12" cm="1">
        <f t="array" ref="S35">INDEX('CancerEpisode-ConceptMap-2'!$I$15:$N$123,Q35+1,R35)</f>
        <v>0</v>
      </c>
    </row>
    <row r="36" spans="1:19">
      <c r="A36" s="59"/>
      <c r="B36" s="11"/>
      <c r="C36" s="11"/>
      <c r="D36" s="12"/>
      <c r="E36" s="11"/>
      <c r="F36" s="64"/>
      <c r="G36" s="123"/>
      <c r="H36" s="58"/>
      <c r="I36" s="12"/>
      <c r="J36" s="12"/>
      <c r="K36" s="12"/>
      <c r="L36" s="12"/>
      <c r="M36" s="12"/>
      <c r="N36" s="12"/>
      <c r="P36" s="11">
        <v>22</v>
      </c>
      <c r="Q36" s="11">
        <f t="shared" si="5"/>
        <v>3</v>
      </c>
      <c r="R36" s="11">
        <f t="shared" si="6"/>
        <v>4</v>
      </c>
      <c r="S36" s="12" cm="1">
        <f t="array" ref="S36">INDEX('CancerEpisode-ConceptMap-2'!$I$15:$N$123,Q36+1,R36)</f>
        <v>0</v>
      </c>
    </row>
    <row r="37" spans="1:19">
      <c r="A37" s="59"/>
      <c r="B37" s="11"/>
      <c r="C37" s="11"/>
      <c r="D37" s="12"/>
      <c r="E37" s="11"/>
      <c r="F37" s="64"/>
      <c r="G37" s="123"/>
      <c r="H37" s="58"/>
      <c r="K37" s="58"/>
      <c r="L37" s="58"/>
      <c r="M37" s="66"/>
      <c r="N37" s="66"/>
      <c r="P37" s="11">
        <v>23</v>
      </c>
      <c r="Q37" s="11">
        <f t="shared" si="5"/>
        <v>3</v>
      </c>
      <c r="R37" s="11">
        <f t="shared" si="6"/>
        <v>5</v>
      </c>
      <c r="S37" s="12" cm="1">
        <f t="array" ref="S37">INDEX('CancerEpisode-ConceptMap-2'!$I$15:$N$123,Q37+1,R37)</f>
        <v>0</v>
      </c>
    </row>
    <row r="38" spans="1:19">
      <c r="A38" s="59"/>
      <c r="B38" s="11"/>
      <c r="C38" s="11"/>
      <c r="D38" s="12"/>
      <c r="E38" s="11"/>
      <c r="F38" s="64"/>
      <c r="G38" s="123"/>
      <c r="H38" s="58"/>
      <c r="K38" s="58"/>
      <c r="L38" s="58"/>
      <c r="M38" s="66"/>
      <c r="N38" s="66"/>
      <c r="P38" s="11">
        <v>24</v>
      </c>
      <c r="Q38" s="11">
        <f t="shared" si="5"/>
        <v>3</v>
      </c>
      <c r="R38" s="11">
        <f t="shared" si="6"/>
        <v>6</v>
      </c>
      <c r="S38" s="12" cm="1">
        <f t="array" ref="S38">INDEX('CancerEpisode-ConceptMap-2'!$I$15:$N$123,Q38+1,R38)</f>
        <v>0</v>
      </c>
    </row>
    <row r="39" spans="1:19" s="2" customFormat="1">
      <c r="A39" s="59"/>
      <c r="B39" s="11"/>
      <c r="C39" s="11"/>
      <c r="D39" s="12"/>
      <c r="E39" s="11"/>
      <c r="F39" s="64"/>
      <c r="G39" s="123"/>
      <c r="H39" s="58"/>
      <c r="J39"/>
      <c r="K39" s="58"/>
      <c r="L39" s="58"/>
      <c r="M39" s="66"/>
      <c r="N39" s="66"/>
      <c r="P39" s="11">
        <v>25</v>
      </c>
      <c r="Q39" s="11">
        <f t="shared" si="5"/>
        <v>4</v>
      </c>
      <c r="R39" s="11">
        <f t="shared" si="6"/>
        <v>1</v>
      </c>
      <c r="S39" s="12" cm="1">
        <f t="array" ref="S39">INDEX('CancerEpisode-ConceptMap-2'!$I$15:$N$123,Q39+1,R39)</f>
        <v>0</v>
      </c>
    </row>
    <row r="40" spans="1:19" s="2" customFormat="1">
      <c r="A40" s="59"/>
      <c r="B40" s="11"/>
      <c r="C40" s="11"/>
      <c r="D40" s="12"/>
      <c r="E40" s="11"/>
      <c r="F40" s="64"/>
      <c r="G40" s="123"/>
      <c r="H40" s="58"/>
      <c r="J40"/>
      <c r="K40" s="58"/>
      <c r="L40" s="58"/>
      <c r="M40" s="66"/>
      <c r="N40" s="66"/>
      <c r="P40" s="11">
        <v>26</v>
      </c>
      <c r="Q40" s="11">
        <f t="shared" si="5"/>
        <v>4</v>
      </c>
      <c r="R40" s="11">
        <f t="shared" si="6"/>
        <v>2</v>
      </c>
      <c r="S40" s="12" cm="1">
        <f t="array" ref="S40">INDEX('CancerEpisode-ConceptMap-2'!$I$15:$N$123,Q40+1,R40)</f>
        <v>0</v>
      </c>
    </row>
    <row r="41" spans="1:19" s="2" customFormat="1">
      <c r="A41" s="59"/>
      <c r="B41" s="11"/>
      <c r="C41" s="11"/>
      <c r="D41" s="12"/>
      <c r="E41" s="11"/>
      <c r="F41" s="64"/>
      <c r="G41" s="123"/>
      <c r="H41" s="58"/>
      <c r="J41"/>
      <c r="K41" s="58"/>
      <c r="L41" s="58"/>
      <c r="M41" s="66"/>
      <c r="N41" s="66"/>
      <c r="P41" s="11">
        <v>27</v>
      </c>
      <c r="Q41" s="11">
        <f t="shared" si="5"/>
        <v>4</v>
      </c>
      <c r="R41" s="11">
        <f t="shared" si="6"/>
        <v>3</v>
      </c>
      <c r="S41" s="12" cm="1">
        <f t="array" ref="S41">INDEX('CancerEpisode-ConceptMap-2'!$I$15:$N$123,Q41+1,R41)</f>
        <v>0</v>
      </c>
    </row>
    <row r="42" spans="1:19" s="2" customFormat="1">
      <c r="A42" s="59"/>
      <c r="B42" s="11"/>
      <c r="C42" s="11"/>
      <c r="D42" s="12"/>
      <c r="E42" s="11"/>
      <c r="F42" s="64"/>
      <c r="G42" s="123"/>
      <c r="H42" s="58"/>
      <c r="J42" s="58"/>
      <c r="K42" s="58"/>
      <c r="L42" s="58"/>
      <c r="M42" s="66"/>
      <c r="N42" s="66"/>
      <c r="P42" s="11">
        <v>28</v>
      </c>
      <c r="Q42" s="11">
        <f t="shared" si="5"/>
        <v>4</v>
      </c>
      <c r="R42" s="11">
        <f t="shared" si="6"/>
        <v>4</v>
      </c>
      <c r="S42" s="12" cm="1">
        <f t="array" ref="S42">INDEX('CancerEpisode-ConceptMap-2'!$I$15:$N$123,Q42+1,R42)</f>
        <v>0</v>
      </c>
    </row>
    <row r="43" spans="1:19" s="2" customFormat="1">
      <c r="A43" s="59"/>
      <c r="B43" s="11"/>
      <c r="C43" s="11"/>
      <c r="D43" s="12"/>
      <c r="E43" s="11"/>
      <c r="F43" s="64"/>
      <c r="G43" s="123"/>
      <c r="H43" s="58"/>
      <c r="J43" s="58"/>
      <c r="K43" s="58"/>
      <c r="L43" s="58"/>
      <c r="M43" s="66"/>
      <c r="N43" s="66"/>
      <c r="P43" s="11">
        <v>29</v>
      </c>
      <c r="Q43" s="11">
        <f t="shared" si="5"/>
        <v>4</v>
      </c>
      <c r="R43" s="11">
        <f t="shared" si="6"/>
        <v>5</v>
      </c>
      <c r="S43" s="12" cm="1">
        <f t="array" ref="S43">INDEX('CancerEpisode-ConceptMap-2'!$I$15:$N$123,Q43+1,R43)</f>
        <v>0</v>
      </c>
    </row>
    <row r="44" spans="1:19">
      <c r="A44" s="59"/>
      <c r="B44" s="11"/>
      <c r="C44" s="11"/>
      <c r="D44" s="12"/>
      <c r="E44" s="11"/>
      <c r="F44" s="64"/>
      <c r="G44" s="123"/>
      <c r="P44" s="11">
        <v>30</v>
      </c>
      <c r="Q44" s="11">
        <f t="shared" si="5"/>
        <v>4</v>
      </c>
      <c r="R44" s="11">
        <f t="shared" si="6"/>
        <v>6</v>
      </c>
      <c r="S44" s="12" cm="1">
        <f t="array" ref="S44">INDEX('CancerEpisode-ConceptMap-2'!$I$15:$N$123,Q44+1,R44)</f>
        <v>0</v>
      </c>
    </row>
    <row r="45" spans="1:19">
      <c r="A45" s="59"/>
      <c r="B45" s="11"/>
      <c r="C45" s="11"/>
      <c r="D45" s="12"/>
      <c r="E45" s="11"/>
      <c r="F45" s="64"/>
      <c r="G45" s="123"/>
      <c r="P45" s="11">
        <v>31</v>
      </c>
      <c r="Q45" s="11">
        <f t="shared" si="5"/>
        <v>5</v>
      </c>
      <c r="R45" s="11">
        <f t="shared" si="6"/>
        <v>1</v>
      </c>
      <c r="S45" s="12" cm="1">
        <f t="array" ref="S45">INDEX('CancerEpisode-ConceptMap-2'!$I$15:$N$123,Q45+1,R45)</f>
        <v>0</v>
      </c>
    </row>
    <row r="46" spans="1:19">
      <c r="A46" s="59"/>
      <c r="B46" s="11"/>
      <c r="C46" s="11"/>
      <c r="D46" s="12"/>
      <c r="E46" s="11"/>
      <c r="F46" s="64"/>
      <c r="G46" s="123"/>
      <c r="P46" s="11">
        <v>32</v>
      </c>
      <c r="Q46" s="11">
        <f t="shared" si="5"/>
        <v>5</v>
      </c>
      <c r="R46" s="11">
        <f t="shared" si="6"/>
        <v>2</v>
      </c>
      <c r="S46" s="12" cm="1">
        <f t="array" ref="S46">INDEX('CancerEpisode-ConceptMap-2'!$I$15:$N$123,Q46+1,R46)</f>
        <v>0</v>
      </c>
    </row>
    <row r="47" spans="1:19">
      <c r="A47" s="59"/>
      <c r="B47" s="11"/>
      <c r="C47" s="11"/>
      <c r="D47" s="12"/>
      <c r="E47" s="11"/>
      <c r="F47" s="64"/>
      <c r="G47" s="123"/>
      <c r="P47" s="11">
        <v>33</v>
      </c>
      <c r="Q47" s="11">
        <f t="shared" si="5"/>
        <v>5</v>
      </c>
      <c r="R47" s="11">
        <f t="shared" si="6"/>
        <v>3</v>
      </c>
      <c r="S47" s="12" cm="1">
        <f t="array" ref="S47">INDEX('CancerEpisode-ConceptMap-2'!$I$15:$N$123,Q47+1,R47)</f>
        <v>0</v>
      </c>
    </row>
    <row r="48" spans="1:19">
      <c r="A48" s="59"/>
      <c r="B48" s="11"/>
      <c r="C48" s="11"/>
      <c r="D48" s="12"/>
      <c r="E48" s="11"/>
      <c r="F48" s="64"/>
      <c r="G48" s="123"/>
      <c r="P48" s="11">
        <v>34</v>
      </c>
      <c r="Q48" s="11">
        <f t="shared" si="5"/>
        <v>5</v>
      </c>
      <c r="R48" s="11">
        <f t="shared" si="6"/>
        <v>4</v>
      </c>
      <c r="S48" s="12" cm="1">
        <f t="array" ref="S48">INDEX('CancerEpisode-ConceptMap-2'!$I$15:$N$123,Q48+1,R48)</f>
        <v>0</v>
      </c>
    </row>
    <row r="49" spans="1:19">
      <c r="A49" s="59"/>
      <c r="B49" s="11"/>
      <c r="C49" s="11"/>
      <c r="D49" s="12"/>
      <c r="E49" s="11"/>
      <c r="F49" s="64"/>
      <c r="G49" s="123"/>
      <c r="P49" s="11">
        <v>35</v>
      </c>
      <c r="Q49" s="11">
        <f t="shared" si="5"/>
        <v>5</v>
      </c>
      <c r="R49" s="11">
        <f t="shared" si="6"/>
        <v>5</v>
      </c>
      <c r="S49" s="12" cm="1">
        <f t="array" ref="S49">INDEX('CancerEpisode-ConceptMap-2'!$I$15:$N$123,Q49+1,R49)</f>
        <v>0</v>
      </c>
    </row>
    <row r="50" spans="1:19">
      <c r="A50" s="59"/>
      <c r="B50" s="11"/>
      <c r="C50" s="11"/>
      <c r="D50" s="12"/>
      <c r="E50" s="11"/>
      <c r="F50" s="64"/>
      <c r="G50" s="123"/>
      <c r="P50" s="11">
        <v>36</v>
      </c>
      <c r="Q50" s="11">
        <f t="shared" si="5"/>
        <v>5</v>
      </c>
      <c r="R50" s="11">
        <f t="shared" si="6"/>
        <v>6</v>
      </c>
      <c r="S50" s="12" cm="1">
        <f t="array" ref="S50">INDEX('CancerEpisode-ConceptMap-2'!$I$15:$N$123,Q50+1,R50)</f>
        <v>0</v>
      </c>
    </row>
    <row r="51" spans="1:19">
      <c r="A51" s="59"/>
      <c r="B51" s="11"/>
      <c r="C51" s="11"/>
      <c r="D51" s="12"/>
      <c r="E51" s="11"/>
      <c r="F51" s="64"/>
      <c r="G51" s="123"/>
      <c r="P51" s="11">
        <v>37</v>
      </c>
      <c r="Q51" s="11">
        <f t="shared" si="5"/>
        <v>6</v>
      </c>
      <c r="R51" s="11">
        <f t="shared" si="6"/>
        <v>1</v>
      </c>
      <c r="S51" s="12" cm="1">
        <f t="array" ref="S51">INDEX('CancerEpisode-ConceptMap-2'!$I$15:$N$123,Q51+1,R51)</f>
        <v>0</v>
      </c>
    </row>
    <row r="52" spans="1:19">
      <c r="A52" s="59"/>
      <c r="B52" s="11"/>
      <c r="C52" s="11"/>
      <c r="D52" s="12"/>
      <c r="E52" s="11"/>
      <c r="F52" s="64"/>
      <c r="G52" s="123"/>
      <c r="P52" s="11">
        <v>38</v>
      </c>
      <c r="Q52" s="11">
        <f t="shared" si="5"/>
        <v>6</v>
      </c>
      <c r="R52" s="11">
        <f t="shared" si="6"/>
        <v>2</v>
      </c>
      <c r="S52" s="12" cm="1">
        <f t="array" ref="S52">INDEX('CancerEpisode-ConceptMap-2'!$I$15:$N$123,Q52+1,R52)</f>
        <v>0</v>
      </c>
    </row>
    <row r="53" spans="1:19">
      <c r="A53" s="59"/>
      <c r="B53" s="11"/>
      <c r="C53" s="11"/>
      <c r="D53" s="12"/>
      <c r="E53" s="11"/>
      <c r="F53" s="64"/>
      <c r="G53" s="123"/>
      <c r="P53" s="11">
        <v>39</v>
      </c>
      <c r="Q53" s="11">
        <f t="shared" si="5"/>
        <v>6</v>
      </c>
      <c r="R53" s="11">
        <f t="shared" si="6"/>
        <v>3</v>
      </c>
      <c r="S53" s="12" cm="1">
        <f t="array" ref="S53">INDEX('CancerEpisode-ConceptMap-2'!$I$15:$N$123,Q53+1,R53)</f>
        <v>0</v>
      </c>
    </row>
    <row r="54" spans="1:19">
      <c r="A54" s="59"/>
      <c r="B54" s="11"/>
      <c r="C54" s="11"/>
      <c r="D54" s="12"/>
      <c r="E54" s="11"/>
      <c r="F54" s="64"/>
      <c r="G54" s="123"/>
      <c r="P54" s="11">
        <v>40</v>
      </c>
      <c r="Q54" s="11">
        <f t="shared" si="5"/>
        <v>6</v>
      </c>
      <c r="R54" s="11">
        <f t="shared" si="6"/>
        <v>4</v>
      </c>
      <c r="S54" s="12" cm="1">
        <f t="array" ref="S54">INDEX('CancerEpisode-ConceptMap-2'!$I$15:$N$123,Q54+1,R54)</f>
        <v>0</v>
      </c>
    </row>
    <row r="55" spans="1:19">
      <c r="A55" s="59"/>
      <c r="B55" s="11"/>
      <c r="C55" s="11"/>
      <c r="D55" s="12"/>
      <c r="E55" s="11"/>
      <c r="F55" s="64"/>
      <c r="G55" s="123"/>
      <c r="P55" s="11">
        <v>41</v>
      </c>
      <c r="Q55" s="11">
        <f t="shared" si="5"/>
        <v>6</v>
      </c>
      <c r="R55" s="11">
        <f t="shared" si="6"/>
        <v>5</v>
      </c>
      <c r="S55" s="12" cm="1">
        <f t="array" ref="S55">INDEX('CancerEpisode-ConceptMap-2'!$I$15:$N$123,Q55+1,R55)</f>
        <v>0</v>
      </c>
    </row>
    <row r="56" spans="1:19">
      <c r="A56" s="59"/>
      <c r="B56" s="11"/>
      <c r="C56" s="11"/>
      <c r="D56" s="12"/>
      <c r="E56" s="11"/>
      <c r="F56" s="64"/>
      <c r="G56" s="123"/>
      <c r="P56" s="11">
        <v>42</v>
      </c>
      <c r="Q56" s="11">
        <f t="shared" si="5"/>
        <v>6</v>
      </c>
      <c r="R56" s="11">
        <f t="shared" si="6"/>
        <v>6</v>
      </c>
      <c r="S56" s="12" cm="1">
        <f t="array" ref="S56">INDEX('CancerEpisode-ConceptMap-2'!$I$15:$N$123,Q56+1,R56)</f>
        <v>0</v>
      </c>
    </row>
    <row r="57" spans="1:19">
      <c r="A57" s="59"/>
      <c r="B57" s="11"/>
      <c r="C57" s="11"/>
      <c r="D57" s="12"/>
      <c r="E57" s="11"/>
      <c r="F57" s="64"/>
      <c r="G57" s="123"/>
      <c r="P57" s="11">
        <v>43</v>
      </c>
      <c r="Q57" s="11">
        <f t="shared" si="5"/>
        <v>7</v>
      </c>
      <c r="R57" s="11">
        <f t="shared" si="6"/>
        <v>1</v>
      </c>
      <c r="S57" s="12" cm="1">
        <f t="array" ref="S57">INDEX('CancerEpisode-ConceptMap-2'!$I$15:$N$123,Q57+1,R57)</f>
        <v>0</v>
      </c>
    </row>
    <row r="58" spans="1:19">
      <c r="A58" s="59"/>
      <c r="B58" s="11"/>
      <c r="C58" s="11"/>
      <c r="D58" s="12"/>
      <c r="E58" s="11"/>
      <c r="F58" s="64"/>
      <c r="G58" s="123"/>
      <c r="P58" s="11">
        <v>44</v>
      </c>
      <c r="Q58" s="11">
        <f t="shared" si="5"/>
        <v>7</v>
      </c>
      <c r="R58" s="11">
        <f t="shared" si="6"/>
        <v>2</v>
      </c>
      <c r="S58" s="12" cm="1">
        <f t="array" ref="S58">INDEX('CancerEpisode-ConceptMap-2'!$I$15:$N$123,Q58+1,R58)</f>
        <v>0</v>
      </c>
    </row>
    <row r="59" spans="1:19">
      <c r="A59" s="59"/>
      <c r="B59" s="11"/>
      <c r="C59" s="11"/>
      <c r="D59" s="12"/>
      <c r="E59" s="11"/>
      <c r="F59" s="64"/>
      <c r="G59" s="123"/>
      <c r="P59" s="11">
        <v>45</v>
      </c>
      <c r="Q59" s="11">
        <f t="shared" si="5"/>
        <v>7</v>
      </c>
      <c r="R59" s="11">
        <f t="shared" si="6"/>
        <v>3</v>
      </c>
      <c r="S59" s="12" cm="1">
        <f t="array" ref="S59">INDEX('CancerEpisode-ConceptMap-2'!$I$15:$N$123,Q59+1,R59)</f>
        <v>0</v>
      </c>
    </row>
    <row r="60" spans="1:19">
      <c r="A60" s="59"/>
      <c r="B60" s="11"/>
      <c r="C60" s="11"/>
      <c r="D60" s="12"/>
      <c r="E60" s="11"/>
      <c r="F60" s="64"/>
      <c r="G60" s="123"/>
      <c r="P60" s="11">
        <v>46</v>
      </c>
      <c r="Q60" s="11">
        <f t="shared" si="5"/>
        <v>7</v>
      </c>
      <c r="R60" s="11">
        <f t="shared" si="6"/>
        <v>4</v>
      </c>
      <c r="S60" s="12" cm="1">
        <f t="array" ref="S60">INDEX('CancerEpisode-ConceptMap-2'!$I$15:$N$123,Q60+1,R60)</f>
        <v>0</v>
      </c>
    </row>
    <row r="61" spans="1:19">
      <c r="A61" s="59"/>
      <c r="B61" s="11"/>
      <c r="C61" s="11"/>
      <c r="D61" s="12"/>
      <c r="E61" s="11"/>
      <c r="F61" s="64"/>
      <c r="G61" s="123"/>
      <c r="P61" s="11">
        <v>47</v>
      </c>
      <c r="Q61" s="11">
        <f t="shared" si="5"/>
        <v>7</v>
      </c>
      <c r="R61" s="11">
        <f t="shared" si="6"/>
        <v>5</v>
      </c>
      <c r="S61" s="12" cm="1">
        <f t="array" ref="S61">INDEX('CancerEpisode-ConceptMap-2'!$I$15:$N$123,Q61+1,R61)</f>
        <v>0</v>
      </c>
    </row>
    <row r="62" spans="1:19">
      <c r="A62" s="59"/>
      <c r="B62" s="11"/>
      <c r="C62" s="11"/>
      <c r="D62" s="12"/>
      <c r="E62" s="11"/>
      <c r="F62" s="64"/>
      <c r="G62" s="123"/>
      <c r="P62" s="11">
        <v>48</v>
      </c>
      <c r="Q62" s="11">
        <f t="shared" si="5"/>
        <v>7</v>
      </c>
      <c r="R62" s="11">
        <f t="shared" si="6"/>
        <v>6</v>
      </c>
      <c r="S62" s="12" cm="1">
        <f t="array" ref="S62">INDEX('CancerEpisode-ConceptMap-2'!$I$15:$N$123,Q62+1,R62)</f>
        <v>0</v>
      </c>
    </row>
    <row r="63" spans="1:19">
      <c r="A63" s="59"/>
      <c r="B63" s="11"/>
      <c r="C63" s="11"/>
      <c r="D63" s="12"/>
      <c r="E63" s="11"/>
      <c r="F63" s="64"/>
      <c r="G63" s="123"/>
      <c r="P63" s="11">
        <v>49</v>
      </c>
      <c r="Q63" s="11">
        <f t="shared" si="5"/>
        <v>8</v>
      </c>
      <c r="R63" s="11">
        <f t="shared" si="6"/>
        <v>1</v>
      </c>
      <c r="S63" s="12" cm="1">
        <f t="array" ref="S63">INDEX('CancerEpisode-ConceptMap-2'!$I$15:$N$123,Q63+1,R63)</f>
        <v>0</v>
      </c>
    </row>
    <row r="64" spans="1:19">
      <c r="A64" s="59"/>
      <c r="B64" s="11"/>
      <c r="C64" s="11"/>
      <c r="D64" s="12"/>
      <c r="E64" s="11"/>
      <c r="F64" s="64"/>
      <c r="G64" s="123"/>
      <c r="P64" s="11">
        <v>50</v>
      </c>
      <c r="Q64" s="11">
        <f t="shared" si="5"/>
        <v>8</v>
      </c>
      <c r="R64" s="11">
        <f t="shared" si="6"/>
        <v>2</v>
      </c>
      <c r="S64" s="12" cm="1">
        <f t="array" ref="S64">INDEX('CancerEpisode-ConceptMap-2'!$I$15:$N$123,Q64+1,R64)</f>
        <v>0</v>
      </c>
    </row>
    <row r="65" spans="1:19">
      <c r="A65" s="59"/>
      <c r="B65" s="11"/>
      <c r="C65" s="11"/>
      <c r="D65" s="12"/>
      <c r="E65" s="11"/>
      <c r="F65" s="64"/>
      <c r="G65" s="123"/>
      <c r="P65" s="11">
        <v>51</v>
      </c>
      <c r="Q65" s="11">
        <f t="shared" si="5"/>
        <v>8</v>
      </c>
      <c r="R65" s="11">
        <f t="shared" si="6"/>
        <v>3</v>
      </c>
      <c r="S65" s="12" cm="1">
        <f t="array" ref="S65">INDEX('CancerEpisode-ConceptMap-2'!$I$15:$N$123,Q65+1,R65)</f>
        <v>0</v>
      </c>
    </row>
    <row r="66" spans="1:19">
      <c r="A66" s="59"/>
      <c r="B66" s="11"/>
      <c r="C66" s="11"/>
      <c r="D66" s="12"/>
      <c r="E66" s="11"/>
      <c r="F66" s="64"/>
      <c r="G66" s="123"/>
      <c r="P66" s="11">
        <v>52</v>
      </c>
      <c r="Q66" s="11">
        <f t="shared" si="5"/>
        <v>8</v>
      </c>
      <c r="R66" s="11">
        <f t="shared" si="6"/>
        <v>4</v>
      </c>
      <c r="S66" s="12" cm="1">
        <f t="array" ref="S66">INDEX('CancerEpisode-ConceptMap-2'!$I$15:$N$123,Q66+1,R66)</f>
        <v>0</v>
      </c>
    </row>
    <row r="67" spans="1:19">
      <c r="A67" s="59"/>
      <c r="B67" s="11"/>
      <c r="C67" s="11"/>
      <c r="D67" s="12"/>
      <c r="E67" s="11"/>
      <c r="F67" s="64"/>
      <c r="G67" s="123"/>
      <c r="P67" s="11">
        <v>53</v>
      </c>
      <c r="Q67" s="11">
        <f t="shared" si="5"/>
        <v>8</v>
      </c>
      <c r="R67" s="11">
        <f t="shared" si="6"/>
        <v>5</v>
      </c>
      <c r="S67" s="12" cm="1">
        <f t="array" ref="S67">INDEX('CancerEpisode-ConceptMap-2'!$I$15:$N$123,Q67+1,R67)</f>
        <v>0</v>
      </c>
    </row>
    <row r="68" spans="1:19">
      <c r="A68" s="59"/>
      <c r="B68" s="11"/>
      <c r="C68" s="11"/>
      <c r="D68" s="12"/>
      <c r="E68" s="11"/>
      <c r="F68" s="64"/>
      <c r="G68" s="123"/>
      <c r="P68" s="11">
        <v>54</v>
      </c>
      <c r="Q68" s="11">
        <f t="shared" si="5"/>
        <v>8</v>
      </c>
      <c r="R68" s="11">
        <f t="shared" si="6"/>
        <v>6</v>
      </c>
      <c r="S68" s="12" cm="1">
        <f t="array" ref="S68">INDEX('CancerEpisode-ConceptMap-2'!$I$15:$N$123,Q68+1,R68)</f>
        <v>0</v>
      </c>
    </row>
    <row r="69" spans="1:19">
      <c r="A69" s="59"/>
      <c r="B69" s="11"/>
      <c r="C69" s="11"/>
      <c r="D69" s="12"/>
      <c r="E69" s="11"/>
      <c r="F69" s="64"/>
      <c r="G69" s="123"/>
      <c r="P69" s="11">
        <v>55</v>
      </c>
      <c r="Q69" s="11">
        <f t="shared" si="5"/>
        <v>9</v>
      </c>
      <c r="R69" s="11">
        <f t="shared" si="6"/>
        <v>1</v>
      </c>
      <c r="S69" s="12" cm="1">
        <f t="array" ref="S69">INDEX('CancerEpisode-ConceptMap-2'!$I$15:$N$123,Q69+1,R69)</f>
        <v>0</v>
      </c>
    </row>
    <row r="70" spans="1:19">
      <c r="A70" s="59"/>
      <c r="B70" s="11"/>
      <c r="C70" s="11"/>
      <c r="D70" s="12"/>
      <c r="E70" s="11"/>
      <c r="F70" s="64"/>
      <c r="G70" s="123"/>
      <c r="P70" s="11">
        <v>56</v>
      </c>
      <c r="Q70" s="11">
        <f t="shared" si="5"/>
        <v>9</v>
      </c>
      <c r="R70" s="11">
        <f t="shared" si="6"/>
        <v>2</v>
      </c>
      <c r="S70" s="12" cm="1">
        <f t="array" ref="S70">INDEX('CancerEpisode-ConceptMap-2'!$I$15:$N$123,Q70+1,R70)</f>
        <v>0</v>
      </c>
    </row>
    <row r="71" spans="1:19">
      <c r="A71" s="59"/>
      <c r="B71" s="11"/>
      <c r="C71" s="11"/>
      <c r="D71" s="12"/>
      <c r="E71" s="11"/>
      <c r="F71" s="64"/>
      <c r="G71" s="123"/>
      <c r="P71" s="11">
        <v>57</v>
      </c>
      <c r="Q71" s="11">
        <f t="shared" si="5"/>
        <v>9</v>
      </c>
      <c r="R71" s="11">
        <f t="shared" si="6"/>
        <v>3</v>
      </c>
      <c r="S71" s="12" cm="1">
        <f t="array" ref="S71">INDEX('CancerEpisode-ConceptMap-2'!$I$15:$N$123,Q71+1,R71)</f>
        <v>0</v>
      </c>
    </row>
    <row r="72" spans="1:19">
      <c r="A72" s="59"/>
      <c r="B72" s="11"/>
      <c r="C72" s="11"/>
      <c r="D72" s="12"/>
      <c r="E72" s="11"/>
      <c r="F72" s="64"/>
      <c r="G72" s="123"/>
      <c r="P72" s="11">
        <v>58</v>
      </c>
      <c r="Q72" s="11">
        <f t="shared" si="5"/>
        <v>9</v>
      </c>
      <c r="R72" s="11">
        <f t="shared" si="6"/>
        <v>4</v>
      </c>
      <c r="S72" s="12" cm="1">
        <f t="array" ref="S72">INDEX('CancerEpisode-ConceptMap-2'!$I$15:$N$123,Q72+1,R72)</f>
        <v>0</v>
      </c>
    </row>
    <row r="73" spans="1:19">
      <c r="A73" s="59"/>
      <c r="B73" s="11"/>
      <c r="C73" s="11"/>
      <c r="D73" s="12"/>
      <c r="E73" s="11"/>
      <c r="F73" s="64"/>
      <c r="G73" s="123"/>
      <c r="P73" s="11">
        <v>59</v>
      </c>
      <c r="Q73" s="11">
        <f t="shared" si="5"/>
        <v>9</v>
      </c>
      <c r="R73" s="11">
        <f t="shared" si="6"/>
        <v>5</v>
      </c>
      <c r="S73" s="12" cm="1">
        <f t="array" ref="S73">INDEX('CancerEpisode-ConceptMap-2'!$I$15:$N$123,Q73+1,R73)</f>
        <v>0</v>
      </c>
    </row>
    <row r="74" spans="1:19">
      <c r="A74" s="59"/>
      <c r="B74" s="11"/>
      <c r="C74" s="11"/>
      <c r="D74" s="12"/>
      <c r="E74" s="11"/>
      <c r="F74" s="64"/>
      <c r="G74" s="123"/>
      <c r="P74" s="11">
        <v>60</v>
      </c>
      <c r="Q74" s="11">
        <f t="shared" si="5"/>
        <v>9</v>
      </c>
      <c r="R74" s="11">
        <f t="shared" si="6"/>
        <v>6</v>
      </c>
      <c r="S74" s="12" cm="1">
        <f t="array" ref="S74">INDEX('CancerEpisode-ConceptMap-2'!$I$15:$N$123,Q74+1,R74)</f>
        <v>0</v>
      </c>
    </row>
    <row r="75" spans="1:19">
      <c r="A75" s="59"/>
      <c r="B75" s="11"/>
      <c r="C75" s="11"/>
      <c r="D75" s="12"/>
      <c r="E75" s="11"/>
      <c r="F75" s="64"/>
      <c r="G75" s="123"/>
      <c r="P75" s="11">
        <v>61</v>
      </c>
      <c r="Q75" s="11">
        <f t="shared" si="5"/>
        <v>10</v>
      </c>
      <c r="R75" s="11">
        <f t="shared" si="6"/>
        <v>1</v>
      </c>
      <c r="S75" s="12" cm="1">
        <f t="array" ref="S75">INDEX('CancerEpisode-ConceptMap-2'!$I$15:$N$123,Q75+1,R75)</f>
        <v>0</v>
      </c>
    </row>
    <row r="76" spans="1:19">
      <c r="A76" s="59"/>
      <c r="B76" s="11"/>
      <c r="C76" s="11"/>
      <c r="D76" s="12"/>
      <c r="E76" s="11"/>
      <c r="F76" s="64"/>
      <c r="G76" s="123"/>
      <c r="P76" s="11">
        <v>62</v>
      </c>
      <c r="Q76" s="11">
        <f t="shared" si="5"/>
        <v>10</v>
      </c>
      <c r="R76" s="11">
        <f t="shared" si="6"/>
        <v>2</v>
      </c>
      <c r="S76" s="12" cm="1">
        <f t="array" ref="S76">INDEX('CancerEpisode-ConceptMap-2'!$I$15:$N$123,Q76+1,R76)</f>
        <v>0</v>
      </c>
    </row>
    <row r="77" spans="1:19">
      <c r="A77" s="59"/>
      <c r="B77" s="11"/>
      <c r="C77" s="11"/>
      <c r="D77" s="12"/>
      <c r="E77" s="11"/>
      <c r="F77" s="64"/>
      <c r="G77" s="123"/>
      <c r="P77" s="11">
        <v>63</v>
      </c>
      <c r="Q77" s="11">
        <f t="shared" si="5"/>
        <v>10</v>
      </c>
      <c r="R77" s="11">
        <f t="shared" si="6"/>
        <v>3</v>
      </c>
      <c r="S77" s="12" cm="1">
        <f t="array" ref="S77">INDEX('CancerEpisode-ConceptMap-2'!$I$15:$N$123,Q77+1,R77)</f>
        <v>0</v>
      </c>
    </row>
    <row r="78" spans="1:19">
      <c r="A78" s="59"/>
      <c r="B78" s="11"/>
      <c r="C78" s="11"/>
      <c r="D78" s="12"/>
      <c r="E78" s="11"/>
      <c r="F78" s="64"/>
      <c r="G78" s="123"/>
      <c r="P78" s="11">
        <v>64</v>
      </c>
      <c r="Q78" s="11">
        <f t="shared" si="5"/>
        <v>10</v>
      </c>
      <c r="R78" s="11">
        <f t="shared" si="6"/>
        <v>4</v>
      </c>
      <c r="S78" s="12" cm="1">
        <f t="array" ref="S78">INDEX('CancerEpisode-ConceptMap-2'!$I$15:$N$123,Q78+1,R78)</f>
        <v>0</v>
      </c>
    </row>
    <row r="79" spans="1:19">
      <c r="A79" s="59"/>
      <c r="B79" s="11"/>
      <c r="C79" s="11"/>
      <c r="D79" s="12"/>
      <c r="E79" s="11"/>
      <c r="F79" s="64"/>
      <c r="G79" s="123"/>
      <c r="P79" s="11">
        <v>65</v>
      </c>
      <c r="Q79" s="11">
        <f t="shared" ref="Q79:Q142" si="8">IF(MOD(P79,$Q$8)=0,P79/$Q$8-1,INT(P79/$Q$8))</f>
        <v>10</v>
      </c>
      <c r="R79" s="11">
        <f t="shared" ref="R79:R142" si="9">IF(MOD(P79,$Q$8)=0,$Q$8,MOD(P79,$Q$8))</f>
        <v>5</v>
      </c>
      <c r="S79" s="12" cm="1">
        <f t="array" ref="S79">INDEX('CancerEpisode-ConceptMap-2'!$I$15:$N$123,Q79+1,R79)</f>
        <v>0</v>
      </c>
    </row>
    <row r="80" spans="1:19">
      <c r="A80" s="59"/>
      <c r="B80" s="11"/>
      <c r="C80" s="11"/>
      <c r="D80" s="12"/>
      <c r="E80" s="11"/>
      <c r="F80" s="64"/>
      <c r="G80" s="123"/>
      <c r="P80" s="11">
        <v>66</v>
      </c>
      <c r="Q80" s="11">
        <f t="shared" si="8"/>
        <v>10</v>
      </c>
      <c r="R80" s="11">
        <f t="shared" si="9"/>
        <v>6</v>
      </c>
      <c r="S80" s="12" cm="1">
        <f t="array" ref="S80">INDEX('CancerEpisode-ConceptMap-2'!$I$15:$N$123,Q80+1,R80)</f>
        <v>0</v>
      </c>
    </row>
    <row r="81" spans="1:19">
      <c r="A81" s="59"/>
      <c r="B81" s="11"/>
      <c r="C81" s="11"/>
      <c r="D81" s="12"/>
      <c r="E81" s="11"/>
      <c r="F81" s="64"/>
      <c r="G81" s="123"/>
      <c r="P81" s="11">
        <v>67</v>
      </c>
      <c r="Q81" s="11">
        <f t="shared" si="8"/>
        <v>11</v>
      </c>
      <c r="R81" s="11">
        <f t="shared" si="9"/>
        <v>1</v>
      </c>
      <c r="S81" s="12" cm="1">
        <f t="array" ref="S81">INDEX('CancerEpisode-ConceptMap-2'!$I$15:$N$123,Q81+1,R81)</f>
        <v>0</v>
      </c>
    </row>
    <row r="82" spans="1:19">
      <c r="A82" s="59"/>
      <c r="B82" s="11"/>
      <c r="C82" s="11"/>
      <c r="D82" s="12"/>
      <c r="E82" s="11"/>
      <c r="F82" s="64"/>
      <c r="G82" s="123"/>
      <c r="P82" s="11">
        <v>68</v>
      </c>
      <c r="Q82" s="11">
        <f t="shared" si="8"/>
        <v>11</v>
      </c>
      <c r="R82" s="11">
        <f t="shared" si="9"/>
        <v>2</v>
      </c>
      <c r="S82" s="12" cm="1">
        <f t="array" ref="S82">INDEX('CancerEpisode-ConceptMap-2'!$I$15:$N$123,Q82+1,R82)</f>
        <v>0</v>
      </c>
    </row>
    <row r="83" spans="1:19">
      <c r="A83" s="59"/>
      <c r="B83" s="11"/>
      <c r="C83" s="11"/>
      <c r="D83" s="12"/>
      <c r="E83" s="11"/>
      <c r="F83" s="64"/>
      <c r="G83" s="123"/>
      <c r="P83" s="11">
        <v>69</v>
      </c>
      <c r="Q83" s="11">
        <f t="shared" si="8"/>
        <v>11</v>
      </c>
      <c r="R83" s="11">
        <f t="shared" si="9"/>
        <v>3</v>
      </c>
      <c r="S83" s="12" cm="1">
        <f t="array" ref="S83">INDEX('CancerEpisode-ConceptMap-2'!$I$15:$N$123,Q83+1,R83)</f>
        <v>0</v>
      </c>
    </row>
    <row r="84" spans="1:19">
      <c r="A84" s="59"/>
      <c r="B84" s="11"/>
      <c r="C84" s="11"/>
      <c r="D84" s="12"/>
      <c r="E84" s="11"/>
      <c r="F84" s="64"/>
      <c r="G84" s="123"/>
      <c r="P84" s="11">
        <v>70</v>
      </c>
      <c r="Q84" s="11">
        <f t="shared" si="8"/>
        <v>11</v>
      </c>
      <c r="R84" s="11">
        <f t="shared" si="9"/>
        <v>4</v>
      </c>
      <c r="S84" s="12" cm="1">
        <f t="array" ref="S84">INDEX('CancerEpisode-ConceptMap-2'!$I$15:$N$123,Q84+1,R84)</f>
        <v>0</v>
      </c>
    </row>
    <row r="85" spans="1:19">
      <c r="A85" s="59"/>
      <c r="B85" s="11"/>
      <c r="C85" s="11"/>
      <c r="D85" s="12"/>
      <c r="E85" s="11"/>
      <c r="F85" s="64"/>
      <c r="G85" s="123"/>
      <c r="P85" s="11">
        <v>71</v>
      </c>
      <c r="Q85" s="11">
        <f t="shared" si="8"/>
        <v>11</v>
      </c>
      <c r="R85" s="11">
        <f t="shared" si="9"/>
        <v>5</v>
      </c>
      <c r="S85" s="12" cm="1">
        <f t="array" ref="S85">INDEX('CancerEpisode-ConceptMap-2'!$I$15:$N$123,Q85+1,R85)</f>
        <v>0</v>
      </c>
    </row>
    <row r="86" spans="1:19">
      <c r="A86" s="59"/>
      <c r="B86" s="11"/>
      <c r="C86" s="11"/>
      <c r="D86" s="12"/>
      <c r="E86" s="11"/>
      <c r="F86" s="64"/>
      <c r="G86" s="123"/>
      <c r="P86" s="11">
        <v>72</v>
      </c>
      <c r="Q86" s="11">
        <f t="shared" si="8"/>
        <v>11</v>
      </c>
      <c r="R86" s="11">
        <f t="shared" si="9"/>
        <v>6</v>
      </c>
      <c r="S86" s="12" cm="1">
        <f t="array" ref="S86">INDEX('CancerEpisode-ConceptMap-2'!$I$15:$N$123,Q86+1,R86)</f>
        <v>0</v>
      </c>
    </row>
    <row r="87" spans="1:19">
      <c r="A87" s="59"/>
      <c r="B87" s="11"/>
      <c r="C87" s="11"/>
      <c r="D87" s="12"/>
      <c r="E87" s="11"/>
      <c r="F87" s="64"/>
      <c r="G87" s="123"/>
      <c r="P87" s="11">
        <v>73</v>
      </c>
      <c r="Q87" s="11">
        <f t="shared" si="8"/>
        <v>12</v>
      </c>
      <c r="R87" s="11">
        <f t="shared" si="9"/>
        <v>1</v>
      </c>
      <c r="S87" s="12" cm="1">
        <f t="array" ref="S87">INDEX('CancerEpisode-ConceptMap-2'!$I$15:$N$123,Q87+1,R87)</f>
        <v>0</v>
      </c>
    </row>
    <row r="88" spans="1:19">
      <c r="A88" s="59"/>
      <c r="B88" s="11"/>
      <c r="C88" s="11"/>
      <c r="D88" s="12"/>
      <c r="E88" s="11"/>
      <c r="F88" s="64"/>
      <c r="G88" s="123"/>
      <c r="P88" s="11">
        <v>74</v>
      </c>
      <c r="Q88" s="11">
        <f t="shared" si="8"/>
        <v>12</v>
      </c>
      <c r="R88" s="11">
        <f t="shared" si="9"/>
        <v>2</v>
      </c>
      <c r="S88" s="12" cm="1">
        <f t="array" ref="S88">INDEX('CancerEpisode-ConceptMap-2'!$I$15:$N$123,Q88+1,R88)</f>
        <v>0</v>
      </c>
    </row>
    <row r="89" spans="1:19">
      <c r="G89" s="123"/>
      <c r="P89" s="11">
        <v>75</v>
      </c>
      <c r="Q89" s="11">
        <f t="shared" si="8"/>
        <v>12</v>
      </c>
      <c r="R89" s="11">
        <f t="shared" si="9"/>
        <v>3</v>
      </c>
      <c r="S89" s="12" cm="1">
        <f t="array" ref="S89">INDEX('CancerEpisode-ConceptMap-2'!$I$15:$N$123,Q89+1,R89)</f>
        <v>0</v>
      </c>
    </row>
    <row r="90" spans="1:19">
      <c r="G90" s="123"/>
      <c r="P90" s="11">
        <v>76</v>
      </c>
      <c r="Q90" s="11">
        <f t="shared" si="8"/>
        <v>12</v>
      </c>
      <c r="R90" s="11">
        <f t="shared" si="9"/>
        <v>4</v>
      </c>
      <c r="S90" s="12" cm="1">
        <f t="array" ref="S90">INDEX('CancerEpisode-ConceptMap-2'!$I$15:$N$123,Q90+1,R90)</f>
        <v>0</v>
      </c>
    </row>
    <row r="91" spans="1:19">
      <c r="G91" s="123"/>
      <c r="P91" s="11">
        <v>77</v>
      </c>
      <c r="Q91" s="11">
        <f t="shared" si="8"/>
        <v>12</v>
      </c>
      <c r="R91" s="11">
        <f t="shared" si="9"/>
        <v>5</v>
      </c>
      <c r="S91" s="12" cm="1">
        <f t="array" ref="S91">INDEX('CancerEpisode-ConceptMap-2'!$I$15:$N$123,Q91+1,R91)</f>
        <v>0</v>
      </c>
    </row>
    <row r="92" spans="1:19">
      <c r="G92" s="123"/>
      <c r="P92" s="11">
        <v>78</v>
      </c>
      <c r="Q92" s="11">
        <f t="shared" si="8"/>
        <v>12</v>
      </c>
      <c r="R92" s="11">
        <f t="shared" si="9"/>
        <v>6</v>
      </c>
      <c r="S92" s="12" cm="1">
        <f t="array" ref="S92">INDEX('CancerEpisode-ConceptMap-2'!$I$15:$N$123,Q92+1,R92)</f>
        <v>0</v>
      </c>
    </row>
    <row r="93" spans="1:19">
      <c r="G93" s="123"/>
      <c r="P93" s="11">
        <v>79</v>
      </c>
      <c r="Q93" s="11">
        <f t="shared" si="8"/>
        <v>13</v>
      </c>
      <c r="R93" s="11">
        <f t="shared" si="9"/>
        <v>1</v>
      </c>
      <c r="S93" s="12" cm="1">
        <f t="array" ref="S93">INDEX('CancerEpisode-ConceptMap-2'!$I$15:$N$123,Q93+1,R93)</f>
        <v>0</v>
      </c>
    </row>
    <row r="94" spans="1:19">
      <c r="G94" s="123"/>
      <c r="P94" s="11">
        <v>80</v>
      </c>
      <c r="Q94" s="11">
        <f t="shared" si="8"/>
        <v>13</v>
      </c>
      <c r="R94" s="11">
        <f t="shared" si="9"/>
        <v>2</v>
      </c>
      <c r="S94" s="12" cm="1">
        <f t="array" ref="S94">INDEX('CancerEpisode-ConceptMap-2'!$I$15:$N$123,Q94+1,R94)</f>
        <v>0</v>
      </c>
    </row>
    <row r="95" spans="1:19">
      <c r="G95" s="123"/>
      <c r="P95" s="11">
        <v>81</v>
      </c>
      <c r="Q95" s="11">
        <f t="shared" si="8"/>
        <v>13</v>
      </c>
      <c r="R95" s="11">
        <f t="shared" si="9"/>
        <v>3</v>
      </c>
      <c r="S95" s="12" cm="1">
        <f t="array" ref="S95">INDEX('CancerEpisode-ConceptMap-2'!$I$15:$N$123,Q95+1,R95)</f>
        <v>0</v>
      </c>
    </row>
    <row r="96" spans="1:19">
      <c r="G96" s="123"/>
      <c r="P96" s="11">
        <v>82</v>
      </c>
      <c r="Q96" s="11">
        <f t="shared" si="8"/>
        <v>13</v>
      </c>
      <c r="R96" s="11">
        <f t="shared" si="9"/>
        <v>4</v>
      </c>
      <c r="S96" s="12" cm="1">
        <f t="array" ref="S96">INDEX('CancerEpisode-ConceptMap-2'!$I$15:$N$123,Q96+1,R96)</f>
        <v>0</v>
      </c>
    </row>
    <row r="97" spans="7:19">
      <c r="G97" s="123"/>
      <c r="P97" s="11">
        <v>83</v>
      </c>
      <c r="Q97" s="11">
        <f t="shared" si="8"/>
        <v>13</v>
      </c>
      <c r="R97" s="11">
        <f t="shared" si="9"/>
        <v>5</v>
      </c>
      <c r="S97" s="12" cm="1">
        <f t="array" ref="S97">INDEX('CancerEpisode-ConceptMap-2'!$I$15:$N$123,Q97+1,R97)</f>
        <v>0</v>
      </c>
    </row>
    <row r="98" spans="7:19">
      <c r="G98" s="123"/>
      <c r="P98" s="11">
        <v>84</v>
      </c>
      <c r="Q98" s="11">
        <f t="shared" si="8"/>
        <v>13</v>
      </c>
      <c r="R98" s="11">
        <f t="shared" si="9"/>
        <v>6</v>
      </c>
      <c r="S98" s="12" cm="1">
        <f t="array" ref="S98">INDEX('CancerEpisode-ConceptMap-2'!$I$15:$N$123,Q98+1,R98)</f>
        <v>0</v>
      </c>
    </row>
    <row r="99" spans="7:19">
      <c r="G99" s="123"/>
      <c r="P99" s="11">
        <v>85</v>
      </c>
      <c r="Q99" s="11">
        <f t="shared" si="8"/>
        <v>14</v>
      </c>
      <c r="R99" s="11">
        <f t="shared" si="9"/>
        <v>1</v>
      </c>
      <c r="S99" s="12" cm="1">
        <f t="array" ref="S99">INDEX('CancerEpisode-ConceptMap-2'!$I$15:$N$123,Q99+1,R99)</f>
        <v>0</v>
      </c>
    </row>
    <row r="100" spans="7:19">
      <c r="G100" s="123"/>
      <c r="P100" s="11">
        <v>86</v>
      </c>
      <c r="Q100" s="11">
        <f t="shared" si="8"/>
        <v>14</v>
      </c>
      <c r="R100" s="11">
        <f t="shared" si="9"/>
        <v>2</v>
      </c>
      <c r="S100" s="12" cm="1">
        <f t="array" ref="S100">INDEX('CancerEpisode-ConceptMap-2'!$I$15:$N$123,Q100+1,R100)</f>
        <v>0</v>
      </c>
    </row>
    <row r="101" spans="7:19">
      <c r="G101" s="123"/>
      <c r="P101" s="11">
        <v>87</v>
      </c>
      <c r="Q101" s="11">
        <f t="shared" si="8"/>
        <v>14</v>
      </c>
      <c r="R101" s="11">
        <f t="shared" si="9"/>
        <v>3</v>
      </c>
      <c r="S101" s="12" cm="1">
        <f t="array" ref="S101">INDEX('CancerEpisode-ConceptMap-2'!$I$15:$N$123,Q101+1,R101)</f>
        <v>0</v>
      </c>
    </row>
    <row r="102" spans="7:19">
      <c r="G102" s="123"/>
      <c r="P102" s="11">
        <v>88</v>
      </c>
      <c r="Q102" s="11">
        <f t="shared" si="8"/>
        <v>14</v>
      </c>
      <c r="R102" s="11">
        <f t="shared" si="9"/>
        <v>4</v>
      </c>
      <c r="S102" s="12" cm="1">
        <f t="array" ref="S102">INDEX('CancerEpisode-ConceptMap-2'!$I$15:$N$123,Q102+1,R102)</f>
        <v>0</v>
      </c>
    </row>
    <row r="103" spans="7:19">
      <c r="G103" s="123"/>
      <c r="P103" s="11">
        <v>89</v>
      </c>
      <c r="Q103" s="11">
        <f t="shared" si="8"/>
        <v>14</v>
      </c>
      <c r="R103" s="11">
        <f t="shared" si="9"/>
        <v>5</v>
      </c>
      <c r="S103" s="12" cm="1">
        <f t="array" ref="S103">INDEX('CancerEpisode-ConceptMap-2'!$I$15:$N$123,Q103+1,R103)</f>
        <v>0</v>
      </c>
    </row>
    <row r="104" spans="7:19">
      <c r="G104" s="123"/>
      <c r="P104" s="11">
        <v>90</v>
      </c>
      <c r="Q104" s="11">
        <f t="shared" si="8"/>
        <v>14</v>
      </c>
      <c r="R104" s="11">
        <f t="shared" si="9"/>
        <v>6</v>
      </c>
      <c r="S104" s="12" cm="1">
        <f t="array" ref="S104">INDEX('CancerEpisode-ConceptMap-2'!$I$15:$N$123,Q104+1,R104)</f>
        <v>0</v>
      </c>
    </row>
    <row r="105" spans="7:19">
      <c r="G105" s="123"/>
      <c r="P105" s="11">
        <v>91</v>
      </c>
      <c r="Q105" s="11">
        <f t="shared" si="8"/>
        <v>15</v>
      </c>
      <c r="R105" s="11">
        <f t="shared" si="9"/>
        <v>1</v>
      </c>
      <c r="S105" s="12" cm="1">
        <f t="array" ref="S105">INDEX('CancerEpisode-ConceptMap-2'!$I$15:$N$123,Q105+1,R105)</f>
        <v>0</v>
      </c>
    </row>
    <row r="106" spans="7:19">
      <c r="G106" s="123"/>
      <c r="P106" s="11">
        <v>92</v>
      </c>
      <c r="Q106" s="11">
        <f t="shared" si="8"/>
        <v>15</v>
      </c>
      <c r="R106" s="11">
        <f t="shared" si="9"/>
        <v>2</v>
      </c>
      <c r="S106" s="12" cm="1">
        <f t="array" ref="S106">INDEX('CancerEpisode-ConceptMap-2'!$I$15:$N$123,Q106+1,R106)</f>
        <v>0</v>
      </c>
    </row>
    <row r="107" spans="7:19">
      <c r="G107" s="123"/>
      <c r="P107" s="11">
        <v>93</v>
      </c>
      <c r="Q107" s="11">
        <f t="shared" si="8"/>
        <v>15</v>
      </c>
      <c r="R107" s="11">
        <f t="shared" si="9"/>
        <v>3</v>
      </c>
      <c r="S107" s="12" cm="1">
        <f t="array" ref="S107">INDEX('CancerEpisode-ConceptMap-2'!$I$15:$N$123,Q107+1,R107)</f>
        <v>0</v>
      </c>
    </row>
    <row r="108" spans="7:19">
      <c r="G108" s="123"/>
      <c r="P108" s="11">
        <v>94</v>
      </c>
      <c r="Q108" s="11">
        <f t="shared" si="8"/>
        <v>15</v>
      </c>
      <c r="R108" s="11">
        <f t="shared" si="9"/>
        <v>4</v>
      </c>
      <c r="S108" s="12" cm="1">
        <f t="array" ref="S108">INDEX('CancerEpisode-ConceptMap-2'!$I$15:$N$123,Q108+1,R108)</f>
        <v>0</v>
      </c>
    </row>
    <row r="109" spans="7:19">
      <c r="G109" s="123"/>
      <c r="P109" s="11">
        <v>95</v>
      </c>
      <c r="Q109" s="11">
        <f t="shared" si="8"/>
        <v>15</v>
      </c>
      <c r="R109" s="11">
        <f t="shared" si="9"/>
        <v>5</v>
      </c>
      <c r="S109" s="12" cm="1">
        <f t="array" ref="S109">INDEX('CancerEpisode-ConceptMap-2'!$I$15:$N$123,Q109+1,R109)</f>
        <v>0</v>
      </c>
    </row>
    <row r="110" spans="7:19">
      <c r="G110" s="123"/>
      <c r="P110" s="11">
        <v>96</v>
      </c>
      <c r="Q110" s="11">
        <f t="shared" si="8"/>
        <v>15</v>
      </c>
      <c r="R110" s="11">
        <f t="shared" si="9"/>
        <v>6</v>
      </c>
      <c r="S110" s="12" cm="1">
        <f t="array" ref="S110">INDEX('CancerEpisode-ConceptMap-2'!$I$15:$N$123,Q110+1,R110)</f>
        <v>0</v>
      </c>
    </row>
    <row r="111" spans="7:19">
      <c r="G111" s="123"/>
      <c r="P111" s="11">
        <v>97</v>
      </c>
      <c r="Q111" s="11">
        <f t="shared" si="8"/>
        <v>16</v>
      </c>
      <c r="R111" s="11">
        <f t="shared" si="9"/>
        <v>1</v>
      </c>
      <c r="S111" s="12" cm="1">
        <f t="array" ref="S111">INDEX('CancerEpisode-ConceptMap-2'!$I$15:$N$123,Q111+1,R111)</f>
        <v>0</v>
      </c>
    </row>
    <row r="112" spans="7:19">
      <c r="G112" s="123"/>
      <c r="P112" s="11">
        <v>98</v>
      </c>
      <c r="Q112" s="11">
        <f t="shared" si="8"/>
        <v>16</v>
      </c>
      <c r="R112" s="11">
        <f t="shared" si="9"/>
        <v>2</v>
      </c>
      <c r="S112" s="12" cm="1">
        <f t="array" ref="S112">INDEX('CancerEpisode-ConceptMap-2'!$I$15:$N$123,Q112+1,R112)</f>
        <v>0</v>
      </c>
    </row>
    <row r="113" spans="7:19">
      <c r="G113" s="123"/>
      <c r="P113" s="11">
        <v>99</v>
      </c>
      <c r="Q113" s="11">
        <f t="shared" si="8"/>
        <v>16</v>
      </c>
      <c r="R113" s="11">
        <f t="shared" si="9"/>
        <v>3</v>
      </c>
      <c r="S113" s="12" cm="1">
        <f t="array" ref="S113">INDEX('CancerEpisode-ConceptMap-2'!$I$15:$N$123,Q113+1,R113)</f>
        <v>0</v>
      </c>
    </row>
    <row r="114" spans="7:19">
      <c r="G114" s="123"/>
      <c r="P114" s="11">
        <v>100</v>
      </c>
      <c r="Q114" s="11">
        <f t="shared" si="8"/>
        <v>16</v>
      </c>
      <c r="R114" s="11">
        <f t="shared" si="9"/>
        <v>4</v>
      </c>
      <c r="S114" s="12" cm="1">
        <f t="array" ref="S114">INDEX('CancerEpisode-ConceptMap-2'!$I$15:$N$123,Q114+1,R114)</f>
        <v>0</v>
      </c>
    </row>
    <row r="115" spans="7:19">
      <c r="G115" s="123"/>
      <c r="P115" s="11">
        <v>101</v>
      </c>
      <c r="Q115" s="11">
        <f t="shared" si="8"/>
        <v>16</v>
      </c>
      <c r="R115" s="11">
        <f t="shared" si="9"/>
        <v>5</v>
      </c>
      <c r="S115" s="12" cm="1">
        <f t="array" ref="S115">INDEX('CancerEpisode-ConceptMap-2'!$I$15:$N$123,Q115+1,R115)</f>
        <v>0</v>
      </c>
    </row>
    <row r="116" spans="7:19">
      <c r="G116" s="123"/>
      <c r="P116" s="11">
        <v>102</v>
      </c>
      <c r="Q116" s="11">
        <f t="shared" si="8"/>
        <v>16</v>
      </c>
      <c r="R116" s="11">
        <f t="shared" si="9"/>
        <v>6</v>
      </c>
      <c r="S116" s="12" cm="1">
        <f t="array" ref="S116">INDEX('CancerEpisode-ConceptMap-2'!$I$15:$N$123,Q116+1,R116)</f>
        <v>0</v>
      </c>
    </row>
    <row r="117" spans="7:19">
      <c r="G117" s="123"/>
      <c r="P117" s="11">
        <v>103</v>
      </c>
      <c r="Q117" s="11">
        <f t="shared" si="8"/>
        <v>17</v>
      </c>
      <c r="R117" s="11">
        <f t="shared" si="9"/>
        <v>1</v>
      </c>
      <c r="S117" s="12" cm="1">
        <f t="array" ref="S117">INDEX('CancerEpisode-ConceptMap-2'!$I$15:$N$123,Q117+1,R117)</f>
        <v>0</v>
      </c>
    </row>
    <row r="118" spans="7:19">
      <c r="G118" s="123"/>
      <c r="P118" s="11">
        <v>104</v>
      </c>
      <c r="Q118" s="11">
        <f t="shared" si="8"/>
        <v>17</v>
      </c>
      <c r="R118" s="11">
        <f t="shared" si="9"/>
        <v>2</v>
      </c>
      <c r="S118" s="12" cm="1">
        <f t="array" ref="S118">INDEX('CancerEpisode-ConceptMap-2'!$I$15:$N$123,Q118+1,R118)</f>
        <v>0</v>
      </c>
    </row>
    <row r="119" spans="7:19">
      <c r="G119" s="123"/>
      <c r="P119" s="11">
        <v>105</v>
      </c>
      <c r="Q119" s="11">
        <f t="shared" si="8"/>
        <v>17</v>
      </c>
      <c r="R119" s="11">
        <f t="shared" si="9"/>
        <v>3</v>
      </c>
      <c r="S119" s="12" cm="1">
        <f t="array" ref="S119">INDEX('CancerEpisode-ConceptMap-2'!$I$15:$N$123,Q119+1,R119)</f>
        <v>0</v>
      </c>
    </row>
    <row r="120" spans="7:19">
      <c r="G120" s="123"/>
      <c r="P120" s="11">
        <v>106</v>
      </c>
      <c r="Q120" s="11">
        <f t="shared" si="8"/>
        <v>17</v>
      </c>
      <c r="R120" s="11">
        <f t="shared" si="9"/>
        <v>4</v>
      </c>
      <c r="S120" s="12" cm="1">
        <f t="array" ref="S120">INDEX('CancerEpisode-ConceptMap-2'!$I$15:$N$123,Q120+1,R120)</f>
        <v>0</v>
      </c>
    </row>
    <row r="121" spans="7:19">
      <c r="G121" s="123"/>
      <c r="P121" s="11">
        <v>107</v>
      </c>
      <c r="Q121" s="11">
        <f t="shared" si="8"/>
        <v>17</v>
      </c>
      <c r="R121" s="11">
        <f t="shared" si="9"/>
        <v>5</v>
      </c>
      <c r="S121" s="12" cm="1">
        <f t="array" ref="S121">INDEX('CancerEpisode-ConceptMap-2'!$I$15:$N$123,Q121+1,R121)</f>
        <v>0</v>
      </c>
    </row>
    <row r="122" spans="7:19">
      <c r="G122" s="123"/>
      <c r="P122" s="11">
        <v>108</v>
      </c>
      <c r="Q122" s="11">
        <f t="shared" si="8"/>
        <v>17</v>
      </c>
      <c r="R122" s="11">
        <f t="shared" si="9"/>
        <v>6</v>
      </c>
      <c r="S122" s="12" cm="1">
        <f t="array" ref="S122">INDEX('CancerEpisode-ConceptMap-2'!$I$15:$N$123,Q122+1,R122)</f>
        <v>0</v>
      </c>
    </row>
    <row r="123" spans="7:19">
      <c r="G123" s="123"/>
      <c r="P123" s="11">
        <v>109</v>
      </c>
      <c r="Q123" s="11">
        <f t="shared" si="8"/>
        <v>18</v>
      </c>
      <c r="R123" s="11">
        <f t="shared" si="9"/>
        <v>1</v>
      </c>
      <c r="S123" s="12" cm="1">
        <f t="array" ref="S123">INDEX('CancerEpisode-ConceptMap-2'!$I$15:$N$123,Q123+1,R123)</f>
        <v>0</v>
      </c>
    </row>
    <row r="124" spans="7:19">
      <c r="G124" s="123"/>
      <c r="P124" s="11">
        <v>110</v>
      </c>
      <c r="Q124" s="11">
        <f t="shared" si="8"/>
        <v>18</v>
      </c>
      <c r="R124" s="11">
        <f t="shared" si="9"/>
        <v>2</v>
      </c>
      <c r="S124" s="12" cm="1">
        <f t="array" ref="S124">INDEX('CancerEpisode-ConceptMap-2'!$I$15:$N$123,Q124+1,R124)</f>
        <v>0</v>
      </c>
    </row>
    <row r="125" spans="7:19">
      <c r="G125" s="123"/>
      <c r="P125" s="11">
        <v>111</v>
      </c>
      <c r="Q125" s="11">
        <f t="shared" si="8"/>
        <v>18</v>
      </c>
      <c r="R125" s="11">
        <f t="shared" si="9"/>
        <v>3</v>
      </c>
      <c r="S125" s="12" cm="1">
        <f t="array" ref="S125">INDEX('CancerEpisode-ConceptMap-2'!$I$15:$N$123,Q125+1,R125)</f>
        <v>0</v>
      </c>
    </row>
    <row r="126" spans="7:19">
      <c r="P126" s="11">
        <v>112</v>
      </c>
      <c r="Q126" s="11">
        <f t="shared" si="8"/>
        <v>18</v>
      </c>
      <c r="R126" s="11">
        <f t="shared" si="9"/>
        <v>4</v>
      </c>
      <c r="S126" s="12" cm="1">
        <f t="array" ref="S126">INDEX('CancerEpisode-ConceptMap-2'!$I$15:$N$123,Q126+1,R126)</f>
        <v>0</v>
      </c>
    </row>
    <row r="127" spans="7:19">
      <c r="P127" s="11">
        <v>113</v>
      </c>
      <c r="Q127" s="11">
        <f t="shared" si="8"/>
        <v>18</v>
      </c>
      <c r="R127" s="11">
        <f t="shared" si="9"/>
        <v>5</v>
      </c>
      <c r="S127" s="12" cm="1">
        <f t="array" ref="S127">INDEX('CancerEpisode-ConceptMap-2'!$I$15:$N$123,Q127+1,R127)</f>
        <v>0</v>
      </c>
    </row>
    <row r="128" spans="7:19">
      <c r="P128" s="11">
        <v>114</v>
      </c>
      <c r="Q128" s="11">
        <f t="shared" si="8"/>
        <v>18</v>
      </c>
      <c r="R128" s="11">
        <f t="shared" si="9"/>
        <v>6</v>
      </c>
      <c r="S128" s="12" cm="1">
        <f t="array" ref="S128">INDEX('CancerEpisode-ConceptMap-2'!$I$15:$N$123,Q128+1,R128)</f>
        <v>0</v>
      </c>
    </row>
    <row r="129" spans="16:19">
      <c r="P129" s="11">
        <v>115</v>
      </c>
      <c r="Q129" s="11">
        <f t="shared" si="8"/>
        <v>19</v>
      </c>
      <c r="R129" s="11">
        <f t="shared" si="9"/>
        <v>1</v>
      </c>
      <c r="S129" s="12" cm="1">
        <f t="array" ref="S129">INDEX('CancerEpisode-ConceptMap-2'!$I$15:$N$123,Q129+1,R129)</f>
        <v>0</v>
      </c>
    </row>
    <row r="130" spans="16:19">
      <c r="P130" s="11">
        <v>116</v>
      </c>
      <c r="Q130" s="11">
        <f t="shared" si="8"/>
        <v>19</v>
      </c>
      <c r="R130" s="11">
        <f t="shared" si="9"/>
        <v>2</v>
      </c>
      <c r="S130" s="12" cm="1">
        <f t="array" ref="S130">INDEX('CancerEpisode-ConceptMap-2'!$I$15:$N$123,Q130+1,R130)</f>
        <v>0</v>
      </c>
    </row>
    <row r="131" spans="16:19">
      <c r="P131" s="11">
        <v>117</v>
      </c>
      <c r="Q131" s="11">
        <f t="shared" si="8"/>
        <v>19</v>
      </c>
      <c r="R131" s="11">
        <f t="shared" si="9"/>
        <v>3</v>
      </c>
      <c r="S131" s="12" cm="1">
        <f t="array" ref="S131">INDEX('CancerEpisode-ConceptMap-2'!$I$15:$N$123,Q131+1,R131)</f>
        <v>0</v>
      </c>
    </row>
    <row r="132" spans="16:19">
      <c r="P132" s="11">
        <v>118</v>
      </c>
      <c r="Q132" s="11">
        <f t="shared" si="8"/>
        <v>19</v>
      </c>
      <c r="R132" s="11">
        <f t="shared" si="9"/>
        <v>4</v>
      </c>
      <c r="S132" s="12" cm="1">
        <f t="array" ref="S132">INDEX('CancerEpisode-ConceptMap-2'!$I$15:$N$123,Q132+1,R132)</f>
        <v>0</v>
      </c>
    </row>
    <row r="133" spans="16:19">
      <c r="P133" s="11">
        <v>119</v>
      </c>
      <c r="Q133" s="11">
        <f t="shared" si="8"/>
        <v>19</v>
      </c>
      <c r="R133" s="11">
        <f t="shared" si="9"/>
        <v>5</v>
      </c>
      <c r="S133" s="12" cm="1">
        <f t="array" ref="S133">INDEX('CancerEpisode-ConceptMap-2'!$I$15:$N$123,Q133+1,R133)</f>
        <v>0</v>
      </c>
    </row>
    <row r="134" spans="16:19">
      <c r="P134" s="11">
        <v>120</v>
      </c>
      <c r="Q134" s="11">
        <f t="shared" si="8"/>
        <v>19</v>
      </c>
      <c r="R134" s="11">
        <f t="shared" si="9"/>
        <v>6</v>
      </c>
      <c r="S134" s="12" cm="1">
        <f t="array" ref="S134">INDEX('CancerEpisode-ConceptMap-2'!$I$15:$N$123,Q134+1,R134)</f>
        <v>0</v>
      </c>
    </row>
    <row r="135" spans="16:19">
      <c r="P135" s="11">
        <v>121</v>
      </c>
      <c r="Q135" s="11">
        <f t="shared" si="8"/>
        <v>20</v>
      </c>
      <c r="R135" s="11">
        <f t="shared" si="9"/>
        <v>1</v>
      </c>
      <c r="S135" s="12" cm="1">
        <f t="array" ref="S135">INDEX('CancerEpisode-ConceptMap-2'!$I$15:$N$123,Q135+1,R135)</f>
        <v>0</v>
      </c>
    </row>
    <row r="136" spans="16:19">
      <c r="P136" s="11">
        <v>122</v>
      </c>
      <c r="Q136" s="11">
        <f t="shared" si="8"/>
        <v>20</v>
      </c>
      <c r="R136" s="11">
        <f t="shared" si="9"/>
        <v>2</v>
      </c>
      <c r="S136" s="12" cm="1">
        <f t="array" ref="S136">INDEX('CancerEpisode-ConceptMap-2'!$I$15:$N$123,Q136+1,R136)</f>
        <v>0</v>
      </c>
    </row>
    <row r="137" spans="16:19">
      <c r="P137" s="11">
        <v>123</v>
      </c>
      <c r="Q137" s="11">
        <f t="shared" si="8"/>
        <v>20</v>
      </c>
      <c r="R137" s="11">
        <f t="shared" si="9"/>
        <v>3</v>
      </c>
      <c r="S137" s="12" cm="1">
        <f t="array" ref="S137">INDEX('CancerEpisode-ConceptMap-2'!$I$15:$N$123,Q137+1,R137)</f>
        <v>0</v>
      </c>
    </row>
    <row r="138" spans="16:19">
      <c r="P138" s="11">
        <v>124</v>
      </c>
      <c r="Q138" s="11">
        <f t="shared" si="8"/>
        <v>20</v>
      </c>
      <c r="R138" s="11">
        <f t="shared" si="9"/>
        <v>4</v>
      </c>
      <c r="S138" s="12" cm="1">
        <f t="array" ref="S138">INDEX('CancerEpisode-ConceptMap-2'!$I$15:$N$123,Q138+1,R138)</f>
        <v>0</v>
      </c>
    </row>
    <row r="139" spans="16:19">
      <c r="P139" s="11">
        <v>125</v>
      </c>
      <c r="Q139" s="11">
        <f t="shared" si="8"/>
        <v>20</v>
      </c>
      <c r="R139" s="11">
        <f t="shared" si="9"/>
        <v>5</v>
      </c>
      <c r="S139" s="12" cm="1">
        <f t="array" ref="S139">INDEX('CancerEpisode-ConceptMap-2'!$I$15:$N$123,Q139+1,R139)</f>
        <v>0</v>
      </c>
    </row>
    <row r="140" spans="16:19">
      <c r="P140" s="11">
        <v>126</v>
      </c>
      <c r="Q140" s="11">
        <f t="shared" si="8"/>
        <v>20</v>
      </c>
      <c r="R140" s="11">
        <f t="shared" si="9"/>
        <v>6</v>
      </c>
      <c r="S140" s="12" cm="1">
        <f t="array" ref="S140">INDEX('CancerEpisode-ConceptMap-2'!$I$15:$N$123,Q140+1,R140)</f>
        <v>0</v>
      </c>
    </row>
    <row r="141" spans="16:19">
      <c r="P141" s="11">
        <v>127</v>
      </c>
      <c r="Q141" s="11">
        <f t="shared" si="8"/>
        <v>21</v>
      </c>
      <c r="R141" s="11">
        <f t="shared" si="9"/>
        <v>1</v>
      </c>
      <c r="S141" s="12" cm="1">
        <f t="array" ref="S141">INDEX('CancerEpisode-ConceptMap-2'!$I$15:$N$123,Q141+1,R141)</f>
        <v>0</v>
      </c>
    </row>
    <row r="142" spans="16:19">
      <c r="P142" s="11">
        <v>128</v>
      </c>
      <c r="Q142" s="11">
        <f t="shared" si="8"/>
        <v>21</v>
      </c>
      <c r="R142" s="11">
        <f t="shared" si="9"/>
        <v>2</v>
      </c>
      <c r="S142" s="12" cm="1">
        <f t="array" ref="S142">INDEX('CancerEpisode-ConceptMap-2'!$I$15:$N$123,Q142+1,R142)</f>
        <v>0</v>
      </c>
    </row>
    <row r="143" spans="16:19">
      <c r="P143" s="11">
        <v>129</v>
      </c>
      <c r="Q143" s="11">
        <f t="shared" ref="Q143:Q148" si="10">IF(MOD(P143,$Q$8)=0,P143/$Q$8-1,INT(P143/$Q$8))</f>
        <v>21</v>
      </c>
      <c r="R143" s="11">
        <f t="shared" ref="R143:R148" si="11">IF(MOD(P143,$Q$8)=0,$Q$8,MOD(P143,$Q$8))</f>
        <v>3</v>
      </c>
      <c r="S143" s="12" cm="1">
        <f t="array" ref="S143">INDEX('CancerEpisode-ConceptMap-2'!$I$15:$N$123,Q143+1,R143)</f>
        <v>0</v>
      </c>
    </row>
    <row r="144" spans="16:19">
      <c r="P144" s="11">
        <v>130</v>
      </c>
      <c r="Q144" s="11">
        <f t="shared" si="10"/>
        <v>21</v>
      </c>
      <c r="R144" s="11">
        <f t="shared" si="11"/>
        <v>4</v>
      </c>
      <c r="S144" s="12" cm="1">
        <f t="array" ref="S144">INDEX('CancerEpisode-ConceptMap-2'!$I$15:$N$123,Q144+1,R144)</f>
        <v>0</v>
      </c>
    </row>
    <row r="145" spans="16:19">
      <c r="P145" s="11">
        <v>131</v>
      </c>
      <c r="Q145" s="11">
        <f t="shared" si="10"/>
        <v>21</v>
      </c>
      <c r="R145" s="11">
        <f t="shared" si="11"/>
        <v>5</v>
      </c>
      <c r="S145" s="12" cm="1">
        <f t="array" ref="S145">INDEX('CancerEpisode-ConceptMap-2'!$I$15:$N$123,Q145+1,R145)</f>
        <v>0</v>
      </c>
    </row>
    <row r="146" spans="16:19">
      <c r="P146" s="11">
        <v>132</v>
      </c>
      <c r="Q146" s="11">
        <f t="shared" si="10"/>
        <v>21</v>
      </c>
      <c r="R146" s="11">
        <f t="shared" si="11"/>
        <v>6</v>
      </c>
      <c r="S146" s="12" cm="1">
        <f t="array" ref="S146">INDEX('CancerEpisode-ConceptMap-2'!$I$15:$N$123,Q146+1,R146)</f>
        <v>0</v>
      </c>
    </row>
    <row r="147" spans="16:19">
      <c r="P147" s="11">
        <v>133</v>
      </c>
      <c r="Q147" s="11">
        <f t="shared" si="10"/>
        <v>22</v>
      </c>
      <c r="R147" s="11">
        <f t="shared" si="11"/>
        <v>1</v>
      </c>
      <c r="S147" s="12"/>
    </row>
    <row r="148" spans="16:19">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workbookViewId="0">
      <selection activeCell="G21" sqref="G21"/>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1777</v>
      </c>
    </row>
    <row r="3" spans="2:7">
      <c r="B3" s="24" t="s">
        <v>20</v>
      </c>
    </row>
    <row r="4" spans="2:7">
      <c r="B4" s="65" t="str">
        <f>"Instance: "&amp;'CancerEpisode-ConceptMap-1'!C4</f>
        <v>Instance: cancerEpisode2FHIR</v>
      </c>
    </row>
    <row r="5" spans="2:7">
      <c r="B5" s="65" t="s">
        <v>1447</v>
      </c>
    </row>
    <row r="6" spans="2:7">
      <c r="B6" s="65" t="s">
        <v>1438</v>
      </c>
    </row>
    <row r="7" spans="2:7">
      <c r="B7" s="65" t="s">
        <v>1776</v>
      </c>
    </row>
    <row r="8" spans="2:7">
      <c r="B8" s="65" t="str">
        <f>"* name = ##34#"&amp;'CancerEpisode-ConceptMap-1'!C3&amp;"##34#"</f>
        <v>* name = ##34#CancerEpisode2FHIR##34#</v>
      </c>
    </row>
    <row r="9" spans="2:7">
      <c r="B9" s="65" t="str">
        <f>"* title = ##34#"&amp;'CancerEpisode-ConceptMap-1'!C5&amp;"##34#"</f>
        <v>* title = ##34#Cancer Episode Model to this guide Map##34#</v>
      </c>
    </row>
    <row r="10" spans="2:7">
      <c r="B10" s="65" t="s">
        <v>1439</v>
      </c>
    </row>
    <row r="11" spans="2:7">
      <c r="B11" s="65" t="s">
        <v>1440</v>
      </c>
    </row>
    <row r="12" spans="2:7">
      <c r="B12" s="65" t="str">
        <f>"* description = ##34#"&amp;'CancerEpisode-ConceptMap-1'!C8&amp;"##34#"</f>
        <v>* description = ##34#Cancer Episode Model to this guide Map##34#</v>
      </c>
    </row>
    <row r="13" spans="2:7">
      <c r="B13" s="65" t="str">
        <f>"* purpose = ##34#"&amp;'CancerEpisode-ConceptMap-1'!C9&amp;"##34#"</f>
        <v>* purpose = ##34#It shows how the Cancer Episode model is mapped into this guide##34#</v>
      </c>
    </row>
    <row r="14" spans="2:7">
      <c r="B14" s="69" t="str">
        <f>"* sourceUri = ##34#"&amp;'CancerEpisode-ConceptMap-1'!E3&amp;"##34#"</f>
        <v>* sourceUri = ##34#http://hl7.eu/fhir/ig/idea4rc/StructureDefinition/CancerEpisode##34#</v>
      </c>
    </row>
    <row r="15" spans="2:7">
      <c r="B15" s="69" t="str">
        <f>"* targetUri = ##34#"&amp;'CancerEpisode-ConceptMap-1'!E4&amp;"##34#"</f>
        <v>* targetUri = ##34#http://hl7.eu/fhir/ig/idea4rc/StructureDefinition/Condition-primaryCancer-eu-i4rc##34#</v>
      </c>
    </row>
    <row r="16" spans="2:7">
      <c r="B16" s="68" t="str">
        <f>"* group[+].source = ##34#"&amp;'CancerEpisode-ConceptMap-1'!E6&amp;"##34#"</f>
        <v>* group[+].source = ##34#http://hl7.eu/fhir/ig/idea4rc/StructureDefinition/CancerEpisode##34#</v>
      </c>
    </row>
    <row r="17" spans="2:7">
      <c r="B17" s="68" t="str">
        <f>"* group[=].target = ##34#"&amp;'CancerEpisode-ConceptMap-1'!E7&amp;"##34#"</f>
        <v>* group[=].target = ##34#http://hl7.eu/fhir/ig/idea4rc/StructureDefinition/Condition-primaryCancer-eu-i4rc##34#</v>
      </c>
    </row>
    <row r="18" spans="2:7">
      <c r="B18" s="121"/>
    </row>
    <row r="19" spans="2:7">
      <c r="B19" s="12" t="str">
        <f>IF('CancerEpisode-ConceptMap-1'!S15=0,"//---END",'CancerEpisode-ConceptMap-1'!S15)</f>
        <v>* group[=].element[+].code = #CancerEpisode.patient</v>
      </c>
    </row>
    <row r="20" spans="2:7">
      <c r="B20" s="12" t="str">
        <f>IF('CancerEpisode-ConceptMap-1'!S16=0,"//---END",'CancerEpisode-ConceptMap-1'!S16)</f>
        <v>* group[=].element[=].display = ##34#Patient##34#</v>
      </c>
    </row>
    <row r="21" spans="2:7">
      <c r="B21" s="12" t="str">
        <f>IF('CancerEpisode-ConceptMap-1'!S18=0,"//---END",'CancerEpisode-ConceptMap-1'!S18)</f>
        <v>* group[=].element[=].target.code = #Condition.subject</v>
      </c>
    </row>
    <row r="22" spans="2:7">
      <c r="B22" s="12" t="str">
        <f>IF('CancerEpisode-ConceptMap-1'!S19=0,"//---END",'CancerEpisode-ConceptMap-1'!S19)</f>
        <v>* group[=].element[=].target.display = ##34###34#</v>
      </c>
    </row>
    <row r="23" spans="2:7">
      <c r="B23" s="12" t="str">
        <f>IF('CancerEpisode-ConceptMap-1'!S21=0,"//---END",'CancerEpisode-ConceptMap-1'!S21)</f>
        <v>* group[=].element[=].target.equivalence = #equivalent</v>
      </c>
    </row>
    <row r="24" spans="2:7">
      <c r="B24" s="12" t="str">
        <f>IF('CancerEpisode-ConceptMap-1'!S22=0,"//---END",'CancerEpisode-ConceptMap-1'!S22)</f>
        <v/>
      </c>
      <c r="G24" s="7"/>
    </row>
    <row r="25" spans="2:7">
      <c r="B25" s="12" t="str">
        <f>IF('CancerEpisode-ConceptMap-1'!S23=0,"//---END",'CancerEpisode-ConceptMap-1'!S23)</f>
        <v>* group[=].element[+].code = #CancerEpisode.dateOfDiagnosis</v>
      </c>
    </row>
    <row r="26" spans="2:7">
      <c r="B26" s="12" t="str">
        <f>IF('CancerEpisode-ConceptMap-1'!S24=0,"//---END",'CancerEpisode-ConceptMap-1'!S24)</f>
        <v>* group[=].element[=].display = ##34#Date of diagnosis (biopsy or surgical piece)##34#</v>
      </c>
    </row>
    <row r="27" spans="2:7">
      <c r="B27" s="12" t="str">
        <f>IF('CancerEpisode-ConceptMap-1'!S25=0,"//---END",'CancerEpisode-ConceptMap-1'!S25)</f>
        <v>* group[=].element[=].target.code = #Condition.extension:assertedDate.valueDateTime</v>
      </c>
    </row>
    <row r="28" spans="2:7">
      <c r="B28" s="12" t="str">
        <f>IF('CancerEpisode-ConceptMap-1'!S26=0,"//---END",'CancerEpisode-ConceptMap-1'!S26)</f>
        <v>* group[=].element[=].target.display = ##34###34#</v>
      </c>
    </row>
    <row r="29" spans="2:7">
      <c r="B29" s="12" t="str">
        <f>IF('CancerEpisode-ConceptMap-1'!S27=0,"//---END",'CancerEpisode-ConceptMap-1'!S27)</f>
        <v>* group[=].element[=].target.equivalence = #relatedto</v>
      </c>
    </row>
    <row r="30" spans="2:7">
      <c r="B30" s="12" t="str">
        <f>IF('CancerEpisode-ConceptMap-1'!S28=0,"//---END",'CancerEpisode-ConceptMap-1'!S28)</f>
        <v>* group[=].element[=].target.comment = ##34#to be checked##34#</v>
      </c>
    </row>
    <row r="31" spans="2:7">
      <c r="B31" s="12" t="str">
        <f>IF('CancerEpisode-ConceptMap-1'!S29=0,"//---END",'CancerEpisode-ConceptMap-1'!S29)</f>
        <v>//---END</v>
      </c>
    </row>
    <row r="32" spans="2:7">
      <c r="B32" s="12" t="str">
        <f>IF('CancerEpisode-ConceptMap-1'!S30=0,"//---END",'CancerEpisode-ConceptMap-1'!S30)</f>
        <v>//---END</v>
      </c>
    </row>
    <row r="33" spans="2:2">
      <c r="B33" s="12" t="str">
        <f>IF('CancerEpisode-ConceptMap-1'!S31=0,"//---END",'CancerEpisode-ConceptMap-1'!S31)</f>
        <v>//---END</v>
      </c>
    </row>
    <row r="34" spans="2:2">
      <c r="B34" s="12" t="str">
        <f>IF('CancerEpisode-ConceptMap-1'!S32=0,"//---END",'CancerEpisode-ConceptMap-1'!S32)</f>
        <v>//---END</v>
      </c>
    </row>
    <row r="35" spans="2:2">
      <c r="B35" s="12" t="str">
        <f>IF('CancerEpisode-ConceptMap-1'!S33=0,"//---END",'CancerEpisode-ConceptMap-1'!S33)</f>
        <v>//---END</v>
      </c>
    </row>
    <row r="36" spans="2:2">
      <c r="B36" s="12" t="str">
        <f>IF('CancerEpisode-ConceptMap-1'!S34=0,"//---END",'CancerEpisode-ConceptMap-1'!S34)</f>
        <v>//---END</v>
      </c>
    </row>
    <row r="37" spans="2:2">
      <c r="B37" s="12" t="str">
        <f>IF('CancerEpisode-ConceptMap-1'!S35=0,"//---END",'CancerEpisode-ConceptMap-1'!S35)</f>
        <v>* group[=].element[+].code = #CancerEpisode.biopsyDoneBy</v>
      </c>
    </row>
    <row r="38" spans="2:2">
      <c r="B38" s="12" t="str">
        <f>IF('CancerEpisode-ConceptMap-1'!S36=0,"//---END",'CancerEpisode-ConceptMap-1'!S36)</f>
        <v>* group[=].element[=].display = ##34#Biopsy done by##34#</v>
      </c>
    </row>
    <row r="39" spans="2:2">
      <c r="B39" s="12" t="str">
        <f>IF('CancerEpisode-ConceptMap-1'!S37=0,"//---END",'CancerEpisode-ConceptMap-1'!S37)</f>
        <v>* group[=].element[=].target.code = #Condition.evidence:diagnosisDetails.detail.performer</v>
      </c>
    </row>
    <row r="40" spans="2:2">
      <c r="B40" s="12" t="str">
        <f>IF('CancerEpisode-ConceptMap-1'!S38=0,"//---END",'CancerEpisode-ConceptMap-1'!S38)</f>
        <v>* group[=].element[=].target.display = ##34###34#</v>
      </c>
    </row>
    <row r="41" spans="2:2">
      <c r="B41" s="12" t="str">
        <f>IF('CancerEpisode-ConceptMap-1'!S39=0,"//---END",'CancerEpisode-ConceptMap-1'!S39)</f>
        <v>* group[=].element[=].target.equivalence = #relatedto</v>
      </c>
    </row>
    <row r="42" spans="2:2" ht="29.5">
      <c r="B42" s="12" t="str">
        <f>IF('CancerEpisode-ConceptMap-1'!S40=0,"//---END",'CancerEpisode-ConceptMap-1'!S40)</f>
        <v>* group[=].element[=].target.comment = ##34#detail  id ofType Observation and conformsTo http://hl7.eu/fhir/ig/idea4rc/StructureDefinition/Observation-diagnosis-eu-i4rc##34#</v>
      </c>
    </row>
    <row r="43" spans="2:2">
      <c r="B43" s="12" t="str">
        <f>IF('CancerEpisode-ConceptMap-1'!S41=0,"//---END",'CancerEpisode-ConceptMap-1'!S41)</f>
        <v>* group[=].element[+].code = #CancerEpisode.ageAtDiagnosis</v>
      </c>
    </row>
    <row r="44" spans="2:2">
      <c r="B44" s="12" t="str">
        <f>IF('CancerEpisode-ConceptMap-1'!S42=0,"//---END",'CancerEpisode-ConceptMap-1'!S42)</f>
        <v>* group[=].element[=].display = ##34#Age at diagnosis##34#</v>
      </c>
    </row>
    <row r="45" spans="2:2">
      <c r="B45" s="12" t="str">
        <f>IF('CancerEpisode-ConceptMap-1'!S43=0,"//---END",'CancerEpisode-ConceptMap-1'!S43)</f>
        <v>* group[=].element[=].target.code = #Condition.onsetAge</v>
      </c>
    </row>
    <row r="46" spans="2:2">
      <c r="B46" s="12" t="str">
        <f>IF('CancerEpisode-ConceptMap-1'!S44=0,"//---END",'CancerEpisode-ConceptMap-1'!S44)</f>
        <v>* group[=].element[=].target.display = ##34###34#</v>
      </c>
    </row>
    <row r="47" spans="2:2">
      <c r="B47" s="12" t="str">
        <f>IF('CancerEpisode-ConceptMap-1'!S45=0,"//---END",'CancerEpisode-ConceptMap-1'!S45)</f>
        <v>* group[=].element[=].target.equivalence = #equal</v>
      </c>
    </row>
    <row r="48" spans="2:2">
      <c r="B48" s="12" t="str">
        <f>IF('CancerEpisode-ConceptMap-1'!S46=0,"//---END",'CancerEpisode-ConceptMap-1'!S46)</f>
        <v>* group[=].element[=].target.comment = ##34#to be checked if an onSetdatTime or period is needed##34#</v>
      </c>
    </row>
    <row r="49" spans="2:2">
      <c r="B49" s="12" t="str">
        <f>IF('CancerEpisode-ConceptMap-1'!S47=0,"//---END",'CancerEpisode-ConceptMap-1'!S47)</f>
        <v>//---END</v>
      </c>
    </row>
    <row r="50" spans="2:2">
      <c r="B50" s="12" t="str">
        <f>IF('CancerEpisode-ConceptMap-1'!S48=0,"//---END",'CancerEpisode-ConceptMap-1'!S48)</f>
        <v>//---END</v>
      </c>
    </row>
    <row r="51" spans="2:2">
      <c r="B51" s="12" t="str">
        <f>IF('CancerEpisode-ConceptMap-1'!S49=0,"//---END",'CancerEpisode-ConceptMap-1'!S49)</f>
        <v>//---END</v>
      </c>
    </row>
    <row r="52" spans="2:2">
      <c r="B52" s="12" t="str">
        <f>IF('CancerEpisode-ConceptMap-1'!S50=0,"//---END",'CancerEpisode-ConceptMap-1'!S50)</f>
        <v>//---END</v>
      </c>
    </row>
    <row r="53" spans="2:2">
      <c r="B53" s="12" t="str">
        <f>IF('CancerEpisode-ConceptMap-1'!S51=0,"//---END",'CancerEpisode-ConceptMap-1'!S51)</f>
        <v>//---END</v>
      </c>
    </row>
    <row r="54" spans="2:2">
      <c r="B54" s="12" t="str">
        <f>IF('CancerEpisode-ConceptMap-1'!S52=0,"//---END",'CancerEpisode-ConceptMap-1'!S52)</f>
        <v>//---END</v>
      </c>
    </row>
    <row r="55" spans="2:2">
      <c r="B55" s="12" t="str">
        <f>IF('CancerEpisode-ConceptMap-1'!S53=0,"//---END",'CancerEpisode-ConceptMap-1'!S53)</f>
        <v>* group[=].element[+].code = #CancerEpisode.grading</v>
      </c>
    </row>
    <row r="56" spans="2:2">
      <c r="B56" s="12" t="str">
        <f>IF('CancerEpisode-ConceptMap-1'!S54=0,"//---END",'CancerEpisode-ConceptMap-1'!S54)</f>
        <v>* group[=].element[=].display = ##34#Grading##34#</v>
      </c>
    </row>
    <row r="57" spans="2:2">
      <c r="B57" s="12" t="str">
        <f>IF('CancerEpisode-ConceptMap-1'!S55=0,"//---END",'CancerEpisode-ConceptMap-1'!S55)</f>
        <v>* group[=].element[=].target.code = #Condition.stage.summary</v>
      </c>
    </row>
    <row r="58" spans="2:2">
      <c r="B58" s="12" t="str">
        <f>IF('CancerEpisode-ConceptMap-1'!S56=0,"//---END",'CancerEpisode-ConceptMap-1'!S56)</f>
        <v>* group[=].element[=].target.display = ##34###34#</v>
      </c>
    </row>
    <row r="59" spans="2:2">
      <c r="B59" s="12" t="str">
        <f>IF('CancerEpisode-ConceptMap-1'!S57=0,"//---END",'CancerEpisode-ConceptMap-1'!S57)</f>
        <v>* group[=].element[=].target.equivalence = #relatedto</v>
      </c>
    </row>
    <row r="60" spans="2:2">
      <c r="B60" s="12" t="str">
        <f>IF('CancerEpisode-ConceptMap-1'!S58=0,"//---END",'CancerEpisode-ConceptMap-1'!S58)</f>
        <v>* group[=].element[=].target.comment = ##34#to be checked##34#</v>
      </c>
    </row>
    <row r="61" spans="2:2">
      <c r="B61" s="12" t="e">
        <f>IF('CancerEpisode-ConceptMap-1'!S59=0,"//---END",'CancerEpisode-ConceptMap-1'!S59)</f>
        <v>#REF!</v>
      </c>
    </row>
    <row r="62" spans="2:2">
      <c r="B62" s="12" t="e">
        <f>IF('CancerEpisode-ConceptMap-1'!S60=0,"//---END",'CancerEpisode-ConceptMap-1'!S60)</f>
        <v>#REF!</v>
      </c>
    </row>
    <row r="63" spans="2:2">
      <c r="B63" s="12" t="str">
        <f>IF('CancerEpisode-ConceptMap-1'!S61=0,"//---END",'CancerEpisode-ConceptMap-1'!S61)</f>
        <v>* group[=].element[=].target.code = #Condition.extension:histologyMorphologyBehavior.valueCodeableConcept</v>
      </c>
    </row>
    <row r="64" spans="2:2">
      <c r="B64" s="12" t="str">
        <f>IF('CancerEpisode-ConceptMap-1'!S62=0,"//---END",'CancerEpisode-ConceptMap-1'!S62)</f>
        <v>* group[=].element[=].target.display = ##34###34#</v>
      </c>
    </row>
    <row r="65" spans="2:2">
      <c r="B65" s="12" t="str">
        <f>IF('CancerEpisode-ConceptMap-1'!S63=0,"//---END",'CancerEpisode-ConceptMap-1'!S63)</f>
        <v>* group[=].element[=].target.equivalence = #relatedto</v>
      </c>
    </row>
    <row r="66" spans="2:2" ht="29.5">
      <c r="B66" s="12" t="str">
        <f>IF('CancerEpisode-ConceptMap-1'!S64=0,"//---END",'CancerEpisode-ConceptMap-1'!S64)</f>
        <v>* group[=].element[=].target.comment = ##34#to be checked. How to manage this with the other subgroups. To be seen if a multiconding approach is sufficient##34#</v>
      </c>
    </row>
    <row r="67" spans="2:2">
      <c r="B67" s="12" t="str">
        <f>IF('CancerEpisode-ConceptMap-1'!S65=0,"//---END",'CancerEpisode-ConceptMap-1'!S65)</f>
        <v>* group[=].element[+].code = #CancerEpisode.histologySubGroup</v>
      </c>
    </row>
    <row r="68" spans="2:2">
      <c r="B68" s="12" t="str">
        <f>IF('CancerEpisode-ConceptMap-1'!S66=0,"//---END",'CancerEpisode-ConceptMap-1'!S66)</f>
        <v>* group[=].element[=].display = ##34#Histology Subgroups##34#</v>
      </c>
    </row>
    <row r="69" spans="2:2">
      <c r="B69" s="12" t="str">
        <f>IF('CancerEpisode-ConceptMap-1'!S67=0,"//---END",'CancerEpisode-ConceptMap-1'!S67)</f>
        <v>* group[=].element[=].target.code = #Condition.code</v>
      </c>
    </row>
    <row r="70" spans="2:2">
      <c r="B70" s="12" t="str">
        <f>IF('CancerEpisode-ConceptMap-1'!S68=0,"//---END",'CancerEpisode-ConceptMap-1'!S68)</f>
        <v>* group[=].element[=].target.display = ##34###34#</v>
      </c>
    </row>
    <row r="71" spans="2:2">
      <c r="B71" s="12" t="str">
        <f>IF('CancerEpisode-ConceptMap-1'!S69=0,"//---END",'CancerEpisode-ConceptMap-1'!S69)</f>
        <v>* group[=].element[=].target.equivalence = #relatedto</v>
      </c>
    </row>
    <row r="72" spans="2:2">
      <c r="B72" s="12" t="str">
        <f>IF('CancerEpisode-ConceptMap-1'!S70=0,"//---END",'CancerEpisode-ConceptMap-1'!S70)</f>
        <v>* group[=].element[=].target.comment = ##34#To be checked, linked to the code since the concpet includes both morhphology and topography##34#</v>
      </c>
    </row>
    <row r="73" spans="2:2">
      <c r="B73" s="12" t="str">
        <f>IF('CancerEpisode-ConceptMap-1'!S71=0,"//---END",'CancerEpisode-ConceptMap-1'!S71)</f>
        <v>* group[=].element[+].code = #CancerEpisode.histologySubGroup.histologySquamous</v>
      </c>
    </row>
    <row r="74" spans="2:2">
      <c r="B74" s="12" t="str">
        <f>IF('CancerEpisode-ConceptMap-1'!S72=0,"//---END",'CancerEpisode-ConceptMap-1'!S72)</f>
        <v>* group[=].element[=].display = ##34#Histology Squamous##34#</v>
      </c>
    </row>
    <row r="75" spans="2:2">
      <c r="B75" s="12" t="str">
        <f>IF('CancerEpisode-ConceptMap-1'!S73=0,"//---END",'CancerEpisode-ConceptMap-1'!S73)</f>
        <v>* group[=].element[=].target.code = #Condition.code</v>
      </c>
    </row>
    <row r="76" spans="2:2">
      <c r="B76" s="12" t="str">
        <f>IF('CancerEpisode-ConceptMap-1'!S74=0,"//---END",'CancerEpisode-ConceptMap-1'!S74)</f>
        <v>* group[=].element[=].target.display = ##34###34#</v>
      </c>
    </row>
    <row r="77" spans="2:2">
      <c r="B77" s="12" t="str">
        <f>IF('CancerEpisode-ConceptMap-1'!S75=0,"//---END",'CancerEpisode-ConceptMap-1'!S75)</f>
        <v>* group[=].element[=].target.equivalence = #relatedto</v>
      </c>
    </row>
    <row r="78" spans="2:2">
      <c r="B78" s="12" t="str">
        <f>IF('CancerEpisode-ConceptMap-1'!S76=0,"//---END",'CancerEpisode-ConceptMap-1'!S76)</f>
        <v>* group[=].element[=].target.comment = ##34#To be checked, linked to the code since the concpet includes both morhphology and topography##34#</v>
      </c>
    </row>
    <row r="79" spans="2:2">
      <c r="B79" s="12" t="str">
        <f>IF('CancerEpisode-ConceptMap-1'!S77=0,"//---END",'CancerEpisode-ConceptMap-1'!S77)</f>
        <v>* group[=].element[+].code = #CancerEpisode.histologySubGroup.histologyAdenocarcinoma</v>
      </c>
    </row>
    <row r="80" spans="2:2">
      <c r="B80" s="12" t="str">
        <f>IF('CancerEpisode-ConceptMap-1'!S78=0,"//---END",'CancerEpisode-ConceptMap-1'!S78)</f>
        <v>* group[=].element[=].display = ##34#Histology Adenocarcinoma##34#</v>
      </c>
    </row>
    <row r="81" spans="2:2">
      <c r="B81" s="12" t="str">
        <f>IF('CancerEpisode-ConceptMap-1'!S79=0,"//---END",'CancerEpisode-ConceptMap-1'!S79)</f>
        <v>* group[=].element[=].target.code = #Condition.code</v>
      </c>
    </row>
    <row r="82" spans="2:2">
      <c r="B82" s="12" t="str">
        <f>IF('CancerEpisode-ConceptMap-1'!S80=0,"//---END",'CancerEpisode-ConceptMap-1'!S80)</f>
        <v>* group[=].element[=].target.display = ##34###34#</v>
      </c>
    </row>
    <row r="83" spans="2:2">
      <c r="B83" s="12" t="str">
        <f>IF('CancerEpisode-ConceptMap-1'!S81=0,"//---END",'CancerEpisode-ConceptMap-1'!S81)</f>
        <v>* group[=].element[=].target.equivalence = #relatedto</v>
      </c>
    </row>
    <row r="84" spans="2:2">
      <c r="B84" s="12" t="str">
        <f>IF('CancerEpisode-ConceptMap-1'!S82=0,"//---END",'CancerEpisode-ConceptMap-1'!S82)</f>
        <v>* group[=].element[=].target.comment = ##34#To be checked, linked to the code since the concpet includes both morhphology and topography##34#</v>
      </c>
    </row>
    <row r="85" spans="2:2">
      <c r="B85" s="12" t="str">
        <f>IF('CancerEpisode-ConceptMap-1'!S83=0,"//---END",'CancerEpisode-ConceptMap-1'!S83)</f>
        <v>* group[=].element[+].code = #CancerEpisode.histologySubGroup.histologyNeuroendocrine</v>
      </c>
    </row>
    <row r="86" spans="2:2">
      <c r="B86" s="12" t="str">
        <f>IF('CancerEpisode-ConceptMap-1'!S84=0,"//---END",'CancerEpisode-ConceptMap-1'!S84)</f>
        <v>* group[=].element[=].display = ##34#Histology Neuroendocrine##34#</v>
      </c>
    </row>
    <row r="87" spans="2:2">
      <c r="B87" s="12" t="str">
        <f>IF('CancerEpisode-ConceptMap-1'!S85=0,"//---END",'CancerEpisode-ConceptMap-1'!S85)</f>
        <v>* group[=].element[=].target.code = #Condition.code</v>
      </c>
    </row>
    <row r="88" spans="2:2">
      <c r="B88" s="12" t="str">
        <f>IF('CancerEpisode-ConceptMap-1'!S86=0,"//---END",'CancerEpisode-ConceptMap-1'!S86)</f>
        <v>* group[=].element[=].target.display = ##34###34#</v>
      </c>
    </row>
    <row r="89" spans="2:2">
      <c r="B89" s="12" t="str">
        <f>IF('CancerEpisode-ConceptMap-1'!S87=0,"//---END",'CancerEpisode-ConceptMap-1'!S87)</f>
        <v>* group[=].element[=].target.equivalence = #relatedto</v>
      </c>
    </row>
    <row r="90" spans="2:2">
      <c r="B90" s="12" t="str">
        <f>IF('CancerEpisode-ConceptMap-1'!S88=0,"//---END",'CancerEpisode-ConceptMap-1'!S88)</f>
        <v>* group[=].element[=].target.comment = ##34#To be checked, linked to the code since the concpet includes both morhphology and topography##34#</v>
      </c>
    </row>
    <row r="91" spans="2:2">
      <c r="B91" s="12" t="str">
        <f>IF('CancerEpisode-ConceptMap-1'!S89=0,"//---END",'CancerEpisode-ConceptMap-1'!S89)</f>
        <v>* group[=].element[+].code = #CancerEpisode.histologySubGroup.histologyOdontogenicCarcinoma</v>
      </c>
    </row>
    <row r="92" spans="2:2">
      <c r="B92" s="12" t="str">
        <f>IF('CancerEpisode-ConceptMap-1'!S90=0,"//---END",'CancerEpisode-ConceptMap-1'!S90)</f>
        <v>* group[=].element[=].display = ##34#Histology Odontogenic Carcinoma##34#</v>
      </c>
    </row>
    <row r="93" spans="2:2">
      <c r="B93" s="12" t="str">
        <f>IF('CancerEpisode-ConceptMap-1'!S91=0,"//---END",'CancerEpisode-ConceptMap-1'!S91)</f>
        <v>* group[=].element[=].target.code = #Condition.code</v>
      </c>
    </row>
    <row r="94" spans="2:2">
      <c r="B94" s="12" t="str">
        <f>IF('CancerEpisode-ConceptMap-1'!S92=0,"//---END",'CancerEpisode-ConceptMap-1'!S92)</f>
        <v>* group[=].element[=].target.display = ##34###34#</v>
      </c>
    </row>
    <row r="95" spans="2:2">
      <c r="B95" s="12" t="str">
        <f>IF('CancerEpisode-ConceptMap-1'!S93=0,"//---END",'CancerEpisode-ConceptMap-1'!S93)</f>
        <v>* group[=].element[=].target.equivalence = #relatedto</v>
      </c>
    </row>
    <row r="96" spans="2:2">
      <c r="B96" s="12" t="str">
        <f>IF('CancerEpisode-ConceptMap-1'!S94=0,"//---END",'CancerEpisode-ConceptMap-1'!S94)</f>
        <v>* group[=].element[=].target.comment = ##34#To be checked, linked to the code since the concpet includes both morhphology and topography##34#</v>
      </c>
    </row>
    <row r="97" spans="2:2">
      <c r="B97" s="12" t="str">
        <f>IF('CancerEpisode-ConceptMap-1'!S95=0,"//---END",'CancerEpisode-ConceptMap-1'!S95)</f>
        <v>* group[=].element[+].code = #CancerEpisode.histologySubGroup.histologySNUC</v>
      </c>
    </row>
    <row r="98" spans="2:2">
      <c r="B98" s="12" t="str">
        <f>IF('CancerEpisode-ConceptMap-1'!S96=0,"//---END",'CancerEpisode-ConceptMap-1'!S96)</f>
        <v>* group[=].element[=].display = ##34#Histology Sinonasal undifferentiated carcinoma##34#</v>
      </c>
    </row>
    <row r="99" spans="2:2">
      <c r="B99" s="12" t="str">
        <f>IF('CancerEpisode-ConceptMap-1'!S97=0,"//---END",'CancerEpisode-ConceptMap-1'!S97)</f>
        <v>* group[=].element[=].target.code = #Condition.code</v>
      </c>
    </row>
    <row r="100" spans="2:2">
      <c r="B100" s="12" t="str">
        <f>IF('CancerEpisode-ConceptMap-1'!S98=0,"//---END",'CancerEpisode-ConceptMap-1'!S98)</f>
        <v>* group[=].element[=].target.display = ##34###34#</v>
      </c>
    </row>
    <row r="101" spans="2:2">
      <c r="B101" s="12" t="str">
        <f>IF('CancerEpisode-ConceptMap-1'!S99=0,"//---END",'CancerEpisode-ConceptMap-1'!S99)</f>
        <v>* group[=].element[=].target.equivalence = #relatedto</v>
      </c>
    </row>
    <row r="102" spans="2:2">
      <c r="B102" s="12" t="str">
        <f>IF('CancerEpisode-ConceptMap-1'!S100=0,"//---END",'CancerEpisode-ConceptMap-1'!S100)</f>
        <v>* group[=].element[=].target.comment = ##34#To be checked, linked to the code since the concpet includes both morhphology and topography##34#</v>
      </c>
    </row>
    <row r="103" spans="2:2">
      <c r="B103" s="12" t="str">
        <f>IF('CancerEpisode-ConceptMap-1'!S101=0,"//---END",'CancerEpisode-ConceptMap-1'!S101)</f>
        <v>* group[=].element[+].code = #CancerEpisode.subsites.nasalCavityAndParanasalSinusesSubsite</v>
      </c>
    </row>
    <row r="104" spans="2:2">
      <c r="B104" s="12" t="str">
        <f>IF('CancerEpisode-ConceptMap-1'!S102=0,"//---END",'CancerEpisode-ConceptMap-1'!S102)</f>
        <v>* group[=].element[=].display = ##34#Nasal cavity and paranasal sinuses subsite##34#</v>
      </c>
    </row>
    <row r="105" spans="2:2">
      <c r="B105" s="12" t="str">
        <f>IF('CancerEpisode-ConceptMap-1'!S103=0,"//---END",'CancerEpisode-ConceptMap-1'!S103)</f>
        <v>* group[=].element[=].target.code = #Condition.code</v>
      </c>
    </row>
    <row r="106" spans="2:2">
      <c r="B106" s="12" t="str">
        <f>IF('CancerEpisode-ConceptMap-1'!S104=0,"//---END",'CancerEpisode-ConceptMap-1'!S104)</f>
        <v>* group[=].element[=].target.display = ##34###34#</v>
      </c>
    </row>
    <row r="107" spans="2:2">
      <c r="B107" s="12" t="str">
        <f>IF('CancerEpisode-ConceptMap-1'!S105=0,"//---END",'CancerEpisode-ConceptMap-1'!S105)</f>
        <v>* group[=].element[=].target.equivalence = #relatedto</v>
      </c>
    </row>
    <row r="108" spans="2:2">
      <c r="B108" s="12" t="str">
        <f>IF('CancerEpisode-ConceptMap-1'!S106=0,"//---END",'CancerEpisode-ConceptMap-1'!S106)</f>
        <v>* group[=].element[=].target.comment = ##34#To be checked, linked to the code since the concpet includes both morhphology and topography##34#</v>
      </c>
    </row>
    <row r="109" spans="2:2">
      <c r="B109" s="12" t="str">
        <f>IF('CancerEpisode-ConceptMap-1'!S107=0,"//---END",'CancerEpisode-ConceptMap-1'!S107)</f>
        <v>* group[=].element[+].code = #CancerEpisode.subsites.nasopharynxSubsite</v>
      </c>
    </row>
    <row r="110" spans="2:2">
      <c r="B110" s="12" t="str">
        <f>IF('CancerEpisode-ConceptMap-1'!S108=0,"//---END",'CancerEpisode-ConceptMap-1'!S108)</f>
        <v>* group[=].element[=].display = ##34#Nasopharynx  subsite##34#</v>
      </c>
    </row>
    <row r="111" spans="2:2">
      <c r="B111" s="12" t="str">
        <f>IF('CancerEpisode-ConceptMap-1'!S109=0,"//---END",'CancerEpisode-ConceptMap-1'!S109)</f>
        <v>* group[=].element[=].target.code = #Condition.code</v>
      </c>
    </row>
    <row r="112" spans="2:2">
      <c r="B112" s="12" t="str">
        <f>IF('CancerEpisode-ConceptMap-1'!S110=0,"//---END",'CancerEpisode-ConceptMap-1'!S110)</f>
        <v>* group[=].element[=].target.display = ##34###34#</v>
      </c>
    </row>
    <row r="113" spans="2:2">
      <c r="B113" s="12" t="str">
        <f>IF('CancerEpisode-ConceptMap-1'!S111=0,"//---END",'CancerEpisode-ConceptMap-1'!S111)</f>
        <v>* group[=].element[=].target.equivalence = #relatedto</v>
      </c>
    </row>
    <row r="114" spans="2:2">
      <c r="B114" s="12" t="str">
        <f>IF('CancerEpisode-ConceptMap-1'!S112=0,"//---END",'CancerEpisode-ConceptMap-1'!S112)</f>
        <v>* group[=].element[=].target.comment = ##34#To be checked, linked to the code since the concpet includes both morhphology and topography##34#</v>
      </c>
    </row>
    <row r="115" spans="2:2">
      <c r="B115" s="12" t="str">
        <f>IF('CancerEpisode-ConceptMap-1'!S113=0,"//---END",'CancerEpisode-ConceptMap-1'!S113)</f>
        <v>* group[=].element[+].code = #CancerEpisode.subsites.hypopharynxSubsite</v>
      </c>
    </row>
    <row r="116" spans="2:2">
      <c r="B116" s="12" t="str">
        <f>IF('CancerEpisode-ConceptMap-1'!S114=0,"//---END",'CancerEpisode-ConceptMap-1'!S114)</f>
        <v>* group[=].element[=].display = ##34#Hypopharynx subsite##34#</v>
      </c>
    </row>
    <row r="117" spans="2:2">
      <c r="B117" s="12" t="str">
        <f>IF('CancerEpisode-ConceptMap-1'!S115=0,"//---END",'CancerEpisode-ConceptMap-1'!S115)</f>
        <v>* group[=].element[=].target.code = #Condition.code</v>
      </c>
    </row>
    <row r="118" spans="2:2">
      <c r="B118" s="12" t="str">
        <f>IF('CancerEpisode-ConceptMap-1'!S116=0,"//---END",'CancerEpisode-ConceptMap-1'!S116)</f>
        <v>* group[=].element[=].target.display = ##34###34#</v>
      </c>
    </row>
    <row r="119" spans="2:2">
      <c r="B119" s="12" t="str">
        <f>IF('CancerEpisode-ConceptMap-1'!S117=0,"//---END",'CancerEpisode-ConceptMap-1'!S117)</f>
        <v>* group[=].element[=].target.equivalence = #relatedto</v>
      </c>
    </row>
    <row r="120" spans="2:2">
      <c r="B120" s="12" t="str">
        <f>IF('CancerEpisode-ConceptMap-1'!S118=0,"//---END",'CancerEpisode-ConceptMap-1'!S118)</f>
        <v>* group[=].element[=].target.comment = ##34#To be checked, linked to the code since the concpet includes both morhphology and topography##34#</v>
      </c>
    </row>
    <row r="121" spans="2:2">
      <c r="B121" s="12" t="str">
        <f>IF('CancerEpisode-ConceptMap-1'!S119=0,"//---END",'CancerEpisode-ConceptMap-1'!S119)</f>
        <v>* group[=].element[+].code = #CancerEpisode.subsites.oropharynxSubsite</v>
      </c>
    </row>
    <row r="122" spans="2:2">
      <c r="B122" s="12" t="str">
        <f>IF('CancerEpisode-ConceptMap-1'!S120=0,"//---END",'CancerEpisode-ConceptMap-1'!S120)</f>
        <v>* group[=].element[=].display = ##34#Oropharynx subsite##34#</v>
      </c>
    </row>
    <row r="123" spans="2:2">
      <c r="B123" s="12" t="str">
        <f>IF('CancerEpisode-ConceptMap-1'!S121=0,"//---END",'CancerEpisode-ConceptMap-1'!S121)</f>
        <v>* group[=].element[=].target.code = #Condition.code</v>
      </c>
    </row>
    <row r="124" spans="2:2">
      <c r="B124" s="12" t="str">
        <f>IF('CancerEpisode-ConceptMap-1'!S122=0,"//---END",'CancerEpisode-ConceptMap-1'!S122)</f>
        <v>* group[=].element[=].target.display = ##34###34#</v>
      </c>
    </row>
    <row r="125" spans="2:2">
      <c r="B125" s="12" t="str">
        <f>IF('CancerEpisode-ConceptMap-1'!S123=0,"//---END",'CancerEpisode-ConceptMap-1'!S123)</f>
        <v>* group[=].element[=].target.equivalence = #relatedto</v>
      </c>
    </row>
    <row r="126" spans="2:2">
      <c r="B126" s="12" t="str">
        <f>IF('CancerEpisode-ConceptMap-1'!S124=0,"//---END",'CancerEpisode-ConceptMap-1'!S124)</f>
        <v>* group[=].element[=].target.comment = ##34#To be checked, linked to the code since the concpet includes both morhphology and topography##34#</v>
      </c>
    </row>
    <row r="127" spans="2:2">
      <c r="B127" s="12" t="str">
        <f>IF('CancerEpisode-ConceptMap-1'!S125=0,"//---END",'CancerEpisode-ConceptMap-1'!S125)</f>
        <v>* group[=].element[+].code = #CancerEpisode.subsites.larynxSubsite</v>
      </c>
    </row>
    <row r="128" spans="2:2">
      <c r="B128" s="12" t="str">
        <f>IF('CancerEpisode-ConceptMap-1'!S126=0,"//---END",'CancerEpisode-ConceptMap-1'!S126)</f>
        <v>* group[=].element[=].display = ##34#Larynx subsite##34#</v>
      </c>
    </row>
    <row r="129" spans="2:2">
      <c r="B129" s="12" t="str">
        <f>IF('CancerEpisode-ConceptMap-1'!S127=0,"//---END",'CancerEpisode-ConceptMap-1'!S127)</f>
        <v>* group[=].element[=].target.code = #Condition.code</v>
      </c>
    </row>
    <row r="130" spans="2:2">
      <c r="B130" s="12" t="str">
        <f>IF('CancerEpisode-ConceptMap-1'!S128=0,"//---END",'CancerEpisode-ConceptMap-1'!S128)</f>
        <v>* group[=].element[=].target.display = ##34###34#</v>
      </c>
    </row>
    <row r="131" spans="2:2">
      <c r="B131" s="12" t="str">
        <f>IF('CancerEpisode-ConceptMap-1'!S129=0,"//---END",'CancerEpisode-ConceptMap-1'!S129)</f>
        <v>* group[=].element[=].target.equivalence = #relatedto</v>
      </c>
    </row>
    <row r="132" spans="2:2">
      <c r="B132" s="12" t="str">
        <f>IF('CancerEpisode-ConceptMap-1'!S130=0,"//---END",'CancerEpisode-ConceptMap-1'!S130)</f>
        <v>* group[=].element[=].target.comment = ##34#To be checked, linked to the code since the concpet includes both morhphology and topography##34#</v>
      </c>
    </row>
    <row r="133" spans="2:2">
      <c r="B133" s="12" t="str">
        <f>IF('CancerEpisode-ConceptMap-1'!S131=0,"//---END",'CancerEpisode-ConceptMap-1'!S131)</f>
        <v>* group[=].element[+].code = #CancerEpisode.subsites.oralCavitySubsite</v>
      </c>
    </row>
    <row r="134" spans="2:2">
      <c r="B134" s="12" t="str">
        <f>IF('CancerEpisode-ConceptMap-1'!S132=0,"//---END",'CancerEpisode-ConceptMap-1'!S132)</f>
        <v>* group[=].element[=].display = ##34#Oral cavity subsite##34#</v>
      </c>
    </row>
    <row r="135" spans="2:2">
      <c r="B135" s="12" t="str">
        <f>IF('CancerEpisode-ConceptMap-1'!S133=0,"//---END",'CancerEpisode-ConceptMap-1'!S133)</f>
        <v>* group[=].element[=].target.code = #Condition.code</v>
      </c>
    </row>
    <row r="136" spans="2:2">
      <c r="B136" s="12" t="str">
        <f>IF('CancerEpisode-ConceptMap-1'!S134=0,"//---END",'CancerEpisode-ConceptMap-1'!S134)</f>
        <v>* group[=].element[=].target.display = ##34###34#</v>
      </c>
    </row>
    <row r="137" spans="2:2">
      <c r="B137" s="12" t="str">
        <f>IF('CancerEpisode-ConceptMap-1'!S135=0,"//---END",'CancerEpisode-ConceptMap-1'!S135)</f>
        <v>* group[=].element[=].target.equivalence = #relatedto</v>
      </c>
    </row>
    <row r="138" spans="2:2">
      <c r="B138" s="12" t="str">
        <f>IF('CancerEpisode-ConceptMap-1'!S136=0,"//---END",'CancerEpisode-ConceptMap-1'!S136)</f>
        <v>* group[=].element[=].target.comment = ##34#To be checked, linked to the code since the concpet includes both morhphology and topography##34#</v>
      </c>
    </row>
    <row r="139" spans="2:2">
      <c r="B139" s="12" t="str">
        <f>IF('CancerEpisode-ConceptMap-1'!S137=0,"//---END",'CancerEpisode-ConceptMap-1'!S137)</f>
        <v>* group[=].element[+].code = #CancerEpisode.subsites.lipSubsite</v>
      </c>
    </row>
    <row r="140" spans="2:2">
      <c r="B140" s="12" t="str">
        <f>IF('CancerEpisode-ConceptMap-1'!S138=0,"//---END",'CancerEpisode-ConceptMap-1'!S138)</f>
        <v>* group[=].element[=].display = ##34#Lip subsite##34#</v>
      </c>
    </row>
    <row r="141" spans="2:2">
      <c r="B141" s="12" t="str">
        <f>IF('CancerEpisode-ConceptMap-1'!S139=0,"//---END",'CancerEpisode-ConceptMap-1'!S139)</f>
        <v>* group[=].element[=].target.code = #Condition.code</v>
      </c>
    </row>
    <row r="142" spans="2:2">
      <c r="B142" s="12" t="str">
        <f>IF('CancerEpisode-ConceptMap-1'!S140=0,"//---END",'CancerEpisode-ConceptMap-1'!S140)</f>
        <v>* group[=].element[=].target.display = ##34###34#</v>
      </c>
    </row>
    <row r="143" spans="2:2">
      <c r="B143" s="12" t="str">
        <f>IF('CancerEpisode-ConceptMap-1'!S141=0,"//---END",'CancerEpisode-ConceptMap-1'!S141)</f>
        <v>* group[=].element[=].target.equivalence = #relatedto</v>
      </c>
    </row>
    <row r="144" spans="2:2">
      <c r="B144" s="12" t="str">
        <f>IF('CancerEpisode-ConceptMap-1'!S142=0,"//---END",'CancerEpisode-ConceptMap-1'!S142)</f>
        <v>* group[=].element[=].target.comment = ##34#To be checked, linked to the code since the concpet includes both morhphology and topography##34#</v>
      </c>
    </row>
    <row r="145" spans="2:2">
      <c r="B145" s="12" t="str">
        <f>IF('CancerEpisode-ConceptMap-1'!S143=0,"//---END",'CancerEpisode-ConceptMap-1'!S143)</f>
        <v>* group[=].element[+].code = #CancerEpisode.plasmaticEbvDnaAtBaseline</v>
      </c>
    </row>
    <row r="146" spans="2:2">
      <c r="B146" s="12" t="str">
        <f>IF('CancerEpisode-ConceptMap-1'!S144=0,"//---END",'CancerEpisode-ConceptMap-1'!S144)</f>
        <v>* group[=].element[=].display = ##34#Plasmatic EBV DNA at baseline##34#</v>
      </c>
    </row>
    <row r="147" spans="2:2">
      <c r="B147" s="12" t="str">
        <f>IF('CancerEpisode-ConceptMap-1'!S145=0,"//---END",'CancerEpisode-ConceptMap-1'!S145)</f>
        <v>* group[=].element[=].target.code = #Condition.evidence:plasmaticEbvDnaAtBaseline.valueCodeableConcept</v>
      </c>
    </row>
    <row r="148" spans="2:2">
      <c r="B148" s="12" t="str">
        <f>IF('CancerEpisode-ConceptMap-1'!S146=0,"//---END",'CancerEpisode-ConceptMap-1'!S146)</f>
        <v>* group[=].element[=].target.display = ##34###34#</v>
      </c>
    </row>
    <row r="149" spans="2:2">
      <c r="B149" s="12" t="str">
        <f>IF('CancerEpisode-ConceptMap-1'!S147=0,"//---END",'CancerEpisode-ConceptMap-1'!S147)</f>
        <v>* group[=].element[=].target.equivalence = #relatedto</v>
      </c>
    </row>
    <row r="150" spans="2:2" ht="29.5">
      <c r="B150" s="12" t="str">
        <f>IF('CancerEpisode-ConceptMap-1'!S148=0,"//---END",'CancerEpisode-ConceptMap-1'!S148)</f>
        <v>* group[=].element[=].target.comment = ##34#Where Observation.code is 43730-1 EBV DNA NAA+probe Qn.
NOTE : code to be changed !##34#</v>
      </c>
    </row>
    <row r="151" spans="2:2">
      <c r="B151" s="12" t="str">
        <f>IF('CancerEpisode-ConceptMap-1'!S149=0,"//---END",'CancerEpisode-ConceptMap-1'!S149)</f>
        <v>//---END</v>
      </c>
    </row>
    <row r="152" spans="2:2">
      <c r="B152" s="12" t="str">
        <f>IF('CancerEpisode-ConceptMap-1'!S150=0,"//---END",'CancerEpisode-ConceptMap-1'!S150)</f>
        <v>//---END</v>
      </c>
    </row>
    <row r="153" spans="2:2">
      <c r="B153" s="12" t="str">
        <f>IF('CancerEpisode-ConceptMap-1'!S151=0,"//---END",'CancerEpisode-ConceptMap-1'!S151)</f>
        <v>//---END</v>
      </c>
    </row>
    <row r="154" spans="2:2">
      <c r="B154" s="12"/>
    </row>
    <row r="155" spans="2:2">
      <c r="B155" s="12"/>
    </row>
    <row r="156" spans="2:2">
      <c r="B156" s="12"/>
    </row>
    <row r="157" spans="2:2">
      <c r="B157" s="121"/>
    </row>
    <row r="158" spans="2:2">
      <c r="B158" s="68" t="str">
        <f>"* group[+].source = ##34#"&amp;'CancerEpisode-ConceptMap-2'!E6&amp;"##34#"</f>
        <v>* group[+].source = ##34#http://hl7.eu/fhir/ig/idea4rc/StructureDefinition/CancerEpisode##34#</v>
      </c>
    </row>
    <row r="159" spans="2:2">
      <c r="B159" s="68" t="str">
        <f>"* group[=].target = ##34#"&amp;'CancerEpisode-ConceptMap-2'!E7&amp;"##34#"</f>
        <v>* group[=].target = ##34#http://hl7.eu/fhir/ig/idea4rc/StructureDefinition/Observation-diagnosis-eu-i4rc##34#</v>
      </c>
    </row>
    <row r="160" spans="2:2">
      <c r="B160" s="121"/>
    </row>
    <row r="161" spans="2:2">
      <c r="B161" s="12"/>
    </row>
    <row r="162" spans="2:2">
      <c r="B162" s="12" t="str">
        <f>IF('CancerEpisode-ConceptMap-2'!S15=0,"//---END",'CancerEpisode-ConceptMap-2'!S15)</f>
        <v>* group[=].element[+].code = #CancerEpisode.patient</v>
      </c>
    </row>
    <row r="163" spans="2:2">
      <c r="B163" s="12" t="str">
        <f>IF('CancerEpisode-ConceptMap-2'!S16=0,"//---END",'CancerEpisode-ConceptMap-2'!S16)</f>
        <v>* group[=].element[=].display = ##34#Patient##34#</v>
      </c>
    </row>
    <row r="164" spans="2:2">
      <c r="B164" s="12" t="str">
        <f>IF('CancerEpisode-ConceptMap-2'!S17=0,"//---END",'CancerEpisode-ConceptMap-2'!S17)</f>
        <v>* group[=].element[=].target.code = #Condition.subject</v>
      </c>
    </row>
    <row r="165" spans="2:2">
      <c r="B165" s="12" t="str">
        <f>IF('CancerEpisode-ConceptMap-2'!S18=0,"//---END",'CancerEpisode-ConceptMap-2'!S18)</f>
        <v>* group[=].element[=].target.display = ##34###34#</v>
      </c>
    </row>
    <row r="166" spans="2:2">
      <c r="B166" s="12" t="str">
        <f>IF('CancerEpisode-ConceptMap-2'!S19=0,"//---END",'CancerEpisode-ConceptMap-2'!S19)</f>
        <v>* group[=].element[=].target.equivalence = #equivalent</v>
      </c>
    </row>
    <row r="167" spans="2:2">
      <c r="B167" s="12" t="str">
        <f>IF('CancerEpisode-ConceptMap-2'!S20=0,"//---END",'CancerEpisode-ConceptMap-2'!S20)</f>
        <v/>
      </c>
    </row>
    <row r="168" spans="2:2">
      <c r="B168" s="12" t="str">
        <f>IF('CancerEpisode-ConceptMap-2'!S21=0,"//---END",'CancerEpisode-ConceptMap-2'!S21)</f>
        <v>* group[=].element[+].code = #CancerEpisode.dateOfDiagnosis</v>
      </c>
    </row>
    <row r="169" spans="2:2">
      <c r="B169" s="12" t="str">
        <f>IF('CancerEpisode-ConceptMap-2'!S22=0,"//---END",'CancerEpisode-ConceptMap-2'!S22)</f>
        <v>* group[=].element[=].display = ##34#Date of diagnosis (biopsy or surgical piece)##34#</v>
      </c>
    </row>
    <row r="170" spans="2:2">
      <c r="B170" s="12" t="str">
        <f>IF('CancerEpisode-ConceptMap-2'!S23=0,"//---END",'CancerEpisode-ConceptMap-2'!S23)</f>
        <v>* group[=].element[=].target.code = #Condition.effectiveDateTime</v>
      </c>
    </row>
    <row r="171" spans="2:2">
      <c r="B171" s="12" t="str">
        <f>IF('CancerEpisode-ConceptMap-2'!S24=0,"//---END",'CancerEpisode-ConceptMap-2'!S24)</f>
        <v>* group[=].element[=].target.display = ##34###34#</v>
      </c>
    </row>
    <row r="172" spans="2:2">
      <c r="B172" s="12" t="str">
        <f>IF('CancerEpisode-ConceptMap-2'!S25=0,"//---END",'CancerEpisode-ConceptMap-2'!S25)</f>
        <v>* group[=].element[=].target.equivalence = #equivalent</v>
      </c>
    </row>
    <row r="173" spans="2:2">
      <c r="B173" s="12" t="str">
        <f>IF('CancerEpisode-ConceptMap-2'!S26=0,"//---END",'CancerEpisode-ConceptMap-2'!S26)</f>
        <v/>
      </c>
    </row>
    <row r="174" spans="2:2">
      <c r="B174" s="12" t="str">
        <f>IF('CancerEpisode-ConceptMap-2'!S27=0,"//---END",'CancerEpisode-ConceptMap-2'!S27)</f>
        <v>* group[=].element[+].code = #CancerEpisode.biopsyDoneBy</v>
      </c>
    </row>
    <row r="175" spans="2:2">
      <c r="B175" s="12" t="str">
        <f>IF('CancerEpisode-ConceptMap-2'!S28=0,"//---END",'CancerEpisode-ConceptMap-2'!S28)</f>
        <v>* group[=].element[=].display = ##34#Biopsy done by##34#</v>
      </c>
    </row>
    <row r="176" spans="2:2">
      <c r="B176" s="12" t="str">
        <f>IF('CancerEpisode-ConceptMap-2'!S29=0,"//---END",'CancerEpisode-ConceptMap-2'!S29)</f>
        <v>* group[=].element[=].target.code = #Condition.performer</v>
      </c>
    </row>
    <row r="177" spans="2:2">
      <c r="B177" s="12" t="str">
        <f>IF('CancerEpisode-ConceptMap-2'!S30=0,"//---END",'CancerEpisode-ConceptMap-2'!S30)</f>
        <v>* group[=].element[=].target.display = ##34###34#</v>
      </c>
    </row>
    <row r="178" spans="2:2">
      <c r="B178" s="12" t="str">
        <f>IF('CancerEpisode-ConceptMap-2'!S31=0,"//---END",'CancerEpisode-ConceptMap-2'!S31)</f>
        <v>* group[=].element[=].target.equivalence = #relatedto</v>
      </c>
    </row>
    <row r="179" spans="2:2">
      <c r="B179" s="12" t="str">
        <f>IF('CancerEpisode-ConceptMap-2'!S32=0,"//---END",'CancerEpisode-ConceptMap-2'!S32)</f>
        <v/>
      </c>
    </row>
    <row r="180" spans="2:2">
      <c r="B180" s="12" t="str">
        <f>IF('CancerEpisode-ConceptMap-2'!S33=0,"//---END",'CancerEpisode-ConceptMap-2'!S33)</f>
        <v>//---END</v>
      </c>
    </row>
    <row r="181" spans="2:2">
      <c r="B181" s="12" t="str">
        <f>IF('CancerEpisode-ConceptMap-2'!S34=0,"//---END",'CancerEpisode-ConceptMap-2'!S34)</f>
        <v>//---END</v>
      </c>
    </row>
    <row r="182" spans="2:2">
      <c r="B182" s="12" t="str">
        <f>IF('CancerEpisode-ConceptMap-2'!S35=0,"//---END",'CancerEpisode-ConceptMap-2'!S35)</f>
        <v>//---END</v>
      </c>
    </row>
    <row r="183" spans="2:2">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M59"/>
  <sheetViews>
    <sheetView topLeftCell="A6" zoomScaleNormal="100" workbookViewId="0">
      <selection activeCell="G36" sqref="G36:G37"/>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153</v>
      </c>
      <c r="J4" s="16" t="str">
        <f>CONCATENATE("Logical: ",B4)</f>
        <v>Logical: SubjectI4rc</v>
      </c>
    </row>
    <row r="5" spans="1:12">
      <c r="A5" s="14" t="s">
        <v>16</v>
      </c>
      <c r="B5" s="46" t="s">
        <v>9</v>
      </c>
      <c r="J5" s="16" t="str">
        <f>CONCATENATE("Id: ",B5)</f>
        <v>Id: Subject</v>
      </c>
    </row>
    <row r="6" spans="1:12">
      <c r="A6" s="14" t="s">
        <v>10</v>
      </c>
      <c r="B6" s="47" t="s">
        <v>154</v>
      </c>
      <c r="J6" s="17" t="str">
        <f>CONCATENATE("Title: ##34#",B6,"##34#")</f>
        <v>Title: ##34#Subject of care##34#</v>
      </c>
    </row>
    <row r="7" spans="1:12" ht="29.5">
      <c r="A7" s="26" t="s">
        <v>2</v>
      </c>
      <c r="B7" s="106" t="s">
        <v>155</v>
      </c>
      <c r="C7" s="9" t="s">
        <v>3</v>
      </c>
      <c r="D7" s="1" t="s">
        <v>4</v>
      </c>
      <c r="E7" s="3" t="s">
        <v>5</v>
      </c>
      <c r="F7" s="3" t="s">
        <v>6</v>
      </c>
      <c r="G7" s="3" t="s">
        <v>7</v>
      </c>
      <c r="H7" s="105" t="s">
        <v>1610</v>
      </c>
      <c r="J7" s="17" t="str">
        <f>CONCATENATE("Description: "," ##334#",B7,"##334#",)</f>
        <v>Description:  ##334#Subject of care 
Maturity Level: 0 Draft##334#</v>
      </c>
    </row>
    <row r="8" spans="1:12" ht="59">
      <c r="A8" s="157">
        <v>0</v>
      </c>
      <c r="B8" s="158" t="s">
        <v>1824</v>
      </c>
      <c r="C8" s="2" t="s">
        <v>191</v>
      </c>
      <c r="D8" s="2" t="s">
        <v>54</v>
      </c>
      <c r="E8" s="3">
        <v>1</v>
      </c>
      <c r="F8" s="3">
        <v>1</v>
      </c>
      <c r="G8" s="159" t="s">
        <v>1764</v>
      </c>
      <c r="H8" s="2" t="s">
        <v>1696</v>
      </c>
      <c r="I8" s="25"/>
      <c r="J8" s="12" t="str">
        <f t="shared" ref="J8:J59" si="0">CONCATENATE("* ",B8, " ",E8,"..",F8," ",G8," ##34#",C8,"##34# ##334#",D8,"##334#")</f>
        <v>* sex 1..1 CodeableConcept ##34#Gender##34# ##334#Describes biological sex as recorded in the patient's identity document or in the hospital record. In the absence of documentation, the one declared by the patient will be recorded##334#</v>
      </c>
      <c r="L8" s="12" t="str">
        <f>IF(H8="",IF(J8="*  ..  ##34###34# ##334###334#",J8,""),IF(J8="*  ..  ##34###34# ##334###334#",J8,CONCATENATE("* ",B8," ^comment = ##334#",H8,"##334#")))</f>
        <v>* sex ^comment = ##334#Male; Female; Unknown.
Male - 8507
Female - 8532
Unknown - 4129922##334#</v>
      </c>
    </row>
    <row r="9" spans="1:12" ht="103.25">
      <c r="A9" s="11">
        <v>1</v>
      </c>
      <c r="B9" s="107" t="s">
        <v>1825</v>
      </c>
      <c r="C9" s="12" t="s">
        <v>58</v>
      </c>
      <c r="D9" s="12" t="s">
        <v>60</v>
      </c>
      <c r="E9" s="11">
        <v>1</v>
      </c>
      <c r="F9" s="11">
        <v>1</v>
      </c>
      <c r="G9" s="108" t="s">
        <v>1764</v>
      </c>
      <c r="H9" s="12" t="s">
        <v>1697</v>
      </c>
      <c r="I9" s="25"/>
      <c r="J9" s="12" t="str">
        <f t="shared" si="0"/>
        <v>* race 1..1 CodeableConcept ##34#Race##34# ##334#Describes race as recorded in  the hospital record, the one declared by the patient,, otherwise, the onerecognized by the observer##334#</v>
      </c>
      <c r="L9" s="12" t="str">
        <f t="shared" ref="L9:L59" si="1">IF(H9="",IF(J9="*  ..  ##34###34# ##334###334#",J9,""),IF(J9="*  ..  ##34###34# ##334###334#",J9,CONCATENATE("* ",B9," ^comment = ##334#",H9,"##334#")))</f>
        <v>* race ^comment = ##334#Unknown; White; Black; Asians/Pacific Islanders; American Indian/Alaska Native
White - 8527
Black - 8516
Asian/Pacific Islanders - 8515
American Indian/Alaska Native - 8657
Unknown - 4129922##334#</v>
      </c>
    </row>
    <row r="10" spans="1:12" ht="44.25">
      <c r="A10" s="11">
        <v>2</v>
      </c>
      <c r="B10" s="107" t="s">
        <v>1826</v>
      </c>
      <c r="C10" s="12" t="s">
        <v>1675</v>
      </c>
      <c r="D10" s="12" t="s">
        <v>66</v>
      </c>
      <c r="E10" s="11">
        <v>1</v>
      </c>
      <c r="F10" s="11">
        <v>1</v>
      </c>
      <c r="G10" s="108" t="s">
        <v>1764</v>
      </c>
      <c r="H10" s="12" t="s">
        <v>1698</v>
      </c>
      <c r="I10" s="25"/>
      <c r="J10" s="12" t="str">
        <f t="shared" si="0"/>
        <v>* countryOfResidence 1..1 CodeableConcept ##34#Country of Residence##34# ##334#Country of residence at the time of diagnosis##334#</v>
      </c>
      <c r="L10" s="12" t="str">
        <f t="shared" si="1"/>
        <v>* countryOfResidence ^comment = ##334#Value from the code list of countries
Son in the hierarchy of countries##334#</v>
      </c>
    </row>
    <row r="11" spans="1:12" ht="88.5">
      <c r="A11" s="11">
        <v>3</v>
      </c>
      <c r="B11" s="107" t="s">
        <v>1827</v>
      </c>
      <c r="C11" s="12" t="s">
        <v>70</v>
      </c>
      <c r="D11" s="12" t="s">
        <v>72</v>
      </c>
      <c r="E11" s="11">
        <v>1</v>
      </c>
      <c r="F11" s="11">
        <v>1</v>
      </c>
      <c r="G11" s="108" t="s">
        <v>1764</v>
      </c>
      <c r="H11" s="12" t="s">
        <v>2437</v>
      </c>
      <c r="I11" s="25"/>
      <c r="J11" s="12" t="str">
        <f t="shared" si="0"/>
        <v>* smoking 1..1 CodeableConcept ##34#Smoking##34# ##334#Describes tobacco smoker habits within the options proposed##334#</v>
      </c>
      <c r="L11" s="12" t="str">
        <f t="shared" si="1"/>
        <v>* smoking ^comment = ##334#Current tobacco smoker; Former smoker (at least for 12 months); Never smoker; Unknown
Current smoker - 36309332
Former smoker - 45883458
Never smoker - 45879404
##334#</v>
      </c>
    </row>
    <row r="12" spans="1:12" ht="59">
      <c r="A12" s="11">
        <v>4</v>
      </c>
      <c r="B12" s="107" t="s">
        <v>1828</v>
      </c>
      <c r="C12" s="12" t="s">
        <v>76</v>
      </c>
      <c r="D12" s="12" t="s">
        <v>1676</v>
      </c>
      <c r="E12" s="11">
        <v>0</v>
      </c>
      <c r="F12" s="11">
        <v>1</v>
      </c>
      <c r="G12" s="108" t="s">
        <v>1764</v>
      </c>
      <c r="H12" s="12" t="s">
        <v>1699</v>
      </c>
      <c r="I12" s="25"/>
      <c r="J12" s="12" t="str">
        <f t="shared" si="0"/>
        <v>* smokingType 0..1 CodeableConcept ##34#Smoking type##34# ##334#Describes type of tobacco##334#</v>
      </c>
      <c r="L12" s="12" t="str">
        <f t="shared" si="1"/>
        <v>* smokingType ^comment = ##334#Cigarettes; Cigar; Unknown
Cigarettes - 36716475
Cigar -  36716476
Unknown - 4129922##334#</v>
      </c>
    </row>
    <row r="13" spans="1:12" ht="59">
      <c r="A13" s="11">
        <v>5</v>
      </c>
      <c r="B13" s="107" t="s">
        <v>1829</v>
      </c>
      <c r="C13" s="12" t="s">
        <v>79</v>
      </c>
      <c r="D13" s="12" t="s">
        <v>1677</v>
      </c>
      <c r="E13" s="11">
        <v>0</v>
      </c>
      <c r="F13" s="11">
        <v>1</v>
      </c>
      <c r="G13" s="108" t="s">
        <v>1608</v>
      </c>
      <c r="H13" s="12"/>
      <c r="I13" s="25"/>
      <c r="J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L13" s="12" t="str">
        <f t="shared" si="1"/>
        <v/>
      </c>
    </row>
    <row r="14" spans="1:12" ht="29.5">
      <c r="A14" s="11">
        <v>6</v>
      </c>
      <c r="B14" s="107" t="s">
        <v>1830</v>
      </c>
      <c r="C14" s="12" t="s">
        <v>83</v>
      </c>
      <c r="D14" s="12" t="s">
        <v>84</v>
      </c>
      <c r="E14" s="11">
        <v>0</v>
      </c>
      <c r="F14" s="11">
        <v>1</v>
      </c>
      <c r="G14" s="108" t="s">
        <v>1608</v>
      </c>
      <c r="H14" s="12"/>
      <c r="I14" s="25"/>
      <c r="J14" s="12" t="str">
        <f t="shared" si="0"/>
        <v>* yearsAsSmoker 0..1 integer ##34#Number of years as a smoker##34# ##334#Number of years the person has smoked##334#</v>
      </c>
      <c r="L14" s="12" t="str">
        <f t="shared" si="1"/>
        <v/>
      </c>
    </row>
    <row r="15" spans="1:12" ht="103.25">
      <c r="A15" s="11">
        <v>7</v>
      </c>
      <c r="B15" s="107" t="s">
        <v>1831</v>
      </c>
      <c r="C15" s="11" t="s">
        <v>92</v>
      </c>
      <c r="D15" s="11" t="s">
        <v>94</v>
      </c>
      <c r="E15" s="11">
        <v>1</v>
      </c>
      <c r="F15" s="11">
        <v>1</v>
      </c>
      <c r="G15" s="108" t="s">
        <v>1764</v>
      </c>
      <c r="H15" s="12" t="s">
        <v>2438</v>
      </c>
      <c r="I15" s="25"/>
      <c r="J15" s="12" t="str">
        <f t="shared" si="0"/>
        <v>* alcohol 1..1 CodeableConcept ##34#Alcohol##34# ##334#Describes alcohol habits within the options proposed##334#</v>
      </c>
      <c r="L15" s="12" t="str">
        <f t="shared" si="1"/>
        <v>* alcohol ^comment = ##334#Current; Former (at least for 12 months); Never; History of alcohol dependence; Unknown
Current drinker - 4074035
Ex-drinker - 4220362
Lifetime non-drinker of alcohol - 37204556
Ex-problem drinker - 4117706
##334#</v>
      </c>
    </row>
    <row r="16" spans="1:12" ht="29.5">
      <c r="A16" s="11">
        <v>8</v>
      </c>
      <c r="B16" s="11" t="s">
        <v>2375</v>
      </c>
      <c r="C16" s="11" t="s">
        <v>2376</v>
      </c>
      <c r="D16" s="11" t="s">
        <v>2377</v>
      </c>
      <c r="E16" s="11">
        <v>0</v>
      </c>
      <c r="F16" s="11">
        <v>1</v>
      </c>
      <c r="G16" s="108" t="s">
        <v>2443</v>
      </c>
      <c r="H16" s="12"/>
      <c r="I16" s="25"/>
      <c r="J16" s="12" t="str">
        <f t="shared" si="0"/>
        <v>* bMI 0..1 Quantity ##34#Height/weight (BMI)
##34# ##334#Provides the BMI for the patient##334#</v>
      </c>
      <c r="L16" s="12" t="str">
        <f t="shared" si="1"/>
        <v/>
      </c>
    </row>
    <row r="17" spans="1:12" ht="44.25">
      <c r="A17" s="11">
        <v>9</v>
      </c>
      <c r="B17" s="11" t="s">
        <v>2378</v>
      </c>
      <c r="C17" s="11" t="s">
        <v>2379</v>
      </c>
      <c r="D17" s="11" t="s">
        <v>2380</v>
      </c>
      <c r="E17" s="11">
        <v>0</v>
      </c>
      <c r="F17" s="11">
        <v>1</v>
      </c>
      <c r="G17" s="108" t="s">
        <v>1608</v>
      </c>
      <c r="H17" s="12"/>
      <c r="I17" s="25"/>
      <c r="J17" s="12" t="str">
        <f t="shared" si="0"/>
        <v>* charlsonComorbidityIndex 0..1 integer ##34#Charlson Comorbidity index##34# ##334#Provides the Charlson Comorbidity index for the patient##334#</v>
      </c>
      <c r="L17" s="12" t="str">
        <f t="shared" si="1"/>
        <v/>
      </c>
    </row>
    <row r="18" spans="1:12" ht="59">
      <c r="A18" s="11">
        <v>10</v>
      </c>
      <c r="B18" s="107" t="s">
        <v>1805</v>
      </c>
      <c r="C18" s="4" t="s">
        <v>114</v>
      </c>
      <c r="D18" s="4" t="s">
        <v>2383</v>
      </c>
      <c r="E18" s="6">
        <v>1</v>
      </c>
      <c r="F18" s="6">
        <v>1</v>
      </c>
      <c r="G18" s="4" t="s">
        <v>1</v>
      </c>
      <c r="H18" s="12" t="s">
        <v>1700</v>
      </c>
      <c r="I18" s="25"/>
      <c r="J18" s="12" t="str">
        <f t="shared" si="0"/>
        <v>* comorbidity 1..1 BackboneElement ##34#Comorbidity##34# ##334#Describes whether the patient was diagnosed before treatment of at least one of the comorbidities listed  next or not##334#</v>
      </c>
      <c r="L18" s="12" t="str">
        <f t="shared" si="1"/>
        <v>* comorbidity ^comment = ##334#Yes; No; Unknown
Yes - 4188539
No -  4188540
Unknown - 4129922##334#</v>
      </c>
    </row>
    <row r="19" spans="1:12" ht="59">
      <c r="A19" s="11">
        <v>11</v>
      </c>
      <c r="B19" s="109" t="s">
        <v>1811</v>
      </c>
      <c r="C19" s="12" t="s">
        <v>119</v>
      </c>
      <c r="D19" s="111" t="s">
        <v>120</v>
      </c>
      <c r="E19" s="11">
        <v>0</v>
      </c>
      <c r="F19" s="11">
        <v>1</v>
      </c>
      <c r="G19" s="108" t="s">
        <v>157</v>
      </c>
      <c r="H19" s="12"/>
      <c r="I19" s="25"/>
      <c r="J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L19" s="12" t="str">
        <f t="shared" si="1"/>
        <v/>
      </c>
    </row>
    <row r="20" spans="1:12" ht="44.25">
      <c r="A20" s="11">
        <v>12</v>
      </c>
      <c r="B20" s="109" t="s">
        <v>1816</v>
      </c>
      <c r="C20" s="12" t="s">
        <v>1678</v>
      </c>
      <c r="D20" s="108" t="s">
        <v>2384</v>
      </c>
      <c r="E20" s="11">
        <v>0</v>
      </c>
      <c r="F20" s="11">
        <v>1</v>
      </c>
      <c r="G20" s="108" t="s">
        <v>157</v>
      </c>
      <c r="H20" s="12"/>
      <c r="I20" s="25"/>
      <c r="J20" s="12" t="str">
        <f t="shared" si="0"/>
        <v>* comorbidity.congestiveHeartFailure 0..1 boolean ##34#Congestive heart failure##34# ##334#Previous cancer comorbidity related to Congestive heart failure##334#</v>
      </c>
      <c r="L20" s="12" t="str">
        <f t="shared" si="1"/>
        <v/>
      </c>
    </row>
    <row r="21" spans="1:12" ht="44.25">
      <c r="A21" s="11">
        <v>13</v>
      </c>
      <c r="B21" s="109" t="s">
        <v>1821</v>
      </c>
      <c r="C21" s="12" t="s">
        <v>1679</v>
      </c>
      <c r="D21" s="108" t="s">
        <v>2385</v>
      </c>
      <c r="E21" s="11">
        <v>0</v>
      </c>
      <c r="F21" s="11">
        <v>1</v>
      </c>
      <c r="G21" s="108" t="s">
        <v>157</v>
      </c>
      <c r="H21" s="12"/>
      <c r="I21" s="25"/>
      <c r="J21" s="12" t="str">
        <f t="shared" si="0"/>
        <v>* comorbidity.peripheralVascularDisease 0..1 boolean ##34#Peripheral vascular disease##34# ##334#Previous cancer comorbidity related to Peripheral vascular disease##334#</v>
      </c>
      <c r="L21" s="12" t="str">
        <f t="shared" si="1"/>
        <v/>
      </c>
    </row>
    <row r="22" spans="1:12" ht="59">
      <c r="A22" s="11">
        <v>14</v>
      </c>
      <c r="B22" s="110" t="s">
        <v>1817</v>
      </c>
      <c r="C22" s="12" t="s">
        <v>1680</v>
      </c>
      <c r="D22" s="108" t="s">
        <v>2386</v>
      </c>
      <c r="E22" s="11">
        <v>0</v>
      </c>
      <c r="F22" s="11">
        <v>1</v>
      </c>
      <c r="G22" s="108" t="s">
        <v>157</v>
      </c>
      <c r="H22" s="12"/>
      <c r="I22" s="25"/>
      <c r="J22" s="12" t="str">
        <f t="shared" si="0"/>
        <v>* comorbidity.cerebrovascularAccidentExceptHemiplegia 0..1 boolean ##34#Cerebrovascular accident  (except hemiplegia)##34# ##334#Previous cancer comorbidity related to Cerebrovascular accident  (except hemiplegia)##334#</v>
      </c>
      <c r="L22" s="12" t="str">
        <f t="shared" si="1"/>
        <v/>
      </c>
    </row>
    <row r="23" spans="1:12" ht="29.5">
      <c r="A23" s="11">
        <v>15</v>
      </c>
      <c r="B23" s="109" t="s">
        <v>1808</v>
      </c>
      <c r="C23" s="12" t="s">
        <v>1681</v>
      </c>
      <c r="D23" s="108" t="s">
        <v>2387</v>
      </c>
      <c r="E23" s="11">
        <v>0</v>
      </c>
      <c r="F23" s="11">
        <v>1</v>
      </c>
      <c r="G23" s="108" t="s">
        <v>157</v>
      </c>
      <c r="H23" s="12"/>
      <c r="I23" s="25"/>
      <c r="J23" s="12" t="str">
        <f t="shared" si="0"/>
        <v>* comorbidity.dementia 0..1 boolean ##34#Dementia##34# ##334#Previous cancer comorbidity related to Dementia##334#</v>
      </c>
      <c r="L23" s="12" t="str">
        <f t="shared" si="1"/>
        <v/>
      </c>
    </row>
    <row r="24" spans="1:12" ht="44.25">
      <c r="A24" s="11">
        <v>16</v>
      </c>
      <c r="B24" s="109" t="s">
        <v>1818</v>
      </c>
      <c r="C24" s="12" t="s">
        <v>1682</v>
      </c>
      <c r="D24" s="108" t="s">
        <v>2388</v>
      </c>
      <c r="E24" s="11">
        <v>0</v>
      </c>
      <c r="F24" s="11">
        <v>1</v>
      </c>
      <c r="G24" s="108" t="s">
        <v>157</v>
      </c>
      <c r="H24" s="12"/>
      <c r="I24" s="25"/>
      <c r="J24" s="12" t="str">
        <f t="shared" si="0"/>
        <v>* comorbidity.chronicPulmonaryDisease 0..1 boolean ##34#Chronic pulmonary disease##34# ##334#Previous cancer comorbidity related to Chronic pulmonary disease##334#</v>
      </c>
      <c r="L24" s="12" t="str">
        <f t="shared" si="1"/>
        <v/>
      </c>
    </row>
    <row r="25" spans="1:12" ht="44.25">
      <c r="A25" s="11">
        <v>17</v>
      </c>
      <c r="B25" s="109" t="s">
        <v>1819</v>
      </c>
      <c r="C25" s="12" t="s">
        <v>1683</v>
      </c>
      <c r="D25" s="108" t="s">
        <v>2389</v>
      </c>
      <c r="E25" s="11">
        <v>0</v>
      </c>
      <c r="F25" s="11">
        <v>1</v>
      </c>
      <c r="G25" s="108" t="s">
        <v>157</v>
      </c>
      <c r="H25" s="12"/>
      <c r="I25" s="25"/>
      <c r="J25" s="12" t="str">
        <f t="shared" si="0"/>
        <v>* comorbidity.connectiveTissueDisease 0..1 boolean ##34#Connective tissue disease##34# ##334#Previous cancer comorbidity related to Connective tissue disease##334#</v>
      </c>
      <c r="L25" s="12" t="str">
        <f t="shared" si="1"/>
        <v/>
      </c>
    </row>
    <row r="26" spans="1:12" ht="29.5">
      <c r="A26" s="11">
        <v>18</v>
      </c>
      <c r="B26" s="109" t="s">
        <v>1820</v>
      </c>
      <c r="C26" s="12" t="s">
        <v>1684</v>
      </c>
      <c r="D26" s="108" t="s">
        <v>2390</v>
      </c>
      <c r="E26" s="11">
        <v>0</v>
      </c>
      <c r="F26" s="11">
        <v>1</v>
      </c>
      <c r="G26" s="108" t="s">
        <v>157</v>
      </c>
      <c r="H26" s="12"/>
      <c r="I26" s="25"/>
      <c r="J26" s="12" t="str">
        <f t="shared" si="0"/>
        <v>* comorbidity.ulcer 0..1 boolean ##34#Ulcer##34# ##334#Previous cancer comorbidity related to Ulcer##334#</v>
      </c>
      <c r="L26" s="12" t="str">
        <f t="shared" si="1"/>
        <v/>
      </c>
    </row>
    <row r="27" spans="1:12" ht="29.5">
      <c r="A27" s="11">
        <v>19</v>
      </c>
      <c r="B27" s="109" t="s">
        <v>1812</v>
      </c>
      <c r="C27" s="12" t="s">
        <v>1685</v>
      </c>
      <c r="D27" s="108" t="s">
        <v>2391</v>
      </c>
      <c r="E27" s="11">
        <v>0</v>
      </c>
      <c r="F27" s="11">
        <v>1</v>
      </c>
      <c r="G27" s="108" t="s">
        <v>157</v>
      </c>
      <c r="H27" s="12"/>
      <c r="I27" s="25"/>
      <c r="J27" s="12" t="str">
        <f t="shared" si="0"/>
        <v>* comorbidity.mildLiverDisease 0..1 boolean ##34#Mild liver disease##34# ##334#Previous cancer comorbidity related to Mild liver disease##334#</v>
      </c>
      <c r="L27" s="12" t="str">
        <f t="shared" si="1"/>
        <v/>
      </c>
    </row>
    <row r="28" spans="1:12" ht="44.25">
      <c r="A28" s="11">
        <v>20</v>
      </c>
      <c r="B28" s="109" t="s">
        <v>1813</v>
      </c>
      <c r="C28" s="12" t="s">
        <v>1686</v>
      </c>
      <c r="D28" s="108" t="s">
        <v>2392</v>
      </c>
      <c r="E28" s="11">
        <v>0</v>
      </c>
      <c r="F28" s="11">
        <v>1</v>
      </c>
      <c r="G28" s="108" t="s">
        <v>157</v>
      </c>
      <c r="H28" s="12"/>
      <c r="I28" s="25"/>
      <c r="J28" s="12" t="str">
        <f t="shared" si="0"/>
        <v>* comorbidity.moderateToSevereLiverDisease 0..1 boolean ##34#Moderate to severe liver disease##34# ##334#Previous cancer comorbidity related to Moderate to severe liver disease##334#</v>
      </c>
      <c r="L28" s="12" t="str">
        <f t="shared" si="1"/>
        <v/>
      </c>
    </row>
    <row r="29" spans="1:12" ht="44.25">
      <c r="A29" s="11">
        <v>21</v>
      </c>
      <c r="B29" s="110" t="s">
        <v>1809</v>
      </c>
      <c r="C29" s="12" t="s">
        <v>1687</v>
      </c>
      <c r="D29" s="108" t="s">
        <v>2393</v>
      </c>
      <c r="E29" s="11">
        <v>0</v>
      </c>
      <c r="F29" s="11">
        <v>1</v>
      </c>
      <c r="G29" s="108" t="s">
        <v>157</v>
      </c>
      <c r="H29" s="12"/>
      <c r="I29" s="25"/>
      <c r="J29" s="12" t="str">
        <f t="shared" si="0"/>
        <v>* comorbidity.diabetesWithoutComplications 0..1 boolean ##34#Diabetes (without complications)##34# ##334#Previous cancer comorbidity related to Diabetes (without complications)##334#</v>
      </c>
      <c r="L29" s="12" t="str">
        <f t="shared" si="1"/>
        <v/>
      </c>
    </row>
    <row r="30" spans="1:12" ht="44.25">
      <c r="A30" s="11">
        <v>22</v>
      </c>
      <c r="B30" s="109" t="s">
        <v>1810</v>
      </c>
      <c r="C30" s="12" t="s">
        <v>1688</v>
      </c>
      <c r="D30" s="108" t="s">
        <v>2394</v>
      </c>
      <c r="E30" s="11">
        <v>0</v>
      </c>
      <c r="F30" s="11">
        <v>1</v>
      </c>
      <c r="G30" s="108" t="s">
        <v>157</v>
      </c>
      <c r="H30" s="12"/>
      <c r="I30" s="25"/>
      <c r="J30" s="12" t="str">
        <f t="shared" si="0"/>
        <v>* comorbidity.diabetesWithEndOrganDamage 0..1 boolean ##34#Diabetes with end organ damage##34# ##334#Previous cancer comorbidity related to Diabetes with end organ damage##334#</v>
      </c>
      <c r="L30" s="12" t="str">
        <f t="shared" si="1"/>
        <v/>
      </c>
    </row>
    <row r="31" spans="1:12" ht="29.5">
      <c r="A31" s="11">
        <v>23</v>
      </c>
      <c r="B31" s="109" t="s">
        <v>1806</v>
      </c>
      <c r="C31" s="12" t="s">
        <v>1689</v>
      </c>
      <c r="D31" s="108" t="s">
        <v>2395</v>
      </c>
      <c r="E31" s="11">
        <v>0</v>
      </c>
      <c r="F31" s="11">
        <v>1</v>
      </c>
      <c r="G31" s="108" t="s">
        <v>157</v>
      </c>
      <c r="H31" s="12"/>
      <c r="I31" s="25"/>
      <c r="J31" s="12" t="str">
        <f t="shared" si="0"/>
        <v>* comorbidity.hemiplegia 0..1 boolean ##34#Hemiplegia##34# ##334#Previous cancer comorbidity related to Hemiplegia##334#</v>
      </c>
      <c r="L31" s="12" t="str">
        <f t="shared" si="1"/>
        <v/>
      </c>
    </row>
    <row r="32" spans="1:12" ht="44.25">
      <c r="A32" s="11">
        <v>24</v>
      </c>
      <c r="B32" s="109" t="s">
        <v>1814</v>
      </c>
      <c r="C32" s="12" t="s">
        <v>1690</v>
      </c>
      <c r="D32" s="108" t="s">
        <v>2396</v>
      </c>
      <c r="E32" s="11">
        <v>0</v>
      </c>
      <c r="F32" s="11">
        <v>1</v>
      </c>
      <c r="G32" s="108" t="s">
        <v>157</v>
      </c>
      <c r="H32" s="12"/>
      <c r="I32" s="25"/>
      <c r="J32" s="12" t="str">
        <f t="shared" si="0"/>
        <v>* comorbidity.moderateToSevereRenalDisease 0..1 boolean ##34#Moderate to severe renal disease##34# ##334#Previous cancer comorbidity related to Moderate to severe renal disease##334#</v>
      </c>
      <c r="L32" s="12" t="str">
        <f t="shared" si="1"/>
        <v/>
      </c>
    </row>
    <row r="33" spans="1:12" ht="44.25">
      <c r="A33" s="11">
        <v>25</v>
      </c>
      <c r="B33" s="110" t="s">
        <v>1822</v>
      </c>
      <c r="C33" s="12" t="s">
        <v>1691</v>
      </c>
      <c r="D33" s="108" t="s">
        <v>2397</v>
      </c>
      <c r="E33" s="11">
        <v>0</v>
      </c>
      <c r="F33" s="11">
        <v>1</v>
      </c>
      <c r="G33" s="108" t="s">
        <v>157</v>
      </c>
      <c r="H33" s="12"/>
      <c r="I33" s="25"/>
      <c r="J33" s="12" t="str">
        <f t="shared" si="0"/>
        <v>* comorbidity.solidTumorNonMetastatic 0..1 boolean ##34#Solid tumor (non metastatic)##34# ##334#Previous cancer comorbidity related to Solid tumor (non metastatic)##334#</v>
      </c>
      <c r="L33" s="12" t="str">
        <f t="shared" si="1"/>
        <v/>
      </c>
    </row>
    <row r="34" spans="1:12" ht="44.25">
      <c r="A34" s="11">
        <v>26</v>
      </c>
      <c r="B34" s="109" t="s">
        <v>1815</v>
      </c>
      <c r="C34" s="12" t="s">
        <v>1692</v>
      </c>
      <c r="D34" s="108" t="s">
        <v>2398</v>
      </c>
      <c r="E34" s="11">
        <v>0</v>
      </c>
      <c r="F34" s="11">
        <v>1</v>
      </c>
      <c r="G34" s="108" t="s">
        <v>157</v>
      </c>
      <c r="H34" s="12"/>
      <c r="I34" s="25"/>
      <c r="J34" s="12" t="str">
        <f t="shared" si="0"/>
        <v>* comorbidity.metastaticSolidTumor 0..1 boolean ##34#Metastatic solid tumor##34# ##334#Previous cancer comorbidity related to Metastatic solid tumor##334#</v>
      </c>
      <c r="L34" s="12" t="str">
        <f t="shared" si="1"/>
        <v/>
      </c>
    </row>
    <row r="35" spans="1:12" ht="29.5">
      <c r="A35" s="11">
        <v>27</v>
      </c>
      <c r="B35" s="109" t="s">
        <v>1807</v>
      </c>
      <c r="C35" s="12" t="s">
        <v>1693</v>
      </c>
      <c r="D35" s="108" t="s">
        <v>2399</v>
      </c>
      <c r="E35" s="11">
        <v>0</v>
      </c>
      <c r="F35" s="11">
        <v>1</v>
      </c>
      <c r="G35" s="108" t="s">
        <v>157</v>
      </c>
      <c r="H35" s="12"/>
      <c r="I35" s="25"/>
      <c r="J35" s="12" t="str">
        <f t="shared" si="0"/>
        <v>* comorbidity.leukemia 0..1 boolean ##34#Leukemia##34# ##334#Previous cancer comorbidity related to Leukemia##334#</v>
      </c>
      <c r="L35" s="12" t="str">
        <f t="shared" si="1"/>
        <v/>
      </c>
    </row>
    <row r="36" spans="1:12" ht="29.5">
      <c r="A36" s="11">
        <v>28</v>
      </c>
      <c r="B36" s="110" t="s">
        <v>2381</v>
      </c>
      <c r="C36" s="12" t="s">
        <v>2400</v>
      </c>
      <c r="D36" s="108" t="s">
        <v>2401</v>
      </c>
      <c r="E36" s="11">
        <v>0</v>
      </c>
      <c r="F36" s="11">
        <v>1</v>
      </c>
      <c r="G36" s="108" t="s">
        <v>157</v>
      </c>
      <c r="H36" s="12"/>
      <c r="I36" s="25"/>
      <c r="J36" s="12" t="str">
        <f t="shared" si="0"/>
        <v>* comorbidity.lymphoma 0..1 boolean ##34#Lymphoma##34# ##334#Previous cancer comorbidity related to Lymphoma##334#</v>
      </c>
      <c r="L36" s="12" t="str">
        <f t="shared" si="1"/>
        <v/>
      </c>
    </row>
    <row r="37" spans="1:12" ht="29.5">
      <c r="A37" s="11">
        <v>29</v>
      </c>
      <c r="B37" s="110" t="s">
        <v>2382</v>
      </c>
      <c r="C37" s="12" t="s">
        <v>2402</v>
      </c>
      <c r="D37" s="108" t="s">
        <v>2403</v>
      </c>
      <c r="E37" s="11">
        <v>0</v>
      </c>
      <c r="F37" s="11">
        <v>1</v>
      </c>
      <c r="G37" s="108" t="s">
        <v>157</v>
      </c>
      <c r="H37" s="12"/>
      <c r="I37" s="25"/>
      <c r="J37" s="12" t="str">
        <f t="shared" si="0"/>
        <v>* comorbidity.multipleMyeloma 0..1 boolean ##34#Multiple myeloma##34# ##334#Previous cancer comorbidity related to Multiple myeloma##334#</v>
      </c>
      <c r="L37" s="12" t="str">
        <f t="shared" si="1"/>
        <v/>
      </c>
    </row>
    <row r="38" spans="1:12" ht="29.5">
      <c r="A38" s="11">
        <v>30</v>
      </c>
      <c r="B38" s="109" t="s">
        <v>1823</v>
      </c>
      <c r="C38" s="12" t="s">
        <v>1694</v>
      </c>
      <c r="D38" s="108" t="s">
        <v>2404</v>
      </c>
      <c r="E38" s="11">
        <v>0</v>
      </c>
      <c r="F38" s="11">
        <v>1</v>
      </c>
      <c r="G38" s="108" t="s">
        <v>157</v>
      </c>
      <c r="H38" s="12"/>
      <c r="I38" s="25"/>
      <c r="J38" s="12" t="str">
        <f t="shared" si="0"/>
        <v>* comorbidity.aids 0..1 boolean ##34#AIDS##34# ##334#Previous cancer comorbidity related to AIDS##334#</v>
      </c>
      <c r="L38" s="12" t="str">
        <f t="shared" si="1"/>
        <v/>
      </c>
    </row>
    <row r="39" spans="1:12" ht="118">
      <c r="A39" s="11">
        <v>31</v>
      </c>
      <c r="B39" s="110" t="s">
        <v>1832</v>
      </c>
      <c r="C39" s="12" t="s">
        <v>143</v>
      </c>
      <c r="D39" s="12" t="s">
        <v>143</v>
      </c>
      <c r="E39" s="11">
        <v>0</v>
      </c>
      <c r="F39" s="11">
        <v>1</v>
      </c>
      <c r="G39" s="108" t="s">
        <v>1764</v>
      </c>
      <c r="H39" s="12" t="s">
        <v>2439</v>
      </c>
      <c r="I39" s="25"/>
      <c r="J39" s="12" t="str">
        <f t="shared" si="0"/>
        <v>* ecogPsAtDiagnosis 0..1 CodeableConcept ##34#Eastern Cooperative Oncology Group performance status (ECOG PS)  at diagnosis##34# ##334#Eastern Cooperative Oncology Group performance status (ECOG PS)  at diagnosis##334#</v>
      </c>
      <c r="L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40" spans="1:12" ht="44.25">
      <c r="A40" s="11">
        <v>32</v>
      </c>
      <c r="B40" s="107" t="s">
        <v>1833</v>
      </c>
      <c r="C40" s="12" t="s">
        <v>147</v>
      </c>
      <c r="D40" s="12" t="s">
        <v>147</v>
      </c>
      <c r="E40" s="11">
        <v>0</v>
      </c>
      <c r="F40" s="11">
        <v>1</v>
      </c>
      <c r="G40" s="108" t="s">
        <v>1764</v>
      </c>
      <c r="H40" s="12" t="s">
        <v>2440</v>
      </c>
      <c r="I40" s="25"/>
      <c r="J40" s="12" t="str">
        <f t="shared" si="0"/>
        <v>* karnofsyIndexAtDiagnosis 0..1 CodeableConcept ##34#Karnofsy index at diagnosis##34# ##334#Karnofsy index at diagnosis##334#</v>
      </c>
      <c r="L40" s="12" t="str">
        <f t="shared" si="1"/>
        <v>* karnofsyIndexAtDiagnosis ^comment = ##334#KPS Scale
SONS Functional Neurologic Status - Karnofsky Performance Scale (KPS) - 35917688 ##334#</v>
      </c>
    </row>
    <row r="41" spans="1:12" ht="29.5">
      <c r="A41" s="11">
        <v>33</v>
      </c>
      <c r="B41" s="6" t="s">
        <v>2405</v>
      </c>
      <c r="C41" s="11" t="s">
        <v>2406</v>
      </c>
      <c r="D41" s="11" t="s">
        <v>2406</v>
      </c>
      <c r="E41" s="11">
        <v>1</v>
      </c>
      <c r="F41" s="11">
        <v>1</v>
      </c>
      <c r="G41" s="6" t="s">
        <v>1</v>
      </c>
      <c r="H41" s="12"/>
      <c r="J41" s="12" t="str">
        <f t="shared" si="0"/>
        <v>* noGeneticSyndromeWho2020 1..1 BackboneElement ##34#No Genetic syndrome WHO 2020 ##34# ##334#No Genetic syndrome WHO 2020 ##334#</v>
      </c>
      <c r="L41" s="12" t="str">
        <f t="shared" si="1"/>
        <v/>
      </c>
    </row>
    <row r="42" spans="1:12" ht="29.5">
      <c r="A42" s="11">
        <v>34</v>
      </c>
      <c r="B42" s="6" t="s">
        <v>2407</v>
      </c>
      <c r="C42" s="11" t="s">
        <v>2408</v>
      </c>
      <c r="D42" s="11" t="s">
        <v>2408</v>
      </c>
      <c r="E42" s="11">
        <v>1</v>
      </c>
      <c r="F42" s="11">
        <v>1</v>
      </c>
      <c r="G42" s="6" t="s">
        <v>157</v>
      </c>
      <c r="H42" s="12"/>
      <c r="J42" s="12" t="str">
        <f t="shared" si="0"/>
        <v>* olliersDisease 1..1 boolean ##34#Olliers disease##34# ##334#Olliers disease##334#</v>
      </c>
      <c r="L42" s="12" t="str">
        <f t="shared" si="1"/>
        <v/>
      </c>
    </row>
    <row r="43" spans="1:12" ht="29.5">
      <c r="A43" s="11">
        <v>35</v>
      </c>
      <c r="B43" s="6" t="s">
        <v>2409</v>
      </c>
      <c r="C43" s="11" t="s">
        <v>2410</v>
      </c>
      <c r="D43" s="11" t="s">
        <v>2410</v>
      </c>
      <c r="E43" s="11">
        <v>1</v>
      </c>
      <c r="F43" s="11">
        <v>1</v>
      </c>
      <c r="G43" s="6" t="s">
        <v>157</v>
      </c>
      <c r="H43" s="12"/>
      <c r="J43" s="12" t="str">
        <f t="shared" si="0"/>
        <v>* maffuciSyndrome 1..1 boolean ##34#Maffuci syndrome##34# ##334#Maffuci syndrome##334#</v>
      </c>
      <c r="L43" s="12" t="str">
        <f t="shared" si="1"/>
        <v/>
      </c>
    </row>
    <row r="44" spans="1:12" ht="29.5">
      <c r="A44" s="11">
        <v>36</v>
      </c>
      <c r="B44" s="6" t="s">
        <v>2411</v>
      </c>
      <c r="C44" s="11" t="s">
        <v>2412</v>
      </c>
      <c r="D44" s="11" t="s">
        <v>2412</v>
      </c>
      <c r="E44" s="11">
        <v>1</v>
      </c>
      <c r="F44" s="11">
        <v>1</v>
      </c>
      <c r="G44" s="6" t="s">
        <v>157</v>
      </c>
      <c r="H44" s="12"/>
      <c r="J44" s="12" t="str">
        <f t="shared" si="0"/>
        <v>* liFraumeniSyndrome 1..1 boolean ##34#Li-Fraumeni syndrome##34# ##334#Li-Fraumeni syndrome##334#</v>
      </c>
      <c r="L44" s="12" t="str">
        <f t="shared" si="1"/>
        <v/>
      </c>
    </row>
    <row r="45" spans="1:12" ht="29.5">
      <c r="A45" s="11">
        <v>37</v>
      </c>
      <c r="B45" s="6" t="s">
        <v>2413</v>
      </c>
      <c r="C45" s="11" t="s">
        <v>2414</v>
      </c>
      <c r="D45" s="11" t="s">
        <v>2414</v>
      </c>
      <c r="E45" s="11">
        <v>1</v>
      </c>
      <c r="F45" s="11">
        <v>1</v>
      </c>
      <c r="G45" s="6" t="s">
        <v>157</v>
      </c>
      <c r="H45" s="12"/>
      <c r="J45" s="12" t="str">
        <f t="shared" si="0"/>
        <v>* mcCuneAlbrightSyndrome 1..1 boolean ##34#McCune-Albright syndrome##34# ##334#McCune-Albright syndrome##334#</v>
      </c>
      <c r="L45" s="12" t="str">
        <f t="shared" si="1"/>
        <v/>
      </c>
    </row>
    <row r="46" spans="1:12" ht="29.5">
      <c r="A46" s="11">
        <v>38</v>
      </c>
      <c r="B46" s="6" t="s">
        <v>2415</v>
      </c>
      <c r="C46" s="11" t="s">
        <v>2416</v>
      </c>
      <c r="D46" s="11" t="s">
        <v>2416</v>
      </c>
      <c r="E46" s="11">
        <v>1</v>
      </c>
      <c r="F46" s="11">
        <v>1</v>
      </c>
      <c r="G46" s="6" t="s">
        <v>157</v>
      </c>
      <c r="H46" s="12"/>
      <c r="J46" s="12" t="str">
        <f t="shared" si="0"/>
        <v>* multipleOsteochondromas 1..1 boolean ##34#Multiple osteochondromas##34# ##334#Multiple osteochondromas##334#</v>
      </c>
      <c r="L46" s="12" t="str">
        <f t="shared" si="1"/>
        <v/>
      </c>
    </row>
    <row r="47" spans="1:12" ht="29.5">
      <c r="A47" s="11">
        <v>39</v>
      </c>
      <c r="B47" s="6" t="s">
        <v>2417</v>
      </c>
      <c r="C47" s="11" t="s">
        <v>2418</v>
      </c>
      <c r="D47" s="11" t="s">
        <v>2436</v>
      </c>
      <c r="E47" s="11">
        <v>1</v>
      </c>
      <c r="F47" s="11">
        <v>1</v>
      </c>
      <c r="G47" s="6" t="s">
        <v>157</v>
      </c>
      <c r="H47" s="12"/>
      <c r="J47" s="12" t="str">
        <f t="shared" si="0"/>
        <v>* neurofibromatosisType1 1..1 boolean ##34#Neurofibromatosis type 1##34# ##334#Neurofibromatosis type 2##334#</v>
      </c>
      <c r="L47" s="12" t="str">
        <f t="shared" si="1"/>
        <v/>
      </c>
    </row>
    <row r="48" spans="1:12" ht="29.5">
      <c r="A48" s="11">
        <v>40</v>
      </c>
      <c r="B48" s="6" t="s">
        <v>2419</v>
      </c>
      <c r="C48" s="11" t="s">
        <v>2420</v>
      </c>
      <c r="D48" s="11" t="s">
        <v>2420</v>
      </c>
      <c r="E48" s="11">
        <v>1</v>
      </c>
      <c r="F48" s="11">
        <v>1</v>
      </c>
      <c r="G48" s="6" t="s">
        <v>157</v>
      </c>
      <c r="H48" s="12"/>
      <c r="J48" s="12" t="str">
        <f t="shared" si="0"/>
        <v>* rothmundThomsonSyndrome 1..1 boolean ##34#Rothmund-Thomson syndrome##34# ##334#Rothmund-Thomson syndrome##334#</v>
      </c>
      <c r="L48" s="12" t="str">
        <f t="shared" si="1"/>
        <v/>
      </c>
    </row>
    <row r="49" spans="1:12" ht="29.5">
      <c r="A49" s="11">
        <v>41</v>
      </c>
      <c r="B49" s="6" t="s">
        <v>2421</v>
      </c>
      <c r="C49" s="11" t="s">
        <v>2422</v>
      </c>
      <c r="D49" s="11" t="s">
        <v>2422</v>
      </c>
      <c r="E49" s="11">
        <v>1</v>
      </c>
      <c r="F49" s="11">
        <v>1</v>
      </c>
      <c r="G49" s="6" t="s">
        <v>157</v>
      </c>
      <c r="H49" s="12"/>
      <c r="J49" s="12" t="str">
        <f t="shared" si="0"/>
        <v>* wernerSyndrome 1..1 boolean ##34#Werner syndrome##34# ##334#Werner syndrome##334#</v>
      </c>
      <c r="L49" s="12" t="str">
        <f t="shared" si="1"/>
        <v/>
      </c>
    </row>
    <row r="50" spans="1:12" ht="29.5">
      <c r="A50" s="11">
        <v>42</v>
      </c>
      <c r="B50" s="6" t="s">
        <v>2423</v>
      </c>
      <c r="C50" s="11" t="s">
        <v>2424</v>
      </c>
      <c r="D50" s="11" t="s">
        <v>2424</v>
      </c>
      <c r="E50" s="11">
        <v>1</v>
      </c>
      <c r="F50" s="11">
        <v>1</v>
      </c>
      <c r="G50" s="6" t="s">
        <v>157</v>
      </c>
      <c r="H50" s="12"/>
      <c r="J50" s="12" t="str">
        <f t="shared" si="0"/>
        <v>* retinoblastoma 1..1 boolean ##34#Retinoblastoma##34# ##334#Retinoblastoma##334#</v>
      </c>
      <c r="L50" s="12" t="str">
        <f t="shared" si="1"/>
        <v/>
      </c>
    </row>
    <row r="51" spans="1:12" ht="29.5">
      <c r="A51" s="11">
        <v>43</v>
      </c>
      <c r="B51" s="6" t="s">
        <v>2425</v>
      </c>
      <c r="C51" s="11" t="s">
        <v>2426</v>
      </c>
      <c r="D51" s="11" t="s">
        <v>2426</v>
      </c>
      <c r="E51" s="11">
        <v>1</v>
      </c>
      <c r="F51" s="11">
        <v>1</v>
      </c>
      <c r="G51" s="6" t="s">
        <v>157</v>
      </c>
      <c r="H51" s="12"/>
      <c r="J51" s="12" t="str">
        <f t="shared" si="0"/>
        <v>* pagetDisease 1..1 boolean ##34#Paget disease##34# ##334#Paget disease##334#</v>
      </c>
      <c r="L51" s="12" t="str">
        <f t="shared" si="1"/>
        <v/>
      </c>
    </row>
    <row r="52" spans="1:12" ht="29.5">
      <c r="A52" s="11">
        <v>44</v>
      </c>
      <c r="B52" s="6" t="s">
        <v>2427</v>
      </c>
      <c r="C52" s="11" t="s">
        <v>2428</v>
      </c>
      <c r="D52" s="11" t="s">
        <v>2428</v>
      </c>
      <c r="E52" s="11">
        <v>1</v>
      </c>
      <c r="F52" s="11">
        <v>1</v>
      </c>
      <c r="G52" s="6" t="s">
        <v>157</v>
      </c>
      <c r="H52" s="12"/>
      <c r="J52" s="12" t="str">
        <f t="shared" si="0"/>
        <v>* otherGeneticSyndromeWho2020 1..1 boolean ##34#Other Genetic syndrome WHO 2020 ##34# ##334#Other Genetic syndrome WHO 2020 ##334#</v>
      </c>
      <c r="L52" s="12" t="str">
        <f t="shared" si="1"/>
        <v/>
      </c>
    </row>
    <row r="53" spans="1:12" ht="29.5">
      <c r="A53" s="11">
        <v>45</v>
      </c>
      <c r="B53" s="6" t="s">
        <v>2429</v>
      </c>
      <c r="C53" s="11" t="s">
        <v>2430</v>
      </c>
      <c r="D53" s="11" t="s">
        <v>2430</v>
      </c>
      <c r="E53" s="11">
        <v>1</v>
      </c>
      <c r="F53" s="11">
        <v>1</v>
      </c>
      <c r="G53" s="6" t="s">
        <v>157</v>
      </c>
      <c r="H53" s="12"/>
      <c r="J53" s="12" t="str">
        <f t="shared" si="0"/>
        <v>* occurrenceOfOtherCancer 1..1 boolean ##34#Occurrence of other cancer##34# ##334#Occurrence of other cancer##334#</v>
      </c>
      <c r="L53" s="12" t="str">
        <f t="shared" si="1"/>
        <v/>
      </c>
    </row>
    <row r="54" spans="1:12" ht="103.25">
      <c r="A54" s="11">
        <v>46</v>
      </c>
      <c r="B54" s="11" t="s">
        <v>2431</v>
      </c>
      <c r="C54" s="11" t="s">
        <v>2432</v>
      </c>
      <c r="D54" s="11" t="s">
        <v>2432</v>
      </c>
      <c r="E54" s="11">
        <v>1</v>
      </c>
      <c r="F54" s="11">
        <v>1</v>
      </c>
      <c r="G54" s="11" t="s">
        <v>1764</v>
      </c>
      <c r="H54" s="12" t="s">
        <v>2441</v>
      </c>
      <c r="J54" s="12" t="str">
        <f t="shared" si="0"/>
        <v>* previousCancerTreatment 1..1 CodeableConcept ##34#Previous cancer treatment##34# ##334#Previous cancer treatment##334#</v>
      </c>
      <c r="L54" s="12" t="str">
        <f t="shared" si="1"/>
        <v>* previousCancerTreatment ^comment = ##334#Chemotherapy/radiation/surgery/other (site of radiotherapy)
Chemotherapy - 4273629
Radiation - 4029715
Surgery - 4121697 
Other - Needs to be specified##334#</v>
      </c>
    </row>
    <row r="55" spans="1:12" ht="29.5">
      <c r="A55" s="11">
        <v>47</v>
      </c>
      <c r="B55" s="11" t="s">
        <v>2433</v>
      </c>
      <c r="C55" s="11" t="s">
        <v>2434</v>
      </c>
      <c r="D55" s="11" t="s">
        <v>2435</v>
      </c>
      <c r="E55" s="11">
        <v>1</v>
      </c>
      <c r="F55" s="11">
        <v>1</v>
      </c>
      <c r="G55" s="11" t="s">
        <v>2444</v>
      </c>
      <c r="H55" s="12"/>
      <c r="J55" s="12" t="str">
        <f t="shared" si="0"/>
        <v>* lastContact 1..1 dateTime ##34#Last Contact##34# ##334#Date of the last contact with the patient, of any kind.##334#</v>
      </c>
      <c r="L55" s="12" t="str">
        <f t="shared" si="1"/>
        <v/>
      </c>
    </row>
    <row r="56" spans="1:12">
      <c r="J56" s="12" t="str">
        <f t="shared" si="0"/>
        <v>*  ..  ##34###34# ##334###334#</v>
      </c>
      <c r="L56" s="12" t="str">
        <f t="shared" si="1"/>
        <v>*  ..  ##34###34# ##334###334#</v>
      </c>
    </row>
    <row r="57" spans="1:12">
      <c r="J57" s="12" t="str">
        <f t="shared" si="0"/>
        <v>*  ..  ##34###34# ##334###334#</v>
      </c>
      <c r="L57" s="12" t="str">
        <f t="shared" si="1"/>
        <v>*  ..  ##34###34# ##334###334#</v>
      </c>
    </row>
    <row r="58" spans="1:12">
      <c r="J58" s="12" t="str">
        <f t="shared" si="0"/>
        <v>*  ..  ##34###34# ##334###334#</v>
      </c>
      <c r="L58" s="12" t="str">
        <f t="shared" si="1"/>
        <v>*  ..  ##34###34# ##334###334#</v>
      </c>
    </row>
    <row r="59" spans="1:12">
      <c r="J59" s="12" t="str">
        <f t="shared" si="0"/>
        <v>*  ..  ##34###34# ##334###334#</v>
      </c>
      <c r="L59" s="12" t="str">
        <f t="shared" si="1"/>
        <v>*  ..  ##34###34# ##334###334#</v>
      </c>
    </row>
  </sheetData>
  <autoFilter ref="A7:M40" xr:uid="{8509A97B-13A2-4A61-A2A1-3198312EE21A}"/>
  <phoneticPr fontId="46"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EB1E5-72F0-42EE-8F70-3128E7B79175}">
  <sheetPr codeName="Foglio51"/>
  <dimension ref="A1:O49"/>
  <sheetViews>
    <sheetView topLeftCell="A15"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CONCATENATE(Subject!B4,"2FHIR")</f>
        <v>SubjectI4rc2FHIR</v>
      </c>
      <c r="E4" s="19" t="str">
        <f>CONCATENATE("Mapping: ",C4)</f>
        <v>Mapping: SubjectI4rc2FHIR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1695</v>
      </c>
      <c r="E6" s="20" t="str">
        <f>CONCATENATE("Title: ##34#",C6,"##34#")</f>
        <v>Title: ##34#Hospital Discharge Report model to FHIR R4 Map##34#</v>
      </c>
      <c r="H6" s="7"/>
      <c r="I6" s="7"/>
      <c r="J6" s="7"/>
      <c r="K6" s="7"/>
      <c r="L6" s="7"/>
      <c r="M6" s="7"/>
      <c r="N6" s="7"/>
      <c r="O6" s="7"/>
    </row>
    <row r="7" spans="1:15" ht="15.5" thickBot="1">
      <c r="B7" s="10" t="s">
        <v>18</v>
      </c>
      <c r="C7" s="8" t="str">
        <f>B9</f>
        <v>Subject</v>
      </c>
      <c r="E7" s="20" t="str">
        <f>CONCATENATE("Source: ",C7)</f>
        <v>Source: Subject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Subject!B5</f>
        <v>Subject</v>
      </c>
      <c r="C9" s="6" t="s">
        <v>1609</v>
      </c>
      <c r="E9" s="27" t="str">
        <f>CONCATENATE("* -&gt; ##34#",C9,"##34#")</f>
        <v>* -&gt; ##34#TBD##34#</v>
      </c>
      <c r="H9" s="7"/>
      <c r="I9" s="7"/>
      <c r="J9" s="7"/>
      <c r="K9" s="7"/>
      <c r="L9" s="7"/>
      <c r="M9" s="7"/>
      <c r="N9" s="7"/>
      <c r="O9" s="7"/>
    </row>
    <row r="10" spans="1:15">
      <c r="A10" s="11"/>
      <c r="B10" s="11" t="str">
        <f>Subject!B8</f>
        <v>sex</v>
      </c>
      <c r="C10" s="11" t="s">
        <v>1609</v>
      </c>
      <c r="E10" s="12" t="str">
        <f t="shared" ref="E10:E49" si="0">IF(B10=0,"*  -&gt; ##34###34#",CONCATENATE("* ",B10," -&gt; ##34#",C10,"##34#"))</f>
        <v>* sex -&gt; ##34#TBD##34#</v>
      </c>
      <c r="H10" s="7"/>
      <c r="I10" s="7"/>
      <c r="J10" s="7"/>
      <c r="K10" s="7"/>
      <c r="L10" s="7"/>
      <c r="M10" s="7"/>
      <c r="N10" s="7"/>
      <c r="O10" s="7"/>
    </row>
    <row r="11" spans="1:15">
      <c r="A11" s="11"/>
      <c r="B11" s="11" t="str">
        <f>Subject!B9</f>
        <v>race</v>
      </c>
      <c r="C11" s="11" t="s">
        <v>1609</v>
      </c>
      <c r="E11" s="12" t="str">
        <f t="shared" si="0"/>
        <v>* race -&gt; ##34#TBD##34#</v>
      </c>
      <c r="H11" s="7"/>
      <c r="I11" s="7"/>
      <c r="J11" s="7"/>
      <c r="K11" s="7"/>
      <c r="L11" s="7"/>
      <c r="M11" s="7"/>
      <c r="N11" s="7"/>
      <c r="O11" s="7"/>
    </row>
    <row r="12" spans="1:15">
      <c r="A12" s="11"/>
      <c r="B12" s="11" t="str">
        <f>Subject!B10</f>
        <v>countryOfResidence</v>
      </c>
      <c r="C12" s="11" t="s">
        <v>1609</v>
      </c>
      <c r="E12" s="12" t="str">
        <f t="shared" si="0"/>
        <v>* countryOfResidence -&gt; ##34#TBD##34#</v>
      </c>
      <c r="H12" s="7"/>
      <c r="I12" s="7"/>
      <c r="J12" s="7"/>
      <c r="K12" s="7"/>
      <c r="L12" s="7"/>
      <c r="M12" s="7"/>
      <c r="N12" s="7"/>
      <c r="O12" s="7"/>
    </row>
    <row r="13" spans="1:15">
      <c r="A13" s="11"/>
      <c r="B13" s="11" t="str">
        <f>Subject!B11</f>
        <v>smoking</v>
      </c>
      <c r="C13" s="11" t="s">
        <v>1609</v>
      </c>
      <c r="E13" s="12" t="str">
        <f t="shared" si="0"/>
        <v>* smoking -&gt; ##34#TBD##34#</v>
      </c>
      <c r="H13" s="7"/>
      <c r="I13" s="7"/>
      <c r="J13" s="7"/>
      <c r="K13" s="7"/>
      <c r="L13" s="7"/>
      <c r="M13" s="7"/>
      <c r="N13" s="7"/>
      <c r="O13" s="7"/>
    </row>
    <row r="14" spans="1:15">
      <c r="A14" s="11"/>
      <c r="B14" s="11" t="str">
        <f>Subject!B12</f>
        <v>smokingType</v>
      </c>
      <c r="C14" s="11" t="s">
        <v>1609</v>
      </c>
      <c r="E14" s="12" t="str">
        <f t="shared" si="0"/>
        <v>* smokingType -&gt; ##34#TBD##34#</v>
      </c>
      <c r="H14" s="7"/>
      <c r="I14" s="7"/>
      <c r="J14" s="7"/>
      <c r="K14" s="7"/>
      <c r="L14" s="7"/>
      <c r="M14" s="7"/>
      <c r="N14" s="7"/>
      <c r="O14" s="7"/>
    </row>
    <row r="15" spans="1:15">
      <c r="A15" s="11"/>
      <c r="B15" s="11" t="str">
        <f>Subject!B13</f>
        <v>cigSmokedPerDay</v>
      </c>
      <c r="C15" s="11" t="s">
        <v>1609</v>
      </c>
      <c r="E15" s="12" t="str">
        <f t="shared" si="0"/>
        <v>* cigSmokedPerDay -&gt; ##34#TBD##34#</v>
      </c>
      <c r="H15" s="7"/>
      <c r="I15" s="7"/>
      <c r="J15" s="7"/>
      <c r="K15" s="7"/>
      <c r="L15" s="7"/>
      <c r="M15" s="7"/>
      <c r="N15" s="7"/>
      <c r="O15" s="7"/>
    </row>
    <row r="16" spans="1:15">
      <c r="A16" s="11"/>
      <c r="B16" s="11" t="str">
        <f>Subject!B14</f>
        <v>yearsAsSmoker</v>
      </c>
      <c r="C16" s="11" t="s">
        <v>1609</v>
      </c>
      <c r="E16" s="12" t="str">
        <f t="shared" si="0"/>
        <v>* yearsAsSmoker -&gt; ##34#TBD##34#</v>
      </c>
      <c r="H16" s="7"/>
      <c r="I16" s="7"/>
      <c r="J16" s="7"/>
      <c r="K16" s="7"/>
      <c r="L16" s="7"/>
      <c r="M16" s="7"/>
      <c r="N16" s="7"/>
      <c r="O16" s="7"/>
    </row>
    <row r="17" spans="1:5">
      <c r="A17" s="11"/>
      <c r="B17" s="11" t="str">
        <f>Subject!B15</f>
        <v>alcohol</v>
      </c>
      <c r="C17" s="11" t="s">
        <v>1609</v>
      </c>
      <c r="E17" s="12" t="str">
        <f t="shared" si="0"/>
        <v>* alcohol -&gt; ##34#TBD##34#</v>
      </c>
    </row>
    <row r="18" spans="1:5">
      <c r="A18" s="11"/>
      <c r="B18" s="11" t="str">
        <f>Subject!B18</f>
        <v>comorbidity</v>
      </c>
      <c r="C18" s="11" t="s">
        <v>1609</v>
      </c>
      <c r="E18" s="12" t="str">
        <f t="shared" si="0"/>
        <v>* comorbidity -&gt; ##34#TBD##34#</v>
      </c>
    </row>
    <row r="19" spans="1:5">
      <c r="A19" s="11"/>
      <c r="B19" s="11" t="e">
        <f>Subject!#REF!</f>
        <v>#REF!</v>
      </c>
      <c r="C19" s="11" t="s">
        <v>1609</v>
      </c>
      <c r="E19" s="12" t="e">
        <f t="shared" si="0"/>
        <v>#REF!</v>
      </c>
    </row>
    <row r="20" spans="1:5">
      <c r="A20" s="11"/>
      <c r="B20" s="11" t="str">
        <f>Subject!B19</f>
        <v>comorbidity.myocardialInfarction</v>
      </c>
      <c r="C20" s="11" t="s">
        <v>1609</v>
      </c>
      <c r="E20" s="12" t="str">
        <f t="shared" si="0"/>
        <v>* comorbidity.myocardialInfarction -&gt; ##34#TBD##34#</v>
      </c>
    </row>
    <row r="21" spans="1:5">
      <c r="B21" s="11" t="str">
        <f>Subject!B20</f>
        <v>comorbidity.congestiveHeartFailure</v>
      </c>
      <c r="C21" s="11" t="s">
        <v>1609</v>
      </c>
      <c r="E21" s="12" t="str">
        <f t="shared" si="0"/>
        <v>* comorbidity.congestiveHeartFailure -&gt; ##34#TBD##34#</v>
      </c>
    </row>
    <row r="22" spans="1:5">
      <c r="B22" s="11" t="str">
        <f>Subject!B21</f>
        <v>comorbidity.peripheralVascularDisease</v>
      </c>
      <c r="C22" s="11" t="s">
        <v>1609</v>
      </c>
      <c r="E22" s="12" t="str">
        <f t="shared" si="0"/>
        <v>* comorbidity.peripheralVascularDisease -&gt; ##34#TBD##34#</v>
      </c>
    </row>
    <row r="23" spans="1:5">
      <c r="B23" s="11" t="str">
        <f>Subject!B22</f>
        <v>comorbidity.cerebrovascularAccidentExceptHemiplegia</v>
      </c>
      <c r="C23" s="11" t="s">
        <v>1609</v>
      </c>
      <c r="E23" s="12" t="str">
        <f t="shared" si="0"/>
        <v>* comorbidity.cerebrovascularAccidentExceptHemiplegia -&gt; ##34#TBD##34#</v>
      </c>
    </row>
    <row r="24" spans="1:5">
      <c r="B24" s="11" t="str">
        <f>Subject!B23</f>
        <v>comorbidity.dementia</v>
      </c>
      <c r="C24" s="11" t="s">
        <v>1609</v>
      </c>
      <c r="E24" s="12" t="str">
        <f t="shared" si="0"/>
        <v>* comorbidity.dementia -&gt; ##34#TBD##34#</v>
      </c>
    </row>
    <row r="25" spans="1:5">
      <c r="B25" s="11" t="str">
        <f>Subject!B24</f>
        <v>comorbidity.chronicPulmonaryDisease</v>
      </c>
      <c r="C25" s="11" t="s">
        <v>1609</v>
      </c>
      <c r="E25" s="12" t="str">
        <f t="shared" si="0"/>
        <v>* comorbidity.chronicPulmonaryDisease -&gt; ##34#TBD##34#</v>
      </c>
    </row>
    <row r="26" spans="1:5">
      <c r="B26" s="11" t="str">
        <f>Subject!B25</f>
        <v>comorbidity.connectiveTissueDisease</v>
      </c>
      <c r="C26" s="11" t="s">
        <v>1609</v>
      </c>
      <c r="E26" s="12" t="str">
        <f t="shared" si="0"/>
        <v>* comorbidity.connectiveTissueDisease -&gt; ##34#TBD##34#</v>
      </c>
    </row>
    <row r="27" spans="1:5">
      <c r="B27" s="11" t="str">
        <f>Subject!B26</f>
        <v>comorbidity.ulcer</v>
      </c>
      <c r="C27" s="11" t="s">
        <v>1609</v>
      </c>
      <c r="E27" s="12" t="str">
        <f t="shared" si="0"/>
        <v>* comorbidity.ulcer -&gt; ##34#TBD##34#</v>
      </c>
    </row>
    <row r="28" spans="1:5">
      <c r="B28" s="11" t="str">
        <f>Subject!B27</f>
        <v>comorbidity.mildLiverDisease</v>
      </c>
      <c r="C28" s="11" t="s">
        <v>1609</v>
      </c>
      <c r="E28" s="12" t="str">
        <f t="shared" si="0"/>
        <v>* comorbidity.mildLiverDisease -&gt; ##34#TBD##34#</v>
      </c>
    </row>
    <row r="29" spans="1:5">
      <c r="B29" s="11" t="str">
        <f>Subject!B28</f>
        <v>comorbidity.moderateToSevereLiverDisease</v>
      </c>
      <c r="C29" s="11" t="s">
        <v>1609</v>
      </c>
      <c r="E29" s="12" t="str">
        <f t="shared" si="0"/>
        <v>* comorbidity.moderateToSevereLiverDisease -&gt; ##34#TBD##34#</v>
      </c>
    </row>
    <row r="30" spans="1:5">
      <c r="B30" s="11" t="str">
        <f>Subject!B29</f>
        <v>comorbidity.diabetesWithoutComplications</v>
      </c>
      <c r="C30" s="11" t="s">
        <v>1609</v>
      </c>
      <c r="E30" s="12" t="str">
        <f t="shared" si="0"/>
        <v>* comorbidity.diabetesWithoutComplications -&gt; ##34#TBD##34#</v>
      </c>
    </row>
    <row r="31" spans="1:5">
      <c r="B31" s="11" t="str">
        <f>Subject!B30</f>
        <v>comorbidity.diabetesWithEndOrganDamage</v>
      </c>
      <c r="C31" s="11" t="s">
        <v>1609</v>
      </c>
      <c r="E31" s="12" t="str">
        <f t="shared" si="0"/>
        <v>* comorbidity.diabetesWithEndOrganDamage -&gt; ##34#TBD##34#</v>
      </c>
    </row>
    <row r="32" spans="1:5">
      <c r="B32" s="11" t="str">
        <f>Subject!B31</f>
        <v>comorbidity.hemiplegia</v>
      </c>
      <c r="C32" s="11" t="s">
        <v>1609</v>
      </c>
      <c r="E32" s="12" t="str">
        <f t="shared" si="0"/>
        <v>* comorbidity.hemiplegia -&gt; ##34#TBD##34#</v>
      </c>
    </row>
    <row r="33" spans="2:5">
      <c r="B33" s="11" t="str">
        <f>Subject!B32</f>
        <v>comorbidity.moderateToSevereRenalDisease</v>
      </c>
      <c r="C33" s="11" t="s">
        <v>1609</v>
      </c>
      <c r="E33" s="12" t="str">
        <f t="shared" si="0"/>
        <v>* comorbidity.moderateToSevereRenalDisease -&gt; ##34#TBD##34#</v>
      </c>
    </row>
    <row r="34" spans="2:5">
      <c r="B34" s="11" t="str">
        <f>Subject!B33</f>
        <v>comorbidity.solidTumorNonMetastatic</v>
      </c>
      <c r="C34" s="11" t="s">
        <v>1609</v>
      </c>
      <c r="E34" s="12" t="str">
        <f t="shared" si="0"/>
        <v>* comorbidity.solidTumorNonMetastatic -&gt; ##34#TBD##34#</v>
      </c>
    </row>
    <row r="35" spans="2:5">
      <c r="B35" s="11" t="str">
        <f>Subject!B34</f>
        <v>comorbidity.metastaticSolidTumor</v>
      </c>
      <c r="C35" s="11" t="s">
        <v>1609</v>
      </c>
      <c r="E35" s="12" t="str">
        <f t="shared" si="0"/>
        <v>* comorbidity.metastaticSolidTumor -&gt; ##34#TBD##34#</v>
      </c>
    </row>
    <row r="36" spans="2:5">
      <c r="B36" s="11" t="str">
        <f>Subject!B35</f>
        <v>comorbidity.leukemia</v>
      </c>
      <c r="C36" s="11" t="s">
        <v>1609</v>
      </c>
      <c r="E36" s="12" t="str">
        <f t="shared" si="0"/>
        <v>* comorbidity.leukemia -&gt; ##34#TBD##34#</v>
      </c>
    </row>
    <row r="37" spans="2:5">
      <c r="B37" s="11" t="str">
        <f>Subject!B36</f>
        <v>comorbidity.lymphoma</v>
      </c>
      <c r="C37" s="11" t="s">
        <v>1609</v>
      </c>
      <c r="E37" s="12" t="str">
        <f t="shared" si="0"/>
        <v>* comorbidity.lymphoma -&gt; ##34#TBD##34#</v>
      </c>
    </row>
    <row r="38" spans="2:5">
      <c r="B38" s="11" t="str">
        <f>Subject!B38</f>
        <v>comorbidity.aids</v>
      </c>
      <c r="C38" s="11" t="s">
        <v>1609</v>
      </c>
      <c r="E38" s="12" t="str">
        <f t="shared" si="0"/>
        <v>* comorbidity.aids -&gt; ##34#TBD##34#</v>
      </c>
    </row>
    <row r="39" spans="2:5">
      <c r="B39" s="11" t="str">
        <f>Subject!B39</f>
        <v>ecogPsAtDiagnosis</v>
      </c>
      <c r="C39" s="11" t="s">
        <v>1609</v>
      </c>
      <c r="E39" s="12" t="str">
        <f t="shared" si="0"/>
        <v>* ecogPsAtDiagnosis -&gt; ##34#TBD##34#</v>
      </c>
    </row>
    <row r="40" spans="2:5">
      <c r="B40" s="11" t="str">
        <f>Subject!B40</f>
        <v>karnofsyIndexAtDiagnosis</v>
      </c>
      <c r="C40" s="11" t="s">
        <v>1609</v>
      </c>
      <c r="E40" s="12" t="str">
        <f t="shared" si="0"/>
        <v>* karnofsyIndexAtDiagnosis -&gt; ##34#TBD##34#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113"/>
  <sheetViews>
    <sheetView workbookViewId="0">
      <selection activeCell="C8" sqref="C8:C58"/>
    </sheetView>
  </sheetViews>
  <sheetFormatPr defaultRowHeight="14.75"/>
  <cols>
    <col min="3" max="3" width="108.2265625" style="12" customWidth="1"/>
    <col min="7" max="7" width="29.54296875" customWidth="1"/>
    <col min="8" max="8" width="54.90625" customWidth="1"/>
  </cols>
  <sheetData>
    <row r="1" spans="3:7" ht="15.5" thickBot="1">
      <c r="C1" s="23" t="str">
        <f>Subject!J1</f>
        <v>//===================================================</v>
      </c>
    </row>
    <row r="2" spans="3:7" ht="16.75" thickBot="1">
      <c r="C2" s="24" t="str">
        <f>Subject!J2</f>
        <v>//  Logical Model</v>
      </c>
      <c r="G2" s="29" t="s">
        <v>167</v>
      </c>
    </row>
    <row r="3" spans="3:7">
      <c r="C3" s="24" t="str">
        <f>Subject!J3</f>
        <v>//===================================================</v>
      </c>
    </row>
    <row r="4" spans="3:7">
      <c r="C4" s="16" t="str">
        <f>Subject!J4</f>
        <v>Logical: SubjectI4rc</v>
      </c>
    </row>
    <row r="5" spans="3:7">
      <c r="C5" s="16" t="str">
        <f>Subject!J5</f>
        <v>Id: Subject</v>
      </c>
    </row>
    <row r="6" spans="3:7">
      <c r="C6" s="16" t="str">
        <f>Subject!J6</f>
        <v>Title: ##34#Subject of care##34#</v>
      </c>
    </row>
    <row r="7" spans="3:7" ht="29.5">
      <c r="C7" s="16" t="str">
        <f>Subject!J7</f>
        <v>Description:  ##334#Subject of care 
Maturity Level: 0 Draft##334#</v>
      </c>
    </row>
    <row r="8" spans="3:7" ht="29.5">
      <c r="C8" s="12" t="str">
        <f>IF(Subject!J8="*  ..  ##34###34# ##334###334#","//--- END",Subject!J8)</f>
        <v>* sex 1..1 CodeableConcept ##34#Gender##34# ##334#Describes biological sex as recorded in the patient's identity document or in the hospital record. In the absence of documentation, the one declared by the patient will be recorded##334#</v>
      </c>
    </row>
    <row r="9" spans="3:7" ht="29.5">
      <c r="C9" s="12" t="str">
        <f>IF(Subject!J9="*  ..  ##34###34# ##334###334#","//--- END",Subject!J9)</f>
        <v>* race 1..1 CodeableConcept ##34#Race##34# ##334#Describes race as recorded in  the hospital record, the one declared by the patient,, otherwise, the onerecognized by the observer##334#</v>
      </c>
    </row>
    <row r="10" spans="3:7" ht="29.5">
      <c r="C10" s="12" t="str">
        <f>IF(Subject!J10="*  ..  ##34###34# ##334###334#","//--- END",Subject!J10)</f>
        <v>* countryOfResidence 1..1 CodeableConcept ##34#Country of Residence##34# ##334#Country of residence at the time of diagnosis##334#</v>
      </c>
    </row>
    <row r="11" spans="3:7" ht="29.5">
      <c r="C11" s="12" t="str">
        <f>IF(Subject!J11="*  ..  ##34###34# ##334###334#","//--- END",Subject!J11)</f>
        <v>* smoking 1..1 CodeableConcept ##34#Smoking##34# ##334#Describes tobacco smoker habits within the options proposed##334#</v>
      </c>
    </row>
    <row r="12" spans="3:7">
      <c r="C12" s="12" t="str">
        <f>IF(Subject!J12="*  ..  ##34###34# ##334###334#","//--- END",Subject!J12)</f>
        <v>* smokingType 0..1 CodeableConcept ##34#Smoking type##34# ##334#Describes type of tobacco##334#</v>
      </c>
    </row>
    <row r="13" spans="3:7" ht="44.25">
      <c r="C13" s="12" t="str">
        <f>IF(Subject!J13="*  ..  ##34###34# ##334###334#","//--- END",Subject!J13)</f>
        <v>* cigSmokedPerDay 0..1 integer ##34#Cigarettes/cigars smoked per day##34# ##334#Number of cigarettes or cigars smoked in one day. Together with the information of number of years as a smoker, these information will allow to automatically calculate the pack year.##334#</v>
      </c>
    </row>
    <row r="14" spans="3:7">
      <c r="C14" s="12" t="str">
        <f>IF(Subject!J14="*  ..  ##34###34# ##334###334#","//--- END",Subject!J14)</f>
        <v>* yearsAsSmoker 0..1 integer ##34#Number of years as a smoker##34# ##334#Number of years the person has smoked##334#</v>
      </c>
    </row>
    <row r="15" spans="3:7">
      <c r="C15" s="12" t="str">
        <f>IF(Subject!J15="*  ..  ##34###34# ##334###334#","//--- END",Subject!J15)</f>
        <v>* alcohol 1..1 CodeableConcept ##34#Alcohol##34# ##334#Describes alcohol habits within the options proposed##334#</v>
      </c>
    </row>
    <row r="16" spans="3:7" ht="29.5">
      <c r="C16" s="12" t="str">
        <f>IF(Subject!J16="*  ..  ##34###34# ##334###334#","//--- END",Subject!J16)</f>
        <v>* bMI 0..1 Quantity ##34#Height/weight (BMI)
##34# ##334#Provides the BMI for the patient##334#</v>
      </c>
    </row>
    <row r="17" spans="3:3" ht="29.5">
      <c r="C17" s="12" t="str">
        <f>IF(Subject!J17="*  ..  ##34###34# ##334###334#","//--- END",Subject!J17)</f>
        <v>* charlsonComorbidityIndex 0..1 integer ##34#Charlson Comorbidity index##34# ##334#Provides the Charlson Comorbidity index for the patient##334#</v>
      </c>
    </row>
    <row r="18" spans="3:3" ht="29.5">
      <c r="C18" s="12" t="str">
        <f>IF(Subject!J18="*  ..  ##34###34# ##334###334#","//--- END",Subject!J18)</f>
        <v>* comorbidity 1..1 BackboneElement ##34#Comorbidity##34# ##334#Describes whether the patient was diagnosed before treatment of at least one of the comorbidities listed  next or not##334#</v>
      </c>
    </row>
    <row r="19" spans="3:3" ht="44.25">
      <c r="C19" s="12" t="str">
        <f>IF(Subject!J19="*  ..  ##34###34# ##334###334#","//--- END",Subject!J19)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c r="C20" s="12" t="str">
        <f>IF(Subject!J20="*  ..  ##34###34# ##334###334#","//--- END",Subject!J20)</f>
        <v>* comorbidity.congestiveHeartFailure 0..1 boolean ##34#Congestive heart failure##34# ##334#Previous cancer comorbidity related to Congestive heart failure##334#</v>
      </c>
    </row>
    <row r="21" spans="3:3" ht="29.5">
      <c r="C21" s="12" t="str">
        <f>IF(Subject!J21="*  ..  ##34###34# ##334###334#","//--- END",Subject!J21)</f>
        <v>* comorbidity.peripheralVascularDisease 0..1 boolean ##34#Peripheral vascular disease##34# ##334#Previous cancer comorbidity related to Peripheral vascular disease##334#</v>
      </c>
    </row>
    <row r="22" spans="3:3" ht="29.5">
      <c r="C22" s="12" t="str">
        <f>IF(Subject!J22="*  ..  ##34###34# ##334###334#","//--- END",Subject!J22)</f>
        <v>* comorbidity.cerebrovascularAccidentExceptHemiplegia 0..1 boolean ##34#Cerebrovascular accident  (except hemiplegia)##34# ##334#Previous cancer comorbidity related to Cerebrovascular accident  (except hemiplegia)##334#</v>
      </c>
    </row>
    <row r="23" spans="3:3">
      <c r="C23" s="12" t="str">
        <f>IF(Subject!J23="*  ..  ##34###34# ##334###334#","//--- END",Subject!J23)</f>
        <v>* comorbidity.dementia 0..1 boolean ##34#Dementia##34# ##334#Previous cancer comorbidity related to Dementia##334#</v>
      </c>
    </row>
    <row r="24" spans="3:3" ht="29.5">
      <c r="C24" s="12" t="str">
        <f>IF(Subject!J24="*  ..  ##34###34# ##334###334#","//--- END",Subject!J24)</f>
        <v>* comorbidity.chronicPulmonaryDisease 0..1 boolean ##34#Chronic pulmonary disease##34# ##334#Previous cancer comorbidity related to Chronic pulmonary disease##334#</v>
      </c>
    </row>
    <row r="25" spans="3:3" ht="29.5">
      <c r="C25" s="12" t="str">
        <f>IF(Subject!J25="*  ..  ##34###34# ##334###334#","//--- END",Subject!J25)</f>
        <v>* comorbidity.connectiveTissueDisease 0..1 boolean ##34#Connective tissue disease##34# ##334#Previous cancer comorbidity related to Connective tissue disease##334#</v>
      </c>
    </row>
    <row r="26" spans="3:3">
      <c r="C26" s="12" t="str">
        <f>IF(Subject!J26="*  ..  ##34###34# ##334###334#","//--- END",Subject!J26)</f>
        <v>* comorbidity.ulcer 0..1 boolean ##34#Ulcer##34# ##334#Previous cancer comorbidity related to Ulcer##334#</v>
      </c>
    </row>
    <row r="27" spans="3:3" ht="29.5">
      <c r="C27" s="12" t="str">
        <f>IF(Subject!J27="*  ..  ##34###34# ##334###334#","//--- END",Subject!J27)</f>
        <v>* comorbidity.mildLiverDisease 0..1 boolean ##34#Mild liver disease##34# ##334#Previous cancer comorbidity related to Mild liver disease##334#</v>
      </c>
    </row>
    <row r="28" spans="3:3" ht="29.5">
      <c r="C28" s="12" t="str">
        <f>IF(Subject!J28="*  ..  ##34###34# ##334###334#","//--- END",Subject!J28)</f>
        <v>* comorbidity.moderateToSevereLiverDisease 0..1 boolean ##34#Moderate to severe liver disease##34# ##334#Previous cancer comorbidity related to Moderate to severe liver disease##334#</v>
      </c>
    </row>
    <row r="29" spans="3:3" ht="29.5">
      <c r="C29" s="12" t="str">
        <f>IF(Subject!J29="*  ..  ##34###34# ##334###334#","//--- END",Subject!J29)</f>
        <v>* comorbidity.diabetesWithoutComplications 0..1 boolean ##34#Diabetes (without complications)##34# ##334#Previous cancer comorbidity related to Diabetes (without complications)##334#</v>
      </c>
    </row>
    <row r="30" spans="3:3" ht="29.5">
      <c r="C30" s="12" t="str">
        <f>IF(Subject!J30="*  ..  ##34###34# ##334###334#","//--- END",Subject!J30)</f>
        <v>* comorbidity.diabetesWithEndOrganDamage 0..1 boolean ##34#Diabetes with end organ damage##34# ##334#Previous cancer comorbidity related to Diabetes with end organ damage##334#</v>
      </c>
    </row>
    <row r="31" spans="3:3" ht="29.5">
      <c r="C31" s="12" t="str">
        <f>IF(Subject!J31="*  ..  ##34###34# ##334###334#","//--- END",Subject!J31)</f>
        <v>* comorbidity.hemiplegia 0..1 boolean ##34#Hemiplegia##34# ##334#Previous cancer comorbidity related to Hemiplegia##334#</v>
      </c>
    </row>
    <row r="32" spans="3:3" ht="29.5">
      <c r="C32" s="12" t="str">
        <f>IF(Subject!J32="*  ..  ##34###34# ##334###334#","//--- END",Subject!J32)</f>
        <v>* comorbidity.moderateToSevereRenalDisease 0..1 boolean ##34#Moderate to severe renal disease##34# ##334#Previous cancer comorbidity related to Moderate to severe renal disease##334#</v>
      </c>
    </row>
    <row r="33" spans="3:3" ht="29.5">
      <c r="C33" s="12" t="str">
        <f>IF(Subject!J33="*  ..  ##34###34# ##334###334#","//--- END",Subject!J33)</f>
        <v>* comorbidity.solidTumorNonMetastatic 0..1 boolean ##34#Solid tumor (non metastatic)##34# ##334#Previous cancer comorbidity related to Solid tumor (non metastatic)##334#</v>
      </c>
    </row>
    <row r="34" spans="3:3" ht="29.5">
      <c r="C34" s="12" t="str">
        <f>IF(Subject!J34="*  ..  ##34###34# ##334###334#","//--- END",Subject!J34)</f>
        <v>* comorbidity.metastaticSolidTumor 0..1 boolean ##34#Metastatic solid tumor##34# ##334#Previous cancer comorbidity related to Metastatic solid tumor##334#</v>
      </c>
    </row>
    <row r="35" spans="3:3">
      <c r="C35" s="12" t="str">
        <f>IF(Subject!J35="*  ..  ##34###34# ##334###334#","//--- END",Subject!J35)</f>
        <v>* comorbidity.leukemia 0..1 boolean ##34#Leukemia##34# ##334#Previous cancer comorbidity related to Leukemia##334#</v>
      </c>
    </row>
    <row r="36" spans="3:3">
      <c r="C36" s="12" t="str">
        <f>IF(Subject!J36="*  ..  ##34###34# ##334###334#","//--- END",Subject!J36)</f>
        <v>* comorbidity.lymphoma 0..1 boolean ##34#Lymphoma##34# ##334#Previous cancer comorbidity related to Lymphoma##334#</v>
      </c>
    </row>
    <row r="37" spans="3:3" ht="29.5">
      <c r="C37" s="12" t="str">
        <f>IF(Subject!J37="*  ..  ##34###34# ##334###334#","//--- END",Subject!J37)</f>
        <v>* comorbidity.multipleMyeloma 0..1 boolean ##34#Multiple myeloma##34# ##334#Previous cancer comorbidity related to Multiple myeloma##334#</v>
      </c>
    </row>
    <row r="38" spans="3:3">
      <c r="C38" s="12" t="str">
        <f>IF(Subject!J38="*  ..  ##34###34# ##334###334#","//--- END",Subject!J38)</f>
        <v>* comorbidity.aids 0..1 boolean ##34#AIDS##34# ##334#Previous cancer comorbidity related to AIDS##334#</v>
      </c>
    </row>
    <row r="39" spans="3:3" ht="29.5">
      <c r="C39" s="12" t="str">
        <f>IF(Subject!J39="*  ..  ##34###34# ##334###334#","//--- END",Subject!J39)</f>
        <v>* ecogPsAtDiagnosis 0..1 CodeableConcept ##34#Eastern Cooperative Oncology Group performance status (ECOG PS)  at diagnosis##34# ##334#Eastern Cooperative Oncology Group performance status (ECOG PS)  at diagnosis##334#</v>
      </c>
    </row>
    <row r="40" spans="3:3" ht="29.5">
      <c r="C40" s="12" t="str">
        <f>IF(Subject!J40="*  ..  ##34###34# ##334###334#","//--- END",Subject!J40)</f>
        <v>* karnofsyIndexAtDiagnosis 0..1 CodeableConcept ##34#Karnofsy index at diagnosis##34# ##334#Karnofsy index at diagnosis##334#</v>
      </c>
    </row>
    <row r="41" spans="3:3" ht="29.5">
      <c r="C41" s="12" t="str">
        <f>IF(Subject!J41="*  ..  ##34###34# ##334###334#","//--- END",Subject!J41)</f>
        <v>* noGeneticSyndromeWho2020 1..1 BackboneElement ##34#No Genetic syndrome WHO 2020 ##34# ##334#No Genetic syndrome WHO 2020 ##334#</v>
      </c>
    </row>
    <row r="42" spans="3:3">
      <c r="C42" s="12" t="str">
        <f>IF(Subject!J42="*  ..  ##34###34# ##334###334#","//--- END",Subject!J42)</f>
        <v>* olliersDisease 1..1 boolean ##34#Olliers disease##34# ##334#Olliers disease##334#</v>
      </c>
    </row>
    <row r="43" spans="3:3">
      <c r="C43" s="12" t="str">
        <f>IF(Subject!J43="*  ..  ##34###34# ##334###334#","//--- END",Subject!J43)</f>
        <v>* maffuciSyndrome 1..1 boolean ##34#Maffuci syndrome##34# ##334#Maffuci syndrome##334#</v>
      </c>
    </row>
    <row r="44" spans="3:3">
      <c r="C44" s="12" t="str">
        <f>IF(Subject!J44="*  ..  ##34###34# ##334###334#","//--- END",Subject!J44)</f>
        <v>* liFraumeniSyndrome 1..1 boolean ##34#Li-Fraumeni syndrome##34# ##334#Li-Fraumeni syndrome##334#</v>
      </c>
    </row>
    <row r="45" spans="3:3">
      <c r="C45" s="12" t="str">
        <f>IF(Subject!J45="*  ..  ##34###34# ##334###334#","//--- END",Subject!J45)</f>
        <v>* mcCuneAlbrightSyndrome 1..1 boolean ##34#McCune-Albright syndrome##34# ##334#McCune-Albright syndrome##334#</v>
      </c>
    </row>
    <row r="46" spans="3:3">
      <c r="C46" s="12" t="str">
        <f>IF(Subject!J46="*  ..  ##34###34# ##334###334#","//--- END",Subject!J46)</f>
        <v>* multipleOsteochondromas 1..1 boolean ##34#Multiple osteochondromas##34# ##334#Multiple osteochondromas##334#</v>
      </c>
    </row>
    <row r="47" spans="3:3">
      <c r="C47" s="12" t="str">
        <f>IF(Subject!J47="*  ..  ##34###34# ##334###334#","//--- END",Subject!J47)</f>
        <v>* neurofibromatosisType1 1..1 boolean ##34#Neurofibromatosis type 1##34# ##334#Neurofibromatosis type 2##334#</v>
      </c>
    </row>
    <row r="48" spans="3:3" ht="29.5">
      <c r="C48" s="12" t="str">
        <f>IF(Subject!J48="*  ..  ##34###34# ##334###334#","//--- END",Subject!J48)</f>
        <v>* rothmundThomsonSyndrome 1..1 boolean ##34#Rothmund-Thomson syndrome##34# ##334#Rothmund-Thomson syndrome##334#</v>
      </c>
    </row>
    <row r="49" spans="3:3">
      <c r="C49" s="12" t="str">
        <f>IF(Subject!J49="*  ..  ##34###34# ##334###334#","//--- END",Subject!J49)</f>
        <v>* wernerSyndrome 1..1 boolean ##34#Werner syndrome##34# ##334#Werner syndrome##334#</v>
      </c>
    </row>
    <row r="50" spans="3:3">
      <c r="C50" s="12" t="str">
        <f>IF(Subject!J50="*  ..  ##34###34# ##334###334#","//--- END",Subject!J50)</f>
        <v>* retinoblastoma 1..1 boolean ##34#Retinoblastoma##34# ##334#Retinoblastoma##334#</v>
      </c>
    </row>
    <row r="51" spans="3:3">
      <c r="C51" s="12" t="str">
        <f>IF(Subject!J51="*  ..  ##34###34# ##334###334#","//--- END",Subject!J51)</f>
        <v>* pagetDisease 1..1 boolean ##34#Paget disease##34# ##334#Paget disease##334#</v>
      </c>
    </row>
    <row r="52" spans="3:3" ht="29.5">
      <c r="C52" s="12" t="str">
        <f>IF(Subject!J52="*  ..  ##34###34# ##334###334#","//--- END",Subject!J52)</f>
        <v>* otherGeneticSyndromeWho2020 1..1 boolean ##34#Other Genetic syndrome WHO 2020 ##34# ##334#Other Genetic syndrome WHO 2020 ##334#</v>
      </c>
    </row>
    <row r="53" spans="3:3">
      <c r="C53" s="12" t="str">
        <f>IF(Subject!J53="*  ..  ##34###34# ##334###334#","//--- END",Subject!J53)</f>
        <v>* occurrenceOfOtherCancer 1..1 boolean ##34#Occurrence of other cancer##34# ##334#Occurrence of other cancer##334#</v>
      </c>
    </row>
    <row r="54" spans="3:3" ht="29.5">
      <c r="C54" s="12" t="str">
        <f>IF(Subject!J54="*  ..  ##34###34# ##334###334#","//--- END",Subject!J54)</f>
        <v>* previousCancerTreatment 1..1 CodeableConcept ##34#Previous cancer treatment##34# ##334#Previous cancer treatment##334#</v>
      </c>
    </row>
    <row r="55" spans="3:3">
      <c r="C55" s="12" t="str">
        <f>IF(Subject!J55="*  ..  ##34###34# ##334###334#","//--- END",Subject!J55)</f>
        <v>* lastContact 1..1 dateTime ##34#Last Contact##34# ##334#Date of the last contact with the patient, of any kind.##334#</v>
      </c>
    </row>
    <row r="56" spans="3:3">
      <c r="C56" s="12" t="str">
        <f>IF(Subject!J56="*  ..  ##34###34# ##334###334#","//--- END",Subject!J56)</f>
        <v>//--- END</v>
      </c>
    </row>
    <row r="57" spans="3:3">
      <c r="C57" s="12" t="str">
        <f>IF(Subject!J57="*  ..  ##34###34# ##334###334#","//--- END",Subject!J57)</f>
        <v>//--- END</v>
      </c>
    </row>
    <row r="58" spans="3:3">
      <c r="C58" s="12" t="str">
        <f>IF(Subject!J58="*  ..  ##34###34# ##334###334#","//--- END",Subject!J58)</f>
        <v>//--- END</v>
      </c>
    </row>
    <row r="60" spans="3:3">
      <c r="C60" s="23" t="s">
        <v>1613</v>
      </c>
    </row>
    <row r="61" spans="3:3">
      <c r="C61" s="24" t="s">
        <v>1701</v>
      </c>
    </row>
    <row r="62" spans="3:3">
      <c r="C62" s="24" t="s">
        <v>1613</v>
      </c>
    </row>
    <row r="63" spans="3:3" ht="59">
      <c r="C63" s="12" t="str">
        <f>IF(Subject!L8="*  ..  ##34###34# ##334###334#","//--- END",Subject!L8)</f>
        <v>* sex ^comment = ##334#Male; Female; Unknown.
Male - 8507
Female - 8532
Unknown - 4129922##334#</v>
      </c>
    </row>
    <row r="64" spans="3:3" ht="88.5">
      <c r="C64" s="12" t="str">
        <f>IF(Subject!L9="*  ..  ##34###34# ##334###334#","//--- END",Subject!L9)</f>
        <v>* race ^comment = ##334#Unknown; White; Black; Asians/Pacific Islanders; American Indian/Alaska Native
White - 8527
Black - 8516
Asian/Pacific Islanders - 8515
American Indian/Alaska Native - 8657
Unknown - 4129922##334#</v>
      </c>
    </row>
    <row r="65" spans="3:3" ht="29.5">
      <c r="C65" s="12" t="str">
        <f>IF(Subject!L10="*  ..  ##34###34# ##334###334#","//--- END",Subject!L10)</f>
        <v>* countryOfResidence ^comment = ##334#Value from the code list of countries
Son in the hierarchy of countries##334#</v>
      </c>
    </row>
    <row r="66" spans="3:3" ht="73.75">
      <c r="C66" s="12" t="str">
        <f>IF(Subject!L11="*  ..  ##34###34# ##334###334#","//--- END",Subject!L11)</f>
        <v>* smoking ^comment = ##334#Current tobacco smoker; Former smoker (at least for 12 months); Never smoker; Unknown
Current smoker - 36309332
Former smoker - 45883458
Never smoker - 45879404
##334#</v>
      </c>
    </row>
    <row r="67" spans="3:3" ht="59">
      <c r="C67" s="12" t="str">
        <f>IF(Subject!L12="*  ..  ##34###34# ##334###334#","//--- END",Subject!L12)</f>
        <v>* smokingType ^comment = ##334#Cigarettes; Cigar; Unknown
Cigarettes - 36716475
Cigar -  36716476
Unknown - 4129922##334#</v>
      </c>
    </row>
    <row r="68" spans="3:3">
      <c r="C68" s="12" t="str">
        <f>IF(Subject!L13="*  ..  ##34###34# ##334###334#","//--- END",Subject!L13)</f>
        <v/>
      </c>
    </row>
    <row r="69" spans="3:3">
      <c r="C69" s="12" t="str">
        <f>IF(Subject!L14="*  ..  ##34###34# ##334###334#","//--- END",Subject!L14)</f>
        <v/>
      </c>
    </row>
    <row r="70" spans="3:3" ht="88.5">
      <c r="C70" s="12" t="str">
        <f>IF(Subject!L15="*  ..  ##34###34# ##334###334#","//--- END",Subject!L15)</f>
        <v>* alcohol ^comment = ##334#Current; Former (at least for 12 months); Never; History of alcohol dependence; Unknown
Current drinker - 4074035
Ex-drinker - 4220362
Lifetime non-drinker of alcohol - 37204556
Ex-problem drinker - 4117706
##334#</v>
      </c>
    </row>
    <row r="71" spans="3:3">
      <c r="C71" s="12" t="str">
        <f>IF(Subject!L16="*  ..  ##34###34# ##334###334#","//--- END",Subject!L16)</f>
        <v/>
      </c>
    </row>
    <row r="72" spans="3:3">
      <c r="C72" s="12" t="str">
        <f>IF(Subject!L17="*  ..  ##34###34# ##334###334#","//--- END",Subject!L17)</f>
        <v/>
      </c>
    </row>
    <row r="73" spans="3:3" ht="59">
      <c r="C73" s="12" t="str">
        <f>IF(Subject!L18="*  ..  ##34###34# ##334###334#","//--- END",Subject!L18)</f>
        <v>* comorbidity ^comment = ##334#Yes; No; Unknown
Yes - 4188539
No -  4188540
Unknown - 4129922##334#</v>
      </c>
    </row>
    <row r="74" spans="3:3">
      <c r="C74" s="12" t="str">
        <f>IF(Subject!L19="*  ..  ##34###34# ##334###334#","//--- END",Subject!L19)</f>
        <v/>
      </c>
    </row>
    <row r="75" spans="3:3">
      <c r="C75" s="12" t="str">
        <f>IF(Subject!L20="*  ..  ##34###34# ##334###334#","//--- END",Subject!L20)</f>
        <v/>
      </c>
    </row>
    <row r="76" spans="3:3">
      <c r="C76" s="12" t="str">
        <f>IF(Subject!L21="*  ..  ##34###34# ##334###334#","//--- END",Subject!L21)</f>
        <v/>
      </c>
    </row>
    <row r="77" spans="3:3">
      <c r="C77" s="12" t="str">
        <f>IF(Subject!L22="*  ..  ##34###34# ##334###334#","//--- END",Subject!L22)</f>
        <v/>
      </c>
    </row>
    <row r="78" spans="3:3">
      <c r="C78" s="12" t="str">
        <f>IF(Subject!L23="*  ..  ##34###34# ##334###334#","//--- END",Subject!L23)</f>
        <v/>
      </c>
    </row>
    <row r="79" spans="3:3">
      <c r="C79" s="12" t="str">
        <f>IF(Subject!L24="*  ..  ##34###34# ##334###334#","//--- END",Subject!L24)</f>
        <v/>
      </c>
    </row>
    <row r="80" spans="3:3">
      <c r="C80" s="12" t="str">
        <f>IF(Subject!L25="*  ..  ##34###34# ##334###334#","//--- END",Subject!L25)</f>
        <v/>
      </c>
    </row>
    <row r="81" spans="3:3">
      <c r="C81" s="12" t="str">
        <f>IF(Subject!L26="*  ..  ##34###34# ##334###334#","//--- END",Subject!L26)</f>
        <v/>
      </c>
    </row>
    <row r="82" spans="3:3">
      <c r="C82" s="12" t="str">
        <f>IF(Subject!L27="*  ..  ##34###34# ##334###334#","//--- END",Subject!L27)</f>
        <v/>
      </c>
    </row>
    <row r="83" spans="3:3">
      <c r="C83" s="12" t="str">
        <f>IF(Subject!L28="*  ..  ##34###34# ##334###334#","//--- END",Subject!L28)</f>
        <v/>
      </c>
    </row>
    <row r="84" spans="3:3">
      <c r="C84" s="12" t="str">
        <f>IF(Subject!L29="*  ..  ##34###34# ##334###334#","//--- END",Subject!L29)</f>
        <v/>
      </c>
    </row>
    <row r="85" spans="3:3">
      <c r="C85" s="12" t="str">
        <f>IF(Subject!L30="*  ..  ##34###34# ##334###334#","//--- END",Subject!L30)</f>
        <v/>
      </c>
    </row>
    <row r="86" spans="3:3">
      <c r="C86" s="12" t="str">
        <f>IF(Subject!L31="*  ..  ##34###34# ##334###334#","//--- END",Subject!L31)</f>
        <v/>
      </c>
    </row>
    <row r="87" spans="3:3">
      <c r="C87" s="12" t="str">
        <f>IF(Subject!L32="*  ..  ##34###34# ##334###334#","//--- END",Subject!L32)</f>
        <v/>
      </c>
    </row>
    <row r="88" spans="3:3">
      <c r="C88" s="12" t="str">
        <f>IF(Subject!L33="*  ..  ##34###34# ##334###334#","//--- END",Subject!L33)</f>
        <v/>
      </c>
    </row>
    <row r="89" spans="3:3">
      <c r="C89" s="12" t="str">
        <f>IF(Subject!L34="*  ..  ##34###34# ##334###334#","//--- END",Subject!L34)</f>
        <v/>
      </c>
    </row>
    <row r="90" spans="3:3">
      <c r="C90" s="12" t="str">
        <f>IF(Subject!L35="*  ..  ##34###34# ##334###334#","//--- END",Subject!L35)</f>
        <v/>
      </c>
    </row>
    <row r="91" spans="3:3">
      <c r="C91" s="12" t="str">
        <f>IF(Subject!L36="*  ..  ##34###34# ##334###334#","//--- END",Subject!L36)</f>
        <v/>
      </c>
    </row>
    <row r="92" spans="3:3">
      <c r="C92" s="12" t="str">
        <f>IF(Subject!L37="*  ..  ##34###34# ##334###334#","//--- END",Subject!L37)</f>
        <v/>
      </c>
    </row>
    <row r="93" spans="3:3">
      <c r="C93" s="12" t="str">
        <f>IF(Subject!L38="*  ..  ##34###34# ##334###334#","//--- END",Subject!L38)</f>
        <v/>
      </c>
    </row>
    <row r="94" spans="3:3" ht="118">
      <c r="C94" s="12" t="str">
        <f>IF(Subject!L39="*  ..  ##34###34# ##334###334#","//--- END",Subject!L39)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c r="C95" s="12" t="str">
        <f>IF(Subject!L40="*  ..  ##34###34# ##334###334#","//--- END",Subject!L40)</f>
        <v>* karnofsyIndexAtDiagnosis ^comment = ##334#KPS Scale
SONS Functional Neurologic Status - Karnofsky Performance Scale (KPS) - 35917688 ##334#</v>
      </c>
    </row>
    <row r="96" spans="3:3">
      <c r="C96" s="12" t="str">
        <f>IF(Subject!L41="*  ..  ##34###34# ##334###334#","//--- END",Subject!L41)</f>
        <v/>
      </c>
    </row>
    <row r="97" spans="3:3">
      <c r="C97" s="12" t="str">
        <f>IF(Subject!L42="*  ..  ##34###34# ##334###334#","//--- END",Subject!L42)</f>
        <v/>
      </c>
    </row>
    <row r="98" spans="3:3">
      <c r="C98" s="12" t="str">
        <f>IF(Subject!L43="*  ..  ##34###34# ##334###334#","//--- END",Subject!L43)</f>
        <v/>
      </c>
    </row>
    <row r="99" spans="3:3">
      <c r="C99" s="12" t="str">
        <f>IF(Subject!L44="*  ..  ##34###34# ##334###334#","//--- END",Subject!L44)</f>
        <v/>
      </c>
    </row>
    <row r="100" spans="3:3">
      <c r="C100" s="12" t="str">
        <f>IF(Subject!L45="*  ..  ##34###34# ##334###334#","//--- END",Subject!L45)</f>
        <v/>
      </c>
    </row>
    <row r="101" spans="3:3">
      <c r="C101" s="12" t="str">
        <f>IF(Subject!L46="*  ..  ##34###34# ##334###334#","//--- END",Subject!L46)</f>
        <v/>
      </c>
    </row>
    <row r="102" spans="3:3">
      <c r="C102" s="12" t="str">
        <f>IF(Subject!L47="*  ..  ##34###34# ##334###334#","//--- END",Subject!L47)</f>
        <v/>
      </c>
    </row>
    <row r="103" spans="3:3">
      <c r="C103" s="12" t="str">
        <f>IF(Subject!L48="*  ..  ##34###34# ##334###334#","//--- END",Subject!L48)</f>
        <v/>
      </c>
    </row>
    <row r="104" spans="3:3">
      <c r="C104" s="12" t="str">
        <f>IF(Subject!L49="*  ..  ##34###34# ##334###334#","//--- END",Subject!L49)</f>
        <v/>
      </c>
    </row>
    <row r="105" spans="3:3">
      <c r="C105" s="12" t="str">
        <f>IF(Subject!L50="*  ..  ##34###34# ##334###334#","//--- END",Subject!L50)</f>
        <v/>
      </c>
    </row>
    <row r="106" spans="3:3">
      <c r="C106" s="12" t="str">
        <f>IF(Subject!L51="*  ..  ##34###34# ##334###334#","//--- END",Subject!L51)</f>
        <v/>
      </c>
    </row>
    <row r="107" spans="3:3">
      <c r="C107" s="12" t="str">
        <f>IF(Subject!L52="*  ..  ##34###34# ##334###334#","//--- END",Subject!L52)</f>
        <v/>
      </c>
    </row>
    <row r="108" spans="3:3">
      <c r="C108" s="12" t="str">
        <f>IF(Subject!L53="*  ..  ##34###34# ##334###334#","//--- END",Subject!L53)</f>
        <v/>
      </c>
    </row>
    <row r="109" spans="3:3" ht="73.75">
      <c r="C109" s="12" t="str">
        <f>IF(Subject!L54="*  ..  ##34###34# ##334###334#","//--- END",Subject!L54)</f>
        <v>* previousCancerTreatment ^comment = ##334#Chemotherapy/radiation/surgery/other (site of radiotherapy)
Chemotherapy - 4273629
Radiation - 4029715
Surgery - 4121697 
Other - Needs to be specified##334#</v>
      </c>
    </row>
    <row r="110" spans="3:3">
      <c r="C110" s="12" t="str">
        <f>IF(Subject!L55="*  ..  ##34###34# ##334###334#","//--- END",Subject!L55)</f>
        <v/>
      </c>
    </row>
    <row r="111" spans="3:3">
      <c r="C111" s="12" t="str">
        <f>IF(Subject!L56="*  ..  ##34###34# ##334###334#","//--- END",Subject!L56)</f>
        <v>//--- END</v>
      </c>
    </row>
    <row r="112" spans="3:3">
      <c r="C112" s="12" t="str">
        <f>IF(Subject!L57="*  ..  ##34###34# ##334###334#","//--- END",Subject!L57)</f>
        <v>//--- END</v>
      </c>
    </row>
    <row r="113" spans="3:3">
      <c r="C113" s="12" t="str">
        <f>IF(Subject!L58="*  ..  ##34###34# ##334###334#","//--- END",Subject!L58)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40"/>
  <sheetViews>
    <sheetView topLeftCell="A17" zoomScale="85" zoomScaleNormal="85" workbookViewId="0">
      <selection activeCell="G28" sqref="G28:G32"/>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1781</v>
      </c>
    </row>
    <row r="2" spans="1:19" ht="15.5" thickBot="1"/>
    <row r="3" spans="1:19" ht="15.5" thickBot="1">
      <c r="B3" s="62" t="s">
        <v>17</v>
      </c>
      <c r="C3" s="28" t="s">
        <v>1837</v>
      </c>
      <c r="D3" s="62" t="s">
        <v>1769</v>
      </c>
      <c r="E3" s="117" t="str">
        <f>$C$1&amp;Subject!B5</f>
        <v>http://hl7.eu/fhir/ig/idea4rc/StructureDefinition/Subject</v>
      </c>
    </row>
    <row r="4" spans="1:19">
      <c r="B4" s="62" t="s">
        <v>16</v>
      </c>
      <c r="C4" s="28" t="s">
        <v>1836</v>
      </c>
      <c r="D4" s="62" t="s">
        <v>1770</v>
      </c>
      <c r="E4" s="184" t="s">
        <v>1861</v>
      </c>
      <c r="F4" s="185"/>
      <c r="G4" s="185"/>
    </row>
    <row r="5" spans="1:19">
      <c r="B5" s="62" t="s">
        <v>10</v>
      </c>
      <c r="C5" s="127" t="s">
        <v>1838</v>
      </c>
      <c r="D5" s="62"/>
      <c r="E5" s="7"/>
    </row>
    <row r="6" spans="1:19">
      <c r="B6" s="62" t="s">
        <v>18</v>
      </c>
      <c r="C6" s="128"/>
      <c r="D6" s="62" t="s">
        <v>1771</v>
      </c>
      <c r="E6" s="184" t="str">
        <f>E3</f>
        <v>http://hl7.eu/fhir/ig/idea4rc/StructureDefinition/Subject</v>
      </c>
      <c r="F6" s="185"/>
      <c r="G6" s="185"/>
    </row>
    <row r="7" spans="1:19">
      <c r="B7" s="62" t="s">
        <v>15</v>
      </c>
      <c r="C7" s="129"/>
      <c r="D7" s="62" t="s">
        <v>1772</v>
      </c>
      <c r="E7" s="184" t="s">
        <v>1861</v>
      </c>
      <c r="F7" s="185"/>
      <c r="G7" s="185"/>
    </row>
    <row r="8" spans="1:19" ht="44.25">
      <c r="B8" s="62" t="s">
        <v>1773</v>
      </c>
      <c r="C8" s="103" t="s">
        <v>1838</v>
      </c>
      <c r="D8" s="62"/>
      <c r="E8"/>
      <c r="I8" s="12" t="s">
        <v>1402</v>
      </c>
      <c r="J8" s="12" t="s">
        <v>1403</v>
      </c>
      <c r="K8" s="12" t="s">
        <v>1404</v>
      </c>
      <c r="L8" s="12" t="s">
        <v>1405</v>
      </c>
      <c r="M8" s="11" t="s">
        <v>1406</v>
      </c>
      <c r="P8" s="49" t="s">
        <v>1441</v>
      </c>
      <c r="Q8" s="49">
        <v>6</v>
      </c>
    </row>
    <row r="9" spans="1:19">
      <c r="B9" s="62" t="s">
        <v>1774</v>
      </c>
      <c r="C9" s="12" t="s">
        <v>1839</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Gender</v>
      </c>
      <c r="D15" s="12" t="s">
        <v>1841</v>
      </c>
      <c r="E15" s="12"/>
      <c r="F15" s="64" t="s">
        <v>1429</v>
      </c>
      <c r="G15" s="123" t="s">
        <v>1840</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##34#to be checked for the time being assumed to be the administrative gender##34#</v>
      </c>
      <c r="P15" s="11">
        <v>1</v>
      </c>
      <c r="Q15" s="11">
        <f t="shared" ref="Q15" si="5">IF(MOD(P15,$Q$8)=0,P15/$Q$8-1,INT(P15/$Q$8))</f>
        <v>0</v>
      </c>
      <c r="R15" s="11">
        <f t="shared" ref="R15" si="6">IF(MOD(P15,$Q$8)=0,$Q$8,MOD(P15,$Q$8))</f>
        <v>1</v>
      </c>
      <c r="S15" s="12" t="str" cm="1">
        <f t="array" ref="S15">INDEX('Subject-ConceptMap-1'!$I$15:$N$70,Q15+1,R15)</f>
        <v>* group[=].element[+].code = #Subject.sex</v>
      </c>
    </row>
    <row r="16" spans="1:19" ht="44.25" customHeight="1">
      <c r="A16" s="59"/>
      <c r="B16" s="11" t="str">
        <f>Subject!B9</f>
        <v>race</v>
      </c>
      <c r="C16" s="12" t="str">
        <f>Subject!C9</f>
        <v>Race</v>
      </c>
      <c r="D16" s="12" t="s">
        <v>1842</v>
      </c>
      <c r="E16" s="11"/>
      <c r="F16" s="64" t="s">
        <v>1429</v>
      </c>
      <c r="G16" s="64"/>
      <c r="H16" s="58"/>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8" si="13">IF(MOD(P16,$Q$8)=0,P16/$Q$8-1,INT(P16/$Q$8))</f>
        <v>0</v>
      </c>
      <c r="R16" s="11">
        <f t="shared" ref="R16:R38" si="14">IF(MOD(P16,$Q$8)=0,$Q$8,MOD(P16,$Q$8))</f>
        <v>2</v>
      </c>
      <c r="S16" s="12" t="str" cm="1">
        <f t="array" ref="S16">INDEX('Subject-ConceptMap-1'!$I$15:$N$70,Q16+1,R16)</f>
        <v>* group[=].element[=].display = ##34#Gender##34#</v>
      </c>
    </row>
    <row r="17" spans="1:19" ht="103.25" customHeight="1">
      <c r="A17" s="59"/>
      <c r="B17" s="11" t="str">
        <f>Subject!B10</f>
        <v>countryOfResidence</v>
      </c>
      <c r="C17" s="12" t="str">
        <f>Subject!C10</f>
        <v>Country of Residence</v>
      </c>
      <c r="D17" s="12" t="s">
        <v>1843</v>
      </c>
      <c r="E17" s="11"/>
      <c r="F17" s="64" t="s">
        <v>1429</v>
      </c>
      <c r="G17" s="64"/>
      <c r="H17" s="58"/>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INDEX('Subject-ConceptMap-1'!$I$15:$N$70,Q17+1,R17)</f>
        <v>* group[=].element[=].target.code = #Patient.gender</v>
      </c>
    </row>
    <row r="18" spans="1:19" ht="44.25">
      <c r="A18" s="59"/>
      <c r="B18" s="11" t="str">
        <f>Subject!B11</f>
        <v>smoking</v>
      </c>
      <c r="C18" s="12" t="str">
        <f>Subject!C11</f>
        <v>Smoking</v>
      </c>
      <c r="D18" s="12"/>
      <c r="E18" s="11"/>
      <c r="F18" s="64" t="s">
        <v>1424</v>
      </c>
      <c r="G18" s="64"/>
      <c r="H18" s="58"/>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INDEX('Subject-ConceptMap-1'!$I$15:$N$70,Q18+1,R18)</f>
        <v>* group[=].element[=].target.display = ##34###34#</v>
      </c>
    </row>
    <row r="19" spans="1:19" ht="44.25">
      <c r="A19" s="59"/>
      <c r="B19" s="11" t="str">
        <f>Subject!B12</f>
        <v>smokingType</v>
      </c>
      <c r="C19" s="12" t="str">
        <f>Subject!C12</f>
        <v>Smoking type</v>
      </c>
      <c r="D19" s="12"/>
      <c r="E19" s="11"/>
      <c r="F19" s="64" t="s">
        <v>1424</v>
      </c>
      <c r="G19" s="64"/>
      <c r="H19" s="58"/>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INDEX('Subject-ConceptMap-1'!$I$15:$N$70,Q19+1,R19)</f>
        <v>* group[=].element[=].target.equivalence = #equivalent</v>
      </c>
    </row>
    <row r="20" spans="1:19" ht="29.5" customHeight="1">
      <c r="A20" s="59"/>
      <c r="B20" s="11" t="str">
        <f>Subject!B13</f>
        <v>cigSmokedPerDay</v>
      </c>
      <c r="C20" s="12" t="str">
        <f>Subject!C13</f>
        <v>Cigarettes/cigars smoked per day</v>
      </c>
      <c r="D20" s="12"/>
      <c r="E20" s="11"/>
      <c r="F20" s="64" t="s">
        <v>1424</v>
      </c>
      <c r="G20" s="64"/>
      <c r="H20" s="58"/>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INDEX('Subject-ConceptMap-1'!$I$15:$N$70,Q20+1,R20)</f>
        <v>* group[=].element[=].target.comment = ##34#to be checked for the time being assumed to be the administrative gender##34#</v>
      </c>
    </row>
    <row r="21" spans="1:19" ht="44.25">
      <c r="B21" s="11" t="str">
        <f>Subject!B14</f>
        <v>yearsAsSmoker</v>
      </c>
      <c r="C21" s="12" t="str">
        <f>Subject!C14</f>
        <v>Number of years as a smoker</v>
      </c>
      <c r="F21" s="64" t="s">
        <v>1424</v>
      </c>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INDEX('Subject-ConceptMap-1'!$I$15:$N$70,Q21+1,R21)</f>
        <v>* group[=].element[+].code = #Subject.race</v>
      </c>
    </row>
    <row r="22" spans="1:19" ht="44.25">
      <c r="B22" s="11" t="str">
        <f>Subject!B15</f>
        <v>alcohol</v>
      </c>
      <c r="C22" s="12" t="str">
        <f>Subject!C15</f>
        <v>Alcohol</v>
      </c>
      <c r="F22" s="64" t="s">
        <v>1424</v>
      </c>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INDEX('Subject-ConceptMap-1'!$I$15:$N$70,Q22+1,R22)</f>
        <v>* group[=].element[=].display = ##34#Race##34#</v>
      </c>
    </row>
    <row r="23" spans="1:19" ht="44.25">
      <c r="B23" s="11" t="str">
        <f>Subject!B16</f>
        <v>bMI</v>
      </c>
      <c r="C23" s="12" t="str">
        <f>Subject!C16</f>
        <v xml:space="preserve">Height/weight (BMI)
</v>
      </c>
      <c r="F23" s="64" t="s">
        <v>1424</v>
      </c>
      <c r="I23" s="12" t="str">
        <f t="shared" ref="I23:I32" si="15">"* group[=].element[+].code = #"&amp;$B$14&amp;"."&amp;B23</f>
        <v>* group[=].element[+].code = #Subject.bMI</v>
      </c>
      <c r="J23" s="12" t="str">
        <f t="shared" ref="J23:J32" si="16">"* group[=].element[=].display = ##34#"&amp;C23&amp;"##34#"</f>
        <v>* group[=].element[=].display = ##34#Height/weight (BMI)
##34#</v>
      </c>
      <c r="K23" s="12" t="str">
        <f t="shared" ref="K23:K32" si="17">IF(F23="unmatched","//-- unmatched","* group[=].element[=].target.code = #"&amp;$D$14&amp;"."&amp;D23)</f>
        <v>//-- unmatched</v>
      </c>
      <c r="L23" s="12" t="str">
        <f t="shared" ref="L23:L32" si="18">IF(F23="unmatched","//-- unmatched","* group[=].element[=].target.display = ##34#"&amp;E23&amp;"##34#")</f>
        <v>//-- unmatched</v>
      </c>
      <c r="M23" s="12" t="str">
        <f t="shared" ref="M23:M32" si="19">"* group[=].element[=].target.equivalence = #"&amp;F23</f>
        <v>* group[=].element[=].target.equivalence = #unmatched</v>
      </c>
      <c r="N23" s="12" t="str">
        <f t="shared" ref="N23:N42" si="20">IF(G23&lt;&gt;"",CONCATENATE("* group[=].element[=].target.comment = ","##34#",G23,"##34#"),"")</f>
        <v/>
      </c>
      <c r="P23" s="11">
        <v>9</v>
      </c>
      <c r="Q23" s="11">
        <f t="shared" si="13"/>
        <v>1</v>
      </c>
      <c r="R23" s="11">
        <f t="shared" si="14"/>
        <v>3</v>
      </c>
      <c r="S23" s="12" t="str" cm="1">
        <f t="array" ref="S23">INDEX('Subject-ConceptMap-1'!$I$15:$N$70,Q23+1,R23)</f>
        <v>* group[=].element[=].target.code = #Patient.extension:race.value[x]</v>
      </c>
    </row>
    <row r="24" spans="1:19" ht="44.25">
      <c r="B24" s="11" t="str">
        <f>Subject!B17</f>
        <v>charlsonComorbidityIndex</v>
      </c>
      <c r="C24" s="12" t="str">
        <f>Subject!C17</f>
        <v>Charlson Comorbidity index</v>
      </c>
      <c r="F24" s="64" t="s">
        <v>1424</v>
      </c>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INDEX('Subject-ConceptMap-1'!$I$15:$N$70,Q24+1,R24)</f>
        <v>* group[=].element[=].target.display = ##34###34#</v>
      </c>
    </row>
    <row r="25" spans="1:19" ht="44.25">
      <c r="B25" s="11" t="str">
        <f>Subject!B18</f>
        <v>comorbidity</v>
      </c>
      <c r="C25" s="12" t="str">
        <f>Subject!C18</f>
        <v>Comorbidity</v>
      </c>
      <c r="F25" s="64" t="s">
        <v>1424</v>
      </c>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INDEX('Subject-ConceptMap-1'!$I$15:$N$70,Q25+1,R25)</f>
        <v>* group[=].element[=].target.equivalence = #equivalent</v>
      </c>
    </row>
    <row r="26" spans="1:19" ht="44.25">
      <c r="B26" s="11" t="str">
        <f>Subject!B39</f>
        <v>ecogPsAtDiagnosis</v>
      </c>
      <c r="C26" s="12" t="str">
        <f>Subject!C39</f>
        <v>Eastern Cooperative Oncology Group performance status (ECOG PS)  at diagnosis</v>
      </c>
      <c r="F26" s="64" t="s">
        <v>1424</v>
      </c>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INDEX('Subject-ConceptMap-1'!$I$15:$N$70,Q26+1,R26)</f>
        <v/>
      </c>
    </row>
    <row r="27" spans="1:19" ht="44.25">
      <c r="B27" s="11" t="str">
        <f>Subject!B40</f>
        <v>karnofsyIndexAtDiagnosis</v>
      </c>
      <c r="C27" s="12" t="str">
        <f>Subject!C40</f>
        <v>Karnofsy index at diagnosis</v>
      </c>
      <c r="F27" s="64" t="s">
        <v>1424</v>
      </c>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INDEX('Subject-ConceptMap-1'!$I$15:$N$70,Q27+1,R27)</f>
        <v>* group[=].element[+].code = #Subject.countryOfResidence</v>
      </c>
    </row>
    <row r="28" spans="1:19" ht="44.25">
      <c r="B28" s="11" t="str">
        <f>Subject!B41</f>
        <v>noGeneticSyndromeWho2020</v>
      </c>
      <c r="C28" s="12" t="str">
        <f>Subject!C41</f>
        <v xml:space="preserve">No Genetic syndrome WHO 2020 </v>
      </c>
      <c r="F28" s="64" t="s">
        <v>1407</v>
      </c>
      <c r="G28" s="73" t="s">
        <v>2447</v>
      </c>
      <c r="I28" s="12" t="str">
        <f t="shared" si="15"/>
        <v>* group[=].element[+].code = #Subject.noGeneticSyndromeWho2020</v>
      </c>
      <c r="J28" s="12" t="str">
        <f t="shared" si="16"/>
        <v>* group[=].element[=].display = ##34#No Genetic syndrome WHO 2020 ##34#</v>
      </c>
      <c r="K28" s="12" t="str">
        <f t="shared" si="17"/>
        <v>* group[=].element[=].target.code = #Patient.</v>
      </c>
      <c r="L28" s="12" t="str">
        <f t="shared" si="18"/>
        <v>* group[=].element[=].target.display = ##34###34#</v>
      </c>
      <c r="M28" s="12" t="str">
        <f t="shared" si="19"/>
        <v>* group[=].element[=].target.equivalence = #relatedto</v>
      </c>
      <c r="N28" s="12" t="str">
        <f t="shared" si="20"/>
        <v>* group[=].element[=].target.comment = ##34#TO BE MAPPED##34#</v>
      </c>
      <c r="P28" s="11">
        <v>14</v>
      </c>
      <c r="Q28" s="11">
        <f t="shared" si="13"/>
        <v>2</v>
      </c>
      <c r="R28" s="11">
        <f t="shared" si="14"/>
        <v>2</v>
      </c>
      <c r="S28" s="12" t="str" cm="1">
        <f t="array" ref="S28">INDEX('Subject-ConceptMap-1'!$I$15:$N$70,Q28+1,R28)</f>
        <v>* group[=].element[=].display = ##34#Country of Residence##34#</v>
      </c>
    </row>
    <row r="29" spans="1:19" ht="44.25">
      <c r="B29" s="11" t="str">
        <f>Subject!B52</f>
        <v>otherGeneticSyndromeWho2020</v>
      </c>
      <c r="C29" s="12" t="str">
        <f>Subject!C52</f>
        <v xml:space="preserve">Other Genetic syndrome WHO 2020 </v>
      </c>
      <c r="F29" s="64" t="s">
        <v>1407</v>
      </c>
      <c r="G29" s="73" t="s">
        <v>2447</v>
      </c>
      <c r="I29" s="12" t="str">
        <f t="shared" si="15"/>
        <v>* group[=].element[+].code = #Subject.otherGeneticSyndromeWho2020</v>
      </c>
      <c r="J29" s="12" t="str">
        <f t="shared" si="16"/>
        <v>* group[=].element[=].display = ##34#Other Genetic syndrome WHO 2020 ##34#</v>
      </c>
      <c r="K29" s="12" t="str">
        <f t="shared" si="17"/>
        <v>* group[=].element[=].target.code = #Patient.</v>
      </c>
      <c r="L29" s="12" t="str">
        <f t="shared" si="18"/>
        <v>* group[=].element[=].target.display = ##34###34#</v>
      </c>
      <c r="M29" s="12" t="str">
        <f t="shared" si="19"/>
        <v>* group[=].element[=].target.equivalence = #relatedto</v>
      </c>
      <c r="N29" s="12" t="str">
        <f t="shared" si="20"/>
        <v>* group[=].element[=].target.comment = ##34#TO BE MAPPED##34#</v>
      </c>
      <c r="P29" s="11">
        <v>15</v>
      </c>
      <c r="Q29" s="11">
        <f t="shared" si="13"/>
        <v>2</v>
      </c>
      <c r="R29" s="11">
        <f t="shared" si="14"/>
        <v>3</v>
      </c>
      <c r="S29" s="12" t="str" cm="1">
        <f t="array" ref="S29">INDEX('Subject-ConceptMap-1'!$I$15:$N$70,Q29+1,R29)</f>
        <v>* group[=].element[=].target.code = #Patient.address.country</v>
      </c>
    </row>
    <row r="30" spans="1:19" ht="44.25">
      <c r="B30" s="11" t="str">
        <f>Subject!B53</f>
        <v>occurrenceOfOtherCancer</v>
      </c>
      <c r="C30" s="12" t="str">
        <f>Subject!C53</f>
        <v>Occurrence of other cancer</v>
      </c>
      <c r="F30" s="64" t="s">
        <v>1407</v>
      </c>
      <c r="G30" s="73" t="s">
        <v>2447</v>
      </c>
      <c r="I30" s="12" t="str">
        <f t="shared" si="15"/>
        <v>* group[=].element[+].code = #Subject.occurrenceOfOtherCancer</v>
      </c>
      <c r="J30" s="12" t="str">
        <f t="shared" si="16"/>
        <v>* group[=].element[=].display = ##34#Occurrence of other cancer##34#</v>
      </c>
      <c r="K30" s="12" t="str">
        <f t="shared" si="17"/>
        <v>* group[=].element[=].target.code = #Patient.</v>
      </c>
      <c r="L30" s="12" t="str">
        <f t="shared" si="18"/>
        <v>* group[=].element[=].target.display = ##34###34#</v>
      </c>
      <c r="M30" s="12" t="str">
        <f t="shared" si="19"/>
        <v>* group[=].element[=].target.equivalence = #relatedto</v>
      </c>
      <c r="N30" s="12" t="str">
        <f t="shared" si="20"/>
        <v>* group[=].element[=].target.comment = ##34#TO BE MAPPED##34#</v>
      </c>
      <c r="P30" s="11">
        <v>16</v>
      </c>
      <c r="Q30" s="11">
        <f t="shared" si="13"/>
        <v>2</v>
      </c>
      <c r="R30" s="11">
        <f t="shared" si="14"/>
        <v>4</v>
      </c>
      <c r="S30" s="12" t="str" cm="1">
        <f t="array" ref="S30">INDEX('Subject-ConceptMap-1'!$I$15:$N$70,Q30+1,R30)</f>
        <v>* group[=].element[=].target.display = ##34###34#</v>
      </c>
    </row>
    <row r="31" spans="1:19" ht="44.25">
      <c r="B31" s="11" t="str">
        <f>Subject!B54</f>
        <v>previousCancerTreatment</v>
      </c>
      <c r="C31" s="12" t="str">
        <f>Subject!C54</f>
        <v>Previous cancer treatment</v>
      </c>
      <c r="F31" s="64" t="s">
        <v>1407</v>
      </c>
      <c r="G31" s="73" t="s">
        <v>2447</v>
      </c>
      <c r="I31" s="12" t="str">
        <f t="shared" si="15"/>
        <v>* group[=].element[+].code = #Subject.previousCancerTreatment</v>
      </c>
      <c r="J31" s="12" t="str">
        <f t="shared" si="16"/>
        <v>* group[=].element[=].display = ##34#Previous cancer treatment##34#</v>
      </c>
      <c r="K31" s="12" t="str">
        <f t="shared" si="17"/>
        <v>* group[=].element[=].target.code = #Patient.</v>
      </c>
      <c r="L31" s="12" t="str">
        <f t="shared" si="18"/>
        <v>* group[=].element[=].target.display = ##34###34#</v>
      </c>
      <c r="M31" s="12" t="str">
        <f t="shared" si="19"/>
        <v>* group[=].element[=].target.equivalence = #relatedto</v>
      </c>
      <c r="N31" s="12" t="str">
        <f t="shared" si="20"/>
        <v>* group[=].element[=].target.comment = ##34#TO BE MAPPED##34#</v>
      </c>
      <c r="P31" s="11">
        <v>17</v>
      </c>
      <c r="Q31" s="11">
        <f t="shared" si="13"/>
        <v>2</v>
      </c>
      <c r="R31" s="11">
        <f t="shared" si="14"/>
        <v>5</v>
      </c>
      <c r="S31" s="12" t="str" cm="1">
        <f t="array" ref="S31">INDEX('Subject-ConceptMap-1'!$I$15:$N$70,Q31+1,R31)</f>
        <v>* group[=].element[=].target.equivalence = #equivalent</v>
      </c>
    </row>
    <row r="32" spans="1:19" ht="44.25">
      <c r="B32" s="11" t="str">
        <f>Subject!B55</f>
        <v>lastContact</v>
      </c>
      <c r="C32" s="12" t="str">
        <f>Subject!C55</f>
        <v>Last Contact</v>
      </c>
      <c r="F32" s="64" t="s">
        <v>1407</v>
      </c>
      <c r="G32" s="73" t="s">
        <v>2447</v>
      </c>
      <c r="I32" s="12" t="str">
        <f t="shared" si="15"/>
        <v>* group[=].element[+].code = #Subject.lastContact</v>
      </c>
      <c r="J32" s="12" t="str">
        <f t="shared" si="16"/>
        <v>* group[=].element[=].display = ##34#Last Contact##34#</v>
      </c>
      <c r="K32" s="12" t="str">
        <f t="shared" si="17"/>
        <v>* group[=].element[=].target.code = #Patient.</v>
      </c>
      <c r="L32" s="12" t="str">
        <f t="shared" si="18"/>
        <v>* group[=].element[=].target.display = ##34###34#</v>
      </c>
      <c r="M32" s="12" t="str">
        <f t="shared" si="19"/>
        <v>* group[=].element[=].target.equivalence = #relatedto</v>
      </c>
      <c r="N32" s="12" t="str">
        <f t="shared" si="20"/>
        <v>* group[=].element[=].target.comment = ##34#TO BE MAPPED##34#</v>
      </c>
      <c r="P32" s="11">
        <v>18</v>
      </c>
      <c r="Q32" s="11">
        <f t="shared" si="13"/>
        <v>2</v>
      </c>
      <c r="R32" s="11">
        <f t="shared" si="14"/>
        <v>6</v>
      </c>
      <c r="S32" s="12" t="str" cm="1">
        <f t="array" ref="S32">INDEX('Subject-ConceptMap-1'!$I$15:$N$70,Q32+1,R32)</f>
        <v/>
      </c>
    </row>
    <row r="33" spans="2:19">
      <c r="B33" s="11"/>
      <c r="C33" s="12"/>
      <c r="I33" s="12"/>
      <c r="J33" s="12"/>
      <c r="K33" s="12"/>
      <c r="L33" s="12"/>
      <c r="M33" s="12"/>
      <c r="N33" s="12" t="str">
        <f t="shared" si="20"/>
        <v/>
      </c>
      <c r="P33" s="11">
        <v>19</v>
      </c>
      <c r="Q33" s="11">
        <f t="shared" si="13"/>
        <v>3</v>
      </c>
      <c r="R33" s="11">
        <f t="shared" si="14"/>
        <v>1</v>
      </c>
      <c r="S33" s="12" t="str" cm="1">
        <f t="array" ref="S33">INDEX('Subject-ConceptMap-1'!$I$15:$N$70,Q33+1,R33)</f>
        <v>* group[=].element[+].code = #Subject.smoking</v>
      </c>
    </row>
    <row r="34" spans="2:19">
      <c r="B34" s="11"/>
      <c r="C34" s="12"/>
      <c r="I34" s="12"/>
      <c r="J34" s="12"/>
      <c r="K34" s="12"/>
      <c r="L34" s="12"/>
      <c r="M34" s="12"/>
      <c r="N34" s="12" t="str">
        <f t="shared" si="20"/>
        <v/>
      </c>
      <c r="P34" s="11">
        <v>20</v>
      </c>
      <c r="Q34" s="11">
        <f t="shared" si="13"/>
        <v>3</v>
      </c>
      <c r="R34" s="11">
        <f t="shared" si="14"/>
        <v>2</v>
      </c>
      <c r="S34" s="12" t="str" cm="1">
        <f t="array" ref="S34">INDEX('Subject-ConceptMap-1'!$I$15:$N$70,Q34+1,R34)</f>
        <v>* group[=].element[=].display = ##34#Smoking##34#</v>
      </c>
    </row>
    <row r="35" spans="2:19">
      <c r="B35" s="11"/>
      <c r="C35" s="12"/>
      <c r="I35" s="12"/>
      <c r="J35" s="12"/>
      <c r="K35" s="12"/>
      <c r="L35" s="12"/>
      <c r="M35" s="12"/>
      <c r="N35" s="12" t="str">
        <f t="shared" si="20"/>
        <v/>
      </c>
      <c r="P35" s="11">
        <v>21</v>
      </c>
      <c r="Q35" s="11">
        <f t="shared" si="13"/>
        <v>3</v>
      </c>
      <c r="R35" s="11">
        <f t="shared" si="14"/>
        <v>3</v>
      </c>
      <c r="S35" s="12" t="str" cm="1">
        <f t="array" ref="S35">INDEX('Subject-ConceptMap-1'!$I$15:$N$70,Q35+1,R35)</f>
        <v>//-- unmatched</v>
      </c>
    </row>
    <row r="36" spans="2:19">
      <c r="B36" s="11"/>
      <c r="C36" s="12"/>
      <c r="I36" s="12"/>
      <c r="J36" s="12"/>
      <c r="K36" s="12"/>
      <c r="L36" s="12"/>
      <c r="M36" s="12"/>
      <c r="N36" s="12" t="str">
        <f t="shared" si="20"/>
        <v/>
      </c>
      <c r="P36" s="11">
        <v>22</v>
      </c>
      <c r="Q36" s="11">
        <f t="shared" si="13"/>
        <v>3</v>
      </c>
      <c r="R36" s="11">
        <f t="shared" si="14"/>
        <v>4</v>
      </c>
      <c r="S36" s="12" t="str" cm="1">
        <f t="array" ref="S36">INDEX('Subject-ConceptMap-1'!$I$15:$N$70,Q36+1,R36)</f>
        <v>//-- unmatched</v>
      </c>
    </row>
    <row r="37" spans="2:19">
      <c r="B37" s="11"/>
      <c r="C37" s="12"/>
      <c r="I37" s="12"/>
      <c r="J37" s="12"/>
      <c r="K37" s="12"/>
      <c r="L37" s="12"/>
      <c r="M37" s="12"/>
      <c r="N37" s="12" t="str">
        <f t="shared" si="20"/>
        <v/>
      </c>
      <c r="P37" s="11">
        <v>23</v>
      </c>
      <c r="Q37" s="11">
        <f t="shared" si="13"/>
        <v>3</v>
      </c>
      <c r="R37" s="11">
        <f t="shared" si="14"/>
        <v>5</v>
      </c>
      <c r="S37" s="12" t="str" cm="1">
        <f t="array" ref="S37">INDEX('Subject-ConceptMap-1'!$I$15:$N$70,Q37+1,R37)</f>
        <v>* group[=].element[=].target.equivalence = #unmatched</v>
      </c>
    </row>
    <row r="38" spans="2:19">
      <c r="B38" s="11"/>
      <c r="C38" s="12"/>
      <c r="I38" s="12"/>
      <c r="J38" s="12"/>
      <c r="K38" s="12"/>
      <c r="L38" s="12"/>
      <c r="M38" s="12"/>
      <c r="N38" s="12" t="str">
        <f t="shared" si="20"/>
        <v/>
      </c>
      <c r="P38" s="11">
        <v>24</v>
      </c>
      <c r="Q38" s="11">
        <f t="shared" si="13"/>
        <v>3</v>
      </c>
      <c r="R38" s="11">
        <f t="shared" si="14"/>
        <v>6</v>
      </c>
      <c r="S38" s="12" t="str" cm="1">
        <f t="array" ref="S38">INDEX('Subject-ConceptMap-1'!$I$15:$N$70,Q38+1,R38)</f>
        <v/>
      </c>
    </row>
    <row r="39" spans="2:19">
      <c r="B39" s="11"/>
      <c r="C39" s="12"/>
      <c r="I39" s="12"/>
      <c r="J39" s="12"/>
      <c r="K39" s="12"/>
      <c r="L39" s="12"/>
      <c r="M39" s="12"/>
      <c r="N39" s="12" t="str">
        <f t="shared" si="20"/>
        <v/>
      </c>
      <c r="P39" s="11">
        <v>25</v>
      </c>
      <c r="Q39" s="11">
        <f t="shared" ref="Q39:Q83" si="21">IF(MOD(P39,$Q$8)=0,P39/$Q$8-1,INT(P39/$Q$8))</f>
        <v>4</v>
      </c>
      <c r="R39" s="11">
        <f t="shared" ref="R39:R83" si="22">IF(MOD(P39,$Q$8)=0,$Q$8,MOD(P39,$Q$8))</f>
        <v>1</v>
      </c>
      <c r="S39" s="12" t="str" cm="1">
        <f t="array" ref="S39">INDEX('Subject-ConceptMap-1'!$I$15:$N$70,Q39+1,R39)</f>
        <v>* group[=].element[+].code = #Subject.smokingType</v>
      </c>
    </row>
    <row r="40" spans="2:19">
      <c r="I40" s="12"/>
      <c r="J40" s="12"/>
      <c r="K40" s="12"/>
      <c r="L40" s="12"/>
      <c r="M40" s="12"/>
      <c r="N40" s="12" t="str">
        <f t="shared" si="20"/>
        <v/>
      </c>
      <c r="P40" s="11">
        <v>26</v>
      </c>
      <c r="Q40" s="11">
        <f t="shared" si="21"/>
        <v>4</v>
      </c>
      <c r="R40" s="11">
        <f t="shared" si="22"/>
        <v>2</v>
      </c>
      <c r="S40" s="12" t="str" cm="1">
        <f t="array" ref="S40">INDEX('Subject-ConceptMap-1'!$I$15:$N$70,Q40+1,R40)</f>
        <v>* group[=].element[=].display = ##34#Smoking type##34#</v>
      </c>
    </row>
    <row r="41" spans="2:19">
      <c r="I41" s="12"/>
      <c r="J41" s="12"/>
      <c r="K41" s="12"/>
      <c r="L41" s="12"/>
      <c r="M41" s="12"/>
      <c r="N41" s="12" t="str">
        <f t="shared" si="20"/>
        <v/>
      </c>
      <c r="P41" s="11">
        <v>27</v>
      </c>
      <c r="Q41" s="11">
        <f t="shared" si="21"/>
        <v>4</v>
      </c>
      <c r="R41" s="11">
        <f t="shared" si="22"/>
        <v>3</v>
      </c>
      <c r="S41" s="12" t="str" cm="1">
        <f t="array" ref="S41">INDEX('Subject-ConceptMap-1'!$I$15:$N$70,Q41+1,R41)</f>
        <v>//-- unmatched</v>
      </c>
    </row>
    <row r="42" spans="2:19">
      <c r="I42" s="12"/>
      <c r="J42" s="12"/>
      <c r="K42" s="12"/>
      <c r="L42" s="12"/>
      <c r="M42" s="12"/>
      <c r="N42" s="12" t="str">
        <f t="shared" si="20"/>
        <v/>
      </c>
      <c r="P42" s="11">
        <v>28</v>
      </c>
      <c r="Q42" s="11">
        <f t="shared" si="21"/>
        <v>4</v>
      </c>
      <c r="R42" s="11">
        <f t="shared" si="22"/>
        <v>4</v>
      </c>
      <c r="S42" s="12" t="str" cm="1">
        <f t="array" ref="S42">INDEX('Subject-ConceptMap-1'!$I$15:$N$70,Q42+1,R42)</f>
        <v>//-- unmatched</v>
      </c>
    </row>
    <row r="43" spans="2:19">
      <c r="P43" s="11">
        <v>29</v>
      </c>
      <c r="Q43" s="11">
        <f t="shared" si="21"/>
        <v>4</v>
      </c>
      <c r="R43" s="11">
        <f t="shared" si="22"/>
        <v>5</v>
      </c>
      <c r="S43" s="12" t="str" cm="1">
        <f t="array" ref="S43">INDEX('Subject-ConceptMap-1'!$I$15:$N$70,Q43+1,R43)</f>
        <v>* group[=].element[=].target.equivalence = #unmatched</v>
      </c>
    </row>
    <row r="44" spans="2:19">
      <c r="P44" s="11">
        <v>30</v>
      </c>
      <c r="Q44" s="11">
        <f t="shared" si="21"/>
        <v>4</v>
      </c>
      <c r="R44" s="11">
        <f t="shared" si="22"/>
        <v>6</v>
      </c>
      <c r="S44" s="12" t="str" cm="1">
        <f t="array" ref="S44">INDEX('Subject-ConceptMap-1'!$I$15:$N$70,Q44+1,R44)</f>
        <v/>
      </c>
    </row>
    <row r="45" spans="2:19">
      <c r="P45" s="11">
        <v>31</v>
      </c>
      <c r="Q45" s="11">
        <f t="shared" si="21"/>
        <v>5</v>
      </c>
      <c r="R45" s="11">
        <f t="shared" si="22"/>
        <v>1</v>
      </c>
      <c r="S45" s="12" t="str" cm="1">
        <f t="array" ref="S45">INDEX('Subject-ConceptMap-1'!$I$15:$N$70,Q45+1,R45)</f>
        <v>* group[=].element[+].code = #Subject.cigSmokedPerDay</v>
      </c>
    </row>
    <row r="46" spans="2:19">
      <c r="P46" s="11">
        <v>32</v>
      </c>
      <c r="Q46" s="11">
        <f t="shared" si="21"/>
        <v>5</v>
      </c>
      <c r="R46" s="11">
        <f t="shared" si="22"/>
        <v>2</v>
      </c>
      <c r="S46" s="12" t="str" cm="1">
        <f t="array" ref="S46">INDEX('Subject-ConceptMap-1'!$I$15:$N$70,Q46+1,R46)</f>
        <v>* group[=].element[=].display = ##34#Cigarettes/cigars smoked per day##34#</v>
      </c>
    </row>
    <row r="47" spans="2:19">
      <c r="P47" s="11">
        <v>33</v>
      </c>
      <c r="Q47" s="11">
        <f t="shared" si="21"/>
        <v>5</v>
      </c>
      <c r="R47" s="11">
        <f t="shared" si="22"/>
        <v>3</v>
      </c>
      <c r="S47" s="12" t="str" cm="1">
        <f t="array" ref="S47">INDEX('Subject-ConceptMap-1'!$I$15:$N$70,Q47+1,R47)</f>
        <v>//-- unmatched</v>
      </c>
    </row>
    <row r="48" spans="2:19">
      <c r="P48" s="11">
        <v>34</v>
      </c>
      <c r="Q48" s="11">
        <f t="shared" si="21"/>
        <v>5</v>
      </c>
      <c r="R48" s="11">
        <f t="shared" si="22"/>
        <v>4</v>
      </c>
      <c r="S48" s="12" t="str" cm="1">
        <f t="array" ref="S48">INDEX('Subject-ConceptMap-1'!$I$15:$N$70,Q48+1,R48)</f>
        <v>//-- unmatched</v>
      </c>
    </row>
    <row r="49" spans="16:19">
      <c r="P49" s="11">
        <v>35</v>
      </c>
      <c r="Q49" s="11">
        <f t="shared" si="21"/>
        <v>5</v>
      </c>
      <c r="R49" s="11">
        <f t="shared" si="22"/>
        <v>5</v>
      </c>
      <c r="S49" s="12" t="str" cm="1">
        <f t="array" ref="S49">INDEX('Subject-ConceptMap-1'!$I$15:$N$70,Q49+1,R49)</f>
        <v>* group[=].element[=].target.equivalence = #unmatched</v>
      </c>
    </row>
    <row r="50" spans="16:19">
      <c r="P50" s="11">
        <v>36</v>
      </c>
      <c r="Q50" s="11">
        <f t="shared" si="21"/>
        <v>5</v>
      </c>
      <c r="R50" s="11">
        <f t="shared" si="22"/>
        <v>6</v>
      </c>
      <c r="S50" s="12" t="str" cm="1">
        <f t="array" ref="S50">INDEX('Subject-ConceptMap-1'!$I$15:$N$70,Q50+1,R50)</f>
        <v/>
      </c>
    </row>
    <row r="51" spans="16:19">
      <c r="P51" s="11">
        <v>37</v>
      </c>
      <c r="Q51" s="11">
        <f t="shared" si="21"/>
        <v>6</v>
      </c>
      <c r="R51" s="11">
        <f t="shared" si="22"/>
        <v>1</v>
      </c>
      <c r="S51" s="12" t="str" cm="1">
        <f t="array" ref="S51">INDEX('Subject-ConceptMap-1'!$I$15:$N$70,Q51+1,R51)</f>
        <v>* group[=].element[+].code = #Subject.yearsAsSmoker</v>
      </c>
    </row>
    <row r="52" spans="16:19">
      <c r="P52" s="11">
        <v>38</v>
      </c>
      <c r="Q52" s="11">
        <f t="shared" si="21"/>
        <v>6</v>
      </c>
      <c r="R52" s="11">
        <f t="shared" si="22"/>
        <v>2</v>
      </c>
      <c r="S52" s="12" t="str" cm="1">
        <f t="array" ref="S52">INDEX('Subject-ConceptMap-1'!$I$15:$N$70,Q52+1,R52)</f>
        <v>* group[=].element[=].display = ##34#Number of years as a smoker##34#</v>
      </c>
    </row>
    <row r="53" spans="16:19">
      <c r="P53" s="11">
        <v>39</v>
      </c>
      <c r="Q53" s="11">
        <f t="shared" si="21"/>
        <v>6</v>
      </c>
      <c r="R53" s="11">
        <f t="shared" si="22"/>
        <v>3</v>
      </c>
      <c r="S53" s="12" t="str" cm="1">
        <f t="array" ref="S53">INDEX('Subject-ConceptMap-1'!$I$15:$N$70,Q53+1,R53)</f>
        <v>//-- unmatched</v>
      </c>
    </row>
    <row r="54" spans="16:19">
      <c r="P54" s="11">
        <v>40</v>
      </c>
      <c r="Q54" s="11">
        <f t="shared" si="21"/>
        <v>6</v>
      </c>
      <c r="R54" s="11">
        <f t="shared" si="22"/>
        <v>4</v>
      </c>
      <c r="S54" s="12" t="str" cm="1">
        <f t="array" ref="S54">INDEX('Subject-ConceptMap-1'!$I$15:$N$70,Q54+1,R54)</f>
        <v>//-- unmatched</v>
      </c>
    </row>
    <row r="55" spans="16:19">
      <c r="P55" s="11">
        <v>41</v>
      </c>
      <c r="Q55" s="11">
        <f t="shared" si="21"/>
        <v>6</v>
      </c>
      <c r="R55" s="11">
        <f t="shared" si="22"/>
        <v>5</v>
      </c>
      <c r="S55" s="12" t="str" cm="1">
        <f t="array" ref="S55">INDEX('Subject-ConceptMap-1'!$I$15:$N$70,Q55+1,R55)</f>
        <v>* group[=].element[=].target.equivalence = #unmatched</v>
      </c>
    </row>
    <row r="56" spans="16:19">
      <c r="P56" s="11">
        <v>42</v>
      </c>
      <c r="Q56" s="11">
        <f t="shared" si="21"/>
        <v>6</v>
      </c>
      <c r="R56" s="11">
        <f t="shared" si="22"/>
        <v>6</v>
      </c>
      <c r="S56" s="12" t="str" cm="1">
        <f t="array" ref="S56">INDEX('Subject-ConceptMap-1'!$I$15:$N$70,Q56+1,R56)</f>
        <v/>
      </c>
    </row>
    <row r="57" spans="16:19">
      <c r="P57" s="11">
        <v>43</v>
      </c>
      <c r="Q57" s="11">
        <f t="shared" si="21"/>
        <v>7</v>
      </c>
      <c r="R57" s="11">
        <f t="shared" si="22"/>
        <v>1</v>
      </c>
      <c r="S57" s="12" t="str" cm="1">
        <f t="array" ref="S57">INDEX('Subject-ConceptMap-1'!$I$15:$N$70,Q57+1,R57)</f>
        <v>* group[=].element[+].code = #Subject.alcohol</v>
      </c>
    </row>
    <row r="58" spans="16:19">
      <c r="P58" s="11">
        <v>44</v>
      </c>
      <c r="Q58" s="11">
        <f t="shared" si="21"/>
        <v>7</v>
      </c>
      <c r="R58" s="11">
        <f t="shared" si="22"/>
        <v>2</v>
      </c>
      <c r="S58" s="12" t="str" cm="1">
        <f t="array" ref="S58">INDEX('Subject-ConceptMap-1'!$I$15:$N$70,Q58+1,R58)</f>
        <v>* group[=].element[=].display = ##34#Alcohol##34#</v>
      </c>
    </row>
    <row r="59" spans="16:19">
      <c r="P59" s="11">
        <v>45</v>
      </c>
      <c r="Q59" s="11">
        <f t="shared" si="21"/>
        <v>7</v>
      </c>
      <c r="R59" s="11">
        <f t="shared" si="22"/>
        <v>3</v>
      </c>
      <c r="S59" s="12" t="str" cm="1">
        <f t="array" ref="S59">INDEX('Subject-ConceptMap-1'!$I$15:$N$70,Q59+1,R59)</f>
        <v>//-- unmatched</v>
      </c>
    </row>
    <row r="60" spans="16:19">
      <c r="P60" s="11">
        <v>46</v>
      </c>
      <c r="Q60" s="11">
        <f t="shared" si="21"/>
        <v>7</v>
      </c>
      <c r="R60" s="11">
        <f t="shared" si="22"/>
        <v>4</v>
      </c>
      <c r="S60" s="12" t="str" cm="1">
        <f t="array" ref="S60">INDEX('Subject-ConceptMap-1'!$I$15:$N$70,Q60+1,R60)</f>
        <v>//-- unmatched</v>
      </c>
    </row>
    <row r="61" spans="16:19">
      <c r="P61" s="11">
        <v>47</v>
      </c>
      <c r="Q61" s="11">
        <f t="shared" si="21"/>
        <v>7</v>
      </c>
      <c r="R61" s="11">
        <f t="shared" si="22"/>
        <v>5</v>
      </c>
      <c r="S61" s="12" t="str" cm="1">
        <f t="array" ref="S61">INDEX('Subject-ConceptMap-1'!$I$15:$N$70,Q61+1,R61)</f>
        <v>* group[=].element[=].target.equivalence = #unmatched</v>
      </c>
    </row>
    <row r="62" spans="16:19">
      <c r="P62" s="11">
        <v>48</v>
      </c>
      <c r="Q62" s="11">
        <f t="shared" si="21"/>
        <v>7</v>
      </c>
      <c r="R62" s="11">
        <f t="shared" si="22"/>
        <v>6</v>
      </c>
      <c r="S62" s="12" t="str" cm="1">
        <f t="array" ref="S62">INDEX('Subject-ConceptMap-1'!$I$15:$N$70,Q62+1,R62)</f>
        <v/>
      </c>
    </row>
    <row r="63" spans="16:19">
      <c r="P63" s="11">
        <v>49</v>
      </c>
      <c r="Q63" s="11">
        <f t="shared" si="21"/>
        <v>8</v>
      </c>
      <c r="R63" s="11">
        <f t="shared" si="22"/>
        <v>1</v>
      </c>
      <c r="S63" s="12" t="str" cm="1">
        <f t="array" ref="S63">INDEX('Subject-ConceptMap-1'!$I$15:$N$70,Q63+1,R63)</f>
        <v>* group[=].element[+].code = #Subject.bMI</v>
      </c>
    </row>
    <row r="64" spans="16:19" ht="29.5">
      <c r="P64" s="11">
        <v>50</v>
      </c>
      <c r="Q64" s="11">
        <f t="shared" si="21"/>
        <v>8</v>
      </c>
      <c r="R64" s="11">
        <f t="shared" si="22"/>
        <v>2</v>
      </c>
      <c r="S64" s="12" t="str" cm="1">
        <f t="array" ref="S64">INDEX('Subject-ConceptMap-1'!$I$15:$N$70,Q64+1,R64)</f>
        <v>* group[=].element[=].display = ##34#Height/weight (BMI)
##34#</v>
      </c>
    </row>
    <row r="65" spans="16:19">
      <c r="P65" s="11">
        <v>51</v>
      </c>
      <c r="Q65" s="11">
        <f t="shared" si="21"/>
        <v>8</v>
      </c>
      <c r="R65" s="11">
        <f t="shared" si="22"/>
        <v>3</v>
      </c>
      <c r="S65" s="12" t="str" cm="1">
        <f t="array" ref="S65">INDEX('Subject-ConceptMap-1'!$I$15:$N$70,Q65+1,R65)</f>
        <v>//-- unmatched</v>
      </c>
    </row>
    <row r="66" spans="16:19">
      <c r="P66" s="11">
        <v>52</v>
      </c>
      <c r="Q66" s="11">
        <f t="shared" si="21"/>
        <v>8</v>
      </c>
      <c r="R66" s="11">
        <f t="shared" si="22"/>
        <v>4</v>
      </c>
      <c r="S66" s="12" t="str" cm="1">
        <f t="array" ref="S66">INDEX('Subject-ConceptMap-1'!$I$15:$N$70,Q66+1,R66)</f>
        <v>//-- unmatched</v>
      </c>
    </row>
    <row r="67" spans="16:19">
      <c r="P67" s="11">
        <v>53</v>
      </c>
      <c r="Q67" s="11">
        <f t="shared" si="21"/>
        <v>8</v>
      </c>
      <c r="R67" s="11">
        <f t="shared" si="22"/>
        <v>5</v>
      </c>
      <c r="S67" s="12" t="str" cm="1">
        <f t="array" ref="S67">INDEX('Subject-ConceptMap-1'!$I$15:$N$70,Q67+1,R67)</f>
        <v>* group[=].element[=].target.equivalence = #unmatched</v>
      </c>
    </row>
    <row r="68" spans="16:19">
      <c r="P68" s="11">
        <v>54</v>
      </c>
      <c r="Q68" s="11">
        <f t="shared" si="21"/>
        <v>8</v>
      </c>
      <c r="R68" s="11">
        <f t="shared" si="22"/>
        <v>6</v>
      </c>
      <c r="S68" s="12" t="str" cm="1">
        <f t="array" ref="S68">INDEX('Subject-ConceptMap-1'!$I$15:$N$70,Q68+1,R68)</f>
        <v/>
      </c>
    </row>
    <row r="69" spans="16:19">
      <c r="P69" s="11">
        <v>55</v>
      </c>
      <c r="Q69" s="11">
        <f t="shared" si="21"/>
        <v>9</v>
      </c>
      <c r="R69" s="11">
        <f t="shared" si="22"/>
        <v>1</v>
      </c>
      <c r="S69" s="12" t="str" cm="1">
        <f t="array" ref="S69">INDEX('Subject-ConceptMap-1'!$I$15:$N$70,Q69+1,R69)</f>
        <v>* group[=].element[+].code = #Subject.charlsonComorbidityIndex</v>
      </c>
    </row>
    <row r="70" spans="16:19">
      <c r="P70" s="11">
        <v>56</v>
      </c>
      <c r="Q70" s="11">
        <f t="shared" si="21"/>
        <v>9</v>
      </c>
      <c r="R70" s="11">
        <f t="shared" si="22"/>
        <v>2</v>
      </c>
      <c r="S70" s="12" t="str" cm="1">
        <f t="array" ref="S70">INDEX('Subject-ConceptMap-1'!$I$15:$N$70,Q70+1,R70)</f>
        <v>* group[=].element[=].display = ##34#Charlson Comorbidity index##34#</v>
      </c>
    </row>
    <row r="71" spans="16:19">
      <c r="P71" s="11">
        <v>57</v>
      </c>
      <c r="Q71" s="11">
        <f t="shared" si="21"/>
        <v>9</v>
      </c>
      <c r="R71" s="11">
        <f t="shared" si="22"/>
        <v>3</v>
      </c>
      <c r="S71" s="12" t="str" cm="1">
        <f t="array" ref="S71">INDEX('Subject-ConceptMap-1'!$I$15:$N$70,Q71+1,R71)</f>
        <v>//-- unmatched</v>
      </c>
    </row>
    <row r="72" spans="16:19">
      <c r="P72" s="11">
        <v>58</v>
      </c>
      <c r="Q72" s="11">
        <f t="shared" si="21"/>
        <v>9</v>
      </c>
      <c r="R72" s="11">
        <f t="shared" si="22"/>
        <v>4</v>
      </c>
      <c r="S72" s="12" t="str" cm="1">
        <f t="array" ref="S72">INDEX('Subject-ConceptMap-1'!$I$15:$N$70,Q72+1,R72)</f>
        <v>//-- unmatched</v>
      </c>
    </row>
    <row r="73" spans="16:19">
      <c r="P73" s="11">
        <v>59</v>
      </c>
      <c r="Q73" s="11">
        <f t="shared" si="21"/>
        <v>9</v>
      </c>
      <c r="R73" s="11">
        <f t="shared" si="22"/>
        <v>5</v>
      </c>
      <c r="S73" s="12" t="str" cm="1">
        <f t="array" ref="S73">INDEX('Subject-ConceptMap-1'!$I$15:$N$70,Q73+1,R73)</f>
        <v>* group[=].element[=].target.equivalence = #unmatched</v>
      </c>
    </row>
    <row r="74" spans="16:19">
      <c r="P74" s="11">
        <v>60</v>
      </c>
      <c r="Q74" s="11">
        <f t="shared" si="21"/>
        <v>9</v>
      </c>
      <c r="R74" s="11">
        <f t="shared" si="22"/>
        <v>6</v>
      </c>
      <c r="S74" s="12" t="str" cm="1">
        <f t="array" ref="S74">INDEX('Subject-ConceptMap-1'!$I$15:$N$70,Q74+1,R74)</f>
        <v/>
      </c>
    </row>
    <row r="75" spans="16:19">
      <c r="P75" s="11">
        <v>61</v>
      </c>
      <c r="Q75" s="11">
        <f t="shared" si="21"/>
        <v>10</v>
      </c>
      <c r="R75" s="11">
        <f t="shared" si="22"/>
        <v>1</v>
      </c>
      <c r="S75" s="12" t="str" cm="1">
        <f t="array" ref="S75">INDEX('Subject-ConceptMap-1'!$I$15:$N$70,Q75+1,R75)</f>
        <v>* group[=].element[+].code = #Subject.comorbidity</v>
      </c>
    </row>
    <row r="76" spans="16:19">
      <c r="P76" s="11">
        <v>62</v>
      </c>
      <c r="Q76" s="11">
        <f t="shared" si="21"/>
        <v>10</v>
      </c>
      <c r="R76" s="11">
        <f t="shared" si="22"/>
        <v>2</v>
      </c>
      <c r="S76" s="12" t="str" cm="1">
        <f t="array" ref="S76">INDEX('Subject-ConceptMap-1'!$I$15:$N$70,Q76+1,R76)</f>
        <v>* group[=].element[=].display = ##34#Comorbidity##34#</v>
      </c>
    </row>
    <row r="77" spans="16:19">
      <c r="P77" s="11">
        <v>63</v>
      </c>
      <c r="Q77" s="11">
        <f t="shared" si="21"/>
        <v>10</v>
      </c>
      <c r="R77" s="11">
        <f t="shared" si="22"/>
        <v>3</v>
      </c>
      <c r="S77" s="12" t="str" cm="1">
        <f t="array" ref="S77">INDEX('Subject-ConceptMap-1'!$I$15:$N$70,Q77+1,R77)</f>
        <v>//-- unmatched</v>
      </c>
    </row>
    <row r="78" spans="16:19">
      <c r="P78" s="11">
        <v>64</v>
      </c>
      <c r="Q78" s="11">
        <f t="shared" si="21"/>
        <v>10</v>
      </c>
      <c r="R78" s="11">
        <f t="shared" si="22"/>
        <v>4</v>
      </c>
      <c r="S78" s="12" t="str" cm="1">
        <f t="array" ref="S78">INDEX('Subject-ConceptMap-1'!$I$15:$N$70,Q78+1,R78)</f>
        <v>//-- unmatched</v>
      </c>
    </row>
    <row r="79" spans="16:19">
      <c r="P79" s="11">
        <v>65</v>
      </c>
      <c r="Q79" s="11">
        <f t="shared" si="21"/>
        <v>10</v>
      </c>
      <c r="R79" s="11">
        <f t="shared" si="22"/>
        <v>5</v>
      </c>
      <c r="S79" s="12" t="str" cm="1">
        <f t="array" ref="S79">INDEX('Subject-ConceptMap-1'!$I$15:$N$70,Q79+1,R79)</f>
        <v>* group[=].element[=].target.equivalence = #unmatched</v>
      </c>
    </row>
    <row r="80" spans="16:19">
      <c r="P80" s="11">
        <v>66</v>
      </c>
      <c r="Q80" s="11">
        <f t="shared" si="21"/>
        <v>10</v>
      </c>
      <c r="R80" s="11">
        <f t="shared" si="22"/>
        <v>6</v>
      </c>
      <c r="S80" s="12" t="str" cm="1">
        <f t="array" ref="S80">INDEX('Subject-ConceptMap-1'!$I$15:$N$70,Q80+1,R80)</f>
        <v/>
      </c>
    </row>
    <row r="81" spans="16:19">
      <c r="P81" s="11">
        <v>67</v>
      </c>
      <c r="Q81" s="11">
        <f t="shared" si="21"/>
        <v>11</v>
      </c>
      <c r="R81" s="11">
        <f t="shared" si="22"/>
        <v>1</v>
      </c>
      <c r="S81" s="12" t="str" cm="1">
        <f t="array" ref="S81">INDEX('Subject-ConceptMap-1'!$I$15:$N$70,Q81+1,R81)</f>
        <v>* group[=].element[+].code = #Subject.ecogPsAtDiagnosis</v>
      </c>
    </row>
    <row r="82" spans="16:19" ht="29.5">
      <c r="P82" s="11">
        <v>68</v>
      </c>
      <c r="Q82" s="11">
        <f t="shared" si="21"/>
        <v>11</v>
      </c>
      <c r="R82" s="11">
        <f t="shared" si="22"/>
        <v>2</v>
      </c>
      <c r="S82" s="12" t="str" cm="1">
        <f t="array" ref="S82">INDEX('Subject-ConceptMap-1'!$I$15:$N$70,Q82+1,R82)</f>
        <v>* group[=].element[=].display = ##34#Eastern Cooperative Oncology Group performance status (ECOG PS)  at diagnosis##34#</v>
      </c>
    </row>
    <row r="83" spans="16:19">
      <c r="P83" s="11">
        <v>69</v>
      </c>
      <c r="Q83" s="11">
        <f t="shared" si="21"/>
        <v>11</v>
      </c>
      <c r="R83" s="11">
        <f t="shared" si="22"/>
        <v>3</v>
      </c>
      <c r="S83" s="12" t="str" cm="1">
        <f t="array" ref="S83">INDEX('Subject-ConceptMap-1'!$I$15:$N$70,Q83+1,R83)</f>
        <v>//-- unmatched</v>
      </c>
    </row>
    <row r="84" spans="16:19">
      <c r="P84" s="11">
        <v>70</v>
      </c>
      <c r="Q84" s="11">
        <f t="shared" ref="Q84:Q121" si="23">IF(MOD(P84,$Q$8)=0,P84/$Q$8-1,INT(P84/$Q$8))</f>
        <v>11</v>
      </c>
      <c r="R84" s="11">
        <f t="shared" ref="R84:R121" si="24">IF(MOD(P84,$Q$8)=0,$Q$8,MOD(P84,$Q$8))</f>
        <v>4</v>
      </c>
      <c r="S84" s="12" t="str" cm="1">
        <f t="array" ref="S84">INDEX('Subject-ConceptMap-1'!$I$15:$N$70,Q84+1,R84)</f>
        <v>//-- unmatched</v>
      </c>
    </row>
    <row r="85" spans="16:19">
      <c r="P85" s="11">
        <v>71</v>
      </c>
      <c r="Q85" s="11">
        <f t="shared" si="23"/>
        <v>11</v>
      </c>
      <c r="R85" s="11">
        <f t="shared" si="24"/>
        <v>5</v>
      </c>
      <c r="S85" s="12" t="str" cm="1">
        <f t="array" ref="S85">INDEX('Subject-ConceptMap-1'!$I$15:$N$70,Q85+1,R85)</f>
        <v>* group[=].element[=].target.equivalence = #unmatched</v>
      </c>
    </row>
    <row r="86" spans="16:19">
      <c r="P86" s="11">
        <v>72</v>
      </c>
      <c r="Q86" s="11">
        <f t="shared" si="23"/>
        <v>11</v>
      </c>
      <c r="R86" s="11">
        <f t="shared" si="24"/>
        <v>6</v>
      </c>
      <c r="S86" s="12" t="str" cm="1">
        <f t="array" ref="S86">INDEX('Subject-ConceptMap-1'!$I$15:$N$70,Q86+1,R86)</f>
        <v/>
      </c>
    </row>
    <row r="87" spans="16:19">
      <c r="P87" s="11">
        <v>73</v>
      </c>
      <c r="Q87" s="11">
        <f t="shared" si="23"/>
        <v>12</v>
      </c>
      <c r="R87" s="11">
        <f t="shared" si="24"/>
        <v>1</v>
      </c>
      <c r="S87" s="12" t="str" cm="1">
        <f t="array" ref="S87">INDEX('Subject-ConceptMap-1'!$I$15:$N$70,Q87+1,R87)</f>
        <v>* group[=].element[+].code = #Subject.karnofsyIndexAtDiagnosis</v>
      </c>
    </row>
    <row r="88" spans="16:19">
      <c r="P88" s="11">
        <v>74</v>
      </c>
      <c r="Q88" s="11">
        <f t="shared" si="23"/>
        <v>12</v>
      </c>
      <c r="R88" s="11">
        <f t="shared" si="24"/>
        <v>2</v>
      </c>
      <c r="S88" s="12" t="str" cm="1">
        <f t="array" ref="S88">INDEX('Subject-ConceptMap-1'!$I$15:$N$70,Q88+1,R88)</f>
        <v>* group[=].element[=].display = ##34#Karnofsy index at diagnosis##34#</v>
      </c>
    </row>
    <row r="89" spans="16:19">
      <c r="P89" s="11">
        <v>75</v>
      </c>
      <c r="Q89" s="11">
        <f t="shared" si="23"/>
        <v>12</v>
      </c>
      <c r="R89" s="11">
        <f t="shared" si="24"/>
        <v>3</v>
      </c>
      <c r="S89" s="12" t="str" cm="1">
        <f t="array" ref="S89">INDEX('Subject-ConceptMap-1'!$I$15:$N$70,Q89+1,R89)</f>
        <v>//-- unmatched</v>
      </c>
    </row>
    <row r="90" spans="16:19">
      <c r="P90" s="11">
        <v>76</v>
      </c>
      <c r="Q90" s="11">
        <f t="shared" si="23"/>
        <v>12</v>
      </c>
      <c r="R90" s="11">
        <f t="shared" si="24"/>
        <v>4</v>
      </c>
      <c r="S90" s="12" t="str" cm="1">
        <f t="array" ref="S90">INDEX('Subject-ConceptMap-1'!$I$15:$N$70,Q90+1,R90)</f>
        <v>//-- unmatched</v>
      </c>
    </row>
    <row r="91" spans="16:19">
      <c r="P91" s="11">
        <v>77</v>
      </c>
      <c r="Q91" s="11">
        <f t="shared" si="23"/>
        <v>12</v>
      </c>
      <c r="R91" s="11">
        <f t="shared" si="24"/>
        <v>5</v>
      </c>
      <c r="S91" s="12" t="str" cm="1">
        <f t="array" ref="S91">INDEX('Subject-ConceptMap-1'!$I$15:$N$70,Q91+1,R91)</f>
        <v>* group[=].element[=].target.equivalence = #unmatched</v>
      </c>
    </row>
    <row r="92" spans="16:19">
      <c r="P92" s="11">
        <v>78</v>
      </c>
      <c r="Q92" s="11">
        <f t="shared" si="23"/>
        <v>12</v>
      </c>
      <c r="R92" s="11">
        <f t="shared" si="24"/>
        <v>6</v>
      </c>
      <c r="S92" s="12" t="str" cm="1">
        <f t="array" ref="S92">INDEX('Subject-ConceptMap-1'!$I$15:$N$70,Q92+1,R92)</f>
        <v/>
      </c>
    </row>
    <row r="93" spans="16:19">
      <c r="P93" s="11">
        <v>79</v>
      </c>
      <c r="Q93" s="11">
        <f t="shared" si="23"/>
        <v>13</v>
      </c>
      <c r="R93" s="11">
        <f t="shared" si="24"/>
        <v>1</v>
      </c>
      <c r="S93" s="12" t="str" cm="1">
        <f t="array" ref="S93">INDEX('Subject-ConceptMap-1'!$I$15:$N$70,Q93+1,R93)</f>
        <v>* group[=].element[+].code = #Subject.noGeneticSyndromeWho2020</v>
      </c>
    </row>
    <row r="94" spans="16:19">
      <c r="P94" s="11">
        <v>80</v>
      </c>
      <c r="Q94" s="11">
        <f t="shared" si="23"/>
        <v>13</v>
      </c>
      <c r="R94" s="11">
        <f t="shared" si="24"/>
        <v>2</v>
      </c>
      <c r="S94" s="12" t="str" cm="1">
        <f t="array" ref="S94">INDEX('Subject-ConceptMap-1'!$I$15:$N$70,Q94+1,R94)</f>
        <v>* group[=].element[=].display = ##34#No Genetic syndrome WHO 2020 ##34#</v>
      </c>
    </row>
    <row r="95" spans="16:19">
      <c r="P95" s="11">
        <v>81</v>
      </c>
      <c r="Q95" s="11">
        <f t="shared" si="23"/>
        <v>13</v>
      </c>
      <c r="R95" s="11">
        <f t="shared" si="24"/>
        <v>3</v>
      </c>
      <c r="S95" s="12" t="str" cm="1">
        <f t="array" ref="S95">INDEX('Subject-ConceptMap-1'!$I$15:$N$70,Q95+1,R95)</f>
        <v>* group[=].element[=].target.code = #Patient.</v>
      </c>
    </row>
    <row r="96" spans="16:19">
      <c r="P96" s="11">
        <v>82</v>
      </c>
      <c r="Q96" s="11">
        <f t="shared" si="23"/>
        <v>13</v>
      </c>
      <c r="R96" s="11">
        <f t="shared" si="24"/>
        <v>4</v>
      </c>
      <c r="S96" s="12" t="str" cm="1">
        <f t="array" ref="S96">INDEX('Subject-ConceptMap-1'!$I$15:$N$70,Q96+1,R96)</f>
        <v>* group[=].element[=].target.display = ##34###34#</v>
      </c>
    </row>
    <row r="97" spans="16:19">
      <c r="P97" s="11">
        <v>83</v>
      </c>
      <c r="Q97" s="11">
        <f t="shared" si="23"/>
        <v>13</v>
      </c>
      <c r="R97" s="11">
        <f t="shared" si="24"/>
        <v>5</v>
      </c>
      <c r="S97" s="12" t="str" cm="1">
        <f t="array" ref="S97">INDEX('Subject-ConceptMap-1'!$I$15:$N$70,Q97+1,R97)</f>
        <v>* group[=].element[=].target.equivalence = #relatedto</v>
      </c>
    </row>
    <row r="98" spans="16:19">
      <c r="P98" s="11">
        <v>84</v>
      </c>
      <c r="Q98" s="11">
        <f t="shared" si="23"/>
        <v>13</v>
      </c>
      <c r="R98" s="11">
        <f t="shared" si="24"/>
        <v>6</v>
      </c>
      <c r="S98" s="12" t="str" cm="1">
        <f t="array" ref="S98">INDEX('Subject-ConceptMap-1'!$I$15:$N$70,Q98+1,R98)</f>
        <v>* group[=].element[=].target.comment = ##34#TO BE MAPPED##34#</v>
      </c>
    </row>
    <row r="99" spans="16:19">
      <c r="P99" s="11">
        <v>85</v>
      </c>
      <c r="Q99" s="11">
        <f t="shared" si="23"/>
        <v>14</v>
      </c>
      <c r="R99" s="11">
        <f t="shared" si="24"/>
        <v>1</v>
      </c>
      <c r="S99" s="12" t="str" cm="1">
        <f t="array" ref="S99">INDEX('Subject-ConceptMap-1'!$I$15:$N$70,Q99+1,R99)</f>
        <v>* group[=].element[+].code = #Subject.otherGeneticSyndromeWho2020</v>
      </c>
    </row>
    <row r="100" spans="16:19">
      <c r="P100" s="11">
        <v>86</v>
      </c>
      <c r="Q100" s="11">
        <f t="shared" si="23"/>
        <v>14</v>
      </c>
      <c r="R100" s="11">
        <f t="shared" si="24"/>
        <v>2</v>
      </c>
      <c r="S100" s="12" t="str" cm="1">
        <f t="array" ref="S100">INDEX('Subject-ConceptMap-1'!$I$15:$N$70,Q100+1,R100)</f>
        <v>* group[=].element[=].display = ##34#Other Genetic syndrome WHO 2020 ##34#</v>
      </c>
    </row>
    <row r="101" spans="16:19">
      <c r="P101" s="11">
        <v>87</v>
      </c>
      <c r="Q101" s="11">
        <f t="shared" si="23"/>
        <v>14</v>
      </c>
      <c r="R101" s="11">
        <f t="shared" si="24"/>
        <v>3</v>
      </c>
      <c r="S101" s="12" t="str" cm="1">
        <f t="array" ref="S101">INDEX('Subject-ConceptMap-1'!$I$15:$N$70,Q101+1,R101)</f>
        <v>* group[=].element[=].target.code = #Patient.</v>
      </c>
    </row>
    <row r="102" spans="16:19">
      <c r="P102" s="11">
        <v>88</v>
      </c>
      <c r="Q102" s="11">
        <f t="shared" si="23"/>
        <v>14</v>
      </c>
      <c r="R102" s="11">
        <f t="shared" si="24"/>
        <v>4</v>
      </c>
      <c r="S102" s="12" t="str" cm="1">
        <f t="array" ref="S102">INDEX('Subject-ConceptMap-1'!$I$15:$N$70,Q102+1,R102)</f>
        <v>* group[=].element[=].target.display = ##34###34#</v>
      </c>
    </row>
    <row r="103" spans="16:19">
      <c r="P103" s="11">
        <v>89</v>
      </c>
      <c r="Q103" s="11">
        <f t="shared" si="23"/>
        <v>14</v>
      </c>
      <c r="R103" s="11">
        <f t="shared" si="24"/>
        <v>5</v>
      </c>
      <c r="S103" s="12" t="str" cm="1">
        <f t="array" ref="S103">INDEX('Subject-ConceptMap-1'!$I$15:$N$70,Q103+1,R103)</f>
        <v>* group[=].element[=].target.equivalence = #relatedto</v>
      </c>
    </row>
    <row r="104" spans="16:19">
      <c r="P104" s="11">
        <v>90</v>
      </c>
      <c r="Q104" s="11">
        <f t="shared" si="23"/>
        <v>14</v>
      </c>
      <c r="R104" s="11">
        <f t="shared" si="24"/>
        <v>6</v>
      </c>
      <c r="S104" s="12" t="str" cm="1">
        <f t="array" ref="S104">INDEX('Subject-ConceptMap-1'!$I$15:$N$70,Q104+1,R104)</f>
        <v>* group[=].element[=].target.comment = ##34#TO BE MAPPED##34#</v>
      </c>
    </row>
    <row r="105" spans="16:19">
      <c r="P105" s="11">
        <v>91</v>
      </c>
      <c r="Q105" s="11">
        <f t="shared" si="23"/>
        <v>15</v>
      </c>
      <c r="R105" s="11">
        <f t="shared" si="24"/>
        <v>1</v>
      </c>
      <c r="S105" s="12" t="str" cm="1">
        <f t="array" ref="S105">INDEX('Subject-ConceptMap-1'!$I$15:$N$70,Q105+1,R105)</f>
        <v>* group[=].element[+].code = #Subject.occurrenceOfOtherCancer</v>
      </c>
    </row>
    <row r="106" spans="16:19">
      <c r="P106" s="11">
        <v>92</v>
      </c>
      <c r="Q106" s="11">
        <f t="shared" si="23"/>
        <v>15</v>
      </c>
      <c r="R106" s="11">
        <f t="shared" si="24"/>
        <v>2</v>
      </c>
      <c r="S106" s="12" t="str" cm="1">
        <f t="array" ref="S106">INDEX('Subject-ConceptMap-1'!$I$15:$N$70,Q106+1,R106)</f>
        <v>* group[=].element[=].display = ##34#Occurrence of other cancer##34#</v>
      </c>
    </row>
    <row r="107" spans="16:19">
      <c r="P107" s="11">
        <v>93</v>
      </c>
      <c r="Q107" s="11">
        <f t="shared" si="23"/>
        <v>15</v>
      </c>
      <c r="R107" s="11">
        <f t="shared" si="24"/>
        <v>3</v>
      </c>
      <c r="S107" s="12" t="str" cm="1">
        <f t="array" ref="S107">INDEX('Subject-ConceptMap-1'!$I$15:$N$70,Q107+1,R107)</f>
        <v>* group[=].element[=].target.code = #Patient.</v>
      </c>
    </row>
    <row r="108" spans="16:19">
      <c r="P108" s="11">
        <v>94</v>
      </c>
      <c r="Q108" s="11">
        <f t="shared" si="23"/>
        <v>15</v>
      </c>
      <c r="R108" s="11">
        <f t="shared" si="24"/>
        <v>4</v>
      </c>
      <c r="S108" s="12" t="str" cm="1">
        <f t="array" ref="S108">INDEX('Subject-ConceptMap-1'!$I$15:$N$70,Q108+1,R108)</f>
        <v>* group[=].element[=].target.display = ##34###34#</v>
      </c>
    </row>
    <row r="109" spans="16:19">
      <c r="P109" s="11">
        <v>95</v>
      </c>
      <c r="Q109" s="11">
        <f t="shared" si="23"/>
        <v>15</v>
      </c>
      <c r="R109" s="11">
        <f t="shared" si="24"/>
        <v>5</v>
      </c>
      <c r="S109" s="12" t="str" cm="1">
        <f t="array" ref="S109">INDEX('Subject-ConceptMap-1'!$I$15:$N$70,Q109+1,R109)</f>
        <v>* group[=].element[=].target.equivalence = #relatedto</v>
      </c>
    </row>
    <row r="110" spans="16:19">
      <c r="P110" s="11">
        <v>96</v>
      </c>
      <c r="Q110" s="11">
        <f t="shared" si="23"/>
        <v>15</v>
      </c>
      <c r="R110" s="11">
        <f t="shared" si="24"/>
        <v>6</v>
      </c>
      <c r="S110" s="12" t="str" cm="1">
        <f t="array" ref="S110">INDEX('Subject-ConceptMap-1'!$I$15:$N$70,Q110+1,R110)</f>
        <v>* group[=].element[=].target.comment = ##34#TO BE MAPPED##34#</v>
      </c>
    </row>
    <row r="111" spans="16:19">
      <c r="P111" s="11">
        <v>97</v>
      </c>
      <c r="Q111" s="11">
        <f t="shared" si="23"/>
        <v>16</v>
      </c>
      <c r="R111" s="11">
        <f t="shared" si="24"/>
        <v>1</v>
      </c>
      <c r="S111" s="12" t="str" cm="1">
        <f t="array" ref="S111">INDEX('Subject-ConceptMap-1'!$I$15:$N$70,Q111+1,R111)</f>
        <v>* group[=].element[+].code = #Subject.previousCancerTreatment</v>
      </c>
    </row>
    <row r="112" spans="16:19">
      <c r="P112" s="11">
        <v>98</v>
      </c>
      <c r="Q112" s="11">
        <f t="shared" si="23"/>
        <v>16</v>
      </c>
      <c r="R112" s="11">
        <f t="shared" si="24"/>
        <v>2</v>
      </c>
      <c r="S112" s="12" t="str" cm="1">
        <f t="array" ref="S112">INDEX('Subject-ConceptMap-1'!$I$15:$N$70,Q112+1,R112)</f>
        <v>* group[=].element[=].display = ##34#Previous cancer treatment##34#</v>
      </c>
    </row>
    <row r="113" spans="16:19">
      <c r="P113" s="11">
        <v>99</v>
      </c>
      <c r="Q113" s="11">
        <f t="shared" si="23"/>
        <v>16</v>
      </c>
      <c r="R113" s="11">
        <f t="shared" si="24"/>
        <v>3</v>
      </c>
      <c r="S113" s="12" t="str" cm="1">
        <f t="array" ref="S113">INDEX('Subject-ConceptMap-1'!$I$15:$N$70,Q113+1,R113)</f>
        <v>* group[=].element[=].target.code = #Patient.</v>
      </c>
    </row>
    <row r="114" spans="16:19">
      <c r="P114" s="11">
        <v>100</v>
      </c>
      <c r="Q114" s="11">
        <f t="shared" si="23"/>
        <v>16</v>
      </c>
      <c r="R114" s="11">
        <f t="shared" si="24"/>
        <v>4</v>
      </c>
      <c r="S114" s="12" t="str" cm="1">
        <f t="array" ref="S114">INDEX('Subject-ConceptMap-1'!$I$15:$N$70,Q114+1,R114)</f>
        <v>* group[=].element[=].target.display = ##34###34#</v>
      </c>
    </row>
    <row r="115" spans="16:19">
      <c r="P115" s="11">
        <v>101</v>
      </c>
      <c r="Q115" s="11">
        <f t="shared" si="23"/>
        <v>16</v>
      </c>
      <c r="R115" s="11">
        <f t="shared" si="24"/>
        <v>5</v>
      </c>
      <c r="S115" s="12" t="str" cm="1">
        <f t="array" ref="S115">INDEX('Subject-ConceptMap-1'!$I$15:$N$70,Q115+1,R115)</f>
        <v>* group[=].element[=].target.equivalence = #relatedto</v>
      </c>
    </row>
    <row r="116" spans="16:19">
      <c r="P116" s="11">
        <v>102</v>
      </c>
      <c r="Q116" s="11">
        <f t="shared" si="23"/>
        <v>16</v>
      </c>
      <c r="R116" s="11">
        <f t="shared" si="24"/>
        <v>6</v>
      </c>
      <c r="S116" s="12" t="str" cm="1">
        <f t="array" ref="S116">INDEX('Subject-ConceptMap-1'!$I$15:$N$70,Q116+1,R116)</f>
        <v>* group[=].element[=].target.comment = ##34#TO BE MAPPED##34#</v>
      </c>
    </row>
    <row r="117" spans="16:19">
      <c r="P117" s="11">
        <v>103</v>
      </c>
      <c r="Q117" s="11">
        <f t="shared" si="23"/>
        <v>17</v>
      </c>
      <c r="R117" s="11">
        <f t="shared" si="24"/>
        <v>1</v>
      </c>
      <c r="S117" s="12" t="str" cm="1">
        <f t="array" ref="S117">INDEX('Subject-ConceptMap-1'!$I$15:$N$70,Q117+1,R117)</f>
        <v>* group[=].element[+].code = #Subject.lastContact</v>
      </c>
    </row>
    <row r="118" spans="16:19">
      <c r="P118" s="11">
        <v>104</v>
      </c>
      <c r="Q118" s="11">
        <f t="shared" si="23"/>
        <v>17</v>
      </c>
      <c r="R118" s="11">
        <f t="shared" si="24"/>
        <v>2</v>
      </c>
      <c r="S118" s="12" t="str" cm="1">
        <f t="array" ref="S118">INDEX('Subject-ConceptMap-1'!$I$15:$N$70,Q118+1,R118)</f>
        <v>* group[=].element[=].display = ##34#Last Contact##34#</v>
      </c>
    </row>
    <row r="119" spans="16:19">
      <c r="P119" s="11">
        <v>105</v>
      </c>
      <c r="Q119" s="11">
        <f t="shared" si="23"/>
        <v>17</v>
      </c>
      <c r="R119" s="11">
        <f t="shared" si="24"/>
        <v>3</v>
      </c>
      <c r="S119" s="12" t="str" cm="1">
        <f t="array" ref="S119">INDEX('Subject-ConceptMap-1'!$I$15:$N$70,Q119+1,R119)</f>
        <v>* group[=].element[=].target.code = #Patient.</v>
      </c>
    </row>
    <row r="120" spans="16:19">
      <c r="P120" s="11">
        <v>106</v>
      </c>
      <c r="Q120" s="11">
        <f t="shared" si="23"/>
        <v>17</v>
      </c>
      <c r="R120" s="11">
        <f t="shared" si="24"/>
        <v>4</v>
      </c>
      <c r="S120" s="12" t="str" cm="1">
        <f t="array" ref="S120">INDEX('Subject-ConceptMap-1'!$I$15:$N$70,Q120+1,R120)</f>
        <v>* group[=].element[=].target.display = ##34###34#</v>
      </c>
    </row>
    <row r="121" spans="16:19">
      <c r="P121" s="11">
        <v>107</v>
      </c>
      <c r="Q121" s="11">
        <f t="shared" si="23"/>
        <v>17</v>
      </c>
      <c r="R121" s="11">
        <f t="shared" si="24"/>
        <v>5</v>
      </c>
      <c r="S121" s="12" t="str" cm="1">
        <f t="array" ref="S121">INDEX('Subject-ConceptMap-1'!$I$15:$N$70,Q121+1,R121)</f>
        <v>* group[=].element[=].target.equivalence = #relatedto</v>
      </c>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J18" workbookViewId="0">
      <selection activeCell="S39" sqref="S39"/>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1781</v>
      </c>
    </row>
    <row r="2" spans="1:19" ht="15.5" thickBot="1"/>
    <row r="3" spans="1:19" ht="15.5" thickBot="1">
      <c r="B3" s="62" t="s">
        <v>17</v>
      </c>
      <c r="C3" s="28" t="s">
        <v>1837</v>
      </c>
      <c r="D3" s="62" t="s">
        <v>1769</v>
      </c>
      <c r="E3" s="117" t="str">
        <f>$C$1&amp;Subject!B5</f>
        <v>http://hl7.eu/fhir/ig/idea4rc/StructureDefinition/Subject</v>
      </c>
    </row>
    <row r="4" spans="1:19">
      <c r="B4" s="62" t="s">
        <v>16</v>
      </c>
      <c r="C4" s="28" t="s">
        <v>1836</v>
      </c>
      <c r="D4" s="62" t="s">
        <v>1770</v>
      </c>
      <c r="E4" s="117" t="s">
        <v>1799</v>
      </c>
    </row>
    <row r="5" spans="1:19">
      <c r="B5" s="62" t="s">
        <v>10</v>
      </c>
      <c r="C5" s="127" t="s">
        <v>1838</v>
      </c>
      <c r="D5" s="62"/>
      <c r="E5" s="7"/>
    </row>
    <row r="6" spans="1:19">
      <c r="B6" s="62" t="s">
        <v>18</v>
      </c>
      <c r="C6" s="128"/>
      <c r="D6" s="62" t="s">
        <v>1771</v>
      </c>
      <c r="E6" s="184" t="str">
        <f>E3</f>
        <v>http://hl7.eu/fhir/ig/idea4rc/StructureDefinition/Subject</v>
      </c>
      <c r="F6" s="185"/>
      <c r="G6" s="185"/>
    </row>
    <row r="7" spans="1:19">
      <c r="B7" s="62" t="s">
        <v>15</v>
      </c>
      <c r="C7" s="129"/>
      <c r="D7" s="62" t="s">
        <v>1772</v>
      </c>
      <c r="E7" s="184" t="s">
        <v>1844</v>
      </c>
      <c r="F7" s="185"/>
      <c r="G7" s="185"/>
    </row>
    <row r="8" spans="1:19" ht="44.25">
      <c r="B8" s="62" t="s">
        <v>1773</v>
      </c>
      <c r="C8" s="103" t="s">
        <v>1838</v>
      </c>
      <c r="D8" s="62"/>
      <c r="E8" s="7"/>
      <c r="I8" s="12" t="s">
        <v>1402</v>
      </c>
      <c r="J8" s="12" t="s">
        <v>1403</v>
      </c>
      <c r="K8" s="12" t="s">
        <v>1404</v>
      </c>
      <c r="L8" s="12" t="s">
        <v>1405</v>
      </c>
      <c r="M8" s="11" t="s">
        <v>1406</v>
      </c>
      <c r="P8" s="49" t="s">
        <v>1441</v>
      </c>
      <c r="Q8" s="49">
        <v>6</v>
      </c>
    </row>
    <row r="9" spans="1:19">
      <c r="B9" s="62" t="s">
        <v>1774</v>
      </c>
      <c r="C9" s="12" t="s">
        <v>1839</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1845</v>
      </c>
      <c r="E14" s="6"/>
      <c r="F14" s="64"/>
      <c r="G14" s="64"/>
      <c r="I14" s="12"/>
      <c r="J14" s="11"/>
      <c r="K14" s="11"/>
      <c r="L14" s="11"/>
      <c r="M14" s="63"/>
      <c r="N14" s="66"/>
    </row>
    <row r="15" spans="1:19" ht="88.5">
      <c r="A15" s="59"/>
      <c r="B15" s="11" t="str">
        <f>Subject!B11</f>
        <v>smoking</v>
      </c>
      <c r="C15" s="11" t="str">
        <f>Subject!C11</f>
        <v>Smoking</v>
      </c>
      <c r="D15" s="12" t="s">
        <v>1847</v>
      </c>
      <c r="E15" s="12"/>
      <c r="F15" s="64" t="s">
        <v>1429</v>
      </c>
      <c r="G15" s="123"/>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c r="A16" s="59"/>
      <c r="B16" s="11" t="str">
        <f>Subject!B12</f>
        <v>smokingType</v>
      </c>
      <c r="C16" s="11" t="str">
        <f>Subject!C12</f>
        <v>Smoking type</v>
      </c>
      <c r="D16" s="12" t="s">
        <v>1846</v>
      </c>
      <c r="E16" s="11"/>
      <c r="F16" s="64" t="s">
        <v>1429</v>
      </c>
      <c r="G16" s="64"/>
      <c r="H16" s="58"/>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c r="A17" s="59"/>
      <c r="B17" s="11" t="str">
        <f>Subject!B13</f>
        <v>cigSmokedPerDay</v>
      </c>
      <c r="C17" s="11" t="str">
        <f>Subject!C13</f>
        <v>Cigarettes/cigars smoked per day</v>
      </c>
      <c r="D17" s="12" t="s">
        <v>1848</v>
      </c>
      <c r="E17" s="11"/>
      <c r="F17" s="64" t="s">
        <v>1429</v>
      </c>
      <c r="G17" s="64"/>
      <c r="H17" s="58"/>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c r="A18" s="59"/>
      <c r="B18" s="11" t="str">
        <f>Subject!B14</f>
        <v>yearsAsSmoker</v>
      </c>
      <c r="C18" s="11" t="str">
        <f>Subject!C14</f>
        <v>Number of years as a smoker</v>
      </c>
      <c r="D18" s="12" t="s">
        <v>1849</v>
      </c>
      <c r="E18" s="11"/>
      <c r="F18" s="64" t="s">
        <v>1429</v>
      </c>
      <c r="G18" s="64"/>
      <c r="H18" s="58"/>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c r="A19" s="59"/>
      <c r="B19" s="11"/>
      <c r="C19" s="11"/>
      <c r="D19" s="12"/>
      <c r="E19" s="11"/>
      <c r="F19" s="64"/>
      <c r="G19" s="64"/>
      <c r="H19" s="58"/>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c r="A20" s="59"/>
      <c r="B20" s="11"/>
      <c r="C20" s="11"/>
      <c r="D20" s="12"/>
      <c r="E20" s="11"/>
      <c r="F20" s="64"/>
      <c r="G20" s="64"/>
      <c r="H20" s="58"/>
      <c r="I20" s="12"/>
      <c r="J20" s="12"/>
      <c r="K20" s="12"/>
      <c r="L20" s="12"/>
      <c r="M20" s="12"/>
      <c r="N20" s="12"/>
      <c r="P20" s="11">
        <v>6</v>
      </c>
      <c r="Q20" s="11">
        <f t="shared" si="13"/>
        <v>0</v>
      </c>
      <c r="R20" s="11">
        <f t="shared" si="14"/>
        <v>6</v>
      </c>
      <c r="S20" s="12" t="str" cm="1">
        <f t="array" ref="S20">INDEX('Subject-ConceptMap-2'!$I$15:$N$123,Q20+1,R20)</f>
        <v/>
      </c>
    </row>
    <row r="21" spans="1:19">
      <c r="A21" s="59"/>
      <c r="B21" s="11"/>
      <c r="C21" s="11"/>
      <c r="D21" s="12"/>
      <c r="E21" s="11"/>
      <c r="F21" s="64"/>
      <c r="G21" s="64"/>
      <c r="H21" s="58"/>
      <c r="K21" s="58"/>
      <c r="L21" s="58"/>
      <c r="M21" s="66"/>
      <c r="N21" s="66"/>
      <c r="P21" s="11">
        <v>7</v>
      </c>
      <c r="Q21" s="11">
        <f t="shared" si="13"/>
        <v>1</v>
      </c>
      <c r="R21" s="11">
        <f t="shared" si="14"/>
        <v>1</v>
      </c>
      <c r="S21" s="12" t="str" cm="1">
        <f t="array" ref="S21">INDEX('Subject-ConceptMap-2'!$I$15:$N$123,Q21+1,R21)</f>
        <v>* group[=].element[+].code = #Subject.smokingType</v>
      </c>
    </row>
    <row r="22" spans="1:19">
      <c r="A22" s="59"/>
      <c r="B22" s="11"/>
      <c r="C22" s="12"/>
      <c r="D22" s="12"/>
      <c r="E22" s="11"/>
      <c r="F22" s="64"/>
      <c r="G22" s="64"/>
      <c r="H22" s="58"/>
      <c r="K22" s="58"/>
      <c r="L22" s="58"/>
      <c r="M22" s="66"/>
      <c r="N22" s="66"/>
      <c r="P22" s="11">
        <v>8</v>
      </c>
      <c r="Q22" s="11">
        <f t="shared" si="13"/>
        <v>1</v>
      </c>
      <c r="R22" s="11">
        <f t="shared" si="14"/>
        <v>2</v>
      </c>
      <c r="S22" s="12" t="str" cm="1">
        <f t="array" ref="S22">INDEX('Subject-ConceptMap-2'!$I$15:$N$123,Q22+1,R22)</f>
        <v>* group[=].element[=].display = ##34#Smoking type##34#</v>
      </c>
    </row>
    <row r="23" spans="1:19" ht="29.5" customHeight="1">
      <c r="A23" s="59"/>
      <c r="B23" s="11"/>
      <c r="C23" s="12"/>
      <c r="D23" s="12"/>
      <c r="E23" s="11"/>
      <c r="F23" s="64"/>
      <c r="G23" s="64"/>
      <c r="H23" s="58"/>
      <c r="K23" s="58"/>
      <c r="L23" s="58"/>
      <c r="M23" s="66"/>
      <c r="N23" s="66"/>
      <c r="P23" s="11">
        <v>9</v>
      </c>
      <c r="Q23" s="11">
        <f t="shared" si="13"/>
        <v>1</v>
      </c>
      <c r="R23" s="11">
        <f t="shared" si="14"/>
        <v>3</v>
      </c>
      <c r="S23" s="12" t="str" cm="1">
        <f t="array" ref="S23">INDEX('Subject-ConceptMap-2'!$I$15:$N$123,Q23+1,R23)</f>
        <v>* group[=].element[=].target.code = #Observation.component:tobaccoProduct.value[x]:valueCodeableConcept</v>
      </c>
    </row>
    <row r="24" spans="1:19">
      <c r="A24" s="59"/>
      <c r="B24" s="11"/>
      <c r="C24" s="12"/>
      <c r="D24" s="12"/>
      <c r="E24" s="11"/>
      <c r="F24" s="64"/>
      <c r="G24" s="64"/>
      <c r="H24" s="58"/>
      <c r="K24" s="58"/>
      <c r="L24" s="58"/>
      <c r="M24" s="66"/>
      <c r="N24" s="66"/>
      <c r="P24" s="11">
        <v>10</v>
      </c>
      <c r="Q24" s="11">
        <f t="shared" si="13"/>
        <v>1</v>
      </c>
      <c r="R24" s="11">
        <f t="shared" si="14"/>
        <v>4</v>
      </c>
      <c r="S24" s="12" t="str" cm="1">
        <f t="array" ref="S24">INDEX('Subject-ConceptMap-2'!$I$15:$N$123,Q24+1,R24)</f>
        <v>* group[=].element[=].target.display = ##34###34#</v>
      </c>
    </row>
    <row r="25" spans="1:19">
      <c r="A25" s="59"/>
      <c r="B25" s="11"/>
      <c r="C25" s="12"/>
      <c r="D25" s="12"/>
      <c r="E25" s="12"/>
      <c r="F25" s="64"/>
      <c r="G25" s="64"/>
      <c r="H25" s="58"/>
      <c r="K25" s="58"/>
      <c r="L25" s="58"/>
      <c r="M25" s="66"/>
      <c r="N25" s="66"/>
      <c r="P25" s="11">
        <v>11</v>
      </c>
      <c r="Q25" s="11">
        <f t="shared" si="13"/>
        <v>1</v>
      </c>
      <c r="R25" s="11">
        <f t="shared" si="14"/>
        <v>5</v>
      </c>
      <c r="S25" s="12" t="str" cm="1">
        <f t="array" ref="S25">INDEX('Subject-ConceptMap-2'!$I$15:$N$123,Q25+1,R25)</f>
        <v>* group[=].element[=].target.equivalence = #equivalent</v>
      </c>
    </row>
    <row r="26" spans="1:19">
      <c r="A26" s="59"/>
      <c r="B26" s="11"/>
      <c r="C26" s="12"/>
      <c r="D26" s="12"/>
      <c r="E26" s="12"/>
      <c r="F26" s="64"/>
      <c r="G26" s="64"/>
      <c r="H26" s="58"/>
      <c r="K26" s="58"/>
      <c r="L26" s="58"/>
      <c r="M26" s="66"/>
      <c r="N26" s="66"/>
      <c r="P26" s="11">
        <v>12</v>
      </c>
      <c r="Q26" s="11">
        <f t="shared" si="13"/>
        <v>1</v>
      </c>
      <c r="R26" s="11">
        <f t="shared" si="14"/>
        <v>6</v>
      </c>
      <c r="S26" s="12" t="str" cm="1">
        <f t="array" ref="S26">INDEX('Subject-ConceptMap-2'!$I$15:$N$123,Q26+1,R26)</f>
        <v/>
      </c>
    </row>
    <row r="27" spans="1:19">
      <c r="B27" s="11"/>
      <c r="C27" s="12"/>
      <c r="D27" s="12"/>
      <c r="E27" s="12"/>
      <c r="F27" s="64"/>
      <c r="G27" s="64"/>
      <c r="H27" s="58"/>
      <c r="K27" s="58"/>
      <c r="L27" s="58"/>
      <c r="M27" s="66"/>
      <c r="N27" s="66"/>
      <c r="P27" s="11">
        <v>13</v>
      </c>
      <c r="Q27" s="11">
        <f t="shared" si="13"/>
        <v>2</v>
      </c>
      <c r="R27" s="11">
        <f t="shared" si="14"/>
        <v>1</v>
      </c>
      <c r="S27" s="12" t="str" cm="1">
        <f t="array" ref="S27">INDEX('Subject-ConceptMap-2'!$I$15:$N$123,Q27+1,R27)</f>
        <v>* group[=].element[+].code = #Subject.cigSmokedPerDay</v>
      </c>
    </row>
    <row r="28" spans="1:19">
      <c r="B28" s="11"/>
      <c r="C28" s="12"/>
      <c r="D28" s="12"/>
      <c r="E28" s="12"/>
      <c r="F28" s="64"/>
      <c r="G28" s="64"/>
      <c r="H28" s="58"/>
      <c r="K28" s="58"/>
      <c r="L28" s="58"/>
      <c r="M28" s="66"/>
      <c r="N28" s="66"/>
      <c r="P28" s="11">
        <v>14</v>
      </c>
      <c r="Q28" s="11">
        <f t="shared" si="13"/>
        <v>2</v>
      </c>
      <c r="R28" s="11">
        <f t="shared" si="14"/>
        <v>2</v>
      </c>
      <c r="S28" s="12" t="str" cm="1">
        <f t="array" ref="S28">INDEX('Subject-ConceptMap-2'!$I$15:$N$123,Q28+1,R28)</f>
        <v>* group[=].element[=].display = ##34#Cigarettes/cigars smoked per day##34#</v>
      </c>
    </row>
    <row r="29" spans="1:19" ht="29.5">
      <c r="B29" s="11"/>
      <c r="C29" s="12"/>
      <c r="D29" s="12"/>
      <c r="E29" s="12"/>
      <c r="F29" s="64"/>
      <c r="G29" s="64"/>
      <c r="H29" s="58"/>
      <c r="K29" s="58"/>
      <c r="L29" s="58"/>
      <c r="M29" s="66"/>
      <c r="N29" s="66"/>
      <c r="P29" s="11">
        <v>15</v>
      </c>
      <c r="Q29" s="11">
        <f t="shared" si="13"/>
        <v>2</v>
      </c>
      <c r="R29" s="11">
        <f t="shared" si="14"/>
        <v>3</v>
      </c>
      <c r="S29" s="12" t="str" cm="1">
        <f t="array" ref="S29">INDEX('Subject-ConceptMap-2'!$I$15:$N$123,Q29+1,R29)</f>
        <v>* group[=].element[=].target.code = #Observation.component:numberPerDay.value[x]:valueQuantity</v>
      </c>
    </row>
    <row r="30" spans="1:19">
      <c r="B30" s="11"/>
      <c r="C30" s="12"/>
      <c r="D30" s="12"/>
      <c r="E30" s="12"/>
      <c r="F30" s="64"/>
      <c r="G30" s="64"/>
      <c r="H30" s="58"/>
      <c r="K30" s="58"/>
      <c r="L30" s="58"/>
      <c r="M30" s="66"/>
      <c r="N30" s="66"/>
      <c r="P30" s="11">
        <v>16</v>
      </c>
      <c r="Q30" s="11">
        <f t="shared" si="13"/>
        <v>2</v>
      </c>
      <c r="R30" s="11">
        <f t="shared" si="14"/>
        <v>4</v>
      </c>
      <c r="S30" s="12" t="str" cm="1">
        <f t="array" ref="S30">INDEX('Subject-ConceptMap-2'!$I$15:$N$123,Q30+1,R30)</f>
        <v>* group[=].element[=].target.display = ##34###34#</v>
      </c>
    </row>
    <row r="31" spans="1:19">
      <c r="B31" s="11"/>
      <c r="C31" s="12"/>
      <c r="D31" s="12"/>
      <c r="E31" s="12"/>
      <c r="F31" s="64"/>
      <c r="G31" s="64"/>
      <c r="H31" s="58"/>
      <c r="K31" s="58"/>
      <c r="L31" s="58"/>
      <c r="M31" s="66"/>
      <c r="N31" s="66"/>
      <c r="P31" s="11">
        <v>17</v>
      </c>
      <c r="Q31" s="11">
        <f t="shared" si="13"/>
        <v>2</v>
      </c>
      <c r="R31" s="11">
        <f t="shared" si="14"/>
        <v>5</v>
      </c>
      <c r="S31" s="12" t="str" cm="1">
        <f t="array" ref="S31">INDEX('Subject-ConceptMap-2'!$I$15:$N$123,Q31+1,R31)</f>
        <v>* group[=].element[=].target.equivalence = #equivalent</v>
      </c>
    </row>
    <row r="32" spans="1:19">
      <c r="B32" s="11"/>
      <c r="C32" s="12"/>
      <c r="D32" s="12"/>
      <c r="E32" s="12"/>
      <c r="F32" s="64"/>
      <c r="G32" s="64"/>
      <c r="H32" s="58"/>
      <c r="K32" s="58"/>
      <c r="L32" s="58"/>
      <c r="M32" s="66"/>
      <c r="N32" s="66"/>
      <c r="P32" s="11">
        <v>18</v>
      </c>
      <c r="Q32" s="11">
        <f t="shared" si="13"/>
        <v>2</v>
      </c>
      <c r="R32" s="11">
        <f t="shared" si="14"/>
        <v>6</v>
      </c>
      <c r="S32" s="12" t="str" cm="1">
        <f t="array" ref="S32">INDEX('Subject-ConceptMap-2'!$I$15:$N$123,Q32+1,R32)</f>
        <v/>
      </c>
    </row>
    <row r="33" spans="1:19">
      <c r="B33" s="11"/>
      <c r="C33" s="12"/>
      <c r="D33" s="12"/>
      <c r="E33" s="12"/>
      <c r="F33" s="64"/>
      <c r="G33" s="64"/>
      <c r="H33" s="58"/>
      <c r="K33" s="58"/>
      <c r="L33" s="58"/>
      <c r="M33" s="66"/>
      <c r="N33" s="66"/>
      <c r="P33" s="11">
        <v>19</v>
      </c>
      <c r="Q33" s="11">
        <f t="shared" si="13"/>
        <v>3</v>
      </c>
      <c r="R33" s="11">
        <f t="shared" si="14"/>
        <v>1</v>
      </c>
      <c r="S33" s="12" t="str" cm="1">
        <f t="array" ref="S33">INDEX('Subject-ConceptMap-2'!$I$15:$N$123,Q33+1,R33)</f>
        <v>* group[=].element[+].code = #Subject.yearsAsSmoker</v>
      </c>
    </row>
    <row r="34" spans="1:19">
      <c r="B34" s="11"/>
      <c r="C34" s="12"/>
      <c r="D34" s="12"/>
      <c r="E34" s="12"/>
      <c r="F34" s="64"/>
      <c r="G34" s="64"/>
      <c r="H34" s="58"/>
      <c r="K34" s="58"/>
      <c r="L34" s="58"/>
      <c r="M34" s="66"/>
      <c r="N34" s="66"/>
      <c r="P34" s="11">
        <v>20</v>
      </c>
      <c r="Q34" s="11">
        <f t="shared" si="13"/>
        <v>3</v>
      </c>
      <c r="R34" s="11">
        <f t="shared" si="14"/>
        <v>2</v>
      </c>
      <c r="S34" s="12" t="str" cm="1">
        <f t="array" ref="S34">INDEX('Subject-ConceptMap-2'!$I$15:$N$123,Q34+1,R34)</f>
        <v>* group[=].element[=].display = ##34#Number of years as a smoker##34#</v>
      </c>
    </row>
    <row r="35" spans="1:19" ht="29.5">
      <c r="B35" s="11"/>
      <c r="C35" s="12"/>
      <c r="D35" s="12"/>
      <c r="E35" s="12"/>
      <c r="F35" s="64"/>
      <c r="G35" s="64"/>
      <c r="H35" s="58"/>
      <c r="K35" s="58"/>
      <c r="L35" s="58"/>
      <c r="M35" s="66"/>
      <c r="N35" s="66"/>
      <c r="P35" s="11">
        <v>21</v>
      </c>
      <c r="Q35" s="11">
        <f t="shared" si="13"/>
        <v>3</v>
      </c>
      <c r="R35" s="11">
        <f t="shared" si="14"/>
        <v>3</v>
      </c>
      <c r="S35" s="12" t="str" cm="1">
        <f t="array" ref="S35">INDEX('Subject-ConceptMap-2'!$I$15:$N$123,Q35+1,R35)</f>
        <v>* group[=].element[=].target.code = #Observation.component:yearsAsSmokervalue[x]:valueQuantity</v>
      </c>
    </row>
    <row r="36" spans="1:19">
      <c r="B36" s="11"/>
      <c r="C36" s="12"/>
      <c r="D36" s="12"/>
      <c r="E36" s="12"/>
      <c r="F36" s="64"/>
      <c r="G36" s="64"/>
      <c r="H36" s="58"/>
      <c r="K36" s="58"/>
      <c r="L36" s="58"/>
      <c r="M36" s="66"/>
      <c r="N36" s="66"/>
      <c r="P36" s="11">
        <v>22</v>
      </c>
      <c r="Q36" s="11">
        <f t="shared" si="13"/>
        <v>3</v>
      </c>
      <c r="R36" s="11">
        <f t="shared" si="14"/>
        <v>4</v>
      </c>
      <c r="S36" s="12" t="str" cm="1">
        <f t="array" ref="S36">INDEX('Subject-ConceptMap-2'!$I$15:$N$123,Q36+1,R36)</f>
        <v>* group[=].element[=].target.display = ##34###34#</v>
      </c>
    </row>
    <row r="37" spans="1:19">
      <c r="B37" s="11"/>
      <c r="C37" s="12"/>
      <c r="D37" s="12"/>
      <c r="E37" s="12"/>
      <c r="F37" s="64"/>
      <c r="G37" s="64"/>
      <c r="H37" s="58"/>
      <c r="K37" s="58"/>
      <c r="L37" s="58"/>
      <c r="M37" s="66"/>
      <c r="N37" s="66"/>
      <c r="P37" s="11">
        <v>23</v>
      </c>
      <c r="Q37" s="11">
        <f t="shared" si="13"/>
        <v>3</v>
      </c>
      <c r="R37" s="11">
        <f t="shared" si="14"/>
        <v>5</v>
      </c>
      <c r="S37" s="12" t="str" cm="1">
        <f t="array" ref="S37">INDEX('Subject-ConceptMap-2'!$I$15:$N$123,Q37+1,R37)</f>
        <v>* group[=].element[=].target.equivalence = #equivalent</v>
      </c>
    </row>
    <row r="38" spans="1:19">
      <c r="B38" s="11"/>
      <c r="C38" s="12"/>
      <c r="D38" s="12"/>
      <c r="E38" s="12"/>
      <c r="F38" s="64"/>
      <c r="G38" s="64"/>
      <c r="H38" s="58"/>
      <c r="K38" s="58"/>
      <c r="L38" s="58"/>
      <c r="M38" s="66"/>
      <c r="N38" s="66"/>
      <c r="P38" s="11">
        <v>24</v>
      </c>
      <c r="Q38" s="11">
        <f t="shared" si="13"/>
        <v>3</v>
      </c>
      <c r="R38" s="11">
        <f t="shared" si="14"/>
        <v>6</v>
      </c>
      <c r="S38" s="12" t="str" cm="1">
        <f t="array" ref="S38">INDEX('Subject-ConceptMap-2'!$I$15:$N$123,Q38+1,R38)</f>
        <v/>
      </c>
    </row>
    <row r="39" spans="1:19" s="2" customFormat="1">
      <c r="A39"/>
      <c r="B39" s="11"/>
      <c r="C39" s="12"/>
      <c r="D39" s="12"/>
      <c r="E39" s="12"/>
      <c r="F39" s="64"/>
      <c r="G39" s="58"/>
      <c r="H39" s="58"/>
      <c r="J39"/>
      <c r="K39" s="58"/>
      <c r="L39" s="58"/>
      <c r="M39" s="66"/>
      <c r="N39" s="66"/>
      <c r="P39" s="11">
        <v>25</v>
      </c>
      <c r="Q39" s="11">
        <f t="shared" si="13"/>
        <v>4</v>
      </c>
      <c r="R39" s="11">
        <f t="shared" si="14"/>
        <v>1</v>
      </c>
      <c r="S39" s="12" cm="1">
        <f t="array" ref="S39">INDEX('Subject-ConceptMap-2'!$I$15:$N$123,Q39+1,R39)</f>
        <v>0</v>
      </c>
    </row>
    <row r="40" spans="1:19" s="2" customFormat="1">
      <c r="A40"/>
      <c r="B40" s="11"/>
      <c r="C40" s="12"/>
      <c r="D40" s="12"/>
      <c r="F40" s="64"/>
      <c r="G40" s="58"/>
      <c r="H40" s="58"/>
      <c r="J40"/>
      <c r="K40" s="58"/>
      <c r="L40" s="58"/>
      <c r="M40" s="66"/>
      <c r="N40" s="66"/>
      <c r="P40" s="11">
        <v>26</v>
      </c>
      <c r="Q40" s="11">
        <f t="shared" si="13"/>
        <v>4</v>
      </c>
      <c r="R40" s="11">
        <f t="shared" si="14"/>
        <v>2</v>
      </c>
      <c r="S40" s="12" cm="1">
        <f t="array" ref="S40">INDEX('Subject-ConceptMap-2'!$I$15:$N$123,Q40+1,R40)</f>
        <v>0</v>
      </c>
    </row>
    <row r="41" spans="1:19" s="2" customFormat="1">
      <c r="A41"/>
      <c r="B41" s="11"/>
      <c r="C41" s="12"/>
      <c r="D41" s="12"/>
      <c r="F41" s="64"/>
      <c r="G41" s="58"/>
      <c r="H41" s="58"/>
      <c r="J41"/>
      <c r="K41" s="58"/>
      <c r="L41" s="58"/>
      <c r="M41" s="66"/>
      <c r="N41" s="66"/>
      <c r="P41" s="11">
        <v>27</v>
      </c>
      <c r="Q41" s="11">
        <f t="shared" si="13"/>
        <v>4</v>
      </c>
      <c r="R41" s="11">
        <f t="shared" si="14"/>
        <v>3</v>
      </c>
      <c r="S41" s="12" cm="1">
        <f t="array" ref="S41">INDEX('Subject-ConceptMap-2'!$I$15:$N$123,Q41+1,R41)</f>
        <v>0</v>
      </c>
    </row>
    <row r="42" spans="1:19" s="2" customFormat="1">
      <c r="A42"/>
      <c r="B42" s="11"/>
      <c r="C42" s="12"/>
      <c r="D42" s="12"/>
      <c r="F42" s="64"/>
      <c r="G42" s="58"/>
      <c r="H42" s="58"/>
      <c r="J42" s="58"/>
      <c r="K42" s="58"/>
      <c r="L42" s="58"/>
      <c r="M42" s="66"/>
      <c r="N42" s="66"/>
      <c r="P42" s="11">
        <v>28</v>
      </c>
      <c r="Q42" s="11">
        <f t="shared" si="13"/>
        <v>4</v>
      </c>
      <c r="R42" s="11">
        <f t="shared" si="14"/>
        <v>4</v>
      </c>
      <c r="S42" s="12" cm="1">
        <f t="array" ref="S42">INDEX('Subject-ConceptMap-2'!$I$15:$N$123,Q42+1,R42)</f>
        <v>0</v>
      </c>
    </row>
    <row r="43" spans="1:19" s="2" customFormat="1">
      <c r="A43"/>
      <c r="B43" s="11"/>
      <c r="C43" s="12"/>
      <c r="F43" s="64"/>
      <c r="G43" s="58"/>
      <c r="H43" s="58"/>
      <c r="J43" s="58"/>
      <c r="K43" s="58"/>
      <c r="L43" s="58"/>
      <c r="M43" s="66"/>
      <c r="N43" s="66"/>
      <c r="P43" s="11">
        <v>29</v>
      </c>
      <c r="Q43" s="11">
        <f t="shared" si="13"/>
        <v>4</v>
      </c>
      <c r="R43" s="11">
        <f t="shared" si="14"/>
        <v>5</v>
      </c>
      <c r="S43" s="12" cm="1">
        <f t="array" ref="S43">INDEX('Subject-ConceptMap-2'!$I$15:$N$123,Q43+1,R43)</f>
        <v>0</v>
      </c>
    </row>
    <row r="44" spans="1:19">
      <c r="B44" s="11"/>
      <c r="C44" s="12"/>
      <c r="F44" s="64"/>
      <c r="P44" s="11">
        <v>30</v>
      </c>
      <c r="Q44" s="11">
        <f t="shared" si="13"/>
        <v>4</v>
      </c>
      <c r="R44" s="11">
        <f t="shared" si="14"/>
        <v>6</v>
      </c>
      <c r="S44" s="12" cm="1">
        <f t="array" ref="S44">INDEX('Subject-ConceptMap-2'!$I$15:$N$123,Q44+1,R44)</f>
        <v>0</v>
      </c>
    </row>
    <row r="45" spans="1:19">
      <c r="B45" s="11"/>
      <c r="C45" s="12"/>
      <c r="F45" s="64"/>
      <c r="P45" s="11">
        <v>31</v>
      </c>
      <c r="Q45" s="11">
        <f t="shared" si="13"/>
        <v>5</v>
      </c>
      <c r="R45" s="11">
        <f t="shared" si="14"/>
        <v>1</v>
      </c>
      <c r="S45" s="12" cm="1">
        <f t="array" ref="S45">INDEX('Subject-ConceptMap-2'!$I$15:$N$123,Q45+1,R45)</f>
        <v>0</v>
      </c>
    </row>
    <row r="46" spans="1:19">
      <c r="B46" s="11"/>
      <c r="C46" s="12"/>
      <c r="P46" s="11">
        <v>32</v>
      </c>
      <c r="Q46" s="11">
        <f t="shared" si="13"/>
        <v>5</v>
      </c>
      <c r="R46" s="11">
        <f t="shared" si="14"/>
        <v>2</v>
      </c>
      <c r="S46" s="12" cm="1">
        <f t="array" ref="S46">INDEX('Subject-ConceptMap-2'!$I$15:$N$123,Q46+1,R46)</f>
        <v>0</v>
      </c>
    </row>
    <row r="47" spans="1:19">
      <c r="B47" s="11"/>
      <c r="C47" s="12"/>
      <c r="P47" s="11">
        <v>33</v>
      </c>
      <c r="Q47" s="11">
        <f t="shared" si="13"/>
        <v>5</v>
      </c>
      <c r="R47" s="11">
        <f t="shared" si="14"/>
        <v>3</v>
      </c>
      <c r="S47" s="12" cm="1">
        <f t="array" ref="S47">INDEX('Subject-ConceptMap-2'!$I$15:$N$123,Q47+1,R47)</f>
        <v>0</v>
      </c>
    </row>
    <row r="48" spans="1:19">
      <c r="P48" s="11">
        <v>34</v>
      </c>
      <c r="Q48" s="11">
        <f t="shared" si="13"/>
        <v>5</v>
      </c>
      <c r="R48" s="11">
        <f t="shared" si="14"/>
        <v>4</v>
      </c>
      <c r="S48" s="12" cm="1">
        <f t="array" ref="S48">INDEX('Subject-ConceptMap-2'!$I$15:$N$123,Q48+1,R48)</f>
        <v>0</v>
      </c>
    </row>
    <row r="49" spans="16:19">
      <c r="P49" s="11">
        <v>35</v>
      </c>
      <c r="Q49" s="11">
        <f t="shared" si="13"/>
        <v>5</v>
      </c>
      <c r="R49" s="11">
        <f t="shared" si="14"/>
        <v>5</v>
      </c>
      <c r="S49" s="12" cm="1">
        <f t="array" ref="S49">INDEX('Subject-ConceptMap-2'!$I$15:$N$123,Q49+1,R49)</f>
        <v>0</v>
      </c>
    </row>
    <row r="50" spans="16:19">
      <c r="P50" s="11">
        <v>36</v>
      </c>
      <c r="Q50" s="11">
        <f t="shared" si="13"/>
        <v>5</v>
      </c>
      <c r="R50" s="11">
        <f t="shared" si="14"/>
        <v>6</v>
      </c>
      <c r="S50" s="12" cm="1">
        <f t="array" ref="S50">INDEX('Subject-ConceptMap-2'!$I$15:$N$123,Q50+1,R50)</f>
        <v>0</v>
      </c>
    </row>
    <row r="51" spans="16:19">
      <c r="P51" s="11">
        <v>37</v>
      </c>
      <c r="Q51" s="11">
        <f t="shared" si="13"/>
        <v>6</v>
      </c>
      <c r="R51" s="11">
        <f t="shared" si="14"/>
        <v>1</v>
      </c>
      <c r="S51" s="12" cm="1">
        <f t="array" ref="S51">INDEX('Subject-ConceptMap-2'!$I$15:$N$123,Q51+1,R51)</f>
        <v>0</v>
      </c>
    </row>
    <row r="52" spans="16:19">
      <c r="P52" s="11">
        <v>38</v>
      </c>
      <c r="Q52" s="11">
        <f t="shared" si="13"/>
        <v>6</v>
      </c>
      <c r="R52" s="11">
        <f t="shared" si="14"/>
        <v>2</v>
      </c>
      <c r="S52" s="12" cm="1">
        <f t="array" ref="S52">INDEX('Subject-ConceptMap-2'!$I$15:$N$123,Q52+1,R52)</f>
        <v>0</v>
      </c>
    </row>
    <row r="53" spans="16:19">
      <c r="P53" s="11">
        <v>39</v>
      </c>
      <c r="Q53" s="11">
        <f t="shared" si="13"/>
        <v>6</v>
      </c>
      <c r="R53" s="11">
        <f t="shared" si="14"/>
        <v>3</v>
      </c>
      <c r="S53" s="12" cm="1">
        <f t="array" ref="S53">INDEX('Subject-ConceptMap-2'!$I$15:$N$123,Q53+1,R53)</f>
        <v>0</v>
      </c>
    </row>
    <row r="54" spans="16:19">
      <c r="P54" s="11">
        <v>40</v>
      </c>
      <c r="Q54" s="11">
        <f t="shared" si="13"/>
        <v>6</v>
      </c>
      <c r="R54" s="11">
        <f t="shared" si="14"/>
        <v>4</v>
      </c>
      <c r="S54" s="12" cm="1">
        <f t="array" ref="S54">INDEX('Subject-ConceptMap-2'!$I$15:$N$123,Q54+1,R54)</f>
        <v>0</v>
      </c>
    </row>
    <row r="55" spans="16:19">
      <c r="P55" s="11">
        <v>41</v>
      </c>
      <c r="Q55" s="11">
        <f t="shared" si="13"/>
        <v>6</v>
      </c>
      <c r="R55" s="11">
        <f t="shared" si="14"/>
        <v>5</v>
      </c>
      <c r="S55" s="12" cm="1">
        <f t="array" ref="S55">INDEX('Subject-ConceptMap-2'!$I$15:$N$123,Q55+1,R55)</f>
        <v>0</v>
      </c>
    </row>
    <row r="56" spans="16:19">
      <c r="P56" s="11">
        <v>42</v>
      </c>
      <c r="Q56" s="11">
        <f t="shared" si="13"/>
        <v>6</v>
      </c>
      <c r="R56" s="11">
        <f t="shared" si="14"/>
        <v>6</v>
      </c>
      <c r="S56" s="12" cm="1">
        <f t="array" ref="S56">INDEX('Subject-ConceptMap-2'!$I$15:$N$123,Q56+1,R56)</f>
        <v>0</v>
      </c>
    </row>
    <row r="57" spans="16:19">
      <c r="P57" s="11">
        <v>43</v>
      </c>
      <c r="Q57" s="11">
        <f t="shared" si="13"/>
        <v>7</v>
      </c>
      <c r="R57" s="11">
        <f t="shared" si="14"/>
        <v>1</v>
      </c>
      <c r="S57" s="12" cm="1">
        <f t="array" ref="S57">INDEX('Subject-ConceptMap-2'!$I$15:$N$123,Q57+1,R57)</f>
        <v>0</v>
      </c>
    </row>
    <row r="58" spans="16:19">
      <c r="P58" s="11">
        <v>44</v>
      </c>
      <c r="Q58" s="11">
        <f t="shared" si="13"/>
        <v>7</v>
      </c>
      <c r="R58" s="11">
        <f t="shared" si="14"/>
        <v>2</v>
      </c>
      <c r="S58" s="12" cm="1">
        <f t="array" ref="S58">INDEX('Subject-ConceptMap-2'!$I$15:$N$123,Q58+1,R58)</f>
        <v>0</v>
      </c>
    </row>
    <row r="59" spans="16:19">
      <c r="P59" s="11">
        <v>45</v>
      </c>
      <c r="Q59" s="11">
        <f t="shared" si="13"/>
        <v>7</v>
      </c>
      <c r="R59" s="11">
        <f t="shared" si="14"/>
        <v>3</v>
      </c>
      <c r="S59" s="12" cm="1">
        <f t="array" ref="S59">INDEX('Subject-ConceptMap-2'!$I$15:$N$123,Q59+1,R59)</f>
        <v>0</v>
      </c>
    </row>
    <row r="60" spans="16:19">
      <c r="P60" s="11">
        <v>46</v>
      </c>
      <c r="Q60" s="11">
        <f t="shared" si="13"/>
        <v>7</v>
      </c>
      <c r="R60" s="11">
        <f t="shared" si="14"/>
        <v>4</v>
      </c>
      <c r="S60" s="12" cm="1">
        <f t="array" ref="S60">INDEX('Subject-ConceptMap-2'!$I$15:$N$123,Q60+1,R60)</f>
        <v>0</v>
      </c>
    </row>
    <row r="61" spans="16:19">
      <c r="P61" s="11">
        <v>47</v>
      </c>
      <c r="Q61" s="11">
        <f t="shared" si="13"/>
        <v>7</v>
      </c>
      <c r="R61" s="11">
        <f t="shared" si="14"/>
        <v>5</v>
      </c>
      <c r="S61" s="12" cm="1">
        <f t="array" ref="S61">INDEX('Subject-ConceptMap-2'!$I$15:$N$123,Q61+1,R61)</f>
        <v>0</v>
      </c>
    </row>
    <row r="62" spans="16:19">
      <c r="P62" s="11">
        <v>48</v>
      </c>
      <c r="Q62" s="11">
        <f t="shared" si="13"/>
        <v>7</v>
      </c>
      <c r="R62" s="11">
        <f t="shared" si="14"/>
        <v>6</v>
      </c>
      <c r="S62" s="12" cm="1">
        <f t="array" ref="S62">INDEX('Subject-ConceptMap-2'!$I$15:$N$123,Q62+1,R62)</f>
        <v>0</v>
      </c>
    </row>
    <row r="63" spans="16:19">
      <c r="P63" s="11">
        <v>49</v>
      </c>
      <c r="Q63" s="11">
        <f t="shared" si="13"/>
        <v>8</v>
      </c>
      <c r="R63" s="11">
        <f t="shared" si="14"/>
        <v>1</v>
      </c>
      <c r="S63" s="12" cm="1">
        <f t="array" ref="S63">INDEX('Subject-ConceptMap-2'!$I$15:$N$123,Q63+1,R63)</f>
        <v>0</v>
      </c>
    </row>
    <row r="64" spans="16:19">
      <c r="P64" s="11">
        <v>50</v>
      </c>
      <c r="Q64" s="11">
        <f t="shared" si="13"/>
        <v>8</v>
      </c>
      <c r="R64" s="11">
        <f t="shared" si="14"/>
        <v>2</v>
      </c>
      <c r="S64" s="12" cm="1">
        <f t="array" ref="S64">INDEX('Subject-ConceptMap-2'!$I$15:$N$123,Q64+1,R64)</f>
        <v>0</v>
      </c>
    </row>
    <row r="65" spans="16:19">
      <c r="P65" s="11">
        <v>51</v>
      </c>
      <c r="Q65" s="11">
        <f t="shared" si="13"/>
        <v>8</v>
      </c>
      <c r="R65" s="11">
        <f t="shared" si="14"/>
        <v>3</v>
      </c>
      <c r="S65" s="12" cm="1">
        <f t="array" ref="S65">INDEX('Subject-ConceptMap-2'!$I$15:$N$123,Q65+1,R65)</f>
        <v>0</v>
      </c>
    </row>
    <row r="66" spans="16:19">
      <c r="P66" s="11">
        <v>52</v>
      </c>
      <c r="Q66" s="11">
        <f t="shared" si="13"/>
        <v>8</v>
      </c>
      <c r="R66" s="11">
        <f t="shared" si="14"/>
        <v>4</v>
      </c>
      <c r="S66" s="12" cm="1">
        <f t="array" ref="S66">INDEX('Subject-ConceptMap-2'!$I$15:$N$123,Q66+1,R66)</f>
        <v>0</v>
      </c>
    </row>
    <row r="67" spans="16:19">
      <c r="P67" s="11">
        <v>53</v>
      </c>
      <c r="Q67" s="11">
        <f t="shared" si="13"/>
        <v>8</v>
      </c>
      <c r="R67" s="11">
        <f t="shared" si="14"/>
        <v>5</v>
      </c>
      <c r="S67" s="12" cm="1">
        <f t="array" ref="S67">INDEX('Subject-ConceptMap-2'!$I$15:$N$123,Q67+1,R67)</f>
        <v>0</v>
      </c>
    </row>
    <row r="68" spans="16:19">
      <c r="P68" s="11">
        <v>54</v>
      </c>
      <c r="Q68" s="11">
        <f t="shared" si="13"/>
        <v>8</v>
      </c>
      <c r="R68" s="11">
        <f t="shared" si="14"/>
        <v>6</v>
      </c>
      <c r="S68" s="12" cm="1">
        <f t="array" ref="S68">INDEX('Subject-ConceptMap-2'!$I$15:$N$123,Q68+1,R68)</f>
        <v>0</v>
      </c>
    </row>
    <row r="69" spans="16:19">
      <c r="P69" s="11">
        <v>55</v>
      </c>
      <c r="Q69" s="11">
        <f t="shared" si="13"/>
        <v>9</v>
      </c>
      <c r="R69" s="11">
        <f t="shared" si="14"/>
        <v>1</v>
      </c>
      <c r="S69" s="12" cm="1">
        <f t="array" ref="S69">INDEX('Subject-ConceptMap-2'!$I$15:$N$123,Q69+1,R69)</f>
        <v>0</v>
      </c>
    </row>
    <row r="70" spans="16:19">
      <c r="P70" s="11">
        <v>56</v>
      </c>
      <c r="Q70" s="11">
        <f t="shared" si="13"/>
        <v>9</v>
      </c>
      <c r="R70" s="11">
        <f t="shared" si="14"/>
        <v>2</v>
      </c>
      <c r="S70" s="12" cm="1">
        <f t="array" ref="S70">INDEX('Subject-ConceptMap-2'!$I$15:$N$123,Q70+1,R70)</f>
        <v>0</v>
      </c>
    </row>
    <row r="71" spans="16:19">
      <c r="P71" s="11">
        <v>57</v>
      </c>
      <c r="Q71" s="11">
        <f t="shared" si="13"/>
        <v>9</v>
      </c>
      <c r="R71" s="11">
        <f t="shared" si="14"/>
        <v>3</v>
      </c>
      <c r="S71" s="12" cm="1">
        <f t="array" ref="S71">INDEX('Subject-ConceptMap-2'!$I$15:$N$123,Q71+1,R71)</f>
        <v>0</v>
      </c>
    </row>
    <row r="72" spans="16:19">
      <c r="P72" s="11">
        <v>58</v>
      </c>
      <c r="Q72" s="11">
        <f t="shared" si="13"/>
        <v>9</v>
      </c>
      <c r="R72" s="11">
        <f t="shared" si="14"/>
        <v>4</v>
      </c>
      <c r="S72" s="12" cm="1">
        <f t="array" ref="S72">INDEX('Subject-ConceptMap-2'!$I$15:$N$123,Q72+1,R72)</f>
        <v>0</v>
      </c>
    </row>
    <row r="73" spans="16:19">
      <c r="P73" s="11">
        <v>59</v>
      </c>
      <c r="Q73" s="11">
        <f t="shared" si="13"/>
        <v>9</v>
      </c>
      <c r="R73" s="11">
        <f t="shared" si="14"/>
        <v>5</v>
      </c>
      <c r="S73" s="12" cm="1">
        <f t="array" ref="S73">INDEX('Subject-ConceptMap-2'!$I$15:$N$123,Q73+1,R73)</f>
        <v>0</v>
      </c>
    </row>
    <row r="74" spans="16:19">
      <c r="P74" s="11">
        <v>60</v>
      </c>
      <c r="Q74" s="11">
        <f t="shared" si="13"/>
        <v>9</v>
      </c>
      <c r="R74" s="11">
        <f t="shared" si="14"/>
        <v>6</v>
      </c>
      <c r="S74" s="12" cm="1">
        <f t="array" ref="S74">INDEX('Subject-ConceptMap-2'!$I$15:$N$123,Q74+1,R74)</f>
        <v>0</v>
      </c>
    </row>
    <row r="75" spans="16:19">
      <c r="P75" s="11">
        <v>61</v>
      </c>
      <c r="Q75" s="11">
        <f t="shared" si="13"/>
        <v>10</v>
      </c>
      <c r="R75" s="11">
        <f t="shared" si="14"/>
        <v>1</v>
      </c>
      <c r="S75" s="12" cm="1">
        <f t="array" ref="S75">INDEX('Subject-ConceptMap-2'!$I$15:$N$123,Q75+1,R75)</f>
        <v>0</v>
      </c>
    </row>
    <row r="76" spans="16:19">
      <c r="P76" s="11">
        <v>62</v>
      </c>
      <c r="Q76" s="11">
        <f t="shared" si="13"/>
        <v>10</v>
      </c>
      <c r="R76" s="11">
        <f t="shared" si="14"/>
        <v>2</v>
      </c>
      <c r="S76" s="12" cm="1">
        <f t="array" ref="S76">INDEX('Subject-ConceptMap-2'!$I$15:$N$123,Q76+1,R76)</f>
        <v>0</v>
      </c>
    </row>
    <row r="77" spans="16:19">
      <c r="P77" s="11">
        <v>63</v>
      </c>
      <c r="Q77" s="11">
        <f t="shared" si="13"/>
        <v>10</v>
      </c>
      <c r="R77" s="11">
        <f t="shared" si="14"/>
        <v>3</v>
      </c>
      <c r="S77" s="12" cm="1">
        <f t="array" ref="S77">INDEX('Subject-ConceptMap-2'!$I$15:$N$123,Q77+1,R77)</f>
        <v>0</v>
      </c>
    </row>
    <row r="78" spans="16:19">
      <c r="P78" s="11">
        <v>64</v>
      </c>
      <c r="Q78" s="11">
        <f t="shared" si="13"/>
        <v>10</v>
      </c>
      <c r="R78" s="11">
        <f t="shared" si="14"/>
        <v>4</v>
      </c>
      <c r="S78" s="12" cm="1">
        <f t="array" ref="S78">INDEX('Subject-ConceptMap-2'!$I$15:$N$123,Q78+1,R78)</f>
        <v>0</v>
      </c>
    </row>
    <row r="79" spans="16:19">
      <c r="P79" s="11">
        <v>65</v>
      </c>
      <c r="Q79" s="11">
        <f t="shared" si="13"/>
        <v>10</v>
      </c>
      <c r="R79" s="11">
        <f t="shared" si="14"/>
        <v>5</v>
      </c>
      <c r="S79" s="12" cm="1">
        <f t="array" ref="S79">INDEX('Subject-ConceptMap-2'!$I$15:$N$123,Q79+1,R79)</f>
        <v>0</v>
      </c>
    </row>
    <row r="80" spans="16:19">
      <c r="P80" s="11">
        <v>66</v>
      </c>
      <c r="Q80" s="11">
        <f t="shared" ref="Q80:Q143" si="15">IF(MOD(P80,$Q$8)=0,P80/$Q$8-1,INT(P80/$Q$8))</f>
        <v>10</v>
      </c>
      <c r="R80" s="11">
        <f t="shared" ref="R80:R143" si="16">IF(MOD(P80,$Q$8)=0,$Q$8,MOD(P80,$Q$8))</f>
        <v>6</v>
      </c>
      <c r="S80" s="12" cm="1">
        <f t="array" ref="S80">INDEX('Subject-ConceptMap-2'!$I$15:$N$123,Q80+1,R80)</f>
        <v>0</v>
      </c>
    </row>
    <row r="81" spans="16:19">
      <c r="P81" s="11">
        <v>67</v>
      </c>
      <c r="Q81" s="11">
        <f t="shared" si="15"/>
        <v>11</v>
      </c>
      <c r="R81" s="11">
        <f t="shared" si="16"/>
        <v>1</v>
      </c>
      <c r="S81" s="12" cm="1">
        <f t="array" ref="S81">INDEX('Subject-ConceptMap-2'!$I$15:$N$123,Q81+1,R81)</f>
        <v>0</v>
      </c>
    </row>
    <row r="82" spans="16:19">
      <c r="P82" s="11">
        <v>68</v>
      </c>
      <c r="Q82" s="11">
        <f t="shared" si="15"/>
        <v>11</v>
      </c>
      <c r="R82" s="11">
        <f t="shared" si="16"/>
        <v>2</v>
      </c>
      <c r="S82" s="12" cm="1">
        <f t="array" ref="S82">INDEX('Subject-ConceptMap-2'!$I$15:$N$123,Q82+1,R82)</f>
        <v>0</v>
      </c>
    </row>
    <row r="83" spans="16:19">
      <c r="P83" s="11">
        <v>69</v>
      </c>
      <c r="Q83" s="11">
        <f t="shared" si="15"/>
        <v>11</v>
      </c>
      <c r="R83" s="11">
        <f t="shared" si="16"/>
        <v>3</v>
      </c>
      <c r="S83" s="12" cm="1">
        <f t="array" ref="S83">INDEX('Subject-ConceptMap-2'!$I$15:$N$123,Q83+1,R83)</f>
        <v>0</v>
      </c>
    </row>
    <row r="84" spans="16:19">
      <c r="P84" s="11">
        <v>70</v>
      </c>
      <c r="Q84" s="11">
        <f t="shared" si="15"/>
        <v>11</v>
      </c>
      <c r="R84" s="11">
        <f t="shared" si="16"/>
        <v>4</v>
      </c>
      <c r="S84" s="12" cm="1">
        <f t="array" ref="S84">INDEX('Subject-ConceptMap-2'!$I$15:$N$123,Q84+1,R84)</f>
        <v>0</v>
      </c>
    </row>
    <row r="85" spans="16:19">
      <c r="P85" s="11">
        <v>71</v>
      </c>
      <c r="Q85" s="11">
        <f t="shared" si="15"/>
        <v>11</v>
      </c>
      <c r="R85" s="11">
        <f t="shared" si="16"/>
        <v>5</v>
      </c>
      <c r="S85" s="12" cm="1">
        <f t="array" ref="S85">INDEX('Subject-ConceptMap-2'!$I$15:$N$123,Q85+1,R85)</f>
        <v>0</v>
      </c>
    </row>
    <row r="86" spans="16:19">
      <c r="P86" s="11">
        <v>72</v>
      </c>
      <c r="Q86" s="11">
        <f t="shared" si="15"/>
        <v>11</v>
      </c>
      <c r="R86" s="11">
        <f t="shared" si="16"/>
        <v>6</v>
      </c>
      <c r="S86" s="12" cm="1">
        <f t="array" ref="S86">INDEX('Subject-ConceptMap-2'!$I$15:$N$123,Q86+1,R86)</f>
        <v>0</v>
      </c>
    </row>
    <row r="87" spans="16:19">
      <c r="P87" s="11">
        <v>73</v>
      </c>
      <c r="Q87" s="11">
        <f t="shared" si="15"/>
        <v>12</v>
      </c>
      <c r="R87" s="11">
        <f t="shared" si="16"/>
        <v>1</v>
      </c>
      <c r="S87" s="12" cm="1">
        <f t="array" ref="S87">INDEX('Subject-ConceptMap-2'!$I$15:$N$123,Q87+1,R87)</f>
        <v>0</v>
      </c>
    </row>
    <row r="88" spans="16:19">
      <c r="P88" s="11">
        <v>74</v>
      </c>
      <c r="Q88" s="11">
        <f t="shared" si="15"/>
        <v>12</v>
      </c>
      <c r="R88" s="11">
        <f t="shared" si="16"/>
        <v>2</v>
      </c>
      <c r="S88" s="12" cm="1">
        <f t="array" ref="S88">INDEX('Subject-ConceptMap-2'!$I$15:$N$123,Q88+1,R88)</f>
        <v>0</v>
      </c>
    </row>
    <row r="89" spans="16:19">
      <c r="P89" s="11">
        <v>75</v>
      </c>
      <c r="Q89" s="11">
        <f t="shared" si="15"/>
        <v>12</v>
      </c>
      <c r="R89" s="11">
        <f t="shared" si="16"/>
        <v>3</v>
      </c>
      <c r="S89" s="12" cm="1">
        <f t="array" ref="S89">INDEX('Subject-ConceptMap-2'!$I$15:$N$123,Q89+1,R89)</f>
        <v>0</v>
      </c>
    </row>
    <row r="90" spans="16:19">
      <c r="P90" s="11">
        <v>76</v>
      </c>
      <c r="Q90" s="11">
        <f t="shared" si="15"/>
        <v>12</v>
      </c>
      <c r="R90" s="11">
        <f t="shared" si="16"/>
        <v>4</v>
      </c>
      <c r="S90" s="12" cm="1">
        <f t="array" ref="S90">INDEX('Subject-ConceptMap-2'!$I$15:$N$123,Q90+1,R90)</f>
        <v>0</v>
      </c>
    </row>
    <row r="91" spans="16:19">
      <c r="P91" s="11">
        <v>77</v>
      </c>
      <c r="Q91" s="11">
        <f t="shared" si="15"/>
        <v>12</v>
      </c>
      <c r="R91" s="11">
        <f t="shared" si="16"/>
        <v>5</v>
      </c>
      <c r="S91" s="12" cm="1">
        <f t="array" ref="S91">INDEX('Subject-ConceptMap-2'!$I$15:$N$123,Q91+1,R91)</f>
        <v>0</v>
      </c>
    </row>
    <row r="92" spans="16:19">
      <c r="P92" s="11">
        <v>78</v>
      </c>
      <c r="Q92" s="11">
        <f t="shared" si="15"/>
        <v>12</v>
      </c>
      <c r="R92" s="11">
        <f t="shared" si="16"/>
        <v>6</v>
      </c>
      <c r="S92" s="12" cm="1">
        <f t="array" ref="S92">INDEX('Subject-ConceptMap-2'!$I$15:$N$123,Q92+1,R92)</f>
        <v>0</v>
      </c>
    </row>
    <row r="93" spans="16:19">
      <c r="P93" s="11">
        <v>79</v>
      </c>
      <c r="Q93" s="11">
        <f t="shared" si="15"/>
        <v>13</v>
      </c>
      <c r="R93" s="11">
        <f t="shared" si="16"/>
        <v>1</v>
      </c>
      <c r="S93" s="12" cm="1">
        <f t="array" ref="S93">INDEX('Subject-ConceptMap-2'!$I$15:$N$123,Q93+1,R93)</f>
        <v>0</v>
      </c>
    </row>
    <row r="94" spans="16:19">
      <c r="P94" s="11">
        <v>80</v>
      </c>
      <c r="Q94" s="11">
        <f t="shared" si="15"/>
        <v>13</v>
      </c>
      <c r="R94" s="11">
        <f t="shared" si="16"/>
        <v>2</v>
      </c>
      <c r="S94" s="12" cm="1">
        <f t="array" ref="S94">INDEX('Subject-ConceptMap-2'!$I$15:$N$123,Q94+1,R94)</f>
        <v>0</v>
      </c>
    </row>
    <row r="95" spans="16:19">
      <c r="P95" s="11">
        <v>81</v>
      </c>
      <c r="Q95" s="11">
        <f t="shared" si="15"/>
        <v>13</v>
      </c>
      <c r="R95" s="11">
        <f t="shared" si="16"/>
        <v>3</v>
      </c>
      <c r="S95" s="12" cm="1">
        <f t="array" ref="S95">INDEX('Subject-ConceptMap-2'!$I$15:$N$123,Q95+1,R95)</f>
        <v>0</v>
      </c>
    </row>
    <row r="96" spans="16:19">
      <c r="P96" s="11">
        <v>82</v>
      </c>
      <c r="Q96" s="11">
        <f t="shared" si="15"/>
        <v>13</v>
      </c>
      <c r="R96" s="11">
        <f t="shared" si="16"/>
        <v>4</v>
      </c>
      <c r="S96" s="12" cm="1">
        <f t="array" ref="S96">INDEX('Subject-ConceptMap-2'!$I$15:$N$123,Q96+1,R96)</f>
        <v>0</v>
      </c>
    </row>
    <row r="97" spans="16:19">
      <c r="P97" s="11">
        <v>83</v>
      </c>
      <c r="Q97" s="11">
        <f t="shared" si="15"/>
        <v>13</v>
      </c>
      <c r="R97" s="11">
        <f t="shared" si="16"/>
        <v>5</v>
      </c>
      <c r="S97" s="12" cm="1">
        <f t="array" ref="S97">INDEX('Subject-ConceptMap-2'!$I$15:$N$123,Q97+1,R97)</f>
        <v>0</v>
      </c>
    </row>
    <row r="98" spans="16:19">
      <c r="P98" s="11">
        <v>84</v>
      </c>
      <c r="Q98" s="11">
        <f t="shared" si="15"/>
        <v>13</v>
      </c>
      <c r="R98" s="11">
        <f t="shared" si="16"/>
        <v>6</v>
      </c>
      <c r="S98" s="12" cm="1">
        <f t="array" ref="S98">INDEX('Subject-ConceptMap-2'!$I$15:$N$123,Q98+1,R98)</f>
        <v>0</v>
      </c>
    </row>
    <row r="99" spans="16:19">
      <c r="P99" s="11">
        <v>85</v>
      </c>
      <c r="Q99" s="11">
        <f t="shared" si="15"/>
        <v>14</v>
      </c>
      <c r="R99" s="11">
        <f t="shared" si="16"/>
        <v>1</v>
      </c>
      <c r="S99" s="12" cm="1">
        <f t="array" ref="S99">INDEX('Subject-ConceptMap-2'!$I$15:$N$123,Q99+1,R99)</f>
        <v>0</v>
      </c>
    </row>
    <row r="100" spans="16:19">
      <c r="P100" s="11">
        <v>86</v>
      </c>
      <c r="Q100" s="11">
        <f t="shared" si="15"/>
        <v>14</v>
      </c>
      <c r="R100" s="11">
        <f t="shared" si="16"/>
        <v>2</v>
      </c>
      <c r="S100" s="12" cm="1">
        <f t="array" ref="S100">INDEX('Subject-ConceptMap-2'!$I$15:$N$123,Q100+1,R100)</f>
        <v>0</v>
      </c>
    </row>
    <row r="101" spans="16:19">
      <c r="P101" s="11">
        <v>87</v>
      </c>
      <c r="Q101" s="11">
        <f t="shared" si="15"/>
        <v>14</v>
      </c>
      <c r="R101" s="11">
        <f t="shared" si="16"/>
        <v>3</v>
      </c>
      <c r="S101" s="12" cm="1">
        <f t="array" ref="S101">INDEX('Subject-ConceptMap-2'!$I$15:$N$123,Q101+1,R101)</f>
        <v>0</v>
      </c>
    </row>
    <row r="102" spans="16:19">
      <c r="P102" s="11">
        <v>88</v>
      </c>
      <c r="Q102" s="11">
        <f t="shared" si="15"/>
        <v>14</v>
      </c>
      <c r="R102" s="11">
        <f t="shared" si="16"/>
        <v>4</v>
      </c>
      <c r="S102" s="12" cm="1">
        <f t="array" ref="S102">INDEX('Subject-ConceptMap-2'!$I$15:$N$123,Q102+1,R102)</f>
        <v>0</v>
      </c>
    </row>
    <row r="103" spans="16:19">
      <c r="P103" s="11">
        <v>89</v>
      </c>
      <c r="Q103" s="11">
        <f t="shared" si="15"/>
        <v>14</v>
      </c>
      <c r="R103" s="11">
        <f t="shared" si="16"/>
        <v>5</v>
      </c>
      <c r="S103" s="12" cm="1">
        <f t="array" ref="S103">INDEX('Subject-ConceptMap-2'!$I$15:$N$123,Q103+1,R103)</f>
        <v>0</v>
      </c>
    </row>
    <row r="104" spans="16:19">
      <c r="P104" s="11">
        <v>90</v>
      </c>
      <c r="Q104" s="11">
        <f t="shared" si="15"/>
        <v>14</v>
      </c>
      <c r="R104" s="11">
        <f t="shared" si="16"/>
        <v>6</v>
      </c>
      <c r="S104" s="12" cm="1">
        <f t="array" ref="S104">INDEX('Subject-ConceptMap-2'!$I$15:$N$123,Q104+1,R104)</f>
        <v>0</v>
      </c>
    </row>
    <row r="105" spans="16:19">
      <c r="P105" s="11">
        <v>91</v>
      </c>
      <c r="Q105" s="11">
        <f t="shared" si="15"/>
        <v>15</v>
      </c>
      <c r="R105" s="11">
        <f t="shared" si="16"/>
        <v>1</v>
      </c>
      <c r="S105" s="12" cm="1">
        <f t="array" ref="S105">INDEX('Subject-ConceptMap-2'!$I$15:$N$123,Q105+1,R105)</f>
        <v>0</v>
      </c>
    </row>
    <row r="106" spans="16:19">
      <c r="P106" s="11">
        <v>92</v>
      </c>
      <c r="Q106" s="11">
        <f t="shared" si="15"/>
        <v>15</v>
      </c>
      <c r="R106" s="11">
        <f t="shared" si="16"/>
        <v>2</v>
      </c>
      <c r="S106" s="12" cm="1">
        <f t="array" ref="S106">INDEX('Subject-ConceptMap-2'!$I$15:$N$123,Q106+1,R106)</f>
        <v>0</v>
      </c>
    </row>
    <row r="107" spans="16:19">
      <c r="P107" s="11">
        <v>93</v>
      </c>
      <c r="Q107" s="11">
        <f t="shared" si="15"/>
        <v>15</v>
      </c>
      <c r="R107" s="11">
        <f t="shared" si="16"/>
        <v>3</v>
      </c>
      <c r="S107" s="12" cm="1">
        <f t="array" ref="S107">INDEX('Subject-ConceptMap-2'!$I$15:$N$123,Q107+1,R107)</f>
        <v>0</v>
      </c>
    </row>
    <row r="108" spans="16:19">
      <c r="P108" s="11">
        <v>94</v>
      </c>
      <c r="Q108" s="11">
        <f t="shared" si="15"/>
        <v>15</v>
      </c>
      <c r="R108" s="11">
        <f t="shared" si="16"/>
        <v>4</v>
      </c>
      <c r="S108" s="12" cm="1">
        <f t="array" ref="S108">INDEX('Subject-ConceptMap-2'!$I$15:$N$123,Q108+1,R108)</f>
        <v>0</v>
      </c>
    </row>
    <row r="109" spans="16:19">
      <c r="P109" s="11">
        <v>95</v>
      </c>
      <c r="Q109" s="11">
        <f t="shared" si="15"/>
        <v>15</v>
      </c>
      <c r="R109" s="11">
        <f t="shared" si="16"/>
        <v>5</v>
      </c>
      <c r="S109" s="12" cm="1">
        <f t="array" ref="S109">INDEX('Subject-ConceptMap-2'!$I$15:$N$123,Q109+1,R109)</f>
        <v>0</v>
      </c>
    </row>
    <row r="110" spans="16:19">
      <c r="P110" s="11">
        <v>96</v>
      </c>
      <c r="Q110" s="11">
        <f t="shared" si="15"/>
        <v>15</v>
      </c>
      <c r="R110" s="11">
        <f t="shared" si="16"/>
        <v>6</v>
      </c>
      <c r="S110" s="12" cm="1">
        <f t="array" ref="S110">INDEX('Subject-ConceptMap-2'!$I$15:$N$123,Q110+1,R110)</f>
        <v>0</v>
      </c>
    </row>
    <row r="111" spans="16:19">
      <c r="P111" s="11">
        <v>97</v>
      </c>
      <c r="Q111" s="11">
        <f t="shared" si="15"/>
        <v>16</v>
      </c>
      <c r="R111" s="11">
        <f t="shared" si="16"/>
        <v>1</v>
      </c>
      <c r="S111" s="12" cm="1">
        <f t="array" ref="S111">INDEX('Subject-ConceptMap-2'!$I$15:$N$123,Q111+1,R111)</f>
        <v>0</v>
      </c>
    </row>
    <row r="112" spans="16:19">
      <c r="P112" s="11">
        <v>98</v>
      </c>
      <c r="Q112" s="11">
        <f t="shared" si="15"/>
        <v>16</v>
      </c>
      <c r="R112" s="11">
        <f t="shared" si="16"/>
        <v>2</v>
      </c>
      <c r="S112" s="12" cm="1">
        <f t="array" ref="S112">INDEX('Subject-ConceptMap-2'!$I$15:$N$123,Q112+1,R112)</f>
        <v>0</v>
      </c>
    </row>
    <row r="113" spans="16:19">
      <c r="P113" s="11">
        <v>99</v>
      </c>
      <c r="Q113" s="11">
        <f t="shared" si="15"/>
        <v>16</v>
      </c>
      <c r="R113" s="11">
        <f t="shared" si="16"/>
        <v>3</v>
      </c>
      <c r="S113" s="12" cm="1">
        <f t="array" ref="S113">INDEX('Subject-ConceptMap-2'!$I$15:$N$123,Q113+1,R113)</f>
        <v>0</v>
      </c>
    </row>
    <row r="114" spans="16:19">
      <c r="P114" s="11">
        <v>100</v>
      </c>
      <c r="Q114" s="11">
        <f t="shared" si="15"/>
        <v>16</v>
      </c>
      <c r="R114" s="11">
        <f t="shared" si="16"/>
        <v>4</v>
      </c>
      <c r="S114" s="12" cm="1">
        <f t="array" ref="S114">INDEX('Subject-ConceptMap-2'!$I$15:$N$123,Q114+1,R114)</f>
        <v>0</v>
      </c>
    </row>
    <row r="115" spans="16:19">
      <c r="P115" s="11">
        <v>101</v>
      </c>
      <c r="Q115" s="11">
        <f t="shared" si="15"/>
        <v>16</v>
      </c>
      <c r="R115" s="11">
        <f t="shared" si="16"/>
        <v>5</v>
      </c>
      <c r="S115" s="12" cm="1">
        <f t="array" ref="S115">INDEX('Subject-ConceptMap-2'!$I$15:$N$123,Q115+1,R115)</f>
        <v>0</v>
      </c>
    </row>
    <row r="116" spans="16:19">
      <c r="P116" s="11">
        <v>102</v>
      </c>
      <c r="Q116" s="11">
        <f t="shared" si="15"/>
        <v>16</v>
      </c>
      <c r="R116" s="11">
        <f t="shared" si="16"/>
        <v>6</v>
      </c>
      <c r="S116" s="12" cm="1">
        <f t="array" ref="S116">INDEX('Subject-ConceptMap-2'!$I$15:$N$123,Q116+1,R116)</f>
        <v>0</v>
      </c>
    </row>
    <row r="117" spans="16:19">
      <c r="P117" s="11">
        <v>103</v>
      </c>
      <c r="Q117" s="11">
        <f t="shared" si="15"/>
        <v>17</v>
      </c>
      <c r="R117" s="11">
        <f t="shared" si="16"/>
        <v>1</v>
      </c>
      <c r="S117" s="12" cm="1">
        <f t="array" ref="S117">INDEX('Subject-ConceptMap-2'!$I$15:$N$123,Q117+1,R117)</f>
        <v>0</v>
      </c>
    </row>
    <row r="118" spans="16:19">
      <c r="P118" s="11">
        <v>104</v>
      </c>
      <c r="Q118" s="11">
        <f t="shared" si="15"/>
        <v>17</v>
      </c>
      <c r="R118" s="11">
        <f t="shared" si="16"/>
        <v>2</v>
      </c>
      <c r="S118" s="12" cm="1">
        <f t="array" ref="S118">INDEX('Subject-ConceptMap-2'!$I$15:$N$123,Q118+1,R118)</f>
        <v>0</v>
      </c>
    </row>
    <row r="119" spans="16:19">
      <c r="P119" s="11">
        <v>105</v>
      </c>
      <c r="Q119" s="11">
        <f t="shared" si="15"/>
        <v>17</v>
      </c>
      <c r="R119" s="11">
        <f t="shared" si="16"/>
        <v>3</v>
      </c>
      <c r="S119" s="12" cm="1">
        <f t="array" ref="S119">INDEX('Subject-ConceptMap-2'!$I$15:$N$123,Q119+1,R119)</f>
        <v>0</v>
      </c>
    </row>
    <row r="120" spans="16:19">
      <c r="P120" s="11">
        <v>106</v>
      </c>
      <c r="Q120" s="11">
        <f t="shared" si="15"/>
        <v>17</v>
      </c>
      <c r="R120" s="11">
        <f t="shared" si="16"/>
        <v>4</v>
      </c>
      <c r="S120" s="12" cm="1">
        <f t="array" ref="S120">INDEX('Subject-ConceptMap-2'!$I$15:$N$123,Q120+1,R120)</f>
        <v>0</v>
      </c>
    </row>
    <row r="121" spans="16:19">
      <c r="P121" s="11">
        <v>107</v>
      </c>
      <c r="Q121" s="11">
        <f t="shared" si="15"/>
        <v>17</v>
      </c>
      <c r="R121" s="11">
        <f t="shared" si="16"/>
        <v>5</v>
      </c>
      <c r="S121" s="12" cm="1">
        <f t="array" ref="S121">INDEX('Subject-ConceptMap-2'!$I$15:$N$123,Q121+1,R121)</f>
        <v>0</v>
      </c>
    </row>
    <row r="122" spans="16:19">
      <c r="P122" s="11">
        <v>108</v>
      </c>
      <c r="Q122" s="11">
        <f t="shared" si="15"/>
        <v>17</v>
      </c>
      <c r="R122" s="11">
        <f t="shared" si="16"/>
        <v>6</v>
      </c>
      <c r="S122" s="12" cm="1">
        <f t="array" ref="S122">INDEX('Subject-ConceptMap-2'!$I$15:$N$123,Q122+1,R122)</f>
        <v>0</v>
      </c>
    </row>
    <row r="123" spans="16:19">
      <c r="P123" s="11">
        <v>109</v>
      </c>
      <c r="Q123" s="11">
        <f t="shared" si="15"/>
        <v>18</v>
      </c>
      <c r="R123" s="11">
        <f t="shared" si="16"/>
        <v>1</v>
      </c>
      <c r="S123" s="12" cm="1">
        <f t="array" ref="S123">INDEX('Subject-ConceptMap-2'!$I$15:$N$123,Q123+1,R123)</f>
        <v>0</v>
      </c>
    </row>
    <row r="124" spans="16:19">
      <c r="P124" s="11">
        <v>110</v>
      </c>
      <c r="Q124" s="11">
        <f t="shared" si="15"/>
        <v>18</v>
      </c>
      <c r="R124" s="11">
        <f t="shared" si="16"/>
        <v>2</v>
      </c>
      <c r="S124" s="12" cm="1">
        <f t="array" ref="S124">INDEX('Subject-ConceptMap-2'!$I$15:$N$123,Q124+1,R124)</f>
        <v>0</v>
      </c>
    </row>
    <row r="125" spans="16:19">
      <c r="P125" s="11">
        <v>111</v>
      </c>
      <c r="Q125" s="11">
        <f t="shared" si="15"/>
        <v>18</v>
      </c>
      <c r="R125" s="11">
        <f t="shared" si="16"/>
        <v>3</v>
      </c>
      <c r="S125" s="12" cm="1">
        <f t="array" ref="S125">INDEX('Subject-ConceptMap-2'!$I$15:$N$123,Q125+1,R125)</f>
        <v>0</v>
      </c>
    </row>
    <row r="126" spans="16:19">
      <c r="P126" s="11">
        <v>112</v>
      </c>
      <c r="Q126" s="11">
        <f t="shared" si="15"/>
        <v>18</v>
      </c>
      <c r="R126" s="11">
        <f t="shared" si="16"/>
        <v>4</v>
      </c>
      <c r="S126" s="12" cm="1">
        <f t="array" ref="S126">INDEX('Subject-ConceptMap-2'!$I$15:$N$123,Q126+1,R126)</f>
        <v>0</v>
      </c>
    </row>
    <row r="127" spans="16:19">
      <c r="P127" s="11">
        <v>113</v>
      </c>
      <c r="Q127" s="11">
        <f t="shared" si="15"/>
        <v>18</v>
      </c>
      <c r="R127" s="11">
        <f t="shared" si="16"/>
        <v>5</v>
      </c>
      <c r="S127" s="12" cm="1">
        <f t="array" ref="S127">INDEX('Subject-ConceptMap-2'!$I$15:$N$123,Q127+1,R127)</f>
        <v>0</v>
      </c>
    </row>
    <row r="128" spans="16:19">
      <c r="P128" s="11">
        <v>114</v>
      </c>
      <c r="Q128" s="11">
        <f t="shared" si="15"/>
        <v>18</v>
      </c>
      <c r="R128" s="11">
        <f t="shared" si="16"/>
        <v>6</v>
      </c>
      <c r="S128" s="12" cm="1">
        <f t="array" ref="S128">INDEX('Subject-ConceptMap-2'!$I$15:$N$123,Q128+1,R128)</f>
        <v>0</v>
      </c>
    </row>
    <row r="129" spans="16:19">
      <c r="P129" s="11">
        <v>115</v>
      </c>
      <c r="Q129" s="11">
        <f t="shared" si="15"/>
        <v>19</v>
      </c>
      <c r="R129" s="11">
        <f t="shared" si="16"/>
        <v>1</v>
      </c>
      <c r="S129" s="12" cm="1">
        <f t="array" ref="S129">INDEX('Subject-ConceptMap-2'!$I$15:$N$123,Q129+1,R129)</f>
        <v>0</v>
      </c>
    </row>
    <row r="130" spans="16:19">
      <c r="P130" s="11">
        <v>116</v>
      </c>
      <c r="Q130" s="11">
        <f t="shared" si="15"/>
        <v>19</v>
      </c>
      <c r="R130" s="11">
        <f t="shared" si="16"/>
        <v>2</v>
      </c>
      <c r="S130" s="12" cm="1">
        <f t="array" ref="S130">INDEX('Subject-ConceptMap-2'!$I$15:$N$123,Q130+1,R130)</f>
        <v>0</v>
      </c>
    </row>
    <row r="131" spans="16:19">
      <c r="P131" s="11">
        <v>117</v>
      </c>
      <c r="Q131" s="11">
        <f t="shared" si="15"/>
        <v>19</v>
      </c>
      <c r="R131" s="11">
        <f t="shared" si="16"/>
        <v>3</v>
      </c>
      <c r="S131" s="12" cm="1">
        <f t="array" ref="S131">INDEX('Subject-ConceptMap-2'!$I$15:$N$123,Q131+1,R131)</f>
        <v>0</v>
      </c>
    </row>
    <row r="132" spans="16:19">
      <c r="P132" s="11">
        <v>118</v>
      </c>
      <c r="Q132" s="11">
        <f t="shared" si="15"/>
        <v>19</v>
      </c>
      <c r="R132" s="11">
        <f t="shared" si="16"/>
        <v>4</v>
      </c>
      <c r="S132" s="12" cm="1">
        <f t="array" ref="S132">INDEX('Subject-ConceptMap-2'!$I$15:$N$123,Q132+1,R132)</f>
        <v>0</v>
      </c>
    </row>
    <row r="133" spans="16:19">
      <c r="P133" s="11">
        <v>119</v>
      </c>
      <c r="Q133" s="11">
        <f t="shared" si="15"/>
        <v>19</v>
      </c>
      <c r="R133" s="11">
        <f t="shared" si="16"/>
        <v>5</v>
      </c>
      <c r="S133" s="12" cm="1">
        <f t="array" ref="S133">INDEX('Subject-ConceptMap-2'!$I$15:$N$123,Q133+1,R133)</f>
        <v>0</v>
      </c>
    </row>
    <row r="134" spans="16:19">
      <c r="P134" s="11">
        <v>120</v>
      </c>
      <c r="Q134" s="11">
        <f t="shared" si="15"/>
        <v>19</v>
      </c>
      <c r="R134" s="11">
        <f t="shared" si="16"/>
        <v>6</v>
      </c>
      <c r="S134" s="12" cm="1">
        <f t="array" ref="S134">INDEX('Subject-ConceptMap-2'!$I$15:$N$123,Q134+1,R134)</f>
        <v>0</v>
      </c>
    </row>
    <row r="135" spans="16:19">
      <c r="P135" s="11">
        <v>121</v>
      </c>
      <c r="Q135" s="11">
        <f t="shared" si="15"/>
        <v>20</v>
      </c>
      <c r="R135" s="11">
        <f t="shared" si="16"/>
        <v>1</v>
      </c>
      <c r="S135" s="12" cm="1">
        <f t="array" ref="S135">INDEX('Subject-ConceptMap-2'!$I$15:$N$123,Q135+1,R135)</f>
        <v>0</v>
      </c>
    </row>
    <row r="136" spans="16:19">
      <c r="P136" s="11">
        <v>122</v>
      </c>
      <c r="Q136" s="11">
        <f t="shared" si="15"/>
        <v>20</v>
      </c>
      <c r="R136" s="11">
        <f t="shared" si="16"/>
        <v>2</v>
      </c>
      <c r="S136" s="12" cm="1">
        <f t="array" ref="S136">INDEX('Subject-ConceptMap-2'!$I$15:$N$123,Q136+1,R136)</f>
        <v>0</v>
      </c>
    </row>
    <row r="137" spans="16:19">
      <c r="P137" s="11">
        <v>123</v>
      </c>
      <c r="Q137" s="11">
        <f t="shared" si="15"/>
        <v>20</v>
      </c>
      <c r="R137" s="11">
        <f t="shared" si="16"/>
        <v>3</v>
      </c>
      <c r="S137" s="12" cm="1">
        <f t="array" ref="S137">INDEX('Subject-ConceptMap-2'!$I$15:$N$123,Q137+1,R137)</f>
        <v>0</v>
      </c>
    </row>
    <row r="138" spans="16:19">
      <c r="P138" s="11">
        <v>124</v>
      </c>
      <c r="Q138" s="11">
        <f t="shared" si="15"/>
        <v>20</v>
      </c>
      <c r="R138" s="11">
        <f t="shared" si="16"/>
        <v>4</v>
      </c>
      <c r="S138" s="12" cm="1">
        <f t="array" ref="S138">INDEX('Subject-ConceptMap-2'!$I$15:$N$123,Q138+1,R138)</f>
        <v>0</v>
      </c>
    </row>
    <row r="139" spans="16:19">
      <c r="P139" s="11">
        <v>125</v>
      </c>
      <c r="Q139" s="11">
        <f t="shared" si="15"/>
        <v>20</v>
      </c>
      <c r="R139" s="11">
        <f t="shared" si="16"/>
        <v>5</v>
      </c>
      <c r="S139" s="12" cm="1">
        <f t="array" ref="S139">INDEX('Subject-ConceptMap-2'!$I$15:$N$123,Q139+1,R139)</f>
        <v>0</v>
      </c>
    </row>
    <row r="140" spans="16:19">
      <c r="P140" s="11">
        <v>126</v>
      </c>
      <c r="Q140" s="11">
        <f t="shared" si="15"/>
        <v>20</v>
      </c>
      <c r="R140" s="11">
        <f t="shared" si="16"/>
        <v>6</v>
      </c>
      <c r="S140" s="12" cm="1">
        <f t="array" ref="S140">INDEX('Subject-ConceptMap-2'!$I$15:$N$123,Q140+1,R140)</f>
        <v>0</v>
      </c>
    </row>
    <row r="141" spans="16:19">
      <c r="P141" s="11">
        <v>127</v>
      </c>
      <c r="Q141" s="11">
        <f t="shared" si="15"/>
        <v>21</v>
      </c>
      <c r="R141" s="11">
        <f t="shared" si="16"/>
        <v>1</v>
      </c>
      <c r="S141" s="12" cm="1">
        <f t="array" ref="S141">INDEX('Subject-ConceptMap-2'!$I$15:$N$123,Q141+1,R141)</f>
        <v>0</v>
      </c>
    </row>
    <row r="142" spans="16:19">
      <c r="P142" s="11">
        <v>128</v>
      </c>
      <c r="Q142" s="11">
        <f t="shared" si="15"/>
        <v>21</v>
      </c>
      <c r="R142" s="11">
        <f t="shared" si="16"/>
        <v>2</v>
      </c>
      <c r="S142" s="12" cm="1">
        <f t="array" ref="S142">INDEX('Subject-ConceptMap-2'!$I$15:$N$123,Q142+1,R142)</f>
        <v>0</v>
      </c>
    </row>
    <row r="143" spans="16:19">
      <c r="P143" s="11">
        <v>129</v>
      </c>
      <c r="Q143" s="11">
        <f t="shared" si="15"/>
        <v>21</v>
      </c>
      <c r="R143" s="11">
        <f t="shared" si="16"/>
        <v>3</v>
      </c>
      <c r="S143" s="12" cm="1">
        <f t="array" ref="S143">INDEX('Subject-ConceptMap-2'!$I$15:$N$123,Q143+1,R143)</f>
        <v>0</v>
      </c>
    </row>
    <row r="144" spans="16:19">
      <c r="P144" s="11">
        <v>130</v>
      </c>
      <c r="Q144" s="11">
        <f t="shared" ref="Q144:Q161" si="17">IF(MOD(P144,$Q$8)=0,P144/$Q$8-1,INT(P144/$Q$8))</f>
        <v>21</v>
      </c>
      <c r="R144" s="11">
        <f t="shared" ref="R144:R161" si="18">IF(MOD(P144,$Q$8)=0,$Q$8,MOD(P144,$Q$8))</f>
        <v>4</v>
      </c>
      <c r="S144" s="12" cm="1">
        <f t="array" ref="S144">INDEX('Subject-ConceptMap-2'!$I$15:$N$123,Q144+1,R144)</f>
        <v>0</v>
      </c>
    </row>
    <row r="145" spans="16:19">
      <c r="P145" s="11">
        <v>131</v>
      </c>
      <c r="Q145" s="11">
        <f t="shared" si="17"/>
        <v>21</v>
      </c>
      <c r="R145" s="11">
        <f t="shared" si="18"/>
        <v>5</v>
      </c>
      <c r="S145" s="12" cm="1">
        <f t="array" ref="S145">INDEX('Subject-ConceptMap-2'!$I$15:$N$123,Q145+1,R145)</f>
        <v>0</v>
      </c>
    </row>
    <row r="146" spans="16:19">
      <c r="P146" s="11">
        <v>132</v>
      </c>
      <c r="Q146" s="11">
        <f t="shared" si="17"/>
        <v>21</v>
      </c>
      <c r="R146" s="11">
        <f t="shared" si="18"/>
        <v>6</v>
      </c>
      <c r="S146" s="12" cm="1">
        <f t="array" ref="S146">INDEX('Subject-ConceptMap-2'!$I$15:$N$123,Q146+1,R146)</f>
        <v>0</v>
      </c>
    </row>
    <row r="147" spans="16:19">
      <c r="P147" s="11">
        <v>133</v>
      </c>
      <c r="Q147" s="11">
        <f t="shared" si="17"/>
        <v>22</v>
      </c>
      <c r="R147" s="11">
        <f t="shared" si="18"/>
        <v>1</v>
      </c>
      <c r="S147" s="12" cm="1">
        <f t="array" ref="S147">INDEX('Subject-ConceptMap-2'!$I$15:$N$123,Q147+1,R147)</f>
        <v>0</v>
      </c>
    </row>
    <row r="148" spans="16:19">
      <c r="P148" s="11">
        <v>134</v>
      </c>
      <c r="Q148" s="11">
        <f t="shared" si="17"/>
        <v>22</v>
      </c>
      <c r="R148" s="11">
        <f t="shared" si="18"/>
        <v>2</v>
      </c>
      <c r="S148" s="12" cm="1">
        <f t="array" ref="S148">INDEX('Subject-ConceptMap-2'!$I$15:$N$123,Q148+1,R148)</f>
        <v>0</v>
      </c>
    </row>
    <row r="149" spans="16:19">
      <c r="P149" s="11">
        <v>135</v>
      </c>
      <c r="Q149" s="11">
        <f t="shared" si="17"/>
        <v>22</v>
      </c>
      <c r="R149" s="11">
        <f t="shared" si="18"/>
        <v>3</v>
      </c>
      <c r="S149" s="12" cm="1">
        <f t="array" ref="S149">INDEX('Subject-ConceptMap-2'!$I$15:$N$123,Q149+1,R149)</f>
        <v>0</v>
      </c>
    </row>
    <row r="150" spans="16:19">
      <c r="P150" s="11">
        <v>136</v>
      </c>
      <c r="Q150" s="11">
        <f t="shared" si="17"/>
        <v>22</v>
      </c>
      <c r="R150" s="11">
        <f t="shared" si="18"/>
        <v>4</v>
      </c>
      <c r="S150" s="12" cm="1">
        <f t="array" ref="S150">INDEX('Subject-ConceptMap-2'!$I$15:$N$123,Q150+1,R150)</f>
        <v>0</v>
      </c>
    </row>
    <row r="151" spans="16:19">
      <c r="P151" s="11">
        <v>137</v>
      </c>
      <c r="Q151" s="11">
        <f t="shared" si="17"/>
        <v>22</v>
      </c>
      <c r="R151" s="11">
        <f t="shared" si="18"/>
        <v>5</v>
      </c>
      <c r="S151" s="12" cm="1">
        <f t="array" ref="S151">INDEX('Subject-ConceptMap-2'!$I$15:$N$123,Q151+1,R151)</f>
        <v>0</v>
      </c>
    </row>
    <row r="152" spans="16:19">
      <c r="P152" s="11">
        <v>138</v>
      </c>
      <c r="Q152" s="11">
        <f t="shared" si="17"/>
        <v>22</v>
      </c>
      <c r="R152" s="11">
        <f t="shared" si="18"/>
        <v>6</v>
      </c>
      <c r="S152" s="12" cm="1">
        <f t="array" ref="S152">INDEX('Subject-ConceptMap-2'!$I$15:$N$123,Q152+1,R152)</f>
        <v>0</v>
      </c>
    </row>
    <row r="153" spans="16:19">
      <c r="P153" s="11">
        <v>139</v>
      </c>
      <c r="Q153" s="11">
        <f t="shared" si="17"/>
        <v>23</v>
      </c>
      <c r="R153" s="11">
        <f t="shared" si="18"/>
        <v>1</v>
      </c>
      <c r="S153" s="12" cm="1">
        <f t="array" ref="S153">INDEX('Subject-ConceptMap-2'!$I$15:$N$123,Q153+1,R153)</f>
        <v>0</v>
      </c>
    </row>
    <row r="154" spans="16:19">
      <c r="P154" s="11">
        <v>140</v>
      </c>
      <c r="Q154" s="11">
        <f t="shared" si="17"/>
        <v>23</v>
      </c>
      <c r="R154" s="11">
        <f t="shared" si="18"/>
        <v>2</v>
      </c>
      <c r="S154" s="12" cm="1">
        <f t="array" ref="S154">INDEX('Subject-ConceptMap-2'!$I$15:$N$123,Q154+1,R154)</f>
        <v>0</v>
      </c>
    </row>
    <row r="155" spans="16:19">
      <c r="P155" s="11">
        <v>141</v>
      </c>
      <c r="Q155" s="11">
        <f t="shared" si="17"/>
        <v>23</v>
      </c>
      <c r="R155" s="11">
        <f t="shared" si="18"/>
        <v>3</v>
      </c>
      <c r="S155" s="12" cm="1">
        <f t="array" ref="S155">INDEX('Subject-ConceptMap-2'!$I$15:$N$123,Q155+1,R155)</f>
        <v>0</v>
      </c>
    </row>
    <row r="156" spans="16:19">
      <c r="P156" s="11">
        <v>142</v>
      </c>
      <c r="Q156" s="11">
        <f t="shared" si="17"/>
        <v>23</v>
      </c>
      <c r="R156" s="11">
        <f t="shared" si="18"/>
        <v>4</v>
      </c>
      <c r="S156" s="12" cm="1">
        <f t="array" ref="S156">INDEX('Subject-ConceptMap-2'!$I$15:$N$123,Q156+1,R156)</f>
        <v>0</v>
      </c>
    </row>
    <row r="157" spans="16:19">
      <c r="P157" s="11">
        <v>143</v>
      </c>
      <c r="Q157" s="11">
        <f t="shared" si="17"/>
        <v>23</v>
      </c>
      <c r="R157" s="11">
        <f t="shared" si="18"/>
        <v>5</v>
      </c>
      <c r="S157" s="12" cm="1">
        <f t="array" ref="S157">INDEX('Subject-ConceptMap-2'!$I$15:$N$123,Q157+1,R157)</f>
        <v>0</v>
      </c>
    </row>
    <row r="158" spans="16:19">
      <c r="P158" s="11">
        <v>144</v>
      </c>
      <c r="Q158" s="11">
        <f t="shared" si="17"/>
        <v>23</v>
      </c>
      <c r="R158" s="11">
        <f t="shared" si="18"/>
        <v>6</v>
      </c>
      <c r="S158" s="12" cm="1">
        <f t="array" ref="S158">INDEX('Subject-ConceptMap-2'!$I$15:$N$123,Q158+1,R158)</f>
        <v>0</v>
      </c>
    </row>
    <row r="159" spans="16:19">
      <c r="P159" s="11">
        <v>145</v>
      </c>
      <c r="Q159" s="11">
        <f t="shared" si="17"/>
        <v>24</v>
      </c>
      <c r="R159" s="11">
        <f t="shared" si="18"/>
        <v>1</v>
      </c>
      <c r="S159" s="12" cm="1">
        <f t="array" ref="S159">INDEX('Subject-ConceptMap-2'!$I$15:$N$123,Q159+1,R159)</f>
        <v>0</v>
      </c>
    </row>
    <row r="160" spans="16:19">
      <c r="P160" s="11">
        <v>146</v>
      </c>
      <c r="Q160" s="11">
        <f t="shared" si="17"/>
        <v>24</v>
      </c>
      <c r="R160" s="11">
        <f t="shared" si="18"/>
        <v>2</v>
      </c>
      <c r="S160" s="12" cm="1">
        <f t="array" ref="S160">INDEX('Subject-ConceptMap-2'!$I$15:$N$123,Q160+1,R160)</f>
        <v>0</v>
      </c>
    </row>
    <row r="161" spans="16:19">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G6" zoomScale="78" workbookViewId="0">
      <selection activeCell="B16" sqref="B16:O16"/>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1781</v>
      </c>
    </row>
    <row r="2" spans="1:19" ht="15.5" thickBot="1"/>
    <row r="3" spans="1:19" ht="15.5" thickBot="1">
      <c r="B3" s="62" t="s">
        <v>17</v>
      </c>
      <c r="C3" s="28" t="s">
        <v>1837</v>
      </c>
      <c r="D3" s="62" t="s">
        <v>1769</v>
      </c>
      <c r="E3" s="117" t="str">
        <f>$C$1&amp;Subject!B5</f>
        <v>http://hl7.eu/fhir/ig/idea4rc/StructureDefinition/Subject</v>
      </c>
    </row>
    <row r="4" spans="1:19">
      <c r="B4" s="62" t="s">
        <v>16</v>
      </c>
      <c r="C4" s="28" t="s">
        <v>1836</v>
      </c>
      <c r="D4" s="62" t="s">
        <v>1770</v>
      </c>
      <c r="E4" s="117" t="s">
        <v>1799</v>
      </c>
    </row>
    <row r="5" spans="1:19">
      <c r="B5" s="62" t="s">
        <v>10</v>
      </c>
      <c r="C5" s="127" t="s">
        <v>1838</v>
      </c>
      <c r="D5" s="62"/>
      <c r="E5" s="7"/>
    </row>
    <row r="6" spans="1:19">
      <c r="B6" s="62" t="s">
        <v>18</v>
      </c>
      <c r="C6" s="128"/>
      <c r="D6" s="62" t="s">
        <v>1771</v>
      </c>
      <c r="E6" s="184" t="str">
        <f>E3</f>
        <v>http://hl7.eu/fhir/ig/idea4rc/StructureDefinition/Subject</v>
      </c>
      <c r="F6" s="185"/>
      <c r="G6" s="185"/>
    </row>
    <row r="7" spans="1:19">
      <c r="B7" s="62" t="s">
        <v>15</v>
      </c>
      <c r="C7" s="129"/>
      <c r="D7" s="62" t="s">
        <v>1772</v>
      </c>
      <c r="E7" s="184" t="s">
        <v>1850</v>
      </c>
      <c r="F7" s="185"/>
      <c r="G7" s="185"/>
    </row>
    <row r="8" spans="1:19" ht="44.25">
      <c r="B8" s="62" t="s">
        <v>1773</v>
      </c>
      <c r="C8" s="103" t="s">
        <v>1838</v>
      </c>
      <c r="D8" s="62"/>
      <c r="E8" s="7"/>
      <c r="I8" s="12" t="s">
        <v>1402</v>
      </c>
      <c r="J8" s="12" t="s">
        <v>1403</v>
      </c>
      <c r="K8" s="12" t="s">
        <v>1404</v>
      </c>
      <c r="L8" s="12" t="s">
        <v>1405</v>
      </c>
      <c r="M8" s="11" t="s">
        <v>1406</v>
      </c>
      <c r="P8" s="49" t="s">
        <v>1441</v>
      </c>
      <c r="Q8" s="49">
        <v>6</v>
      </c>
    </row>
    <row r="9" spans="1:19">
      <c r="B9" s="62" t="s">
        <v>1774</v>
      </c>
      <c r="C9" s="12" t="s">
        <v>1839</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1845</v>
      </c>
      <c r="E14" s="6"/>
      <c r="F14" s="64"/>
      <c r="G14" s="64"/>
      <c r="I14" s="12"/>
      <c r="J14" s="11"/>
      <c r="K14" s="11"/>
      <c r="L14" s="11"/>
      <c r="M14" s="63"/>
      <c r="N14" s="66"/>
    </row>
    <row r="15" spans="1:19" ht="73.75">
      <c r="A15" s="59"/>
      <c r="B15" s="11" t="str">
        <f>Subject!B15</f>
        <v>alcohol</v>
      </c>
      <c r="C15" s="11" t="str">
        <f>Subject!C15</f>
        <v>Alcohol</v>
      </c>
      <c r="D15" s="12" t="s">
        <v>1851</v>
      </c>
      <c r="E15" s="12"/>
      <c r="F15" s="64" t="s">
        <v>1429</v>
      </c>
      <c r="G15" s="123"/>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c r="A16" s="59"/>
      <c r="B16" s="11"/>
      <c r="C16" s="11"/>
      <c r="D16" s="12"/>
      <c r="E16" s="11"/>
      <c r="F16" s="64"/>
      <c r="G16" s="64"/>
      <c r="H16" s="58"/>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c r="A17" s="59"/>
      <c r="B17" s="11"/>
      <c r="C17" s="11"/>
      <c r="D17" s="12"/>
      <c r="E17" s="11"/>
      <c r="F17" s="64"/>
      <c r="G17" s="64"/>
      <c r="H17" s="58"/>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c r="A18" s="59"/>
      <c r="B18" s="11"/>
      <c r="C18" s="11"/>
      <c r="D18" s="12"/>
      <c r="E18" s="11"/>
      <c r="F18" s="64"/>
      <c r="G18" s="64"/>
      <c r="H18" s="58"/>
      <c r="I18" s="12"/>
      <c r="J18" s="12"/>
      <c r="K18" s="12"/>
      <c r="L18" s="12"/>
      <c r="M18" s="12"/>
      <c r="N18" s="12"/>
      <c r="P18" s="11">
        <v>4</v>
      </c>
      <c r="Q18" s="11">
        <f t="shared" si="5"/>
        <v>0</v>
      </c>
      <c r="R18" s="11">
        <f t="shared" si="6"/>
        <v>4</v>
      </c>
      <c r="S18" s="12" t="str" cm="1">
        <f t="array" ref="S18">INDEX('Subject-ConceptMap-3'!$I$15:$N$123,Q18+1,R18)</f>
        <v>* group[=].element[=].target.display = ##34###34#</v>
      </c>
    </row>
    <row r="19" spans="1:19">
      <c r="A19" s="59"/>
      <c r="B19" s="11"/>
      <c r="C19" s="11"/>
      <c r="D19" s="12"/>
      <c r="E19" s="11"/>
      <c r="F19" s="64"/>
      <c r="G19" s="64"/>
      <c r="H19" s="58"/>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c r="A20" s="59"/>
      <c r="B20" s="11"/>
      <c r="C20" s="11"/>
      <c r="D20" s="12"/>
      <c r="E20" s="11"/>
      <c r="F20" s="64"/>
      <c r="G20" s="64"/>
      <c r="H20" s="58"/>
      <c r="I20" s="12"/>
      <c r="J20" s="12"/>
      <c r="K20" s="12"/>
      <c r="L20" s="12"/>
      <c r="M20" s="12"/>
      <c r="N20" s="12"/>
      <c r="P20" s="11">
        <v>6</v>
      </c>
      <c r="Q20" s="11">
        <f t="shared" si="5"/>
        <v>0</v>
      </c>
      <c r="R20" s="11">
        <f t="shared" si="6"/>
        <v>6</v>
      </c>
      <c r="S20" s="12" t="str" cm="1">
        <f t="array" ref="S20">INDEX('Subject-ConceptMap-3'!$I$15:$N$123,Q20+1,R20)</f>
        <v/>
      </c>
    </row>
    <row r="21" spans="1:19">
      <c r="A21" s="59"/>
      <c r="B21" s="11"/>
      <c r="C21" s="11"/>
      <c r="D21" s="12"/>
      <c r="E21" s="11"/>
      <c r="F21" s="64"/>
      <c r="G21" s="64"/>
      <c r="H21" s="58"/>
      <c r="K21" s="58"/>
      <c r="L21" s="58"/>
      <c r="M21" s="66"/>
      <c r="N21" s="66"/>
      <c r="P21" s="11">
        <v>7</v>
      </c>
      <c r="Q21" s="11">
        <f t="shared" si="5"/>
        <v>1</v>
      </c>
      <c r="R21" s="11">
        <f t="shared" si="6"/>
        <v>1</v>
      </c>
      <c r="S21" s="12" cm="1">
        <f t="array" ref="S21">INDEX('Subject-ConceptMap-3'!$I$15:$N$123,Q21+1,R21)</f>
        <v>0</v>
      </c>
    </row>
    <row r="22" spans="1:19">
      <c r="A22" s="59"/>
      <c r="B22" s="11"/>
      <c r="C22" s="12"/>
      <c r="D22" s="12"/>
      <c r="E22" s="11"/>
      <c r="F22" s="64"/>
      <c r="G22" s="64"/>
      <c r="H22" s="58"/>
      <c r="K22" s="58"/>
      <c r="L22" s="58"/>
      <c r="M22" s="66"/>
      <c r="N22" s="66"/>
      <c r="P22" s="11">
        <v>8</v>
      </c>
      <c r="Q22" s="11">
        <f t="shared" si="5"/>
        <v>1</v>
      </c>
      <c r="R22" s="11">
        <f t="shared" si="6"/>
        <v>2</v>
      </c>
      <c r="S22" s="12" cm="1">
        <f t="array" ref="S22">INDEX('Subject-ConceptMap-3'!$I$15:$N$123,Q22+1,R22)</f>
        <v>0</v>
      </c>
    </row>
    <row r="23" spans="1:19" ht="29.5" customHeight="1">
      <c r="A23" s="59"/>
      <c r="B23" s="11"/>
      <c r="C23" s="12"/>
      <c r="D23" s="12"/>
      <c r="E23" s="11"/>
      <c r="F23" s="64"/>
      <c r="G23" s="64"/>
      <c r="H23" s="58"/>
      <c r="K23" s="58"/>
      <c r="L23" s="58"/>
      <c r="M23" s="66"/>
      <c r="N23" s="66"/>
      <c r="P23" s="11">
        <v>9</v>
      </c>
      <c r="Q23" s="11">
        <f t="shared" si="5"/>
        <v>1</v>
      </c>
      <c r="R23" s="11">
        <f t="shared" si="6"/>
        <v>3</v>
      </c>
      <c r="S23" s="12" cm="1">
        <f t="array" ref="S23">INDEX('Subject-ConceptMap-3'!$I$15:$N$123,Q23+1,R23)</f>
        <v>0</v>
      </c>
    </row>
    <row r="24" spans="1:19">
      <c r="A24" s="59"/>
      <c r="B24" s="11"/>
      <c r="C24" s="12"/>
      <c r="D24" s="12"/>
      <c r="E24" s="11"/>
      <c r="F24" s="64"/>
      <c r="G24" s="64"/>
      <c r="H24" s="58"/>
      <c r="K24" s="58"/>
      <c r="L24" s="58"/>
      <c r="M24" s="66"/>
      <c r="N24" s="66"/>
      <c r="P24" s="11">
        <v>10</v>
      </c>
      <c r="Q24" s="11">
        <f t="shared" si="5"/>
        <v>1</v>
      </c>
      <c r="R24" s="11">
        <f t="shared" si="6"/>
        <v>4</v>
      </c>
      <c r="S24" s="12" cm="1">
        <f t="array" ref="S24">INDEX('Subject-ConceptMap-3'!$I$15:$N$123,Q24+1,R24)</f>
        <v>0</v>
      </c>
    </row>
    <row r="25" spans="1:19">
      <c r="A25" s="59"/>
      <c r="B25" s="11"/>
      <c r="C25" s="12"/>
      <c r="D25" s="12"/>
      <c r="E25" s="12"/>
      <c r="F25" s="64"/>
      <c r="G25" s="64"/>
      <c r="H25" s="58"/>
      <c r="K25" s="58"/>
      <c r="L25" s="58"/>
      <c r="M25" s="66"/>
      <c r="N25" s="66"/>
      <c r="P25" s="11">
        <v>11</v>
      </c>
      <c r="Q25" s="11">
        <f t="shared" si="5"/>
        <v>1</v>
      </c>
      <c r="R25" s="11">
        <f t="shared" si="6"/>
        <v>5</v>
      </c>
      <c r="S25" s="12" cm="1">
        <f t="array" ref="S25">INDEX('Subject-ConceptMap-3'!$I$15:$N$123,Q25+1,R25)</f>
        <v>0</v>
      </c>
    </row>
    <row r="26" spans="1:19">
      <c r="A26" s="59"/>
      <c r="B26" s="11"/>
      <c r="C26" s="12"/>
      <c r="D26" s="12"/>
      <c r="E26" s="12"/>
      <c r="F26" s="64"/>
      <c r="G26" s="64"/>
      <c r="H26" s="58"/>
      <c r="K26" s="58"/>
      <c r="L26" s="58"/>
      <c r="M26" s="66"/>
      <c r="N26" s="66"/>
      <c r="P26" s="11">
        <v>12</v>
      </c>
      <c r="Q26" s="11">
        <f t="shared" si="5"/>
        <v>1</v>
      </c>
      <c r="R26" s="11">
        <f t="shared" si="6"/>
        <v>6</v>
      </c>
      <c r="S26" s="12" cm="1">
        <f t="array" ref="S26">INDEX('Subject-ConceptMap-3'!$I$15:$N$123,Q26+1,R26)</f>
        <v>0</v>
      </c>
    </row>
    <row r="27" spans="1:19">
      <c r="B27" s="11"/>
      <c r="C27" s="12"/>
      <c r="D27" s="12"/>
      <c r="E27" s="12"/>
      <c r="F27" s="64"/>
      <c r="G27" s="64"/>
      <c r="H27" s="58"/>
      <c r="K27" s="58"/>
      <c r="L27" s="58"/>
      <c r="M27" s="66"/>
      <c r="N27" s="66"/>
      <c r="P27" s="11">
        <v>13</v>
      </c>
      <c r="Q27" s="11">
        <f t="shared" si="5"/>
        <v>2</v>
      </c>
      <c r="R27" s="11">
        <f t="shared" si="6"/>
        <v>1</v>
      </c>
      <c r="S27" s="12" cm="1">
        <f t="array" ref="S27">INDEX('Subject-ConceptMap-3'!$I$15:$N$123,Q27+1,R27)</f>
        <v>0</v>
      </c>
    </row>
    <row r="28" spans="1:19">
      <c r="B28" s="11"/>
      <c r="C28" s="12"/>
      <c r="D28" s="12"/>
      <c r="E28" s="12"/>
      <c r="F28" s="64"/>
      <c r="G28" s="64"/>
      <c r="H28" s="58"/>
      <c r="K28" s="58"/>
      <c r="L28" s="58"/>
      <c r="M28" s="66"/>
      <c r="N28" s="66"/>
      <c r="P28" s="11">
        <v>14</v>
      </c>
      <c r="Q28" s="11">
        <f t="shared" si="5"/>
        <v>2</v>
      </c>
      <c r="R28" s="11">
        <f t="shared" si="6"/>
        <v>2</v>
      </c>
      <c r="S28" s="12" cm="1">
        <f t="array" ref="S28">INDEX('Subject-ConceptMap-3'!$I$15:$N$123,Q28+1,R28)</f>
        <v>0</v>
      </c>
    </row>
    <row r="29" spans="1:19">
      <c r="B29" s="11"/>
      <c r="C29" s="12"/>
      <c r="D29" s="12"/>
      <c r="E29" s="12"/>
      <c r="F29" s="64"/>
      <c r="G29" s="64"/>
      <c r="H29" s="58"/>
      <c r="K29" s="58"/>
      <c r="L29" s="58"/>
      <c r="M29" s="66"/>
      <c r="N29" s="66"/>
      <c r="P29" s="11">
        <v>15</v>
      </c>
      <c r="Q29" s="11">
        <f t="shared" si="5"/>
        <v>2</v>
      </c>
      <c r="R29" s="11">
        <f t="shared" si="6"/>
        <v>3</v>
      </c>
      <c r="S29" s="12" cm="1">
        <f t="array" ref="S29">INDEX('Subject-ConceptMap-3'!$I$15:$N$123,Q29+1,R29)</f>
        <v>0</v>
      </c>
    </row>
    <row r="30" spans="1:19">
      <c r="B30" s="11"/>
      <c r="C30" s="12"/>
      <c r="D30" s="12"/>
      <c r="E30" s="12"/>
      <c r="F30" s="64"/>
      <c r="G30" s="64"/>
      <c r="H30" s="58"/>
      <c r="K30" s="58"/>
      <c r="L30" s="58"/>
      <c r="M30" s="66"/>
      <c r="N30" s="66"/>
      <c r="P30" s="11">
        <v>16</v>
      </c>
      <c r="Q30" s="11">
        <f t="shared" si="5"/>
        <v>2</v>
      </c>
      <c r="R30" s="11">
        <f t="shared" si="6"/>
        <v>4</v>
      </c>
      <c r="S30" s="12" cm="1">
        <f t="array" ref="S30">INDEX('Subject-ConceptMap-3'!$I$15:$N$123,Q30+1,R30)</f>
        <v>0</v>
      </c>
    </row>
    <row r="31" spans="1:19">
      <c r="B31" s="11"/>
      <c r="C31" s="12"/>
      <c r="D31" s="12"/>
      <c r="E31" s="12"/>
      <c r="F31" s="64"/>
      <c r="G31" s="64"/>
      <c r="H31" s="58"/>
      <c r="K31" s="58"/>
      <c r="L31" s="58"/>
      <c r="M31" s="66"/>
      <c r="N31" s="66"/>
      <c r="P31" s="11">
        <v>17</v>
      </c>
      <c r="Q31" s="11">
        <f t="shared" si="5"/>
        <v>2</v>
      </c>
      <c r="R31" s="11">
        <f t="shared" si="6"/>
        <v>5</v>
      </c>
      <c r="S31" s="12" cm="1">
        <f t="array" ref="S31">INDEX('Subject-ConceptMap-3'!$I$15:$N$123,Q31+1,R31)</f>
        <v>0</v>
      </c>
    </row>
    <row r="32" spans="1:19">
      <c r="B32" s="11"/>
      <c r="C32" s="12"/>
      <c r="D32" s="12"/>
      <c r="E32" s="12"/>
      <c r="F32" s="64"/>
      <c r="G32" s="64"/>
      <c r="H32" s="58"/>
      <c r="K32" s="58"/>
      <c r="L32" s="58"/>
      <c r="M32" s="66"/>
      <c r="N32" s="66"/>
      <c r="P32" s="11">
        <v>18</v>
      </c>
      <c r="Q32" s="11">
        <f t="shared" si="5"/>
        <v>2</v>
      </c>
      <c r="R32" s="11">
        <f t="shared" si="6"/>
        <v>6</v>
      </c>
      <c r="S32" s="12" cm="1">
        <f t="array" ref="S32">INDEX('Subject-ConceptMap-3'!$I$15:$N$123,Q32+1,R32)</f>
        <v>0</v>
      </c>
    </row>
    <row r="33" spans="1:19">
      <c r="B33" s="11"/>
      <c r="C33" s="12"/>
      <c r="D33" s="12"/>
      <c r="E33" s="12"/>
      <c r="F33" s="64"/>
      <c r="G33" s="64"/>
      <c r="H33" s="58"/>
      <c r="K33" s="58"/>
      <c r="L33" s="58"/>
      <c r="M33" s="66"/>
      <c r="N33" s="66"/>
      <c r="P33" s="11">
        <v>19</v>
      </c>
      <c r="Q33" s="11">
        <f t="shared" si="5"/>
        <v>3</v>
      </c>
      <c r="R33" s="11">
        <f t="shared" si="6"/>
        <v>1</v>
      </c>
      <c r="S33" s="12" cm="1">
        <f t="array" ref="S33">INDEX('Subject-ConceptMap-3'!$I$15:$N$123,Q33+1,R33)</f>
        <v>0</v>
      </c>
    </row>
    <row r="34" spans="1:19">
      <c r="B34" s="11"/>
      <c r="C34" s="12"/>
      <c r="D34" s="12"/>
      <c r="E34" s="12"/>
      <c r="F34" s="64"/>
      <c r="G34" s="64"/>
      <c r="H34" s="58"/>
      <c r="K34" s="58"/>
      <c r="L34" s="58"/>
      <c r="M34" s="66"/>
      <c r="N34" s="66"/>
      <c r="P34" s="11">
        <v>20</v>
      </c>
      <c r="Q34" s="11">
        <f t="shared" si="5"/>
        <v>3</v>
      </c>
      <c r="R34" s="11">
        <f t="shared" si="6"/>
        <v>2</v>
      </c>
      <c r="S34" s="12" cm="1">
        <f t="array" ref="S34">INDEX('Subject-ConceptMap-3'!$I$15:$N$123,Q34+1,R34)</f>
        <v>0</v>
      </c>
    </row>
    <row r="35" spans="1:19">
      <c r="B35" s="11"/>
      <c r="C35" s="12"/>
      <c r="D35" s="12"/>
      <c r="E35" s="12"/>
      <c r="F35" s="64"/>
      <c r="G35" s="64"/>
      <c r="H35" s="58"/>
      <c r="K35" s="58"/>
      <c r="L35" s="58"/>
      <c r="M35" s="66"/>
      <c r="N35" s="66"/>
      <c r="P35" s="11">
        <v>21</v>
      </c>
      <c r="Q35" s="11">
        <f t="shared" si="5"/>
        <v>3</v>
      </c>
      <c r="R35" s="11">
        <f t="shared" si="6"/>
        <v>3</v>
      </c>
      <c r="S35" s="12" cm="1">
        <f t="array" ref="S35">INDEX('Subject-ConceptMap-3'!$I$15:$N$123,Q35+1,R35)</f>
        <v>0</v>
      </c>
    </row>
    <row r="36" spans="1:19">
      <c r="B36" s="11"/>
      <c r="C36" s="12"/>
      <c r="D36" s="12"/>
      <c r="E36" s="12"/>
      <c r="F36" s="64"/>
      <c r="G36" s="64"/>
      <c r="H36" s="58"/>
      <c r="K36" s="58"/>
      <c r="L36" s="58"/>
      <c r="M36" s="66"/>
      <c r="N36" s="66"/>
      <c r="P36" s="11">
        <v>22</v>
      </c>
      <c r="Q36" s="11">
        <f t="shared" si="5"/>
        <v>3</v>
      </c>
      <c r="R36" s="11">
        <f t="shared" si="6"/>
        <v>4</v>
      </c>
      <c r="S36" s="12" cm="1">
        <f t="array" ref="S36">INDEX('Subject-ConceptMap-3'!$I$15:$N$123,Q36+1,R36)</f>
        <v>0</v>
      </c>
    </row>
    <row r="37" spans="1:19">
      <c r="B37" s="11"/>
      <c r="C37" s="12"/>
      <c r="D37" s="12"/>
      <c r="E37" s="12"/>
      <c r="F37" s="64"/>
      <c r="G37" s="64"/>
      <c r="H37" s="58"/>
      <c r="K37" s="58"/>
      <c r="L37" s="58"/>
      <c r="M37" s="66"/>
      <c r="N37" s="66"/>
      <c r="P37" s="11">
        <v>23</v>
      </c>
      <c r="Q37" s="11">
        <f t="shared" si="5"/>
        <v>3</v>
      </c>
      <c r="R37" s="11">
        <f t="shared" si="6"/>
        <v>5</v>
      </c>
      <c r="S37" s="12" cm="1">
        <f t="array" ref="S37">INDEX('Subject-ConceptMap-3'!$I$15:$N$123,Q37+1,R37)</f>
        <v>0</v>
      </c>
    </row>
    <row r="38" spans="1:19">
      <c r="B38" s="11"/>
      <c r="C38" s="12"/>
      <c r="D38" s="12"/>
      <c r="E38" s="12"/>
      <c r="F38" s="64"/>
      <c r="G38" s="64"/>
      <c r="H38" s="58"/>
      <c r="K38" s="58"/>
      <c r="L38" s="58"/>
      <c r="M38" s="66"/>
      <c r="N38" s="66"/>
      <c r="P38" s="11">
        <v>24</v>
      </c>
      <c r="Q38" s="11">
        <f t="shared" si="5"/>
        <v>3</v>
      </c>
      <c r="R38" s="11">
        <f t="shared" si="6"/>
        <v>6</v>
      </c>
      <c r="S38" s="12" cm="1">
        <f t="array" ref="S38">INDEX('Subject-ConceptMap-3'!$I$15:$N$123,Q38+1,R38)</f>
        <v>0</v>
      </c>
    </row>
    <row r="39" spans="1:19" s="2" customFormat="1">
      <c r="A39"/>
      <c r="B39" s="11"/>
      <c r="C39" s="12"/>
      <c r="D39" s="12"/>
      <c r="E39" s="12"/>
      <c r="F39" s="64"/>
      <c r="G39" s="58"/>
      <c r="H39" s="58"/>
      <c r="J39"/>
      <c r="K39" s="58"/>
      <c r="L39" s="58"/>
      <c r="M39" s="66"/>
      <c r="N39" s="66"/>
      <c r="P39" s="11">
        <v>25</v>
      </c>
      <c r="Q39" s="11">
        <f t="shared" si="5"/>
        <v>4</v>
      </c>
      <c r="R39" s="11">
        <f t="shared" si="6"/>
        <v>1</v>
      </c>
      <c r="S39" s="12" cm="1">
        <f t="array" ref="S39">INDEX('Subject-ConceptMap-3'!$I$15:$N$123,Q39+1,R39)</f>
        <v>0</v>
      </c>
    </row>
    <row r="40" spans="1:19" s="2" customFormat="1">
      <c r="A40"/>
      <c r="B40" s="11"/>
      <c r="C40" s="12"/>
      <c r="D40" s="12"/>
      <c r="F40" s="64"/>
      <c r="G40" s="58"/>
      <c r="H40" s="58"/>
      <c r="J40"/>
      <c r="K40" s="58"/>
      <c r="L40" s="58"/>
      <c r="M40" s="66"/>
      <c r="N40" s="66"/>
      <c r="P40" s="11">
        <v>26</v>
      </c>
      <c r="Q40" s="11">
        <f t="shared" si="5"/>
        <v>4</v>
      </c>
      <c r="R40" s="11">
        <f t="shared" si="6"/>
        <v>2</v>
      </c>
      <c r="S40" s="12" cm="1">
        <f t="array" ref="S40">INDEX('Subject-ConceptMap-3'!$I$15:$N$123,Q40+1,R40)</f>
        <v>0</v>
      </c>
    </row>
    <row r="41" spans="1:19" s="2" customFormat="1">
      <c r="A41"/>
      <c r="B41" s="11"/>
      <c r="C41" s="12"/>
      <c r="D41" s="12"/>
      <c r="F41" s="64"/>
      <c r="G41" s="58"/>
      <c r="H41" s="58"/>
      <c r="J41"/>
      <c r="K41" s="58"/>
      <c r="L41" s="58"/>
      <c r="M41" s="66"/>
      <c r="N41" s="66"/>
      <c r="P41" s="11">
        <v>27</v>
      </c>
      <c r="Q41" s="11">
        <f t="shared" si="5"/>
        <v>4</v>
      </c>
      <c r="R41" s="11">
        <f t="shared" si="6"/>
        <v>3</v>
      </c>
      <c r="S41" s="12" cm="1">
        <f t="array" ref="S41">INDEX('Subject-ConceptMap-3'!$I$15:$N$123,Q41+1,R41)</f>
        <v>0</v>
      </c>
    </row>
    <row r="42" spans="1:19" s="2" customFormat="1">
      <c r="A42"/>
      <c r="B42" s="11"/>
      <c r="C42" s="12"/>
      <c r="D42" s="12"/>
      <c r="F42" s="64"/>
      <c r="G42" s="58"/>
      <c r="H42" s="58"/>
      <c r="J42" s="58"/>
      <c r="K42" s="58"/>
      <c r="L42" s="58"/>
      <c r="M42" s="66"/>
      <c r="N42" s="66"/>
      <c r="P42" s="11">
        <v>28</v>
      </c>
      <c r="Q42" s="11">
        <f t="shared" si="5"/>
        <v>4</v>
      </c>
      <c r="R42" s="11">
        <f t="shared" si="6"/>
        <v>4</v>
      </c>
      <c r="S42" s="12" cm="1">
        <f t="array" ref="S42">INDEX('Subject-ConceptMap-3'!$I$15:$N$123,Q42+1,R42)</f>
        <v>0</v>
      </c>
    </row>
    <row r="43" spans="1:19" s="2" customFormat="1">
      <c r="A43"/>
      <c r="B43" s="11"/>
      <c r="C43" s="12"/>
      <c r="F43" s="64"/>
      <c r="G43" s="58"/>
      <c r="H43" s="58"/>
      <c r="J43" s="58"/>
      <c r="K43" s="58"/>
      <c r="L43" s="58"/>
      <c r="M43" s="66"/>
      <c r="N43" s="66"/>
      <c r="P43" s="11">
        <v>29</v>
      </c>
      <c r="Q43" s="11">
        <f t="shared" si="5"/>
        <v>4</v>
      </c>
      <c r="R43" s="11">
        <f t="shared" si="6"/>
        <v>5</v>
      </c>
      <c r="S43" s="12" cm="1">
        <f t="array" ref="S43">INDEX('Subject-ConceptMap-3'!$I$15:$N$123,Q43+1,R43)</f>
        <v>0</v>
      </c>
    </row>
    <row r="44" spans="1:19">
      <c r="B44" s="11"/>
      <c r="C44" s="12"/>
      <c r="F44" s="64"/>
      <c r="P44" s="11">
        <v>30</v>
      </c>
      <c r="Q44" s="11">
        <f t="shared" si="5"/>
        <v>4</v>
      </c>
      <c r="R44" s="11">
        <f t="shared" si="6"/>
        <v>6</v>
      </c>
      <c r="S44" s="12" cm="1">
        <f t="array" ref="S44">INDEX('Subject-ConceptMap-3'!$I$15:$N$123,Q44+1,R44)</f>
        <v>0</v>
      </c>
    </row>
    <row r="45" spans="1:19">
      <c r="B45" s="11"/>
      <c r="C45" s="12"/>
      <c r="F45" s="64"/>
      <c r="P45" s="11">
        <v>31</v>
      </c>
      <c r="Q45" s="11">
        <f t="shared" si="5"/>
        <v>5</v>
      </c>
      <c r="R45" s="11">
        <f t="shared" si="6"/>
        <v>1</v>
      </c>
      <c r="S45" s="12" cm="1">
        <f t="array" ref="S45">INDEX('Subject-ConceptMap-3'!$I$15:$N$123,Q45+1,R45)</f>
        <v>0</v>
      </c>
    </row>
    <row r="46" spans="1:19">
      <c r="B46" s="11"/>
      <c r="C46" s="12"/>
      <c r="P46" s="11">
        <v>32</v>
      </c>
      <c r="Q46" s="11">
        <f t="shared" si="5"/>
        <v>5</v>
      </c>
      <c r="R46" s="11">
        <f t="shared" si="6"/>
        <v>2</v>
      </c>
      <c r="S46" s="12" cm="1">
        <f t="array" ref="S46">INDEX('Subject-ConceptMap-3'!$I$15:$N$123,Q46+1,R46)</f>
        <v>0</v>
      </c>
    </row>
    <row r="47" spans="1:19">
      <c r="B47" s="11"/>
      <c r="C47" s="12"/>
      <c r="P47" s="11">
        <v>33</v>
      </c>
      <c r="Q47" s="11">
        <f t="shared" si="5"/>
        <v>5</v>
      </c>
      <c r="R47" s="11">
        <f t="shared" si="6"/>
        <v>3</v>
      </c>
      <c r="S47" s="12" cm="1">
        <f t="array" ref="S47">INDEX('Subject-ConceptMap-3'!$I$15:$N$123,Q47+1,R47)</f>
        <v>0</v>
      </c>
    </row>
    <row r="48" spans="1:19">
      <c r="P48" s="11">
        <v>34</v>
      </c>
      <c r="Q48" s="11">
        <f t="shared" si="5"/>
        <v>5</v>
      </c>
      <c r="R48" s="11">
        <f t="shared" si="6"/>
        <v>4</v>
      </c>
      <c r="S48" s="12" cm="1">
        <f t="array" ref="S48">INDEX('Subject-ConceptMap-3'!$I$15:$N$123,Q48+1,R48)</f>
        <v>0</v>
      </c>
    </row>
    <row r="49" spans="16:19">
      <c r="P49" s="11">
        <v>35</v>
      </c>
      <c r="Q49" s="11">
        <f t="shared" si="5"/>
        <v>5</v>
      </c>
      <c r="R49" s="11">
        <f t="shared" si="6"/>
        <v>5</v>
      </c>
      <c r="S49" s="12" cm="1">
        <f t="array" ref="S49">INDEX('Subject-ConceptMap-3'!$I$15:$N$123,Q49+1,R49)</f>
        <v>0</v>
      </c>
    </row>
    <row r="50" spans="16:19">
      <c r="P50" s="11">
        <v>36</v>
      </c>
      <c r="Q50" s="11">
        <f t="shared" si="5"/>
        <v>5</v>
      </c>
      <c r="R50" s="11">
        <f t="shared" si="6"/>
        <v>6</v>
      </c>
      <c r="S50" s="12" cm="1">
        <f t="array" ref="S50">INDEX('Subject-ConceptMap-3'!$I$15:$N$123,Q50+1,R50)</f>
        <v>0</v>
      </c>
    </row>
    <row r="51" spans="16:19">
      <c r="P51" s="11">
        <v>37</v>
      </c>
      <c r="Q51" s="11">
        <f t="shared" si="5"/>
        <v>6</v>
      </c>
      <c r="R51" s="11">
        <f t="shared" si="6"/>
        <v>1</v>
      </c>
      <c r="S51" s="12" cm="1">
        <f t="array" ref="S51">INDEX('Subject-ConceptMap-3'!$I$15:$N$123,Q51+1,R51)</f>
        <v>0</v>
      </c>
    </row>
    <row r="52" spans="16:19">
      <c r="P52" s="11">
        <v>38</v>
      </c>
      <c r="Q52" s="11">
        <f t="shared" si="5"/>
        <v>6</v>
      </c>
      <c r="R52" s="11">
        <f t="shared" si="6"/>
        <v>2</v>
      </c>
      <c r="S52" s="12" cm="1">
        <f t="array" ref="S52">INDEX('Subject-ConceptMap-3'!$I$15:$N$123,Q52+1,R52)</f>
        <v>0</v>
      </c>
    </row>
    <row r="53" spans="16:19">
      <c r="P53" s="11">
        <v>39</v>
      </c>
      <c r="Q53" s="11">
        <f t="shared" si="5"/>
        <v>6</v>
      </c>
      <c r="R53" s="11">
        <f t="shared" si="6"/>
        <v>3</v>
      </c>
      <c r="S53" s="12" cm="1">
        <f t="array" ref="S53">INDEX('Subject-ConceptMap-3'!$I$15:$N$123,Q53+1,R53)</f>
        <v>0</v>
      </c>
    </row>
    <row r="54" spans="16:19">
      <c r="P54" s="11">
        <v>40</v>
      </c>
      <c r="Q54" s="11">
        <f t="shared" si="5"/>
        <v>6</v>
      </c>
      <c r="R54" s="11">
        <f t="shared" si="6"/>
        <v>4</v>
      </c>
      <c r="S54" s="12" cm="1">
        <f t="array" ref="S54">INDEX('Subject-ConceptMap-3'!$I$15:$N$123,Q54+1,R54)</f>
        <v>0</v>
      </c>
    </row>
    <row r="55" spans="16:19">
      <c r="P55" s="11">
        <v>41</v>
      </c>
      <c r="Q55" s="11">
        <f t="shared" si="5"/>
        <v>6</v>
      </c>
      <c r="R55" s="11">
        <f t="shared" si="6"/>
        <v>5</v>
      </c>
      <c r="S55" s="12" cm="1">
        <f t="array" ref="S55">INDEX('Subject-ConceptMap-3'!$I$15:$N$123,Q55+1,R55)</f>
        <v>0</v>
      </c>
    </row>
    <row r="56" spans="16:19">
      <c r="P56" s="11">
        <v>42</v>
      </c>
      <c r="Q56" s="11">
        <f t="shared" si="5"/>
        <v>6</v>
      </c>
      <c r="R56" s="11">
        <f t="shared" si="6"/>
        <v>6</v>
      </c>
      <c r="S56" s="12" cm="1">
        <f t="array" ref="S56">INDEX('Subject-ConceptMap-3'!$I$15:$N$123,Q56+1,R56)</f>
        <v>0</v>
      </c>
    </row>
    <row r="57" spans="16:19">
      <c r="P57" s="11">
        <v>43</v>
      </c>
      <c r="Q57" s="11">
        <f t="shared" si="5"/>
        <v>7</v>
      </c>
      <c r="R57" s="11">
        <f t="shared" si="6"/>
        <v>1</v>
      </c>
      <c r="S57" s="12" cm="1">
        <f t="array" ref="S57">INDEX('Subject-ConceptMap-3'!$I$15:$N$123,Q57+1,R57)</f>
        <v>0</v>
      </c>
    </row>
    <row r="58" spans="16:19">
      <c r="P58" s="11">
        <v>44</v>
      </c>
      <c r="Q58" s="11">
        <f t="shared" si="5"/>
        <v>7</v>
      </c>
      <c r="R58" s="11">
        <f t="shared" si="6"/>
        <v>2</v>
      </c>
      <c r="S58" s="12" cm="1">
        <f t="array" ref="S58">INDEX('Subject-ConceptMap-3'!$I$15:$N$123,Q58+1,R58)</f>
        <v>0</v>
      </c>
    </row>
    <row r="59" spans="16:19">
      <c r="P59" s="11">
        <v>45</v>
      </c>
      <c r="Q59" s="11">
        <f t="shared" si="5"/>
        <v>7</v>
      </c>
      <c r="R59" s="11">
        <f t="shared" si="6"/>
        <v>3</v>
      </c>
      <c r="S59" s="12" cm="1">
        <f t="array" ref="S59">INDEX('Subject-ConceptMap-3'!$I$15:$N$123,Q59+1,R59)</f>
        <v>0</v>
      </c>
    </row>
    <row r="60" spans="16:19">
      <c r="P60" s="11">
        <v>46</v>
      </c>
      <c r="Q60" s="11">
        <f t="shared" si="5"/>
        <v>7</v>
      </c>
      <c r="R60" s="11">
        <f t="shared" si="6"/>
        <v>4</v>
      </c>
      <c r="S60" s="12" cm="1">
        <f t="array" ref="S60">INDEX('Subject-ConceptMap-3'!$I$15:$N$123,Q60+1,R60)</f>
        <v>0</v>
      </c>
    </row>
    <row r="61" spans="16:19">
      <c r="P61" s="11">
        <v>47</v>
      </c>
      <c r="Q61" s="11">
        <f t="shared" si="5"/>
        <v>7</v>
      </c>
      <c r="R61" s="11">
        <f t="shared" si="6"/>
        <v>5</v>
      </c>
      <c r="S61" s="12" cm="1">
        <f t="array" ref="S61">INDEX('Subject-ConceptMap-3'!$I$15:$N$123,Q61+1,R61)</f>
        <v>0</v>
      </c>
    </row>
    <row r="62" spans="16:19">
      <c r="P62" s="11">
        <v>48</v>
      </c>
      <c r="Q62" s="11">
        <f t="shared" si="5"/>
        <v>7</v>
      </c>
      <c r="R62" s="11">
        <f t="shared" si="6"/>
        <v>6</v>
      </c>
      <c r="S62" s="12" cm="1">
        <f t="array" ref="S62">INDEX('Subject-ConceptMap-3'!$I$15:$N$123,Q62+1,R62)</f>
        <v>0</v>
      </c>
    </row>
    <row r="63" spans="16:19">
      <c r="P63" s="11">
        <v>49</v>
      </c>
      <c r="Q63" s="11">
        <f t="shared" si="5"/>
        <v>8</v>
      </c>
      <c r="R63" s="11">
        <f t="shared" si="6"/>
        <v>1</v>
      </c>
      <c r="S63" s="12" cm="1">
        <f t="array" ref="S63">INDEX('Subject-ConceptMap-3'!$I$15:$N$123,Q63+1,R63)</f>
        <v>0</v>
      </c>
    </row>
    <row r="64" spans="16:19">
      <c r="P64" s="11">
        <v>50</v>
      </c>
      <c r="Q64" s="11">
        <f t="shared" si="5"/>
        <v>8</v>
      </c>
      <c r="R64" s="11">
        <f t="shared" si="6"/>
        <v>2</v>
      </c>
      <c r="S64" s="12" cm="1">
        <f t="array" ref="S64">INDEX('Subject-ConceptMap-3'!$I$15:$N$123,Q64+1,R64)</f>
        <v>0</v>
      </c>
    </row>
    <row r="65" spans="16:19">
      <c r="P65" s="11">
        <v>51</v>
      </c>
      <c r="Q65" s="11">
        <f t="shared" si="5"/>
        <v>8</v>
      </c>
      <c r="R65" s="11">
        <f t="shared" si="6"/>
        <v>3</v>
      </c>
      <c r="S65" s="12" cm="1">
        <f t="array" ref="S65">INDEX('Subject-ConceptMap-3'!$I$15:$N$123,Q65+1,R65)</f>
        <v>0</v>
      </c>
    </row>
    <row r="66" spans="16:19">
      <c r="P66" s="11">
        <v>52</v>
      </c>
      <c r="Q66" s="11">
        <f t="shared" si="5"/>
        <v>8</v>
      </c>
      <c r="R66" s="11">
        <f t="shared" si="6"/>
        <v>4</v>
      </c>
      <c r="S66" s="12" cm="1">
        <f t="array" ref="S66">INDEX('Subject-ConceptMap-3'!$I$15:$N$123,Q66+1,R66)</f>
        <v>0</v>
      </c>
    </row>
    <row r="67" spans="16:19">
      <c r="P67" s="11">
        <v>53</v>
      </c>
      <c r="Q67" s="11">
        <f t="shared" si="5"/>
        <v>8</v>
      </c>
      <c r="R67" s="11">
        <f t="shared" si="6"/>
        <v>5</v>
      </c>
      <c r="S67" s="12" cm="1">
        <f t="array" ref="S67">INDEX('Subject-ConceptMap-3'!$I$15:$N$123,Q67+1,R67)</f>
        <v>0</v>
      </c>
    </row>
    <row r="68" spans="16:19">
      <c r="P68" s="11">
        <v>54</v>
      </c>
      <c r="Q68" s="11">
        <f t="shared" si="5"/>
        <v>8</v>
      </c>
      <c r="R68" s="11">
        <f t="shared" si="6"/>
        <v>6</v>
      </c>
      <c r="S68" s="12" cm="1">
        <f t="array" ref="S68">INDEX('Subject-ConceptMap-3'!$I$15:$N$123,Q68+1,R68)</f>
        <v>0</v>
      </c>
    </row>
    <row r="69" spans="16:19">
      <c r="P69" s="11">
        <v>55</v>
      </c>
      <c r="Q69" s="11">
        <f t="shared" si="5"/>
        <v>9</v>
      </c>
      <c r="R69" s="11">
        <f t="shared" si="6"/>
        <v>1</v>
      </c>
      <c r="S69" s="12" cm="1">
        <f t="array" ref="S69">INDEX('Subject-ConceptMap-3'!$I$15:$N$123,Q69+1,R69)</f>
        <v>0</v>
      </c>
    </row>
    <row r="70" spans="16:19">
      <c r="P70" s="11">
        <v>56</v>
      </c>
      <c r="Q70" s="11">
        <f t="shared" si="5"/>
        <v>9</v>
      </c>
      <c r="R70" s="11">
        <f t="shared" si="6"/>
        <v>2</v>
      </c>
      <c r="S70" s="12" cm="1">
        <f t="array" ref="S70">INDEX('Subject-ConceptMap-3'!$I$15:$N$123,Q70+1,R70)</f>
        <v>0</v>
      </c>
    </row>
    <row r="71" spans="16:19">
      <c r="P71" s="11">
        <v>57</v>
      </c>
      <c r="Q71" s="11">
        <f t="shared" si="5"/>
        <v>9</v>
      </c>
      <c r="R71" s="11">
        <f t="shared" si="6"/>
        <v>3</v>
      </c>
      <c r="S71" s="12" cm="1">
        <f t="array" ref="S71">INDEX('Subject-ConceptMap-3'!$I$15:$N$123,Q71+1,R71)</f>
        <v>0</v>
      </c>
    </row>
    <row r="72" spans="16:19">
      <c r="P72" s="11">
        <v>58</v>
      </c>
      <c r="Q72" s="11">
        <f t="shared" si="5"/>
        <v>9</v>
      </c>
      <c r="R72" s="11">
        <f t="shared" si="6"/>
        <v>4</v>
      </c>
      <c r="S72" s="12" cm="1">
        <f t="array" ref="S72">INDEX('Subject-ConceptMap-3'!$I$15:$N$123,Q72+1,R72)</f>
        <v>0</v>
      </c>
    </row>
    <row r="73" spans="16:19">
      <c r="P73" s="11">
        <v>59</v>
      </c>
      <c r="Q73" s="11">
        <f t="shared" si="5"/>
        <v>9</v>
      </c>
      <c r="R73" s="11">
        <f t="shared" si="6"/>
        <v>5</v>
      </c>
      <c r="S73" s="12" cm="1">
        <f t="array" ref="S73">INDEX('Subject-ConceptMap-3'!$I$15:$N$123,Q73+1,R73)</f>
        <v>0</v>
      </c>
    </row>
    <row r="74" spans="16:19">
      <c r="P74" s="11">
        <v>60</v>
      </c>
      <c r="Q74" s="11">
        <f t="shared" si="5"/>
        <v>9</v>
      </c>
      <c r="R74" s="11">
        <f t="shared" si="6"/>
        <v>6</v>
      </c>
      <c r="S74" s="12" cm="1">
        <f t="array" ref="S74">INDEX('Subject-ConceptMap-3'!$I$15:$N$123,Q74+1,R74)</f>
        <v>0</v>
      </c>
    </row>
    <row r="75" spans="16:19">
      <c r="P75" s="11">
        <v>61</v>
      </c>
      <c r="Q75" s="11">
        <f t="shared" si="5"/>
        <v>10</v>
      </c>
      <c r="R75" s="11">
        <f t="shared" si="6"/>
        <v>1</v>
      </c>
      <c r="S75" s="12" cm="1">
        <f t="array" ref="S75">INDEX('Subject-ConceptMap-3'!$I$15:$N$123,Q75+1,R75)</f>
        <v>0</v>
      </c>
    </row>
    <row r="76" spans="16:19">
      <c r="P76" s="11">
        <v>62</v>
      </c>
      <c r="Q76" s="11">
        <f t="shared" si="5"/>
        <v>10</v>
      </c>
      <c r="R76" s="11">
        <f t="shared" si="6"/>
        <v>2</v>
      </c>
      <c r="S76" s="12" cm="1">
        <f t="array" ref="S76">INDEX('Subject-ConceptMap-3'!$I$15:$N$123,Q76+1,R76)</f>
        <v>0</v>
      </c>
    </row>
    <row r="77" spans="16:19">
      <c r="P77" s="11">
        <v>63</v>
      </c>
      <c r="Q77" s="11">
        <f t="shared" si="5"/>
        <v>10</v>
      </c>
      <c r="R77" s="11">
        <f t="shared" si="6"/>
        <v>3</v>
      </c>
      <c r="S77" s="12" cm="1">
        <f t="array" ref="S77">INDEX('Subject-ConceptMap-3'!$I$15:$N$123,Q77+1,R77)</f>
        <v>0</v>
      </c>
    </row>
    <row r="78" spans="16:19">
      <c r="P78" s="11">
        <v>64</v>
      </c>
      <c r="Q78" s="11">
        <f t="shared" si="5"/>
        <v>10</v>
      </c>
      <c r="R78" s="11">
        <f t="shared" si="6"/>
        <v>4</v>
      </c>
      <c r="S78" s="12" cm="1">
        <f t="array" ref="S78">INDEX('Subject-ConceptMap-3'!$I$15:$N$123,Q78+1,R78)</f>
        <v>0</v>
      </c>
    </row>
    <row r="79" spans="16:19">
      <c r="P79" s="11">
        <v>65</v>
      </c>
      <c r="Q79" s="11">
        <f t="shared" ref="Q79:Q142" si="7">IF(MOD(P79,$Q$8)=0,P79/$Q$8-1,INT(P79/$Q$8))</f>
        <v>10</v>
      </c>
      <c r="R79" s="11">
        <f t="shared" ref="R79:R142" si="8">IF(MOD(P79,$Q$8)=0,$Q$8,MOD(P79,$Q$8))</f>
        <v>5</v>
      </c>
      <c r="S79" s="12" cm="1">
        <f t="array" ref="S79">INDEX('Subject-ConceptMap-3'!$I$15:$N$123,Q79+1,R79)</f>
        <v>0</v>
      </c>
    </row>
    <row r="80" spans="16:19">
      <c r="P80" s="11">
        <v>66</v>
      </c>
      <c r="Q80" s="11">
        <f t="shared" si="7"/>
        <v>10</v>
      </c>
      <c r="R80" s="11">
        <f t="shared" si="8"/>
        <v>6</v>
      </c>
      <c r="S80" s="12" cm="1">
        <f t="array" ref="S80">INDEX('Subject-ConceptMap-3'!$I$15:$N$123,Q80+1,R80)</f>
        <v>0</v>
      </c>
    </row>
    <row r="81" spans="16:19">
      <c r="P81" s="11">
        <v>67</v>
      </c>
      <c r="Q81" s="11">
        <f t="shared" si="7"/>
        <v>11</v>
      </c>
      <c r="R81" s="11">
        <f t="shared" si="8"/>
        <v>1</v>
      </c>
      <c r="S81" s="12" cm="1">
        <f t="array" ref="S81">INDEX('Subject-ConceptMap-3'!$I$15:$N$123,Q81+1,R81)</f>
        <v>0</v>
      </c>
    </row>
    <row r="82" spans="16:19">
      <c r="P82" s="11">
        <v>68</v>
      </c>
      <c r="Q82" s="11">
        <f t="shared" si="7"/>
        <v>11</v>
      </c>
      <c r="R82" s="11">
        <f t="shared" si="8"/>
        <v>2</v>
      </c>
      <c r="S82" s="12" cm="1">
        <f t="array" ref="S82">INDEX('Subject-ConceptMap-3'!$I$15:$N$123,Q82+1,R82)</f>
        <v>0</v>
      </c>
    </row>
    <row r="83" spans="16:19">
      <c r="P83" s="11">
        <v>69</v>
      </c>
      <c r="Q83" s="11">
        <f t="shared" si="7"/>
        <v>11</v>
      </c>
      <c r="R83" s="11">
        <f t="shared" si="8"/>
        <v>3</v>
      </c>
      <c r="S83" s="12" cm="1">
        <f t="array" ref="S83">INDEX('Subject-ConceptMap-3'!$I$15:$N$123,Q83+1,R83)</f>
        <v>0</v>
      </c>
    </row>
    <row r="84" spans="16:19">
      <c r="P84" s="11">
        <v>70</v>
      </c>
      <c r="Q84" s="11">
        <f t="shared" si="7"/>
        <v>11</v>
      </c>
      <c r="R84" s="11">
        <f t="shared" si="8"/>
        <v>4</v>
      </c>
      <c r="S84" s="12" cm="1">
        <f t="array" ref="S84">INDEX('Subject-ConceptMap-3'!$I$15:$N$123,Q84+1,R84)</f>
        <v>0</v>
      </c>
    </row>
    <row r="85" spans="16:19">
      <c r="P85" s="11">
        <v>71</v>
      </c>
      <c r="Q85" s="11">
        <f t="shared" si="7"/>
        <v>11</v>
      </c>
      <c r="R85" s="11">
        <f t="shared" si="8"/>
        <v>5</v>
      </c>
      <c r="S85" s="12" cm="1">
        <f t="array" ref="S85">INDEX('Subject-ConceptMap-3'!$I$15:$N$123,Q85+1,R85)</f>
        <v>0</v>
      </c>
    </row>
    <row r="86" spans="16:19">
      <c r="P86" s="11">
        <v>72</v>
      </c>
      <c r="Q86" s="11">
        <f t="shared" si="7"/>
        <v>11</v>
      </c>
      <c r="R86" s="11">
        <f t="shared" si="8"/>
        <v>6</v>
      </c>
      <c r="S86" s="12" cm="1">
        <f t="array" ref="S86">INDEX('Subject-ConceptMap-3'!$I$15:$N$123,Q86+1,R86)</f>
        <v>0</v>
      </c>
    </row>
    <row r="87" spans="16:19">
      <c r="P87" s="11">
        <v>73</v>
      </c>
      <c r="Q87" s="11">
        <f t="shared" si="7"/>
        <v>12</v>
      </c>
      <c r="R87" s="11">
        <f t="shared" si="8"/>
        <v>1</v>
      </c>
      <c r="S87" s="12" cm="1">
        <f t="array" ref="S87">INDEX('Subject-ConceptMap-3'!$I$15:$N$123,Q87+1,R87)</f>
        <v>0</v>
      </c>
    </row>
    <row r="88" spans="16:19">
      <c r="P88" s="11">
        <v>74</v>
      </c>
      <c r="Q88" s="11">
        <f t="shared" si="7"/>
        <v>12</v>
      </c>
      <c r="R88" s="11">
        <f t="shared" si="8"/>
        <v>2</v>
      </c>
      <c r="S88" s="12" cm="1">
        <f t="array" ref="S88">INDEX('Subject-ConceptMap-3'!$I$15:$N$123,Q88+1,R88)</f>
        <v>0</v>
      </c>
    </row>
    <row r="89" spans="16:19">
      <c r="P89" s="11">
        <v>75</v>
      </c>
      <c r="Q89" s="11">
        <f t="shared" si="7"/>
        <v>12</v>
      </c>
      <c r="R89" s="11">
        <f t="shared" si="8"/>
        <v>3</v>
      </c>
      <c r="S89" s="12" cm="1">
        <f t="array" ref="S89">INDEX('Subject-ConceptMap-3'!$I$15:$N$123,Q89+1,R89)</f>
        <v>0</v>
      </c>
    </row>
    <row r="90" spans="16:19">
      <c r="P90" s="11">
        <v>76</v>
      </c>
      <c r="Q90" s="11">
        <f t="shared" si="7"/>
        <v>12</v>
      </c>
      <c r="R90" s="11">
        <f t="shared" si="8"/>
        <v>4</v>
      </c>
      <c r="S90" s="12" cm="1">
        <f t="array" ref="S90">INDEX('Subject-ConceptMap-3'!$I$15:$N$123,Q90+1,R90)</f>
        <v>0</v>
      </c>
    </row>
    <row r="91" spans="16:19">
      <c r="P91" s="11">
        <v>77</v>
      </c>
      <c r="Q91" s="11">
        <f t="shared" si="7"/>
        <v>12</v>
      </c>
      <c r="R91" s="11">
        <f t="shared" si="8"/>
        <v>5</v>
      </c>
      <c r="S91" s="12" cm="1">
        <f t="array" ref="S91">INDEX('Subject-ConceptMap-3'!$I$15:$N$123,Q91+1,R91)</f>
        <v>0</v>
      </c>
    </row>
    <row r="92" spans="16:19">
      <c r="P92" s="11">
        <v>78</v>
      </c>
      <c r="Q92" s="11">
        <f t="shared" si="7"/>
        <v>12</v>
      </c>
      <c r="R92" s="11">
        <f t="shared" si="8"/>
        <v>6</v>
      </c>
      <c r="S92" s="12" cm="1">
        <f t="array" ref="S92">INDEX('Subject-ConceptMap-3'!$I$15:$N$123,Q92+1,R92)</f>
        <v>0</v>
      </c>
    </row>
    <row r="93" spans="16:19">
      <c r="P93" s="11">
        <v>79</v>
      </c>
      <c r="Q93" s="11">
        <f t="shared" si="7"/>
        <v>13</v>
      </c>
      <c r="R93" s="11">
        <f t="shared" si="8"/>
        <v>1</v>
      </c>
      <c r="S93" s="12" cm="1">
        <f t="array" ref="S93">INDEX('Subject-ConceptMap-3'!$I$15:$N$123,Q93+1,R93)</f>
        <v>0</v>
      </c>
    </row>
    <row r="94" spans="16:19">
      <c r="P94" s="11">
        <v>80</v>
      </c>
      <c r="Q94" s="11">
        <f t="shared" si="7"/>
        <v>13</v>
      </c>
      <c r="R94" s="11">
        <f t="shared" si="8"/>
        <v>2</v>
      </c>
      <c r="S94" s="12" cm="1">
        <f t="array" ref="S94">INDEX('Subject-ConceptMap-3'!$I$15:$N$123,Q94+1,R94)</f>
        <v>0</v>
      </c>
    </row>
    <row r="95" spans="16:19">
      <c r="P95" s="11">
        <v>81</v>
      </c>
      <c r="Q95" s="11">
        <f t="shared" si="7"/>
        <v>13</v>
      </c>
      <c r="R95" s="11">
        <f t="shared" si="8"/>
        <v>3</v>
      </c>
      <c r="S95" s="12" cm="1">
        <f t="array" ref="S95">INDEX('Subject-ConceptMap-3'!$I$15:$N$123,Q95+1,R95)</f>
        <v>0</v>
      </c>
    </row>
    <row r="96" spans="16:19">
      <c r="P96" s="11">
        <v>82</v>
      </c>
      <c r="Q96" s="11">
        <f t="shared" si="7"/>
        <v>13</v>
      </c>
      <c r="R96" s="11">
        <f t="shared" si="8"/>
        <v>4</v>
      </c>
      <c r="S96" s="12" cm="1">
        <f t="array" ref="S96">INDEX('Subject-ConceptMap-3'!$I$15:$N$123,Q96+1,R96)</f>
        <v>0</v>
      </c>
    </row>
    <row r="97" spans="16:19">
      <c r="P97" s="11">
        <v>83</v>
      </c>
      <c r="Q97" s="11">
        <f t="shared" si="7"/>
        <v>13</v>
      </c>
      <c r="R97" s="11">
        <f t="shared" si="8"/>
        <v>5</v>
      </c>
      <c r="S97" s="12" cm="1">
        <f t="array" ref="S97">INDEX('Subject-ConceptMap-3'!$I$15:$N$123,Q97+1,R97)</f>
        <v>0</v>
      </c>
    </row>
    <row r="98" spans="16:19">
      <c r="P98" s="11">
        <v>84</v>
      </c>
      <c r="Q98" s="11">
        <f t="shared" si="7"/>
        <v>13</v>
      </c>
      <c r="R98" s="11">
        <f t="shared" si="8"/>
        <v>6</v>
      </c>
      <c r="S98" s="12" cm="1">
        <f t="array" ref="S98">INDEX('Subject-ConceptMap-3'!$I$15:$N$123,Q98+1,R98)</f>
        <v>0</v>
      </c>
    </row>
    <row r="99" spans="16:19">
      <c r="P99" s="11">
        <v>85</v>
      </c>
      <c r="Q99" s="11">
        <f t="shared" si="7"/>
        <v>14</v>
      </c>
      <c r="R99" s="11">
        <f t="shared" si="8"/>
        <v>1</v>
      </c>
      <c r="S99" s="12" cm="1">
        <f t="array" ref="S99">INDEX('Subject-ConceptMap-3'!$I$15:$N$123,Q99+1,R99)</f>
        <v>0</v>
      </c>
    </row>
    <row r="100" spans="16:19">
      <c r="P100" s="11">
        <v>86</v>
      </c>
      <c r="Q100" s="11">
        <f t="shared" si="7"/>
        <v>14</v>
      </c>
      <c r="R100" s="11">
        <f t="shared" si="8"/>
        <v>2</v>
      </c>
      <c r="S100" s="12" cm="1">
        <f t="array" ref="S100">INDEX('Subject-ConceptMap-3'!$I$15:$N$123,Q100+1,R100)</f>
        <v>0</v>
      </c>
    </row>
    <row r="101" spans="16:19">
      <c r="P101" s="11">
        <v>87</v>
      </c>
      <c r="Q101" s="11">
        <f t="shared" si="7"/>
        <v>14</v>
      </c>
      <c r="R101" s="11">
        <f t="shared" si="8"/>
        <v>3</v>
      </c>
      <c r="S101" s="12" cm="1">
        <f t="array" ref="S101">INDEX('Subject-ConceptMap-3'!$I$15:$N$123,Q101+1,R101)</f>
        <v>0</v>
      </c>
    </row>
    <row r="102" spans="16:19">
      <c r="P102" s="11">
        <v>88</v>
      </c>
      <c r="Q102" s="11">
        <f t="shared" si="7"/>
        <v>14</v>
      </c>
      <c r="R102" s="11">
        <f t="shared" si="8"/>
        <v>4</v>
      </c>
      <c r="S102" s="12" cm="1">
        <f t="array" ref="S102">INDEX('Subject-ConceptMap-3'!$I$15:$N$123,Q102+1,R102)</f>
        <v>0</v>
      </c>
    </row>
    <row r="103" spans="16:19">
      <c r="P103" s="11">
        <v>89</v>
      </c>
      <c r="Q103" s="11">
        <f t="shared" si="7"/>
        <v>14</v>
      </c>
      <c r="R103" s="11">
        <f t="shared" si="8"/>
        <v>5</v>
      </c>
      <c r="S103" s="12" cm="1">
        <f t="array" ref="S103">INDEX('Subject-ConceptMap-3'!$I$15:$N$123,Q103+1,R103)</f>
        <v>0</v>
      </c>
    </row>
    <row r="104" spans="16:19">
      <c r="P104" s="11">
        <v>90</v>
      </c>
      <c r="Q104" s="11">
        <f t="shared" si="7"/>
        <v>14</v>
      </c>
      <c r="R104" s="11">
        <f t="shared" si="8"/>
        <v>6</v>
      </c>
      <c r="S104" s="12" cm="1">
        <f t="array" ref="S104">INDEX('Subject-ConceptMap-3'!$I$15:$N$123,Q104+1,R104)</f>
        <v>0</v>
      </c>
    </row>
    <row r="105" spans="16:19">
      <c r="P105" s="11">
        <v>91</v>
      </c>
      <c r="Q105" s="11">
        <f t="shared" si="7"/>
        <v>15</v>
      </c>
      <c r="R105" s="11">
        <f t="shared" si="8"/>
        <v>1</v>
      </c>
      <c r="S105" s="12" cm="1">
        <f t="array" ref="S105">INDEX('Subject-ConceptMap-3'!$I$15:$N$123,Q105+1,R105)</f>
        <v>0</v>
      </c>
    </row>
    <row r="106" spans="16:19">
      <c r="P106" s="11">
        <v>92</v>
      </c>
      <c r="Q106" s="11">
        <f t="shared" si="7"/>
        <v>15</v>
      </c>
      <c r="R106" s="11">
        <f t="shared" si="8"/>
        <v>2</v>
      </c>
      <c r="S106" s="12" cm="1">
        <f t="array" ref="S106">INDEX('Subject-ConceptMap-3'!$I$15:$N$123,Q106+1,R106)</f>
        <v>0</v>
      </c>
    </row>
    <row r="107" spans="16:19">
      <c r="P107" s="11">
        <v>93</v>
      </c>
      <c r="Q107" s="11">
        <f t="shared" si="7"/>
        <v>15</v>
      </c>
      <c r="R107" s="11">
        <f t="shared" si="8"/>
        <v>3</v>
      </c>
      <c r="S107" s="12" cm="1">
        <f t="array" ref="S107">INDEX('Subject-ConceptMap-3'!$I$15:$N$123,Q107+1,R107)</f>
        <v>0</v>
      </c>
    </row>
    <row r="108" spans="16:19">
      <c r="P108" s="11">
        <v>94</v>
      </c>
      <c r="Q108" s="11">
        <f t="shared" si="7"/>
        <v>15</v>
      </c>
      <c r="R108" s="11">
        <f t="shared" si="8"/>
        <v>4</v>
      </c>
      <c r="S108" s="12" cm="1">
        <f t="array" ref="S108">INDEX('Subject-ConceptMap-3'!$I$15:$N$123,Q108+1,R108)</f>
        <v>0</v>
      </c>
    </row>
    <row r="109" spans="16:19">
      <c r="P109" s="11">
        <v>95</v>
      </c>
      <c r="Q109" s="11">
        <f t="shared" si="7"/>
        <v>15</v>
      </c>
      <c r="R109" s="11">
        <f t="shared" si="8"/>
        <v>5</v>
      </c>
      <c r="S109" s="12" cm="1">
        <f t="array" ref="S109">INDEX('Subject-ConceptMap-3'!$I$15:$N$123,Q109+1,R109)</f>
        <v>0</v>
      </c>
    </row>
    <row r="110" spans="16:19">
      <c r="P110" s="11">
        <v>96</v>
      </c>
      <c r="Q110" s="11">
        <f t="shared" si="7"/>
        <v>15</v>
      </c>
      <c r="R110" s="11">
        <f t="shared" si="8"/>
        <v>6</v>
      </c>
      <c r="S110" s="12" cm="1">
        <f t="array" ref="S110">INDEX('Subject-ConceptMap-3'!$I$15:$N$123,Q110+1,R110)</f>
        <v>0</v>
      </c>
    </row>
    <row r="111" spans="16:19">
      <c r="P111" s="11">
        <v>97</v>
      </c>
      <c r="Q111" s="11">
        <f t="shared" si="7"/>
        <v>16</v>
      </c>
      <c r="R111" s="11">
        <f t="shared" si="8"/>
        <v>1</v>
      </c>
      <c r="S111" s="12" cm="1">
        <f t="array" ref="S111">INDEX('Subject-ConceptMap-3'!$I$15:$N$123,Q111+1,R111)</f>
        <v>0</v>
      </c>
    </row>
    <row r="112" spans="16:19">
      <c r="P112" s="11">
        <v>98</v>
      </c>
      <c r="Q112" s="11">
        <f t="shared" si="7"/>
        <v>16</v>
      </c>
      <c r="R112" s="11">
        <f t="shared" si="8"/>
        <v>2</v>
      </c>
      <c r="S112" s="12" cm="1">
        <f t="array" ref="S112">INDEX('Subject-ConceptMap-3'!$I$15:$N$123,Q112+1,R112)</f>
        <v>0</v>
      </c>
    </row>
    <row r="113" spans="16:19">
      <c r="P113" s="11">
        <v>99</v>
      </c>
      <c r="Q113" s="11">
        <f t="shared" si="7"/>
        <v>16</v>
      </c>
      <c r="R113" s="11">
        <f t="shared" si="8"/>
        <v>3</v>
      </c>
      <c r="S113" s="12" cm="1">
        <f t="array" ref="S113">INDEX('Subject-ConceptMap-3'!$I$15:$N$123,Q113+1,R113)</f>
        <v>0</v>
      </c>
    </row>
    <row r="114" spans="16:19">
      <c r="P114" s="11">
        <v>100</v>
      </c>
      <c r="Q114" s="11">
        <f t="shared" si="7"/>
        <v>16</v>
      </c>
      <c r="R114" s="11">
        <f t="shared" si="8"/>
        <v>4</v>
      </c>
      <c r="S114" s="12" cm="1">
        <f t="array" ref="S114">INDEX('Subject-ConceptMap-3'!$I$15:$N$123,Q114+1,R114)</f>
        <v>0</v>
      </c>
    </row>
    <row r="115" spans="16:19">
      <c r="P115" s="11">
        <v>101</v>
      </c>
      <c r="Q115" s="11">
        <f t="shared" si="7"/>
        <v>16</v>
      </c>
      <c r="R115" s="11">
        <f t="shared" si="8"/>
        <v>5</v>
      </c>
      <c r="S115" s="12" cm="1">
        <f t="array" ref="S115">INDEX('Subject-ConceptMap-3'!$I$15:$N$123,Q115+1,R115)</f>
        <v>0</v>
      </c>
    </row>
    <row r="116" spans="16:19">
      <c r="P116" s="11">
        <v>102</v>
      </c>
      <c r="Q116" s="11">
        <f t="shared" si="7"/>
        <v>16</v>
      </c>
      <c r="R116" s="11">
        <f t="shared" si="8"/>
        <v>6</v>
      </c>
      <c r="S116" s="12" cm="1">
        <f t="array" ref="S116">INDEX('Subject-ConceptMap-3'!$I$15:$N$123,Q116+1,R116)</f>
        <v>0</v>
      </c>
    </row>
    <row r="117" spans="16:19">
      <c r="P117" s="11">
        <v>103</v>
      </c>
      <c r="Q117" s="11">
        <f t="shared" si="7"/>
        <v>17</v>
      </c>
      <c r="R117" s="11">
        <f t="shared" si="8"/>
        <v>1</v>
      </c>
      <c r="S117" s="12" cm="1">
        <f t="array" ref="S117">INDEX('Subject-ConceptMap-3'!$I$15:$N$123,Q117+1,R117)</f>
        <v>0</v>
      </c>
    </row>
    <row r="118" spans="16:19">
      <c r="P118" s="11">
        <v>104</v>
      </c>
      <c r="Q118" s="11">
        <f t="shared" si="7"/>
        <v>17</v>
      </c>
      <c r="R118" s="11">
        <f t="shared" si="8"/>
        <v>2</v>
      </c>
      <c r="S118" s="12" cm="1">
        <f t="array" ref="S118">INDEX('Subject-ConceptMap-3'!$I$15:$N$123,Q118+1,R118)</f>
        <v>0</v>
      </c>
    </row>
    <row r="119" spans="16:19">
      <c r="P119" s="11">
        <v>105</v>
      </c>
      <c r="Q119" s="11">
        <f t="shared" si="7"/>
        <v>17</v>
      </c>
      <c r="R119" s="11">
        <f t="shared" si="8"/>
        <v>3</v>
      </c>
      <c r="S119" s="12" cm="1">
        <f t="array" ref="S119">INDEX('Subject-ConceptMap-3'!$I$15:$N$123,Q119+1,R119)</f>
        <v>0</v>
      </c>
    </row>
    <row r="120" spans="16:19">
      <c r="P120" s="11">
        <v>106</v>
      </c>
      <c r="Q120" s="11">
        <f t="shared" si="7"/>
        <v>17</v>
      </c>
      <c r="R120" s="11">
        <f t="shared" si="8"/>
        <v>4</v>
      </c>
      <c r="S120" s="12" cm="1">
        <f t="array" ref="S120">INDEX('Subject-ConceptMap-3'!$I$15:$N$123,Q120+1,R120)</f>
        <v>0</v>
      </c>
    </row>
    <row r="121" spans="16:19">
      <c r="P121" s="11">
        <v>107</v>
      </c>
      <c r="Q121" s="11">
        <f t="shared" si="7"/>
        <v>17</v>
      </c>
      <c r="R121" s="11">
        <f t="shared" si="8"/>
        <v>5</v>
      </c>
      <c r="S121" s="12" cm="1">
        <f t="array" ref="S121">INDEX('Subject-ConceptMap-3'!$I$15:$N$123,Q121+1,R121)</f>
        <v>0</v>
      </c>
    </row>
    <row r="122" spans="16:19">
      <c r="P122" s="11">
        <v>108</v>
      </c>
      <c r="Q122" s="11">
        <f t="shared" si="7"/>
        <v>17</v>
      </c>
      <c r="R122" s="11">
        <f t="shared" si="8"/>
        <v>6</v>
      </c>
      <c r="S122" s="12" cm="1">
        <f t="array" ref="S122">INDEX('Subject-ConceptMap-3'!$I$15:$N$123,Q122+1,R122)</f>
        <v>0</v>
      </c>
    </row>
    <row r="123" spans="16:19">
      <c r="P123" s="11">
        <v>109</v>
      </c>
      <c r="Q123" s="11">
        <f t="shared" si="7"/>
        <v>18</v>
      </c>
      <c r="R123" s="11">
        <f t="shared" si="8"/>
        <v>1</v>
      </c>
      <c r="S123" s="12" cm="1">
        <f t="array" ref="S123">INDEX('Subject-ConceptMap-3'!$I$15:$N$123,Q123+1,R123)</f>
        <v>0</v>
      </c>
    </row>
    <row r="124" spans="16:19">
      <c r="P124" s="11">
        <v>110</v>
      </c>
      <c r="Q124" s="11">
        <f t="shared" si="7"/>
        <v>18</v>
      </c>
      <c r="R124" s="11">
        <f t="shared" si="8"/>
        <v>2</v>
      </c>
      <c r="S124" s="12" cm="1">
        <f t="array" ref="S124">INDEX('Subject-ConceptMap-3'!$I$15:$N$123,Q124+1,R124)</f>
        <v>0</v>
      </c>
    </row>
    <row r="125" spans="16:19">
      <c r="P125" s="11">
        <v>111</v>
      </c>
      <c r="Q125" s="11">
        <f t="shared" si="7"/>
        <v>18</v>
      </c>
      <c r="R125" s="11">
        <f t="shared" si="8"/>
        <v>3</v>
      </c>
      <c r="S125" s="12" cm="1">
        <f t="array" ref="S125">INDEX('Subject-ConceptMap-3'!$I$15:$N$123,Q125+1,R125)</f>
        <v>0</v>
      </c>
    </row>
    <row r="126" spans="16:19">
      <c r="P126" s="11">
        <v>112</v>
      </c>
      <c r="Q126" s="11">
        <f t="shared" si="7"/>
        <v>18</v>
      </c>
      <c r="R126" s="11">
        <f t="shared" si="8"/>
        <v>4</v>
      </c>
      <c r="S126" s="12" cm="1">
        <f t="array" ref="S126">INDEX('Subject-ConceptMap-3'!$I$15:$N$123,Q126+1,R126)</f>
        <v>0</v>
      </c>
    </row>
    <row r="127" spans="16:19">
      <c r="P127" s="11">
        <v>113</v>
      </c>
      <c r="Q127" s="11">
        <f t="shared" si="7"/>
        <v>18</v>
      </c>
      <c r="R127" s="11">
        <f t="shared" si="8"/>
        <v>5</v>
      </c>
      <c r="S127" s="12" cm="1">
        <f t="array" ref="S127">INDEX('Subject-ConceptMap-3'!$I$15:$N$123,Q127+1,R127)</f>
        <v>0</v>
      </c>
    </row>
    <row r="128" spans="16:19">
      <c r="P128" s="11">
        <v>114</v>
      </c>
      <c r="Q128" s="11">
        <f t="shared" si="7"/>
        <v>18</v>
      </c>
      <c r="R128" s="11">
        <f t="shared" si="8"/>
        <v>6</v>
      </c>
      <c r="S128" s="12" cm="1">
        <f t="array" ref="S128">INDEX('Subject-ConceptMap-3'!$I$15:$N$123,Q128+1,R128)</f>
        <v>0</v>
      </c>
    </row>
    <row r="129" spans="16:19">
      <c r="P129" s="11">
        <v>115</v>
      </c>
      <c r="Q129" s="11">
        <f t="shared" si="7"/>
        <v>19</v>
      </c>
      <c r="R129" s="11">
        <f t="shared" si="8"/>
        <v>1</v>
      </c>
      <c r="S129" s="12" cm="1">
        <f t="array" ref="S129">INDEX('Subject-ConceptMap-3'!$I$15:$N$123,Q129+1,R129)</f>
        <v>0</v>
      </c>
    </row>
    <row r="130" spans="16:19">
      <c r="P130" s="11">
        <v>116</v>
      </c>
      <c r="Q130" s="11">
        <f t="shared" si="7"/>
        <v>19</v>
      </c>
      <c r="R130" s="11">
        <f t="shared" si="8"/>
        <v>2</v>
      </c>
      <c r="S130" s="12" cm="1">
        <f t="array" ref="S130">INDEX('Subject-ConceptMap-3'!$I$15:$N$123,Q130+1,R130)</f>
        <v>0</v>
      </c>
    </row>
    <row r="131" spans="16:19">
      <c r="P131" s="11">
        <v>117</v>
      </c>
      <c r="Q131" s="11">
        <f t="shared" si="7"/>
        <v>19</v>
      </c>
      <c r="R131" s="11">
        <f t="shared" si="8"/>
        <v>3</v>
      </c>
      <c r="S131" s="12" cm="1">
        <f t="array" ref="S131">INDEX('Subject-ConceptMap-3'!$I$15:$N$123,Q131+1,R131)</f>
        <v>0</v>
      </c>
    </row>
    <row r="132" spans="16:19">
      <c r="P132" s="11">
        <v>118</v>
      </c>
      <c r="Q132" s="11">
        <f t="shared" si="7"/>
        <v>19</v>
      </c>
      <c r="R132" s="11">
        <f t="shared" si="8"/>
        <v>4</v>
      </c>
      <c r="S132" s="12" cm="1">
        <f t="array" ref="S132">INDEX('Subject-ConceptMap-3'!$I$15:$N$123,Q132+1,R132)</f>
        <v>0</v>
      </c>
    </row>
    <row r="133" spans="16:19">
      <c r="P133" s="11">
        <v>119</v>
      </c>
      <c r="Q133" s="11">
        <f t="shared" si="7"/>
        <v>19</v>
      </c>
      <c r="R133" s="11">
        <f t="shared" si="8"/>
        <v>5</v>
      </c>
      <c r="S133" s="12" cm="1">
        <f t="array" ref="S133">INDEX('Subject-ConceptMap-3'!$I$15:$N$123,Q133+1,R133)</f>
        <v>0</v>
      </c>
    </row>
    <row r="134" spans="16:19">
      <c r="P134" s="11">
        <v>120</v>
      </c>
      <c r="Q134" s="11">
        <f t="shared" si="7"/>
        <v>19</v>
      </c>
      <c r="R134" s="11">
        <f t="shared" si="8"/>
        <v>6</v>
      </c>
      <c r="S134" s="12" cm="1">
        <f t="array" ref="S134">INDEX('Subject-ConceptMap-3'!$I$15:$N$123,Q134+1,R134)</f>
        <v>0</v>
      </c>
    </row>
    <row r="135" spans="16:19">
      <c r="P135" s="11">
        <v>121</v>
      </c>
      <c r="Q135" s="11">
        <f t="shared" si="7"/>
        <v>20</v>
      </c>
      <c r="R135" s="11">
        <f t="shared" si="8"/>
        <v>1</v>
      </c>
      <c r="S135" s="12" cm="1">
        <f t="array" ref="S135">INDEX('Subject-ConceptMap-3'!$I$15:$N$123,Q135+1,R135)</f>
        <v>0</v>
      </c>
    </row>
    <row r="136" spans="16:19">
      <c r="P136" s="11">
        <v>122</v>
      </c>
      <c r="Q136" s="11">
        <f t="shared" si="7"/>
        <v>20</v>
      </c>
      <c r="R136" s="11">
        <f t="shared" si="8"/>
        <v>2</v>
      </c>
      <c r="S136" s="12" cm="1">
        <f t="array" ref="S136">INDEX('Subject-ConceptMap-3'!$I$15:$N$123,Q136+1,R136)</f>
        <v>0</v>
      </c>
    </row>
    <row r="137" spans="16:19">
      <c r="P137" s="11">
        <v>123</v>
      </c>
      <c r="Q137" s="11">
        <f t="shared" si="7"/>
        <v>20</v>
      </c>
      <c r="R137" s="11">
        <f t="shared" si="8"/>
        <v>3</v>
      </c>
      <c r="S137" s="12" cm="1">
        <f t="array" ref="S137">INDEX('Subject-ConceptMap-3'!$I$15:$N$123,Q137+1,R137)</f>
        <v>0</v>
      </c>
    </row>
    <row r="138" spans="16:19">
      <c r="P138" s="11">
        <v>124</v>
      </c>
      <c r="Q138" s="11">
        <f t="shared" si="7"/>
        <v>20</v>
      </c>
      <c r="R138" s="11">
        <f t="shared" si="8"/>
        <v>4</v>
      </c>
      <c r="S138" s="12" cm="1">
        <f t="array" ref="S138">INDEX('Subject-ConceptMap-3'!$I$15:$N$123,Q138+1,R138)</f>
        <v>0</v>
      </c>
    </row>
    <row r="139" spans="16:19">
      <c r="P139" s="11">
        <v>125</v>
      </c>
      <c r="Q139" s="11">
        <f t="shared" si="7"/>
        <v>20</v>
      </c>
      <c r="R139" s="11">
        <f t="shared" si="8"/>
        <v>5</v>
      </c>
      <c r="S139" s="12" cm="1">
        <f t="array" ref="S139">INDEX('Subject-ConceptMap-3'!$I$15:$N$123,Q139+1,R139)</f>
        <v>0</v>
      </c>
    </row>
    <row r="140" spans="16:19">
      <c r="P140" s="11">
        <v>126</v>
      </c>
      <c r="Q140" s="11">
        <f t="shared" si="7"/>
        <v>20</v>
      </c>
      <c r="R140" s="11">
        <f t="shared" si="8"/>
        <v>6</v>
      </c>
      <c r="S140" s="12" cm="1">
        <f t="array" ref="S140">INDEX('Subject-ConceptMap-3'!$I$15:$N$123,Q140+1,R140)</f>
        <v>0</v>
      </c>
    </row>
    <row r="141" spans="16:19">
      <c r="P141" s="11">
        <v>127</v>
      </c>
      <c r="Q141" s="11">
        <f t="shared" si="7"/>
        <v>21</v>
      </c>
      <c r="R141" s="11">
        <f t="shared" si="8"/>
        <v>1</v>
      </c>
      <c r="S141" s="12" cm="1">
        <f t="array" ref="S141">INDEX('Subject-ConceptMap-3'!$I$15:$N$123,Q141+1,R141)</f>
        <v>0</v>
      </c>
    </row>
    <row r="142" spans="16:19">
      <c r="P142" s="11">
        <v>128</v>
      </c>
      <c r="Q142" s="11">
        <f t="shared" si="7"/>
        <v>21</v>
      </c>
      <c r="R142" s="11">
        <f t="shared" si="8"/>
        <v>2</v>
      </c>
      <c r="S142" s="12" cm="1">
        <f t="array" ref="S142">INDEX('Subject-ConceptMap-3'!$I$15:$N$123,Q142+1,R142)</f>
        <v>0</v>
      </c>
    </row>
    <row r="143" spans="16:19">
      <c r="P143" s="11">
        <v>129</v>
      </c>
      <c r="Q143" s="11">
        <f t="shared" ref="Q143:Q161" si="9">IF(MOD(P143,$Q$8)=0,P143/$Q$8-1,INT(P143/$Q$8))</f>
        <v>21</v>
      </c>
      <c r="R143" s="11">
        <f t="shared" ref="R143:R161" si="10">IF(MOD(P143,$Q$8)=0,$Q$8,MOD(P143,$Q$8))</f>
        <v>3</v>
      </c>
      <c r="S143" s="12" cm="1">
        <f t="array" ref="S143">INDEX('Subject-ConceptMap-3'!$I$15:$N$123,Q143+1,R143)</f>
        <v>0</v>
      </c>
    </row>
    <row r="144" spans="16:19">
      <c r="P144" s="11">
        <v>130</v>
      </c>
      <c r="Q144" s="11">
        <f t="shared" si="9"/>
        <v>21</v>
      </c>
      <c r="R144" s="11">
        <f t="shared" si="10"/>
        <v>4</v>
      </c>
      <c r="S144" s="12" cm="1">
        <f t="array" ref="S144">INDEX('Subject-ConceptMap-3'!$I$15:$N$123,Q144+1,R144)</f>
        <v>0</v>
      </c>
    </row>
    <row r="145" spans="16:19">
      <c r="P145" s="11">
        <v>131</v>
      </c>
      <c r="Q145" s="11">
        <f t="shared" si="9"/>
        <v>21</v>
      </c>
      <c r="R145" s="11">
        <f t="shared" si="10"/>
        <v>5</v>
      </c>
      <c r="S145" s="12" cm="1">
        <f t="array" ref="S145">INDEX('Subject-ConceptMap-3'!$I$15:$N$123,Q145+1,R145)</f>
        <v>0</v>
      </c>
    </row>
    <row r="146" spans="16:19">
      <c r="P146" s="11">
        <v>132</v>
      </c>
      <c r="Q146" s="11">
        <f t="shared" si="9"/>
        <v>21</v>
      </c>
      <c r="R146" s="11">
        <f t="shared" si="10"/>
        <v>6</v>
      </c>
      <c r="S146" s="12" cm="1">
        <f t="array" ref="S146">INDEX('Subject-ConceptMap-3'!$I$15:$N$123,Q146+1,R146)</f>
        <v>0</v>
      </c>
    </row>
    <row r="147" spans="16:19">
      <c r="P147" s="11">
        <v>133</v>
      </c>
      <c r="Q147" s="11">
        <f t="shared" si="9"/>
        <v>22</v>
      </c>
      <c r="R147" s="11">
        <f t="shared" si="10"/>
        <v>1</v>
      </c>
      <c r="S147" s="12" cm="1">
        <f t="array" ref="S147">INDEX('Subject-ConceptMap-3'!$I$15:$N$123,Q147+1,R147)</f>
        <v>0</v>
      </c>
    </row>
    <row r="148" spans="16:19">
      <c r="P148" s="11">
        <v>134</v>
      </c>
      <c r="Q148" s="11">
        <f t="shared" si="9"/>
        <v>22</v>
      </c>
      <c r="R148" s="11">
        <f t="shared" si="10"/>
        <v>2</v>
      </c>
      <c r="S148" s="12" cm="1">
        <f t="array" ref="S148">INDEX('Subject-ConceptMap-3'!$I$15:$N$123,Q148+1,R148)</f>
        <v>0</v>
      </c>
    </row>
    <row r="149" spans="16:19">
      <c r="P149" s="11">
        <v>135</v>
      </c>
      <c r="Q149" s="11">
        <f t="shared" si="9"/>
        <v>22</v>
      </c>
      <c r="R149" s="11">
        <f t="shared" si="10"/>
        <v>3</v>
      </c>
      <c r="S149" s="12" cm="1">
        <f t="array" ref="S149">INDEX('Subject-ConceptMap-3'!$I$15:$N$123,Q149+1,R149)</f>
        <v>0</v>
      </c>
    </row>
    <row r="150" spans="16:19">
      <c r="P150" s="11">
        <v>136</v>
      </c>
      <c r="Q150" s="11">
        <f t="shared" si="9"/>
        <v>22</v>
      </c>
      <c r="R150" s="11">
        <f t="shared" si="10"/>
        <v>4</v>
      </c>
      <c r="S150" s="12" cm="1">
        <f t="array" ref="S150">INDEX('Subject-ConceptMap-3'!$I$15:$N$123,Q150+1,R150)</f>
        <v>0</v>
      </c>
    </row>
    <row r="151" spans="16:19">
      <c r="P151" s="11">
        <v>137</v>
      </c>
      <c r="Q151" s="11">
        <f t="shared" si="9"/>
        <v>22</v>
      </c>
      <c r="R151" s="11">
        <f t="shared" si="10"/>
        <v>5</v>
      </c>
      <c r="S151" s="12" cm="1">
        <f t="array" ref="S151">INDEX('Subject-ConceptMap-3'!$I$15:$N$123,Q151+1,R151)</f>
        <v>0</v>
      </c>
    </row>
    <row r="152" spans="16:19">
      <c r="P152" s="11">
        <v>138</v>
      </c>
      <c r="Q152" s="11">
        <f t="shared" si="9"/>
        <v>22</v>
      </c>
      <c r="R152" s="11">
        <f t="shared" si="10"/>
        <v>6</v>
      </c>
      <c r="S152" s="12" cm="1">
        <f t="array" ref="S152">INDEX('Subject-ConceptMap-3'!$I$15:$N$123,Q152+1,R152)</f>
        <v>0</v>
      </c>
    </row>
    <row r="153" spans="16:19">
      <c r="P153" s="11">
        <v>139</v>
      </c>
      <c r="Q153" s="11">
        <f t="shared" si="9"/>
        <v>23</v>
      </c>
      <c r="R153" s="11">
        <f t="shared" si="10"/>
        <v>1</v>
      </c>
      <c r="S153" s="12" cm="1">
        <f t="array" ref="S153">INDEX('Subject-ConceptMap-3'!$I$15:$N$123,Q153+1,R153)</f>
        <v>0</v>
      </c>
    </row>
    <row r="154" spans="16:19">
      <c r="P154" s="11">
        <v>140</v>
      </c>
      <c r="Q154" s="11">
        <f t="shared" si="9"/>
        <v>23</v>
      </c>
      <c r="R154" s="11">
        <f t="shared" si="10"/>
        <v>2</v>
      </c>
      <c r="S154" s="12" cm="1">
        <f t="array" ref="S154">INDEX('Subject-ConceptMap-3'!$I$15:$N$123,Q154+1,R154)</f>
        <v>0</v>
      </c>
    </row>
    <row r="155" spans="16:19">
      <c r="P155" s="11">
        <v>141</v>
      </c>
      <c r="Q155" s="11">
        <f t="shared" si="9"/>
        <v>23</v>
      </c>
      <c r="R155" s="11">
        <f t="shared" si="10"/>
        <v>3</v>
      </c>
      <c r="S155" s="12" cm="1">
        <f t="array" ref="S155">INDEX('Subject-ConceptMap-3'!$I$15:$N$123,Q155+1,R155)</f>
        <v>0</v>
      </c>
    </row>
    <row r="156" spans="16:19">
      <c r="P156" s="11">
        <v>142</v>
      </c>
      <c r="Q156" s="11">
        <f t="shared" si="9"/>
        <v>23</v>
      </c>
      <c r="R156" s="11">
        <f t="shared" si="10"/>
        <v>4</v>
      </c>
      <c r="S156" s="12" cm="1">
        <f t="array" ref="S156">INDEX('Subject-ConceptMap-3'!$I$15:$N$123,Q156+1,R156)</f>
        <v>0</v>
      </c>
    </row>
    <row r="157" spans="16:19">
      <c r="P157" s="11">
        <v>143</v>
      </c>
      <c r="Q157" s="11">
        <f t="shared" si="9"/>
        <v>23</v>
      </c>
      <c r="R157" s="11">
        <f t="shared" si="10"/>
        <v>5</v>
      </c>
      <c r="S157" s="12" cm="1">
        <f t="array" ref="S157">INDEX('Subject-ConceptMap-3'!$I$15:$N$123,Q157+1,R157)</f>
        <v>0</v>
      </c>
    </row>
    <row r="158" spans="16:19">
      <c r="P158" s="11">
        <v>144</v>
      </c>
      <c r="Q158" s="11">
        <f t="shared" si="9"/>
        <v>23</v>
      </c>
      <c r="R158" s="11">
        <f t="shared" si="10"/>
        <v>6</v>
      </c>
      <c r="S158" s="12" cm="1">
        <f t="array" ref="S158">INDEX('Subject-ConceptMap-3'!$I$15:$N$123,Q158+1,R158)</f>
        <v>0</v>
      </c>
    </row>
    <row r="159" spans="16:19">
      <c r="P159" s="11">
        <v>145</v>
      </c>
      <c r="Q159" s="11">
        <f t="shared" si="9"/>
        <v>24</v>
      </c>
      <c r="R159" s="11">
        <f t="shared" si="10"/>
        <v>1</v>
      </c>
      <c r="S159" s="12" cm="1">
        <f t="array" ref="S159">INDEX('Subject-ConceptMap-3'!$I$15:$N$123,Q159+1,R159)</f>
        <v>0</v>
      </c>
    </row>
    <row r="160" spans="16:19">
      <c r="P160" s="11">
        <v>146</v>
      </c>
      <c r="Q160" s="11">
        <f t="shared" si="9"/>
        <v>24</v>
      </c>
      <c r="R160" s="11">
        <f t="shared" si="10"/>
        <v>2</v>
      </c>
      <c r="S160" s="12" cm="1">
        <f t="array" ref="S160">INDEX('Subject-ConceptMap-3'!$I$15:$N$123,Q160+1,R160)</f>
        <v>0</v>
      </c>
    </row>
    <row r="161" spans="16:19">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161"/>
  <sheetViews>
    <sheetView topLeftCell="A25" zoomScale="85" zoomScaleNormal="85" workbookViewId="0">
      <selection activeCell="P15" sqref="P15:S16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1781</v>
      </c>
    </row>
    <row r="2" spans="1:19" ht="15.5" thickBot="1"/>
    <row r="3" spans="1:19" ht="15.5" thickBot="1">
      <c r="B3" s="62" t="s">
        <v>17</v>
      </c>
      <c r="C3" s="28" t="s">
        <v>1837</v>
      </c>
      <c r="D3" s="62" t="s">
        <v>1769</v>
      </c>
      <c r="E3" s="117" t="str">
        <f>$C$1&amp;Subject!B5</f>
        <v>http://hl7.eu/fhir/ig/idea4rc/StructureDefinition/Subject</v>
      </c>
    </row>
    <row r="4" spans="1:19">
      <c r="B4" s="62" t="s">
        <v>16</v>
      </c>
      <c r="C4" s="28" t="s">
        <v>1836</v>
      </c>
      <c r="D4" s="62" t="s">
        <v>1770</v>
      </c>
      <c r="E4" s="117" t="s">
        <v>1799</v>
      </c>
    </row>
    <row r="5" spans="1:19">
      <c r="B5" s="62" t="s">
        <v>10</v>
      </c>
      <c r="C5" s="127" t="s">
        <v>1838</v>
      </c>
      <c r="D5" s="62"/>
      <c r="E5" s="7"/>
    </row>
    <row r="6" spans="1:19">
      <c r="B6" s="62" t="s">
        <v>18</v>
      </c>
      <c r="C6" s="128"/>
      <c r="D6" s="62" t="s">
        <v>1771</v>
      </c>
      <c r="E6" s="184" t="str">
        <f>E3</f>
        <v>http://hl7.eu/fhir/ig/idea4rc/StructureDefinition/Subject</v>
      </c>
      <c r="F6" s="185"/>
      <c r="G6" s="185"/>
    </row>
    <row r="7" spans="1:19">
      <c r="B7" s="62" t="s">
        <v>15</v>
      </c>
      <c r="C7" s="129"/>
      <c r="D7" s="62" t="s">
        <v>1772</v>
      </c>
      <c r="E7" s="184" t="s">
        <v>1852</v>
      </c>
      <c r="F7" s="185"/>
      <c r="G7" s="185"/>
    </row>
    <row r="8" spans="1:19" ht="44.25">
      <c r="B8" s="62" t="s">
        <v>1773</v>
      </c>
      <c r="C8" s="103" t="s">
        <v>1838</v>
      </c>
      <c r="D8" s="62"/>
      <c r="E8" s="7"/>
      <c r="I8" s="12" t="s">
        <v>1402</v>
      </c>
      <c r="J8" s="12" t="s">
        <v>1403</v>
      </c>
      <c r="K8" s="12" t="s">
        <v>1404</v>
      </c>
      <c r="L8" s="12" t="s">
        <v>1405</v>
      </c>
      <c r="M8" s="11" t="s">
        <v>1406</v>
      </c>
      <c r="P8" s="49" t="s">
        <v>1441</v>
      </c>
      <c r="Q8" s="49">
        <v>6</v>
      </c>
    </row>
    <row r="9" spans="1:19">
      <c r="B9" s="62" t="s">
        <v>1774</v>
      </c>
      <c r="C9" s="12" t="s">
        <v>1839</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1845</v>
      </c>
      <c r="E14" s="6"/>
      <c r="F14" s="64"/>
      <c r="G14" s="64"/>
      <c r="I14" s="12"/>
      <c r="J14" s="11"/>
      <c r="K14" s="11"/>
      <c r="L14" s="11"/>
      <c r="M14" s="63"/>
      <c r="N14" s="66"/>
    </row>
    <row r="15" spans="1:19" ht="250.75">
      <c r="A15" s="59"/>
      <c r="B15" s="11" t="str">
        <f>Subject!B18</f>
        <v>comorbidity</v>
      </c>
      <c r="C15" s="11" t="str">
        <f>Subject!C18</f>
        <v>Comorbidity</v>
      </c>
      <c r="D15" s="12"/>
      <c r="E15" s="12"/>
      <c r="F15" s="64" t="s">
        <v>1407</v>
      </c>
      <c r="G15" s="123" t="s">
        <v>2442</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INDEX('Subject-ConceptMap-4'!$I$15:$N$123,Q15+1,R15)</f>
        <v>* group[=].element[+].code = #Subject.comorbidity</v>
      </c>
    </row>
    <row r="16" spans="1:19" ht="44.25" customHeight="1">
      <c r="A16" s="59"/>
      <c r="B16" s="11" t="str">
        <f>Subject!B19</f>
        <v>comorbidity.myocardialInfarction</v>
      </c>
      <c r="C16" s="11" t="str">
        <f>Subject!C19</f>
        <v>Myocardial infarction</v>
      </c>
      <c r="D16" s="12" t="s">
        <v>1853</v>
      </c>
      <c r="E16" s="11"/>
      <c r="F16" s="64" t="s">
        <v>1407</v>
      </c>
      <c r="G16" s="123"/>
      <c r="H16" s="58"/>
      <c r="I16" s="12" t="str">
        <f t="shared" ref="I16:I35" si="7">"* group[=].element[+].code = #"&amp;$B$14&amp;"."&amp;B16</f>
        <v>* group[=].element[+].code = #Subject.comorbidity.myocardialInfarction</v>
      </c>
      <c r="J16" s="12" t="str">
        <f t="shared" ref="J16:J35" si="8">"* group[=].element[=].display = ##34#"&amp;C16&amp;"##34#"</f>
        <v>* group[=].element[=].display = ##34#Myocardial infarction##34#</v>
      </c>
      <c r="K16" s="12" t="str">
        <f t="shared" ref="K16:K35" si="9">IF(F16="unmatched","//-- unmatched","* group[=].element[=].target.code = #"&amp;$D$14&amp;"."&amp;D16)</f>
        <v>* group[=].element[=].target.code = #Observation.extension:comorbidConditionPresent</v>
      </c>
      <c r="L16" s="12" t="str">
        <f t="shared" ref="L16:L35" si="10">IF(F16="unmatched","//-- unmatched","* group[=].element[=].target.display = ##34#"&amp;E16&amp;"##34#")</f>
        <v>* group[=].element[=].target.display = ##34###34#</v>
      </c>
      <c r="M16" s="12" t="str">
        <f t="shared" ref="M16:M35" si="11">"* group[=].element[=].target.equivalence = #"&amp;F16</f>
        <v>* group[=].element[=].target.equivalence = #relatedto</v>
      </c>
      <c r="N16" s="12" t="str">
        <f t="shared" ref="N16:N35" si="12">IF(G16&lt;&gt;"",CONCATENATE("* group[=].element[=].target.comment = ","##34#",G16,"##34#"),"")</f>
        <v/>
      </c>
      <c r="P16" s="11">
        <v>2</v>
      </c>
      <c r="Q16" s="11">
        <f t="shared" ref="Q16:Q79" si="13">IF(MOD(P16,$Q$8)=0,P16/$Q$8-1,INT(P16/$Q$8))</f>
        <v>0</v>
      </c>
      <c r="R16" s="11">
        <f t="shared" ref="R16:R79" si="14">IF(MOD(P16,$Q$8)=0,$Q$8,MOD(P16,$Q$8))</f>
        <v>2</v>
      </c>
      <c r="S16" s="12" t="str" cm="1">
        <f t="array" ref="S16">INDEX('Subject-ConceptMap-4'!$I$15:$N$123,Q16+1,R16)</f>
        <v>* group[=].element[=].display = ##34#Comorbidity##34#</v>
      </c>
    </row>
    <row r="17" spans="1:19" ht="103.25" customHeight="1">
      <c r="A17" s="59"/>
      <c r="B17" s="11" t="str">
        <f>Subject!B20</f>
        <v>comorbidity.congestiveHeartFailure</v>
      </c>
      <c r="C17" s="11" t="str">
        <f>Subject!C20</f>
        <v>Congestive heart failure</v>
      </c>
      <c r="D17" s="12" t="s">
        <v>1853</v>
      </c>
      <c r="E17" s="11"/>
      <c r="F17" s="64" t="s">
        <v>1429</v>
      </c>
      <c r="G17" s="123"/>
      <c r="H17" s="58"/>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INDEX('Subject-ConceptMap-4'!$I$15:$N$123,Q17+1,R17)</f>
        <v>* group[=].element[=].target.code = #Observation.</v>
      </c>
    </row>
    <row r="18" spans="1:19" ht="73.75">
      <c r="A18" s="59"/>
      <c r="B18" s="11" t="str">
        <f>Subject!B21</f>
        <v>comorbidity.peripheralVascularDisease</v>
      </c>
      <c r="C18" s="11" t="str">
        <f>Subject!C21</f>
        <v>Peripheral vascular disease</v>
      </c>
      <c r="D18" s="12" t="s">
        <v>1853</v>
      </c>
      <c r="E18" s="11"/>
      <c r="F18" s="64" t="s">
        <v>1429</v>
      </c>
      <c r="G18" s="123"/>
      <c r="H18" s="58"/>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INDEX('Subject-ConceptMap-4'!$I$15:$N$123,Q18+1,R18)</f>
        <v>* group[=].element[=].target.display = ##34###34#</v>
      </c>
    </row>
    <row r="19" spans="1:19" ht="73.75">
      <c r="A19" s="59"/>
      <c r="B19" s="11" t="str">
        <f>Subject!B22</f>
        <v>comorbidity.cerebrovascularAccidentExceptHemiplegia</v>
      </c>
      <c r="C19" s="11" t="str">
        <f>Subject!C22</f>
        <v>Cerebrovascular accident  (except hemiplegia)</v>
      </c>
      <c r="D19" s="12" t="s">
        <v>1853</v>
      </c>
      <c r="E19" s="11"/>
      <c r="F19" s="64" t="s">
        <v>1429</v>
      </c>
      <c r="G19" s="123"/>
      <c r="H19" s="58"/>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INDEX('Subject-ConceptMap-4'!$I$15:$N$123,Q19+1,R19)</f>
        <v>* group[=].element[=].target.equivalence = #relatedto</v>
      </c>
    </row>
    <row r="20" spans="1:19" ht="118">
      <c r="A20" s="59"/>
      <c r="B20" s="11" t="str">
        <f>Subject!B23</f>
        <v>comorbidity.dementia</v>
      </c>
      <c r="C20" s="11" t="str">
        <f>Subject!C23</f>
        <v>Dementia</v>
      </c>
      <c r="D20" s="12" t="s">
        <v>1853</v>
      </c>
      <c r="E20" s="11"/>
      <c r="F20" s="64" t="s">
        <v>1429</v>
      </c>
      <c r="G20" s="123"/>
      <c r="H20" s="58"/>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3"/>
        <v>0</v>
      </c>
      <c r="R20" s="11">
        <f t="shared" si="14"/>
        <v>6</v>
      </c>
      <c r="S20" s="12" t="str" cm="1">
        <f t="array" ref="S20">INDEX('Subject-ConceptMap-4'!$I$15:$N$123,Q20+1,R20)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c r="A21" s="59"/>
      <c r="B21" s="11" t="str">
        <f>Subject!B24</f>
        <v>comorbidity.chronicPulmonaryDisease</v>
      </c>
      <c r="C21" s="11" t="str">
        <f>Subject!C24</f>
        <v>Chronic pulmonary disease</v>
      </c>
      <c r="D21" s="12" t="s">
        <v>1853</v>
      </c>
      <c r="E21" s="11"/>
      <c r="F21" s="64" t="s">
        <v>1429</v>
      </c>
      <c r="G21" s="123"/>
      <c r="H21" s="58"/>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3"/>
        <v>1</v>
      </c>
      <c r="R21" s="11">
        <f t="shared" si="14"/>
        <v>1</v>
      </c>
      <c r="S21" s="12" t="str" cm="1">
        <f t="array" ref="S21">INDEX('Subject-ConceptMap-4'!$I$15:$N$123,Q21+1,R21)</f>
        <v>* group[=].element[+].code = #Subject.comorbidity.myocardialInfarction</v>
      </c>
    </row>
    <row r="22" spans="1:19" ht="73.75">
      <c r="A22" s="59"/>
      <c r="B22" s="11" t="str">
        <f>Subject!B25</f>
        <v>comorbidity.connectiveTissueDisease</v>
      </c>
      <c r="C22" s="11" t="str">
        <f>Subject!C25</f>
        <v>Connective tissue disease</v>
      </c>
      <c r="D22" s="12" t="s">
        <v>1853</v>
      </c>
      <c r="E22" s="11"/>
      <c r="F22" s="64" t="s">
        <v>1429</v>
      </c>
      <c r="G22" s="123"/>
      <c r="H22" s="58"/>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INDEX('Subject-ConceptMap-4'!$I$15:$N$123,Q22+1,R22)</f>
        <v>* group[=].element[=].display = ##34#Myocardial infarction##34#</v>
      </c>
    </row>
    <row r="23" spans="1:19" ht="29.5" customHeight="1">
      <c r="A23" s="59"/>
      <c r="B23" s="11" t="str">
        <f>Subject!B26</f>
        <v>comorbidity.ulcer</v>
      </c>
      <c r="C23" s="11" t="str">
        <f>Subject!C26</f>
        <v>Ulcer</v>
      </c>
      <c r="D23" s="12" t="s">
        <v>1853</v>
      </c>
      <c r="E23" s="11"/>
      <c r="F23" s="64" t="s">
        <v>1429</v>
      </c>
      <c r="G23" s="123"/>
      <c r="H23" s="58"/>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3"/>
        <v>1</v>
      </c>
      <c r="R23" s="11">
        <f t="shared" si="14"/>
        <v>3</v>
      </c>
      <c r="S23" s="12" t="str" cm="1">
        <f t="array" ref="S23">INDEX('Subject-ConceptMap-4'!$I$15:$N$123,Q23+1,R23)</f>
        <v>* group[=].element[=].target.code = #Observation.extension:comorbidConditionPresent</v>
      </c>
    </row>
    <row r="24" spans="1:19" ht="73.75">
      <c r="A24" s="59"/>
      <c r="B24" s="11" t="str">
        <f>Subject!B27</f>
        <v>comorbidity.mildLiverDisease</v>
      </c>
      <c r="C24" s="11" t="str">
        <f>Subject!C27</f>
        <v>Mild liver disease</v>
      </c>
      <c r="D24" s="12" t="s">
        <v>1853</v>
      </c>
      <c r="E24" s="11"/>
      <c r="F24" s="64" t="s">
        <v>1429</v>
      </c>
      <c r="G24" s="123"/>
      <c r="H24" s="58"/>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3"/>
        <v>1</v>
      </c>
      <c r="R24" s="11">
        <f t="shared" si="14"/>
        <v>4</v>
      </c>
      <c r="S24" s="12" t="str" cm="1">
        <f t="array" ref="S24">INDEX('Subject-ConceptMap-4'!$I$15:$N$123,Q24+1,R24)</f>
        <v>* group[=].element[=].target.display = ##34###34#</v>
      </c>
    </row>
    <row r="25" spans="1:19" ht="73.75">
      <c r="A25" s="59"/>
      <c r="B25" s="11" t="str">
        <f>Subject!B28</f>
        <v>comorbidity.moderateToSevereLiverDisease</v>
      </c>
      <c r="C25" s="11" t="str">
        <f>Subject!C28</f>
        <v>Moderate to severe liver disease</v>
      </c>
      <c r="D25" s="12" t="s">
        <v>1853</v>
      </c>
      <c r="E25" s="12"/>
      <c r="F25" s="64" t="s">
        <v>1429</v>
      </c>
      <c r="G25" s="123"/>
      <c r="H25" s="58"/>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3"/>
        <v>1</v>
      </c>
      <c r="R25" s="11">
        <f t="shared" si="14"/>
        <v>5</v>
      </c>
      <c r="S25" s="12" t="str" cm="1">
        <f t="array" ref="S25">INDEX('Subject-ConceptMap-4'!$I$15:$N$123,Q25+1,R25)</f>
        <v>* group[=].element[=].target.equivalence = #relatedto</v>
      </c>
    </row>
    <row r="26" spans="1:19" ht="73.75">
      <c r="A26" s="59"/>
      <c r="B26" s="11" t="str">
        <f>Subject!B29</f>
        <v>comorbidity.diabetesWithoutComplications</v>
      </c>
      <c r="C26" s="11" t="str">
        <f>Subject!C29</f>
        <v>Diabetes (without complications)</v>
      </c>
      <c r="D26" s="12" t="s">
        <v>1853</v>
      </c>
      <c r="E26" s="12"/>
      <c r="F26" s="64" t="s">
        <v>1429</v>
      </c>
      <c r="G26" s="123"/>
      <c r="H26" s="58"/>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3"/>
        <v>1</v>
      </c>
      <c r="R26" s="11">
        <f t="shared" si="14"/>
        <v>6</v>
      </c>
      <c r="S26" s="12" t="str" cm="1">
        <f t="array" ref="S26">INDEX('Subject-ConceptMap-4'!$I$15:$N$123,Q26+1,R26)</f>
        <v/>
      </c>
    </row>
    <row r="27" spans="1:19" ht="73.75">
      <c r="B27" s="11" t="str">
        <f>Subject!B30</f>
        <v>comorbidity.diabetesWithEndOrganDamage</v>
      </c>
      <c r="C27" s="11" t="str">
        <f>Subject!C30</f>
        <v>Diabetes with end organ damage</v>
      </c>
      <c r="D27" s="12" t="s">
        <v>1853</v>
      </c>
      <c r="E27" s="12"/>
      <c r="F27" s="64" t="s">
        <v>1429</v>
      </c>
      <c r="G27" s="123"/>
      <c r="H27" s="58"/>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3"/>
        <v>2</v>
      </c>
      <c r="R27" s="11">
        <f t="shared" si="14"/>
        <v>1</v>
      </c>
      <c r="S27" s="12" t="str" cm="1">
        <f t="array" ref="S27">INDEX('Subject-ConceptMap-4'!$I$15:$N$123,Q27+1,R27)</f>
        <v>* group[=].element[+].code = #Subject.comorbidity.congestiveHeartFailure</v>
      </c>
    </row>
    <row r="28" spans="1:19" ht="73.75">
      <c r="B28" s="11" t="str">
        <f>Subject!B31</f>
        <v>comorbidity.hemiplegia</v>
      </c>
      <c r="C28" s="11" t="str">
        <f>Subject!C31</f>
        <v>Hemiplegia</v>
      </c>
      <c r="D28" s="12" t="s">
        <v>1853</v>
      </c>
      <c r="E28" s="12"/>
      <c r="F28" s="64" t="s">
        <v>1429</v>
      </c>
      <c r="G28" s="123"/>
      <c r="H28" s="58"/>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INDEX('Subject-ConceptMap-4'!$I$15:$N$123,Q28+1,R28)</f>
        <v>* group[=].element[=].display = ##34#Congestive heart failure##34#</v>
      </c>
    </row>
    <row r="29" spans="1:19" ht="73.75">
      <c r="B29" s="11" t="str">
        <f>Subject!B32</f>
        <v>comorbidity.moderateToSevereRenalDisease</v>
      </c>
      <c r="C29" s="11" t="str">
        <f>Subject!C32</f>
        <v>Moderate to severe renal disease</v>
      </c>
      <c r="D29" s="12" t="s">
        <v>1853</v>
      </c>
      <c r="E29" s="12"/>
      <c r="F29" s="64" t="s">
        <v>1429</v>
      </c>
      <c r="G29" s="123"/>
      <c r="H29" s="58"/>
      <c r="I29" s="12" t="str">
        <f t="shared" si="7"/>
        <v>* group[=].element[+].code = #Subject.comorbidity.moderateToSevereRenalDisease</v>
      </c>
      <c r="J29" s="12" t="str">
        <f t="shared" si="8"/>
        <v>* group[=].element[=].display = ##34#Moderate to severe renal disease##34#</v>
      </c>
      <c r="K29" s="12" t="str">
        <f t="shared" si="9"/>
        <v>* group[=].element[=].target.code = #Observation.extension:comorbidConditionPresent</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INDEX('Subject-ConceptMap-4'!$I$15:$N$123,Q29+1,R29)</f>
        <v>* group[=].element[=].target.code = #Observation.extension:comorbidConditionPresent</v>
      </c>
    </row>
    <row r="30" spans="1:19" ht="73.75">
      <c r="B30" s="11" t="str">
        <f>Subject!B33</f>
        <v>comorbidity.solidTumorNonMetastatic</v>
      </c>
      <c r="C30" s="11" t="str">
        <f>Subject!C33</f>
        <v>Solid tumor (non metastatic)</v>
      </c>
      <c r="D30" s="12" t="s">
        <v>1853</v>
      </c>
      <c r="E30" s="12"/>
      <c r="F30" s="64" t="s">
        <v>1429</v>
      </c>
      <c r="G30" s="123"/>
      <c r="H30" s="58"/>
      <c r="I30" s="12" t="str">
        <f t="shared" si="7"/>
        <v>* group[=].element[+].code = #Subject.comorbidity.solidTumorNonMetastatic</v>
      </c>
      <c r="J30" s="12" t="str">
        <f t="shared" si="8"/>
        <v>* group[=].element[=].display = ##34#Solid tumor (non metastatic)##34#</v>
      </c>
      <c r="K30" s="12" t="str">
        <f t="shared" si="9"/>
        <v>* group[=].element[=].target.code = #Observation.extension:comorbidConditionPresent</v>
      </c>
      <c r="L30" s="12" t="str">
        <f t="shared" si="10"/>
        <v>* group[=].element[=].target.display = ##34###34#</v>
      </c>
      <c r="M30" s="12" t="str">
        <f t="shared" si="11"/>
        <v>* group[=].element[=].target.equivalence = #equivalent</v>
      </c>
      <c r="N30" s="12" t="str">
        <f t="shared" si="12"/>
        <v/>
      </c>
      <c r="P30" s="11">
        <v>16</v>
      </c>
      <c r="Q30" s="11">
        <f t="shared" si="13"/>
        <v>2</v>
      </c>
      <c r="R30" s="11">
        <f t="shared" si="14"/>
        <v>4</v>
      </c>
      <c r="S30" s="12" t="str" cm="1">
        <f t="array" ref="S30">INDEX('Subject-ConceptMap-4'!$I$15:$N$123,Q30+1,R30)</f>
        <v>* group[=].element[=].target.display = ##34###34#</v>
      </c>
    </row>
    <row r="31" spans="1:19" ht="73.75">
      <c r="B31" s="11" t="str">
        <f>Subject!B34</f>
        <v>comorbidity.metastaticSolidTumor</v>
      </c>
      <c r="C31" s="11" t="str">
        <f>Subject!C34</f>
        <v>Metastatic solid tumor</v>
      </c>
      <c r="D31" s="12" t="s">
        <v>1853</v>
      </c>
      <c r="E31" s="12"/>
      <c r="F31" s="64" t="s">
        <v>1429</v>
      </c>
      <c r="G31" s="123"/>
      <c r="H31" s="58"/>
      <c r="I31" s="12" t="str">
        <f t="shared" si="7"/>
        <v>* group[=].element[+].code = #Subject.comorbidity.metastaticSolidTumor</v>
      </c>
      <c r="J31" s="12" t="str">
        <f t="shared" si="8"/>
        <v>* group[=].element[=].display = ##34#Metastatic solid tumor##34#</v>
      </c>
      <c r="K31" s="12" t="str">
        <f t="shared" si="9"/>
        <v>* group[=].element[=].target.code = #Observation.extension:comorbidConditionPresent</v>
      </c>
      <c r="L31" s="12" t="str">
        <f t="shared" si="10"/>
        <v>* group[=].element[=].target.display = ##34###34#</v>
      </c>
      <c r="M31" s="12" t="str">
        <f t="shared" si="11"/>
        <v>* group[=].element[=].target.equivalence = #equivalent</v>
      </c>
      <c r="N31" s="12" t="str">
        <f t="shared" si="12"/>
        <v/>
      </c>
      <c r="P31" s="11">
        <v>17</v>
      </c>
      <c r="Q31" s="11">
        <f t="shared" si="13"/>
        <v>2</v>
      </c>
      <c r="R31" s="11">
        <f t="shared" si="14"/>
        <v>5</v>
      </c>
      <c r="S31" s="12" t="str" cm="1">
        <f t="array" ref="S31">INDEX('Subject-ConceptMap-4'!$I$15:$N$123,Q31+1,R31)</f>
        <v>* group[=].element[=].target.equivalence = #equivalent</v>
      </c>
    </row>
    <row r="32" spans="1:19" ht="73.75">
      <c r="B32" s="11" t="str">
        <f>Subject!B35</f>
        <v>comorbidity.leukemia</v>
      </c>
      <c r="C32" s="11" t="str">
        <f>Subject!C35</f>
        <v>Leukemia</v>
      </c>
      <c r="D32" s="12" t="s">
        <v>1853</v>
      </c>
      <c r="E32" s="12"/>
      <c r="F32" s="64" t="s">
        <v>1429</v>
      </c>
      <c r="G32" s="123"/>
      <c r="H32" s="58"/>
      <c r="I32" s="12" t="str">
        <f t="shared" si="7"/>
        <v>* group[=].element[+].code = #Subject.comorbidity.leukemia</v>
      </c>
      <c r="J32" s="12" t="str">
        <f t="shared" si="8"/>
        <v>* group[=].element[=].display = ##34#Leukemia##34#</v>
      </c>
      <c r="K32" s="12" t="str">
        <f t="shared" si="9"/>
        <v>* group[=].element[=].target.code = #Observation.extension:comorbidConditionPresent</v>
      </c>
      <c r="L32" s="12" t="str">
        <f t="shared" si="10"/>
        <v>* group[=].element[=].target.display = ##34###34#</v>
      </c>
      <c r="M32" s="12" t="str">
        <f t="shared" si="11"/>
        <v>* group[=].element[=].target.equivalence = #equivalent</v>
      </c>
      <c r="N32" s="12" t="str">
        <f t="shared" si="12"/>
        <v/>
      </c>
      <c r="P32" s="11">
        <v>18</v>
      </c>
      <c r="Q32" s="11">
        <f t="shared" si="13"/>
        <v>2</v>
      </c>
      <c r="R32" s="11">
        <f t="shared" si="14"/>
        <v>6</v>
      </c>
      <c r="S32" s="12" t="str" cm="1">
        <f t="array" ref="S32">INDEX('Subject-ConceptMap-4'!$I$15:$N$123,Q32+1,R32)</f>
        <v/>
      </c>
    </row>
    <row r="33" spans="1:19" ht="73.75">
      <c r="B33" s="11" t="str">
        <f>Subject!B36</f>
        <v>comorbidity.lymphoma</v>
      </c>
      <c r="C33" s="11" t="str">
        <f>Subject!C36</f>
        <v>Lymphoma</v>
      </c>
      <c r="D33" s="12" t="s">
        <v>1853</v>
      </c>
      <c r="E33" s="12"/>
      <c r="F33" s="64" t="s">
        <v>1429</v>
      </c>
      <c r="G33" s="123"/>
      <c r="H33" s="58"/>
      <c r="I33" s="12" t="str">
        <f t="shared" si="7"/>
        <v>* group[=].element[+].code = #Subject.comorbidity.lymphoma</v>
      </c>
      <c r="J33" s="12" t="str">
        <f t="shared" si="8"/>
        <v>* group[=].element[=].display = ##34#Lymphoma##34#</v>
      </c>
      <c r="K33" s="12" t="str">
        <f t="shared" si="9"/>
        <v>* group[=].element[=].target.code = #Observation.extension:comorbidConditionPresent</v>
      </c>
      <c r="L33" s="12" t="str">
        <f t="shared" si="10"/>
        <v>* group[=].element[=].target.display = ##34###34#</v>
      </c>
      <c r="M33" s="12" t="str">
        <f t="shared" si="11"/>
        <v>* group[=].element[=].target.equivalence = #equivalent</v>
      </c>
      <c r="N33" s="12" t="str">
        <f t="shared" si="12"/>
        <v/>
      </c>
      <c r="P33" s="11">
        <v>19</v>
      </c>
      <c r="Q33" s="11">
        <f t="shared" si="13"/>
        <v>3</v>
      </c>
      <c r="R33" s="11">
        <f t="shared" si="14"/>
        <v>1</v>
      </c>
      <c r="S33" s="12" t="str" cm="1">
        <f t="array" ref="S33">INDEX('Subject-ConceptMap-4'!$I$15:$N$123,Q33+1,R33)</f>
        <v>* group[=].element[+].code = #Subject.comorbidity.peripheralVascularDisease</v>
      </c>
    </row>
    <row r="34" spans="1:19" ht="73.75">
      <c r="B34" s="11" t="str">
        <f>Subject!B37</f>
        <v>comorbidity.multipleMyeloma</v>
      </c>
      <c r="C34" s="11" t="str">
        <f>Subject!C37</f>
        <v>Multiple myeloma</v>
      </c>
      <c r="D34" s="12" t="s">
        <v>1853</v>
      </c>
      <c r="E34" s="12"/>
      <c r="F34" s="64" t="s">
        <v>1429</v>
      </c>
      <c r="G34" s="123"/>
      <c r="H34" s="58"/>
      <c r="I34" s="12" t="str">
        <f t="shared" si="7"/>
        <v>* group[=].element[+].code = #Subject.comorbidity.multipleMyeloma</v>
      </c>
      <c r="J34" s="12" t="str">
        <f t="shared" si="8"/>
        <v>* group[=].element[=].display = ##34#Multiple myeloma##34#</v>
      </c>
      <c r="K34" s="12" t="str">
        <f t="shared" si="9"/>
        <v>* group[=].element[=].target.code = #Observation.extension:comorbidConditionPresent</v>
      </c>
      <c r="L34" s="12" t="str">
        <f t="shared" si="10"/>
        <v>* group[=].element[=].target.display = ##34###34#</v>
      </c>
      <c r="M34" s="12" t="str">
        <f t="shared" si="11"/>
        <v>* group[=].element[=].target.equivalence = #equivalent</v>
      </c>
      <c r="N34" s="12" t="str">
        <f t="shared" si="12"/>
        <v/>
      </c>
      <c r="P34" s="11">
        <v>20</v>
      </c>
      <c r="Q34" s="11">
        <f t="shared" si="13"/>
        <v>3</v>
      </c>
      <c r="R34" s="11">
        <f t="shared" si="14"/>
        <v>2</v>
      </c>
      <c r="S34" s="12" t="str" cm="1">
        <f t="array" ref="S34">INDEX('Subject-ConceptMap-4'!$I$15:$N$123,Q34+1,R34)</f>
        <v>* group[=].element[=].display = ##34#Peripheral vascular disease##34#</v>
      </c>
    </row>
    <row r="35" spans="1:19" ht="73.75">
      <c r="B35" s="11" t="str">
        <f>Subject!B38</f>
        <v>comorbidity.aids</v>
      </c>
      <c r="C35" s="11" t="str">
        <f>Subject!C38</f>
        <v>AIDS</v>
      </c>
      <c r="D35" s="12" t="s">
        <v>1853</v>
      </c>
      <c r="E35" s="12"/>
      <c r="F35" s="64" t="s">
        <v>1429</v>
      </c>
      <c r="G35" s="123"/>
      <c r="H35" s="58"/>
      <c r="I35" s="12" t="str">
        <f t="shared" si="7"/>
        <v>* group[=].element[+].code = #Subject.comorbidity.aids</v>
      </c>
      <c r="J35" s="12" t="str">
        <f t="shared" si="8"/>
        <v>* group[=].element[=].display = ##34#AIDS##34#</v>
      </c>
      <c r="K35" s="12" t="str">
        <f t="shared" si="9"/>
        <v>* group[=].element[=].target.code = #Observation.extension:comorbidConditionPresent</v>
      </c>
      <c r="L35" s="12" t="str">
        <f t="shared" si="10"/>
        <v>* group[=].element[=].target.display = ##34###34#</v>
      </c>
      <c r="M35" s="12" t="str">
        <f t="shared" si="11"/>
        <v>* group[=].element[=].target.equivalence = #equivalent</v>
      </c>
      <c r="N35" s="12" t="str">
        <f t="shared" si="12"/>
        <v/>
      </c>
      <c r="P35" s="11">
        <v>21</v>
      </c>
      <c r="Q35" s="11">
        <f t="shared" si="13"/>
        <v>3</v>
      </c>
      <c r="R35" s="11">
        <f t="shared" si="14"/>
        <v>3</v>
      </c>
      <c r="S35" s="12" t="str" cm="1">
        <f t="array" ref="S35">INDEX('Subject-ConceptMap-4'!$I$15:$N$123,Q35+1,R35)</f>
        <v>* group[=].element[=].target.code = #Observation.extension:comorbidConditionPresent</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INDEX('Subject-ConceptMap-4'!$I$15:$N$123,Q36+1,R36)</f>
        <v>* group[=].element[=].target.display = ##34###34#</v>
      </c>
    </row>
    <row r="37" spans="1:19">
      <c r="B37" s="11"/>
      <c r="C37" s="11"/>
      <c r="D37" s="12"/>
      <c r="E37" s="12"/>
      <c r="F37" s="64"/>
      <c r="G37" s="64"/>
      <c r="H37" s="58"/>
      <c r="K37" s="58"/>
      <c r="L37" s="58"/>
      <c r="M37" s="66"/>
      <c r="N37" s="66"/>
      <c r="P37" s="11">
        <v>23</v>
      </c>
      <c r="Q37" s="11">
        <f t="shared" si="13"/>
        <v>3</v>
      </c>
      <c r="R37" s="11">
        <f t="shared" si="14"/>
        <v>5</v>
      </c>
      <c r="S37" s="12" t="str" cm="1">
        <f t="array" ref="S37">INDEX('Subject-ConceptMap-4'!$I$15:$N$123,Q37+1,R37)</f>
        <v>* group[=].element[=].target.equivalence = #equivalent</v>
      </c>
    </row>
    <row r="38" spans="1:19">
      <c r="B38" s="11"/>
      <c r="C38" s="11"/>
      <c r="D38" s="12"/>
      <c r="E38" s="12"/>
      <c r="F38" s="64"/>
      <c r="G38" s="64"/>
      <c r="H38" s="58"/>
      <c r="K38" s="58"/>
      <c r="L38" s="58"/>
      <c r="M38" s="66"/>
      <c r="N38" s="66"/>
      <c r="P38" s="11">
        <v>24</v>
      </c>
      <c r="Q38" s="11">
        <f t="shared" si="13"/>
        <v>3</v>
      </c>
      <c r="R38" s="11">
        <f t="shared" si="14"/>
        <v>6</v>
      </c>
      <c r="S38" s="12" t="str" cm="1">
        <f t="array" ref="S38">INDEX('Subject-ConceptMap-4'!$I$15:$N$123,Q38+1,R38)</f>
        <v/>
      </c>
    </row>
    <row r="39" spans="1:19" s="2" customFormat="1" ht="29.5">
      <c r="A39"/>
      <c r="B39" s="11"/>
      <c r="C39" s="11"/>
      <c r="D39" s="12"/>
      <c r="E39" s="12"/>
      <c r="F39" s="64"/>
      <c r="G39" s="58"/>
      <c r="H39" s="58"/>
      <c r="J39"/>
      <c r="K39" s="58"/>
      <c r="L39" s="58"/>
      <c r="M39" s="66"/>
      <c r="N39" s="66"/>
      <c r="P39" s="11">
        <v>25</v>
      </c>
      <c r="Q39" s="11">
        <f t="shared" si="13"/>
        <v>4</v>
      </c>
      <c r="R39" s="11">
        <f t="shared" si="14"/>
        <v>1</v>
      </c>
      <c r="S39" s="12" t="str" cm="1">
        <f t="array" ref="S39">INDEX('Subject-ConceptMap-4'!$I$15:$N$123,Q39+1,R39)</f>
        <v>* group[=].element[+].code = #Subject.comorbidity.cerebrovascularAccidentExceptHemiplegia</v>
      </c>
    </row>
    <row r="40" spans="1:19" s="2" customFormat="1" ht="29.5">
      <c r="A40"/>
      <c r="B40" s="11"/>
      <c r="C40" s="11"/>
      <c r="D40" s="12"/>
      <c r="F40" s="64"/>
      <c r="G40" s="58"/>
      <c r="H40" s="58"/>
      <c r="J40"/>
      <c r="K40" s="58"/>
      <c r="L40" s="58"/>
      <c r="M40" s="66"/>
      <c r="N40" s="66"/>
      <c r="P40" s="11">
        <v>26</v>
      </c>
      <c r="Q40" s="11">
        <f t="shared" si="13"/>
        <v>4</v>
      </c>
      <c r="R40" s="11">
        <f t="shared" si="14"/>
        <v>2</v>
      </c>
      <c r="S40" s="12" t="str" cm="1">
        <f t="array" ref="S40">INDEX('Subject-ConceptMap-4'!$I$15:$N$123,Q40+1,R40)</f>
        <v>* group[=].element[=].display = ##34#Cerebrovascular accident  (except hemiplegia)##34#</v>
      </c>
    </row>
    <row r="41" spans="1:19" s="2" customFormat="1" ht="29.5">
      <c r="A41"/>
      <c r="B41" s="11"/>
      <c r="C41" s="12"/>
      <c r="D41" s="12"/>
      <c r="F41" s="64"/>
      <c r="G41" s="58"/>
      <c r="H41" s="58"/>
      <c r="J41"/>
      <c r="K41" s="58"/>
      <c r="L41" s="58"/>
      <c r="M41" s="66"/>
      <c r="N41" s="66"/>
      <c r="P41" s="11">
        <v>27</v>
      </c>
      <c r="Q41" s="11">
        <f t="shared" si="13"/>
        <v>4</v>
      </c>
      <c r="R41" s="11">
        <f t="shared" si="14"/>
        <v>3</v>
      </c>
      <c r="S41" s="12" t="str" cm="1">
        <f t="array" ref="S41">INDEX('Subject-ConceptMap-4'!$I$15:$N$123,Q41+1,R41)</f>
        <v>* group[=].element[=].target.code = #Observation.extension:comorbidConditionPresent</v>
      </c>
    </row>
    <row r="42" spans="1:19" s="2" customFormat="1">
      <c r="A42"/>
      <c r="B42" s="11"/>
      <c r="C42" s="12"/>
      <c r="D42" s="12"/>
      <c r="F42" s="64"/>
      <c r="G42" s="58"/>
      <c r="H42" s="58"/>
      <c r="J42" s="58"/>
      <c r="K42" s="58"/>
      <c r="L42" s="58"/>
      <c r="M42" s="66"/>
      <c r="N42" s="66"/>
      <c r="P42" s="11">
        <v>28</v>
      </c>
      <c r="Q42" s="11">
        <f t="shared" si="13"/>
        <v>4</v>
      </c>
      <c r="R42" s="11">
        <f t="shared" si="14"/>
        <v>4</v>
      </c>
      <c r="S42" s="12" t="str" cm="1">
        <f t="array" ref="S42">INDEX('Subject-ConceptMap-4'!$I$15:$N$123,Q42+1,R42)</f>
        <v>* group[=].element[=].target.display = ##34###34#</v>
      </c>
    </row>
    <row r="43" spans="1:19" s="2" customFormat="1">
      <c r="A43"/>
      <c r="B43" s="11"/>
      <c r="C43" s="12"/>
      <c r="F43" s="64"/>
      <c r="G43" s="58"/>
      <c r="H43" s="58"/>
      <c r="J43" s="58"/>
      <c r="K43" s="58"/>
      <c r="L43" s="58"/>
      <c r="M43" s="66"/>
      <c r="N43" s="66"/>
      <c r="P43" s="11">
        <v>29</v>
      </c>
      <c r="Q43" s="11">
        <f t="shared" si="13"/>
        <v>4</v>
      </c>
      <c r="R43" s="11">
        <f t="shared" si="14"/>
        <v>5</v>
      </c>
      <c r="S43" s="12" t="str" cm="1">
        <f t="array" ref="S43">INDEX('Subject-ConceptMap-4'!$I$15:$N$123,Q43+1,R43)</f>
        <v>* group[=].element[=].target.equivalence = #equivalent</v>
      </c>
    </row>
    <row r="44" spans="1:19">
      <c r="B44" s="11"/>
      <c r="C44" s="12"/>
      <c r="F44" s="64"/>
      <c r="P44" s="11">
        <v>30</v>
      </c>
      <c r="Q44" s="11">
        <f t="shared" si="13"/>
        <v>4</v>
      </c>
      <c r="R44" s="11">
        <f t="shared" si="14"/>
        <v>6</v>
      </c>
      <c r="S44" s="12" t="str" cm="1">
        <f t="array" ref="S44">INDEX('Subject-ConceptMap-4'!$I$15:$N$123,Q44+1,R44)</f>
        <v/>
      </c>
    </row>
    <row r="45" spans="1:19">
      <c r="B45" s="11"/>
      <c r="C45" s="12"/>
      <c r="F45" s="64"/>
      <c r="P45" s="11">
        <v>31</v>
      </c>
      <c r="Q45" s="11">
        <f t="shared" si="13"/>
        <v>5</v>
      </c>
      <c r="R45" s="11">
        <f t="shared" si="14"/>
        <v>1</v>
      </c>
      <c r="S45" s="12" t="str" cm="1">
        <f t="array" ref="S45">INDEX('Subject-ConceptMap-4'!$I$15:$N$123,Q45+1,R45)</f>
        <v>* group[=].element[+].code = #Subject.comorbidity.dementia</v>
      </c>
    </row>
    <row r="46" spans="1:19">
      <c r="B46" s="11"/>
      <c r="C46" s="12"/>
      <c r="P46" s="11">
        <v>32</v>
      </c>
      <c r="Q46" s="11">
        <f t="shared" si="13"/>
        <v>5</v>
      </c>
      <c r="R46" s="11">
        <f t="shared" si="14"/>
        <v>2</v>
      </c>
      <c r="S46" s="12" t="str" cm="1">
        <f t="array" ref="S46">INDEX('Subject-ConceptMap-4'!$I$15:$N$123,Q46+1,R46)</f>
        <v>* group[=].element[=].display = ##34#Dementia##34#</v>
      </c>
    </row>
    <row r="47" spans="1:19" ht="29.5">
      <c r="B47" s="11"/>
      <c r="C47" s="12"/>
      <c r="P47" s="11">
        <v>33</v>
      </c>
      <c r="Q47" s="11">
        <f t="shared" si="13"/>
        <v>5</v>
      </c>
      <c r="R47" s="11">
        <f t="shared" si="14"/>
        <v>3</v>
      </c>
      <c r="S47" s="12" t="str" cm="1">
        <f t="array" ref="S47">INDEX('Subject-ConceptMap-4'!$I$15:$N$123,Q47+1,R47)</f>
        <v>* group[=].element[=].target.code = #Observation.extension:comorbidConditionPresent</v>
      </c>
    </row>
    <row r="48" spans="1:19">
      <c r="P48" s="11">
        <v>34</v>
      </c>
      <c r="Q48" s="11">
        <f t="shared" si="13"/>
        <v>5</v>
      </c>
      <c r="R48" s="11">
        <f t="shared" si="14"/>
        <v>4</v>
      </c>
      <c r="S48" s="12" t="str" cm="1">
        <f t="array" ref="S48">INDEX('Subject-ConceptMap-4'!$I$15:$N$123,Q48+1,R48)</f>
        <v>* group[=].element[=].target.display = ##34###34#</v>
      </c>
    </row>
    <row r="49" spans="16:19">
      <c r="P49" s="11">
        <v>35</v>
      </c>
      <c r="Q49" s="11">
        <f t="shared" si="13"/>
        <v>5</v>
      </c>
      <c r="R49" s="11">
        <f t="shared" si="14"/>
        <v>5</v>
      </c>
      <c r="S49" s="12" t="str" cm="1">
        <f t="array" ref="S49">INDEX('Subject-ConceptMap-4'!$I$15:$N$123,Q49+1,R49)</f>
        <v>* group[=].element[=].target.equivalence = #equivalent</v>
      </c>
    </row>
    <row r="50" spans="16:19">
      <c r="P50" s="11">
        <v>36</v>
      </c>
      <c r="Q50" s="11">
        <f t="shared" si="13"/>
        <v>5</v>
      </c>
      <c r="R50" s="11">
        <f t="shared" si="14"/>
        <v>6</v>
      </c>
      <c r="S50" s="12" t="str" cm="1">
        <f t="array" ref="S50">INDEX('Subject-ConceptMap-4'!$I$15:$N$123,Q50+1,R50)</f>
        <v/>
      </c>
    </row>
    <row r="51" spans="16:19">
      <c r="P51" s="11">
        <v>37</v>
      </c>
      <c r="Q51" s="11">
        <f t="shared" si="13"/>
        <v>6</v>
      </c>
      <c r="R51" s="11">
        <f t="shared" si="14"/>
        <v>1</v>
      </c>
      <c r="S51" s="12" t="str" cm="1">
        <f t="array" ref="S51">INDEX('Subject-ConceptMap-4'!$I$15:$N$123,Q51+1,R51)</f>
        <v>* group[=].element[+].code = #Subject.comorbidity.chronicPulmonaryDisease</v>
      </c>
    </row>
    <row r="52" spans="16:19">
      <c r="P52" s="11">
        <v>38</v>
      </c>
      <c r="Q52" s="11">
        <f t="shared" si="13"/>
        <v>6</v>
      </c>
      <c r="R52" s="11">
        <f t="shared" si="14"/>
        <v>2</v>
      </c>
      <c r="S52" s="12" t="str" cm="1">
        <f t="array" ref="S52">INDEX('Subject-ConceptMap-4'!$I$15:$N$123,Q52+1,R52)</f>
        <v>* group[=].element[=].display = ##34#Chronic pulmonary disease##34#</v>
      </c>
    </row>
    <row r="53" spans="16:19" ht="29.5">
      <c r="P53" s="11">
        <v>39</v>
      </c>
      <c r="Q53" s="11">
        <f t="shared" si="13"/>
        <v>6</v>
      </c>
      <c r="R53" s="11">
        <f t="shared" si="14"/>
        <v>3</v>
      </c>
      <c r="S53" s="12" t="str" cm="1">
        <f t="array" ref="S53">INDEX('Subject-ConceptMap-4'!$I$15:$N$123,Q53+1,R53)</f>
        <v>* group[=].element[=].target.code = #Observation.extension:comorbidConditionPresent</v>
      </c>
    </row>
    <row r="54" spans="16:19">
      <c r="P54" s="11">
        <v>40</v>
      </c>
      <c r="Q54" s="11">
        <f t="shared" si="13"/>
        <v>6</v>
      </c>
      <c r="R54" s="11">
        <f t="shared" si="14"/>
        <v>4</v>
      </c>
      <c r="S54" s="12" t="str" cm="1">
        <f t="array" ref="S54">INDEX('Subject-ConceptMap-4'!$I$15:$N$123,Q54+1,R54)</f>
        <v>* group[=].element[=].target.display = ##34###34#</v>
      </c>
    </row>
    <row r="55" spans="16:19">
      <c r="P55" s="11">
        <v>41</v>
      </c>
      <c r="Q55" s="11">
        <f t="shared" si="13"/>
        <v>6</v>
      </c>
      <c r="R55" s="11">
        <f t="shared" si="14"/>
        <v>5</v>
      </c>
      <c r="S55" s="12" t="str" cm="1">
        <f t="array" ref="S55">INDEX('Subject-ConceptMap-4'!$I$15:$N$123,Q55+1,R55)</f>
        <v>* group[=].element[=].target.equivalence = #equivalent</v>
      </c>
    </row>
    <row r="56" spans="16:19">
      <c r="P56" s="11">
        <v>42</v>
      </c>
      <c r="Q56" s="11">
        <f t="shared" si="13"/>
        <v>6</v>
      </c>
      <c r="R56" s="11">
        <f t="shared" si="14"/>
        <v>6</v>
      </c>
      <c r="S56" s="12" t="str" cm="1">
        <f t="array" ref="S56">INDEX('Subject-ConceptMap-4'!$I$15:$N$123,Q56+1,R56)</f>
        <v/>
      </c>
    </row>
    <row r="57" spans="16:19">
      <c r="P57" s="11">
        <v>43</v>
      </c>
      <c r="Q57" s="11">
        <f t="shared" si="13"/>
        <v>7</v>
      </c>
      <c r="R57" s="11">
        <f t="shared" si="14"/>
        <v>1</v>
      </c>
      <c r="S57" s="12" t="str" cm="1">
        <f t="array" ref="S57">INDEX('Subject-ConceptMap-4'!$I$15:$N$123,Q57+1,R57)</f>
        <v>* group[=].element[+].code = #Subject.comorbidity.connectiveTissueDisease</v>
      </c>
    </row>
    <row r="58" spans="16:19">
      <c r="P58" s="11">
        <v>44</v>
      </c>
      <c r="Q58" s="11">
        <f t="shared" si="13"/>
        <v>7</v>
      </c>
      <c r="R58" s="11">
        <f t="shared" si="14"/>
        <v>2</v>
      </c>
      <c r="S58" s="12" t="str" cm="1">
        <f t="array" ref="S58">INDEX('Subject-ConceptMap-4'!$I$15:$N$123,Q58+1,R58)</f>
        <v>* group[=].element[=].display = ##34#Connective tissue disease##34#</v>
      </c>
    </row>
    <row r="59" spans="16:19" ht="29.5">
      <c r="P59" s="11">
        <v>45</v>
      </c>
      <c r="Q59" s="11">
        <f t="shared" si="13"/>
        <v>7</v>
      </c>
      <c r="R59" s="11">
        <f t="shared" si="14"/>
        <v>3</v>
      </c>
      <c r="S59" s="12" t="str" cm="1">
        <f t="array" ref="S59">INDEX('Subject-ConceptMap-4'!$I$15:$N$123,Q59+1,R59)</f>
        <v>* group[=].element[=].target.code = #Observation.extension:comorbidConditionPresent</v>
      </c>
    </row>
    <row r="60" spans="16:19">
      <c r="P60" s="11">
        <v>46</v>
      </c>
      <c r="Q60" s="11">
        <f t="shared" si="13"/>
        <v>7</v>
      </c>
      <c r="R60" s="11">
        <f t="shared" si="14"/>
        <v>4</v>
      </c>
      <c r="S60" s="12" t="str" cm="1">
        <f t="array" ref="S60">INDEX('Subject-ConceptMap-4'!$I$15:$N$123,Q60+1,R60)</f>
        <v>* group[=].element[=].target.display = ##34###34#</v>
      </c>
    </row>
    <row r="61" spans="16:19">
      <c r="P61" s="11">
        <v>47</v>
      </c>
      <c r="Q61" s="11">
        <f t="shared" si="13"/>
        <v>7</v>
      </c>
      <c r="R61" s="11">
        <f t="shared" si="14"/>
        <v>5</v>
      </c>
      <c r="S61" s="12" t="str" cm="1">
        <f t="array" ref="S61">INDEX('Subject-ConceptMap-4'!$I$15:$N$123,Q61+1,R61)</f>
        <v>* group[=].element[=].target.equivalence = #equivalent</v>
      </c>
    </row>
    <row r="62" spans="16:19">
      <c r="P62" s="11">
        <v>48</v>
      </c>
      <c r="Q62" s="11">
        <f t="shared" si="13"/>
        <v>7</v>
      </c>
      <c r="R62" s="11">
        <f t="shared" si="14"/>
        <v>6</v>
      </c>
      <c r="S62" s="12" t="str" cm="1">
        <f t="array" ref="S62">INDEX('Subject-ConceptMap-4'!$I$15:$N$123,Q62+1,R62)</f>
        <v/>
      </c>
    </row>
    <row r="63" spans="16:19">
      <c r="P63" s="11">
        <v>49</v>
      </c>
      <c r="Q63" s="11">
        <f t="shared" si="13"/>
        <v>8</v>
      </c>
      <c r="R63" s="11">
        <f t="shared" si="14"/>
        <v>1</v>
      </c>
      <c r="S63" s="12" t="str" cm="1">
        <f t="array" ref="S63">INDEX('Subject-ConceptMap-4'!$I$15:$N$123,Q63+1,R63)</f>
        <v>* group[=].element[+].code = #Subject.comorbidity.ulcer</v>
      </c>
    </row>
    <row r="64" spans="16:19">
      <c r="P64" s="11">
        <v>50</v>
      </c>
      <c r="Q64" s="11">
        <f t="shared" si="13"/>
        <v>8</v>
      </c>
      <c r="R64" s="11">
        <f t="shared" si="14"/>
        <v>2</v>
      </c>
      <c r="S64" s="12" t="str" cm="1">
        <f t="array" ref="S64">INDEX('Subject-ConceptMap-4'!$I$15:$N$123,Q64+1,R64)</f>
        <v>* group[=].element[=].display = ##34#Ulcer##34#</v>
      </c>
    </row>
    <row r="65" spans="16:19" ht="29.5">
      <c r="P65" s="11">
        <v>51</v>
      </c>
      <c r="Q65" s="11">
        <f t="shared" si="13"/>
        <v>8</v>
      </c>
      <c r="R65" s="11">
        <f t="shared" si="14"/>
        <v>3</v>
      </c>
      <c r="S65" s="12" t="str" cm="1">
        <f t="array" ref="S65">INDEX('Subject-ConceptMap-4'!$I$15:$N$123,Q65+1,R65)</f>
        <v>* group[=].element[=].target.code = #Observation.extension:comorbidConditionPresent</v>
      </c>
    </row>
    <row r="66" spans="16:19">
      <c r="P66" s="11">
        <v>52</v>
      </c>
      <c r="Q66" s="11">
        <f t="shared" si="13"/>
        <v>8</v>
      </c>
      <c r="R66" s="11">
        <f t="shared" si="14"/>
        <v>4</v>
      </c>
      <c r="S66" s="12" t="str" cm="1">
        <f t="array" ref="S66">INDEX('Subject-ConceptMap-4'!$I$15:$N$123,Q66+1,R66)</f>
        <v>* group[=].element[=].target.display = ##34###34#</v>
      </c>
    </row>
    <row r="67" spans="16:19">
      <c r="P67" s="11">
        <v>53</v>
      </c>
      <c r="Q67" s="11">
        <f t="shared" si="13"/>
        <v>8</v>
      </c>
      <c r="R67" s="11">
        <f t="shared" si="14"/>
        <v>5</v>
      </c>
      <c r="S67" s="12" t="str" cm="1">
        <f t="array" ref="S67">INDEX('Subject-ConceptMap-4'!$I$15:$N$123,Q67+1,R67)</f>
        <v>* group[=].element[=].target.equivalence = #equivalent</v>
      </c>
    </row>
    <row r="68" spans="16:19">
      <c r="P68" s="11">
        <v>54</v>
      </c>
      <c r="Q68" s="11">
        <f t="shared" si="13"/>
        <v>8</v>
      </c>
      <c r="R68" s="11">
        <f t="shared" si="14"/>
        <v>6</v>
      </c>
      <c r="S68" s="12" t="str" cm="1">
        <f t="array" ref="S68">INDEX('Subject-ConceptMap-4'!$I$15:$N$123,Q68+1,R68)</f>
        <v/>
      </c>
    </row>
    <row r="69" spans="16:19">
      <c r="P69" s="11">
        <v>55</v>
      </c>
      <c r="Q69" s="11">
        <f t="shared" si="13"/>
        <v>9</v>
      </c>
      <c r="R69" s="11">
        <f t="shared" si="14"/>
        <v>1</v>
      </c>
      <c r="S69" s="12" t="str" cm="1">
        <f t="array" ref="S69">INDEX('Subject-ConceptMap-4'!$I$15:$N$123,Q69+1,R69)</f>
        <v>* group[=].element[+].code = #Subject.comorbidity.mildLiverDisease</v>
      </c>
    </row>
    <row r="70" spans="16:19">
      <c r="P70" s="11">
        <v>56</v>
      </c>
      <c r="Q70" s="11">
        <f t="shared" si="13"/>
        <v>9</v>
      </c>
      <c r="R70" s="11">
        <f t="shared" si="14"/>
        <v>2</v>
      </c>
      <c r="S70" s="12" t="str" cm="1">
        <f t="array" ref="S70">INDEX('Subject-ConceptMap-4'!$I$15:$N$123,Q70+1,R70)</f>
        <v>* group[=].element[=].display = ##34#Mild liver disease##34#</v>
      </c>
    </row>
    <row r="71" spans="16:19" ht="29.5">
      <c r="P71" s="11">
        <v>57</v>
      </c>
      <c r="Q71" s="11">
        <f t="shared" si="13"/>
        <v>9</v>
      </c>
      <c r="R71" s="11">
        <f t="shared" si="14"/>
        <v>3</v>
      </c>
      <c r="S71" s="12" t="str" cm="1">
        <f t="array" ref="S71">INDEX('Subject-ConceptMap-4'!$I$15:$N$123,Q71+1,R71)</f>
        <v>* group[=].element[=].target.code = #Observation.extension:comorbidConditionPresent</v>
      </c>
    </row>
    <row r="72" spans="16:19">
      <c r="P72" s="11">
        <v>58</v>
      </c>
      <c r="Q72" s="11">
        <f t="shared" si="13"/>
        <v>9</v>
      </c>
      <c r="R72" s="11">
        <f t="shared" si="14"/>
        <v>4</v>
      </c>
      <c r="S72" s="12" t="str" cm="1">
        <f t="array" ref="S72">INDEX('Subject-ConceptMap-4'!$I$15:$N$123,Q72+1,R72)</f>
        <v>* group[=].element[=].target.display = ##34###34#</v>
      </c>
    </row>
    <row r="73" spans="16:19">
      <c r="P73" s="11">
        <v>59</v>
      </c>
      <c r="Q73" s="11">
        <f t="shared" si="13"/>
        <v>9</v>
      </c>
      <c r="R73" s="11">
        <f t="shared" si="14"/>
        <v>5</v>
      </c>
      <c r="S73" s="12" t="str" cm="1">
        <f t="array" ref="S73">INDEX('Subject-ConceptMap-4'!$I$15:$N$123,Q73+1,R73)</f>
        <v>* group[=].element[=].target.equivalence = #equivalent</v>
      </c>
    </row>
    <row r="74" spans="16:19">
      <c r="P74" s="11">
        <v>60</v>
      </c>
      <c r="Q74" s="11">
        <f t="shared" si="13"/>
        <v>9</v>
      </c>
      <c r="R74" s="11">
        <f t="shared" si="14"/>
        <v>6</v>
      </c>
      <c r="S74" s="12" t="str" cm="1">
        <f t="array" ref="S74">INDEX('Subject-ConceptMap-4'!$I$15:$N$123,Q74+1,R74)</f>
        <v/>
      </c>
    </row>
    <row r="75" spans="16:19">
      <c r="P75" s="11">
        <v>61</v>
      </c>
      <c r="Q75" s="11">
        <f t="shared" si="13"/>
        <v>10</v>
      </c>
      <c r="R75" s="11">
        <f t="shared" si="14"/>
        <v>1</v>
      </c>
      <c r="S75" s="12" t="str" cm="1">
        <f t="array" ref="S75">INDEX('Subject-ConceptMap-4'!$I$15:$N$123,Q75+1,R75)</f>
        <v>* group[=].element[+].code = #Subject.comorbidity.moderateToSevereLiverDisease</v>
      </c>
    </row>
    <row r="76" spans="16:19">
      <c r="P76" s="11">
        <v>62</v>
      </c>
      <c r="Q76" s="11">
        <f t="shared" si="13"/>
        <v>10</v>
      </c>
      <c r="R76" s="11">
        <f t="shared" si="14"/>
        <v>2</v>
      </c>
      <c r="S76" s="12" t="str" cm="1">
        <f t="array" ref="S76">INDEX('Subject-ConceptMap-4'!$I$15:$N$123,Q76+1,R76)</f>
        <v>* group[=].element[=].display = ##34#Moderate to severe liver disease##34#</v>
      </c>
    </row>
    <row r="77" spans="16:19" ht="29.5">
      <c r="P77" s="11">
        <v>63</v>
      </c>
      <c r="Q77" s="11">
        <f t="shared" si="13"/>
        <v>10</v>
      </c>
      <c r="R77" s="11">
        <f t="shared" si="14"/>
        <v>3</v>
      </c>
      <c r="S77" s="12" t="str" cm="1">
        <f t="array" ref="S77">INDEX('Subject-ConceptMap-4'!$I$15:$N$123,Q77+1,R77)</f>
        <v>* group[=].element[=].target.code = #Observation.extension:comorbidConditionPresent</v>
      </c>
    </row>
    <row r="78" spans="16:19">
      <c r="P78" s="11">
        <v>64</v>
      </c>
      <c r="Q78" s="11">
        <f t="shared" si="13"/>
        <v>10</v>
      </c>
      <c r="R78" s="11">
        <f t="shared" si="14"/>
        <v>4</v>
      </c>
      <c r="S78" s="12" t="str" cm="1">
        <f t="array" ref="S78">INDEX('Subject-ConceptMap-4'!$I$15:$N$123,Q78+1,R78)</f>
        <v>* group[=].element[=].target.display = ##34###34#</v>
      </c>
    </row>
    <row r="79" spans="16:19">
      <c r="P79" s="11">
        <v>65</v>
      </c>
      <c r="Q79" s="11">
        <f t="shared" si="13"/>
        <v>10</v>
      </c>
      <c r="R79" s="11">
        <f t="shared" si="14"/>
        <v>5</v>
      </c>
      <c r="S79" s="12" t="str" cm="1">
        <f t="array" ref="S79">INDEX('Subject-ConceptMap-4'!$I$15:$N$123,Q79+1,R79)</f>
        <v>* group[=].element[=].target.equivalence = #equivalent</v>
      </c>
    </row>
    <row r="80" spans="16:19">
      <c r="P80" s="11">
        <v>66</v>
      </c>
      <c r="Q80" s="11">
        <f t="shared" ref="Q80:Q143" si="15">IF(MOD(P80,$Q$8)=0,P80/$Q$8-1,INT(P80/$Q$8))</f>
        <v>10</v>
      </c>
      <c r="R80" s="11">
        <f t="shared" ref="R80:R143" si="16">IF(MOD(P80,$Q$8)=0,$Q$8,MOD(P80,$Q$8))</f>
        <v>6</v>
      </c>
      <c r="S80" s="12" t="str" cm="1">
        <f t="array" ref="S80">INDEX('Subject-ConceptMap-4'!$I$15:$N$123,Q80+1,R80)</f>
        <v/>
      </c>
    </row>
    <row r="81" spans="16:19">
      <c r="P81" s="11">
        <v>67</v>
      </c>
      <c r="Q81" s="11">
        <f t="shared" si="15"/>
        <v>11</v>
      </c>
      <c r="R81" s="11">
        <f t="shared" si="16"/>
        <v>1</v>
      </c>
      <c r="S81" s="12" t="str" cm="1">
        <f t="array" ref="S81">INDEX('Subject-ConceptMap-4'!$I$15:$N$123,Q81+1,R81)</f>
        <v>* group[=].element[+].code = #Subject.comorbidity.diabetesWithoutComplications</v>
      </c>
    </row>
    <row r="82" spans="16:19">
      <c r="P82" s="11">
        <v>68</v>
      </c>
      <c r="Q82" s="11">
        <f t="shared" si="15"/>
        <v>11</v>
      </c>
      <c r="R82" s="11">
        <f t="shared" si="16"/>
        <v>2</v>
      </c>
      <c r="S82" s="12" t="str" cm="1">
        <f t="array" ref="S82">INDEX('Subject-ConceptMap-4'!$I$15:$N$123,Q82+1,R82)</f>
        <v>* group[=].element[=].display = ##34#Diabetes (without complications)##34#</v>
      </c>
    </row>
    <row r="83" spans="16:19" ht="29.5">
      <c r="P83" s="11">
        <v>69</v>
      </c>
      <c r="Q83" s="11">
        <f t="shared" si="15"/>
        <v>11</v>
      </c>
      <c r="R83" s="11">
        <f t="shared" si="16"/>
        <v>3</v>
      </c>
      <c r="S83" s="12" t="str" cm="1">
        <f t="array" ref="S83">INDEX('Subject-ConceptMap-4'!$I$15:$N$123,Q83+1,R83)</f>
        <v>* group[=].element[=].target.code = #Observation.extension:comorbidConditionPresent</v>
      </c>
    </row>
    <row r="84" spans="16:19">
      <c r="P84" s="11">
        <v>70</v>
      </c>
      <c r="Q84" s="11">
        <f t="shared" si="15"/>
        <v>11</v>
      </c>
      <c r="R84" s="11">
        <f t="shared" si="16"/>
        <v>4</v>
      </c>
      <c r="S84" s="12" t="str" cm="1">
        <f t="array" ref="S84">INDEX('Subject-ConceptMap-4'!$I$15:$N$123,Q84+1,R84)</f>
        <v>* group[=].element[=].target.display = ##34###34#</v>
      </c>
    </row>
    <row r="85" spans="16:19">
      <c r="P85" s="11">
        <v>71</v>
      </c>
      <c r="Q85" s="11">
        <f t="shared" si="15"/>
        <v>11</v>
      </c>
      <c r="R85" s="11">
        <f t="shared" si="16"/>
        <v>5</v>
      </c>
      <c r="S85" s="12" t="str" cm="1">
        <f t="array" ref="S85">INDEX('Subject-ConceptMap-4'!$I$15:$N$123,Q85+1,R85)</f>
        <v>* group[=].element[=].target.equivalence = #equivalent</v>
      </c>
    </row>
    <row r="86" spans="16:19">
      <c r="P86" s="11">
        <v>72</v>
      </c>
      <c r="Q86" s="11">
        <f t="shared" si="15"/>
        <v>11</v>
      </c>
      <c r="R86" s="11">
        <f t="shared" si="16"/>
        <v>6</v>
      </c>
      <c r="S86" s="12" t="str" cm="1">
        <f t="array" ref="S86">INDEX('Subject-ConceptMap-4'!$I$15:$N$123,Q86+1,R86)</f>
        <v/>
      </c>
    </row>
    <row r="87" spans="16:19">
      <c r="P87" s="11">
        <v>73</v>
      </c>
      <c r="Q87" s="11">
        <f t="shared" si="15"/>
        <v>12</v>
      </c>
      <c r="R87" s="11">
        <f t="shared" si="16"/>
        <v>1</v>
      </c>
      <c r="S87" s="12" t="str" cm="1">
        <f t="array" ref="S87">INDEX('Subject-ConceptMap-4'!$I$15:$N$123,Q87+1,R87)</f>
        <v>* group[=].element[+].code = #Subject.comorbidity.diabetesWithEndOrganDamage</v>
      </c>
    </row>
    <row r="88" spans="16:19">
      <c r="P88" s="11">
        <v>74</v>
      </c>
      <c r="Q88" s="11">
        <f t="shared" si="15"/>
        <v>12</v>
      </c>
      <c r="R88" s="11">
        <f t="shared" si="16"/>
        <v>2</v>
      </c>
      <c r="S88" s="12" t="str" cm="1">
        <f t="array" ref="S88">INDEX('Subject-ConceptMap-4'!$I$15:$N$123,Q88+1,R88)</f>
        <v>* group[=].element[=].display = ##34#Diabetes with end organ damage##34#</v>
      </c>
    </row>
    <row r="89" spans="16:19" ht="29.5">
      <c r="P89" s="11">
        <v>75</v>
      </c>
      <c r="Q89" s="11">
        <f t="shared" si="15"/>
        <v>12</v>
      </c>
      <c r="R89" s="11">
        <f t="shared" si="16"/>
        <v>3</v>
      </c>
      <c r="S89" s="12" t="str" cm="1">
        <f t="array" ref="S89">INDEX('Subject-ConceptMap-4'!$I$15:$N$123,Q89+1,R89)</f>
        <v>* group[=].element[=].target.code = #Observation.extension:comorbidConditionPresent</v>
      </c>
    </row>
    <row r="90" spans="16:19">
      <c r="P90" s="11">
        <v>76</v>
      </c>
      <c r="Q90" s="11">
        <f t="shared" si="15"/>
        <v>12</v>
      </c>
      <c r="R90" s="11">
        <f t="shared" si="16"/>
        <v>4</v>
      </c>
      <c r="S90" s="12" t="str" cm="1">
        <f t="array" ref="S90">INDEX('Subject-ConceptMap-4'!$I$15:$N$123,Q90+1,R90)</f>
        <v>* group[=].element[=].target.display = ##34###34#</v>
      </c>
    </row>
    <row r="91" spans="16:19">
      <c r="P91" s="11">
        <v>77</v>
      </c>
      <c r="Q91" s="11">
        <f t="shared" si="15"/>
        <v>12</v>
      </c>
      <c r="R91" s="11">
        <f t="shared" si="16"/>
        <v>5</v>
      </c>
      <c r="S91" s="12" t="str" cm="1">
        <f t="array" ref="S91">INDEX('Subject-ConceptMap-4'!$I$15:$N$123,Q91+1,R91)</f>
        <v>* group[=].element[=].target.equivalence = #equivalent</v>
      </c>
    </row>
    <row r="92" spans="16:19">
      <c r="P92" s="11">
        <v>78</v>
      </c>
      <c r="Q92" s="11">
        <f t="shared" si="15"/>
        <v>12</v>
      </c>
      <c r="R92" s="11">
        <f t="shared" si="16"/>
        <v>6</v>
      </c>
      <c r="S92" s="12" t="str" cm="1">
        <f t="array" ref="S92">INDEX('Subject-ConceptMap-4'!$I$15:$N$123,Q92+1,R92)</f>
        <v/>
      </c>
    </row>
    <row r="93" spans="16:19">
      <c r="P93" s="11">
        <v>79</v>
      </c>
      <c r="Q93" s="11">
        <f t="shared" si="15"/>
        <v>13</v>
      </c>
      <c r="R93" s="11">
        <f t="shared" si="16"/>
        <v>1</v>
      </c>
      <c r="S93" s="12" t="str" cm="1">
        <f t="array" ref="S93">INDEX('Subject-ConceptMap-4'!$I$15:$N$123,Q93+1,R93)</f>
        <v>* group[=].element[+].code = #Subject.comorbidity.hemiplegia</v>
      </c>
    </row>
    <row r="94" spans="16:19">
      <c r="P94" s="11">
        <v>80</v>
      </c>
      <c r="Q94" s="11">
        <f t="shared" si="15"/>
        <v>13</v>
      </c>
      <c r="R94" s="11">
        <f t="shared" si="16"/>
        <v>2</v>
      </c>
      <c r="S94" s="12" t="str" cm="1">
        <f t="array" ref="S94">INDEX('Subject-ConceptMap-4'!$I$15:$N$123,Q94+1,R94)</f>
        <v>* group[=].element[=].display = ##34#Hemiplegia##34#</v>
      </c>
    </row>
    <row r="95" spans="16:19" ht="29.5">
      <c r="P95" s="11">
        <v>81</v>
      </c>
      <c r="Q95" s="11">
        <f t="shared" si="15"/>
        <v>13</v>
      </c>
      <c r="R95" s="11">
        <f t="shared" si="16"/>
        <v>3</v>
      </c>
      <c r="S95" s="12" t="str" cm="1">
        <f t="array" ref="S95">INDEX('Subject-ConceptMap-4'!$I$15:$N$123,Q95+1,R95)</f>
        <v>* group[=].element[=].target.code = #Observation.extension:comorbidConditionPresent</v>
      </c>
    </row>
    <row r="96" spans="16:19">
      <c r="P96" s="11">
        <v>82</v>
      </c>
      <c r="Q96" s="11">
        <f t="shared" si="15"/>
        <v>13</v>
      </c>
      <c r="R96" s="11">
        <f t="shared" si="16"/>
        <v>4</v>
      </c>
      <c r="S96" s="12" t="str" cm="1">
        <f t="array" ref="S96">INDEX('Subject-ConceptMap-4'!$I$15:$N$123,Q96+1,R96)</f>
        <v>* group[=].element[=].target.display = ##34###34#</v>
      </c>
    </row>
    <row r="97" spans="16:19">
      <c r="P97" s="11">
        <v>83</v>
      </c>
      <c r="Q97" s="11">
        <f t="shared" si="15"/>
        <v>13</v>
      </c>
      <c r="R97" s="11">
        <f t="shared" si="16"/>
        <v>5</v>
      </c>
      <c r="S97" s="12" t="str" cm="1">
        <f t="array" ref="S97">INDEX('Subject-ConceptMap-4'!$I$15:$N$123,Q97+1,R97)</f>
        <v>* group[=].element[=].target.equivalence = #equivalent</v>
      </c>
    </row>
    <row r="98" spans="16:19">
      <c r="P98" s="11">
        <v>84</v>
      </c>
      <c r="Q98" s="11">
        <f t="shared" si="15"/>
        <v>13</v>
      </c>
      <c r="R98" s="11">
        <f t="shared" si="16"/>
        <v>6</v>
      </c>
      <c r="S98" s="12" t="str" cm="1">
        <f t="array" ref="S98">INDEX('Subject-ConceptMap-4'!$I$15:$N$123,Q98+1,R98)</f>
        <v/>
      </c>
    </row>
    <row r="99" spans="16:19">
      <c r="P99" s="11">
        <v>85</v>
      </c>
      <c r="Q99" s="11">
        <f t="shared" si="15"/>
        <v>14</v>
      </c>
      <c r="R99" s="11">
        <f t="shared" si="16"/>
        <v>1</v>
      </c>
      <c r="S99" s="12" t="str" cm="1">
        <f t="array" ref="S99">INDEX('Subject-ConceptMap-4'!$I$15:$N$123,Q99+1,R99)</f>
        <v>* group[=].element[+].code = #Subject.comorbidity.moderateToSevereRenalDisease</v>
      </c>
    </row>
    <row r="100" spans="16:19">
      <c r="P100" s="11">
        <v>86</v>
      </c>
      <c r="Q100" s="11">
        <f t="shared" si="15"/>
        <v>14</v>
      </c>
      <c r="R100" s="11">
        <f t="shared" si="16"/>
        <v>2</v>
      </c>
      <c r="S100" s="12" t="str" cm="1">
        <f t="array" ref="S100">INDEX('Subject-ConceptMap-4'!$I$15:$N$123,Q100+1,R100)</f>
        <v>* group[=].element[=].display = ##34#Moderate to severe renal disease##34#</v>
      </c>
    </row>
    <row r="101" spans="16:19" ht="29.5">
      <c r="P101" s="11">
        <v>87</v>
      </c>
      <c r="Q101" s="11">
        <f t="shared" si="15"/>
        <v>14</v>
      </c>
      <c r="R101" s="11">
        <f t="shared" si="16"/>
        <v>3</v>
      </c>
      <c r="S101" s="12" t="str" cm="1">
        <f t="array" ref="S101">INDEX('Subject-ConceptMap-4'!$I$15:$N$123,Q101+1,R101)</f>
        <v>* group[=].element[=].target.code = #Observation.extension:comorbidConditionPresent</v>
      </c>
    </row>
    <row r="102" spans="16:19">
      <c r="P102" s="11">
        <v>88</v>
      </c>
      <c r="Q102" s="11">
        <f t="shared" si="15"/>
        <v>14</v>
      </c>
      <c r="R102" s="11">
        <f t="shared" si="16"/>
        <v>4</v>
      </c>
      <c r="S102" s="12" t="str" cm="1">
        <f t="array" ref="S102">INDEX('Subject-ConceptMap-4'!$I$15:$N$123,Q102+1,R102)</f>
        <v>* group[=].element[=].target.display = ##34###34#</v>
      </c>
    </row>
    <row r="103" spans="16:19">
      <c r="P103" s="11">
        <v>89</v>
      </c>
      <c r="Q103" s="11">
        <f t="shared" si="15"/>
        <v>14</v>
      </c>
      <c r="R103" s="11">
        <f t="shared" si="16"/>
        <v>5</v>
      </c>
      <c r="S103" s="12" t="str" cm="1">
        <f t="array" ref="S103">INDEX('Subject-ConceptMap-4'!$I$15:$N$123,Q103+1,R103)</f>
        <v>* group[=].element[=].target.equivalence = #equivalent</v>
      </c>
    </row>
    <row r="104" spans="16:19">
      <c r="P104" s="11">
        <v>90</v>
      </c>
      <c r="Q104" s="11">
        <f t="shared" si="15"/>
        <v>14</v>
      </c>
      <c r="R104" s="11">
        <f t="shared" si="16"/>
        <v>6</v>
      </c>
      <c r="S104" s="12" t="str" cm="1">
        <f t="array" ref="S104">INDEX('Subject-ConceptMap-4'!$I$15:$N$123,Q104+1,R104)</f>
        <v/>
      </c>
    </row>
    <row r="105" spans="16:19">
      <c r="P105" s="11">
        <v>91</v>
      </c>
      <c r="Q105" s="11">
        <f t="shared" si="15"/>
        <v>15</v>
      </c>
      <c r="R105" s="11">
        <f t="shared" si="16"/>
        <v>1</v>
      </c>
      <c r="S105" s="12" t="str" cm="1">
        <f t="array" ref="S105">INDEX('Subject-ConceptMap-4'!$I$15:$N$123,Q105+1,R105)</f>
        <v>* group[=].element[+].code = #Subject.comorbidity.solidTumorNonMetastatic</v>
      </c>
    </row>
    <row r="106" spans="16:19">
      <c r="P106" s="11">
        <v>92</v>
      </c>
      <c r="Q106" s="11">
        <f t="shared" si="15"/>
        <v>15</v>
      </c>
      <c r="R106" s="11">
        <f t="shared" si="16"/>
        <v>2</v>
      </c>
      <c r="S106" s="12" t="str" cm="1">
        <f t="array" ref="S106">INDEX('Subject-ConceptMap-4'!$I$15:$N$123,Q106+1,R106)</f>
        <v>* group[=].element[=].display = ##34#Solid tumor (non metastatic)##34#</v>
      </c>
    </row>
    <row r="107" spans="16:19" ht="29.5">
      <c r="P107" s="11">
        <v>93</v>
      </c>
      <c r="Q107" s="11">
        <f t="shared" si="15"/>
        <v>15</v>
      </c>
      <c r="R107" s="11">
        <f t="shared" si="16"/>
        <v>3</v>
      </c>
      <c r="S107" s="12" t="str" cm="1">
        <f t="array" ref="S107">INDEX('Subject-ConceptMap-4'!$I$15:$N$123,Q107+1,R107)</f>
        <v>* group[=].element[=].target.code = #Observation.extension:comorbidConditionPresent</v>
      </c>
    </row>
    <row r="108" spans="16:19">
      <c r="P108" s="11">
        <v>94</v>
      </c>
      <c r="Q108" s="11">
        <f t="shared" si="15"/>
        <v>15</v>
      </c>
      <c r="R108" s="11">
        <f t="shared" si="16"/>
        <v>4</v>
      </c>
      <c r="S108" s="12" t="str" cm="1">
        <f t="array" ref="S108">INDEX('Subject-ConceptMap-4'!$I$15:$N$123,Q108+1,R108)</f>
        <v>* group[=].element[=].target.display = ##34###34#</v>
      </c>
    </row>
    <row r="109" spans="16:19">
      <c r="P109" s="11">
        <v>95</v>
      </c>
      <c r="Q109" s="11">
        <f t="shared" si="15"/>
        <v>15</v>
      </c>
      <c r="R109" s="11">
        <f t="shared" si="16"/>
        <v>5</v>
      </c>
      <c r="S109" s="12" t="str" cm="1">
        <f t="array" ref="S109">INDEX('Subject-ConceptMap-4'!$I$15:$N$123,Q109+1,R109)</f>
        <v>* group[=].element[=].target.equivalence = #equivalent</v>
      </c>
    </row>
    <row r="110" spans="16:19">
      <c r="P110" s="11">
        <v>96</v>
      </c>
      <c r="Q110" s="11">
        <f t="shared" si="15"/>
        <v>15</v>
      </c>
      <c r="R110" s="11">
        <f t="shared" si="16"/>
        <v>6</v>
      </c>
      <c r="S110" s="12" t="str" cm="1">
        <f t="array" ref="S110">INDEX('Subject-ConceptMap-4'!$I$15:$N$123,Q110+1,R110)</f>
        <v/>
      </c>
    </row>
    <row r="111" spans="16:19">
      <c r="P111" s="11">
        <v>97</v>
      </c>
      <c r="Q111" s="11">
        <f t="shared" si="15"/>
        <v>16</v>
      </c>
      <c r="R111" s="11">
        <f t="shared" si="16"/>
        <v>1</v>
      </c>
      <c r="S111" s="12" t="str" cm="1">
        <f t="array" ref="S111">INDEX('Subject-ConceptMap-4'!$I$15:$N$123,Q111+1,R111)</f>
        <v>* group[=].element[+].code = #Subject.comorbidity.metastaticSolidTumor</v>
      </c>
    </row>
    <row r="112" spans="16:19">
      <c r="P112" s="11">
        <v>98</v>
      </c>
      <c r="Q112" s="11">
        <f t="shared" si="15"/>
        <v>16</v>
      </c>
      <c r="R112" s="11">
        <f t="shared" si="16"/>
        <v>2</v>
      </c>
      <c r="S112" s="12" t="str" cm="1">
        <f t="array" ref="S112">INDEX('Subject-ConceptMap-4'!$I$15:$N$123,Q112+1,R112)</f>
        <v>* group[=].element[=].display = ##34#Metastatic solid tumor##34#</v>
      </c>
    </row>
    <row r="113" spans="16:19" ht="29.5">
      <c r="P113" s="11">
        <v>99</v>
      </c>
      <c r="Q113" s="11">
        <f t="shared" si="15"/>
        <v>16</v>
      </c>
      <c r="R113" s="11">
        <f t="shared" si="16"/>
        <v>3</v>
      </c>
      <c r="S113" s="12" t="str" cm="1">
        <f t="array" ref="S113">INDEX('Subject-ConceptMap-4'!$I$15:$N$123,Q113+1,R113)</f>
        <v>* group[=].element[=].target.code = #Observation.extension:comorbidConditionPresent</v>
      </c>
    </row>
    <row r="114" spans="16:19">
      <c r="P114" s="11">
        <v>100</v>
      </c>
      <c r="Q114" s="11">
        <f t="shared" si="15"/>
        <v>16</v>
      </c>
      <c r="R114" s="11">
        <f t="shared" si="16"/>
        <v>4</v>
      </c>
      <c r="S114" s="12" t="str" cm="1">
        <f t="array" ref="S114">INDEX('Subject-ConceptMap-4'!$I$15:$N$123,Q114+1,R114)</f>
        <v>* group[=].element[=].target.display = ##34###34#</v>
      </c>
    </row>
    <row r="115" spans="16:19">
      <c r="P115" s="11">
        <v>101</v>
      </c>
      <c r="Q115" s="11">
        <f t="shared" si="15"/>
        <v>16</v>
      </c>
      <c r="R115" s="11">
        <f t="shared" si="16"/>
        <v>5</v>
      </c>
      <c r="S115" s="12" t="str" cm="1">
        <f t="array" ref="S115">INDEX('Subject-ConceptMap-4'!$I$15:$N$123,Q115+1,R115)</f>
        <v>* group[=].element[=].target.equivalence = #equivalent</v>
      </c>
    </row>
    <row r="116" spans="16:19">
      <c r="P116" s="11">
        <v>102</v>
      </c>
      <c r="Q116" s="11">
        <f t="shared" si="15"/>
        <v>16</v>
      </c>
      <c r="R116" s="11">
        <f t="shared" si="16"/>
        <v>6</v>
      </c>
      <c r="S116" s="12" t="str" cm="1">
        <f t="array" ref="S116">INDEX('Subject-ConceptMap-4'!$I$15:$N$123,Q116+1,R116)</f>
        <v/>
      </c>
    </row>
    <row r="117" spans="16:19">
      <c r="P117" s="11">
        <v>103</v>
      </c>
      <c r="Q117" s="11">
        <f t="shared" si="15"/>
        <v>17</v>
      </c>
      <c r="R117" s="11">
        <f t="shared" si="16"/>
        <v>1</v>
      </c>
      <c r="S117" s="12" t="str" cm="1">
        <f t="array" ref="S117">INDEX('Subject-ConceptMap-4'!$I$15:$N$123,Q117+1,R117)</f>
        <v>* group[=].element[+].code = #Subject.comorbidity.leukemia</v>
      </c>
    </row>
    <row r="118" spans="16:19">
      <c r="P118" s="11">
        <v>104</v>
      </c>
      <c r="Q118" s="11">
        <f t="shared" si="15"/>
        <v>17</v>
      </c>
      <c r="R118" s="11">
        <f t="shared" si="16"/>
        <v>2</v>
      </c>
      <c r="S118" s="12" t="str" cm="1">
        <f t="array" ref="S118">INDEX('Subject-ConceptMap-4'!$I$15:$N$123,Q118+1,R118)</f>
        <v>* group[=].element[=].display = ##34#Leukemia##34#</v>
      </c>
    </row>
    <row r="119" spans="16:19" ht="29.5">
      <c r="P119" s="11">
        <v>105</v>
      </c>
      <c r="Q119" s="11">
        <f t="shared" si="15"/>
        <v>17</v>
      </c>
      <c r="R119" s="11">
        <f t="shared" si="16"/>
        <v>3</v>
      </c>
      <c r="S119" s="12" t="str" cm="1">
        <f t="array" ref="S119">INDEX('Subject-ConceptMap-4'!$I$15:$N$123,Q119+1,R119)</f>
        <v>* group[=].element[=].target.code = #Observation.extension:comorbidConditionPresent</v>
      </c>
    </row>
    <row r="120" spans="16:19">
      <c r="P120" s="11">
        <v>106</v>
      </c>
      <c r="Q120" s="11">
        <f t="shared" si="15"/>
        <v>17</v>
      </c>
      <c r="R120" s="11">
        <f t="shared" si="16"/>
        <v>4</v>
      </c>
      <c r="S120" s="12" t="str" cm="1">
        <f t="array" ref="S120">INDEX('Subject-ConceptMap-4'!$I$15:$N$123,Q120+1,R120)</f>
        <v>* group[=].element[=].target.display = ##34###34#</v>
      </c>
    </row>
    <row r="121" spans="16:19">
      <c r="P121" s="11">
        <v>107</v>
      </c>
      <c r="Q121" s="11">
        <f t="shared" si="15"/>
        <v>17</v>
      </c>
      <c r="R121" s="11">
        <f t="shared" si="16"/>
        <v>5</v>
      </c>
      <c r="S121" s="12" t="str" cm="1">
        <f t="array" ref="S121">INDEX('Subject-ConceptMap-4'!$I$15:$N$123,Q121+1,R121)</f>
        <v>* group[=].element[=].target.equivalence = #equivalent</v>
      </c>
    </row>
    <row r="122" spans="16:19">
      <c r="P122" s="11">
        <v>108</v>
      </c>
      <c r="Q122" s="11">
        <f t="shared" si="15"/>
        <v>17</v>
      </c>
      <c r="R122" s="11">
        <f t="shared" si="16"/>
        <v>6</v>
      </c>
      <c r="S122" s="12" t="str" cm="1">
        <f t="array" ref="S122">INDEX('Subject-ConceptMap-4'!$I$15:$N$123,Q122+1,R122)</f>
        <v/>
      </c>
    </row>
    <row r="123" spans="16:19">
      <c r="P123" s="11">
        <v>109</v>
      </c>
      <c r="Q123" s="11">
        <f t="shared" si="15"/>
        <v>18</v>
      </c>
      <c r="R123" s="11">
        <f t="shared" si="16"/>
        <v>1</v>
      </c>
      <c r="S123" s="12" t="str" cm="1">
        <f t="array" ref="S123">INDEX('Subject-ConceptMap-4'!$I$15:$N$123,Q123+1,R123)</f>
        <v>* group[=].element[+].code = #Subject.comorbidity.lymphoma</v>
      </c>
    </row>
    <row r="124" spans="16:19">
      <c r="P124" s="11">
        <v>110</v>
      </c>
      <c r="Q124" s="11">
        <f t="shared" si="15"/>
        <v>18</v>
      </c>
      <c r="R124" s="11">
        <f t="shared" si="16"/>
        <v>2</v>
      </c>
      <c r="S124" s="12" t="str" cm="1">
        <f t="array" ref="S124">INDEX('Subject-ConceptMap-4'!$I$15:$N$123,Q124+1,R124)</f>
        <v>* group[=].element[=].display = ##34#Lymphoma##34#</v>
      </c>
    </row>
    <row r="125" spans="16:19" ht="29.5">
      <c r="P125" s="11">
        <v>111</v>
      </c>
      <c r="Q125" s="11">
        <f t="shared" si="15"/>
        <v>18</v>
      </c>
      <c r="R125" s="11">
        <f t="shared" si="16"/>
        <v>3</v>
      </c>
      <c r="S125" s="12" t="str" cm="1">
        <f t="array" ref="S125">INDEX('Subject-ConceptMap-4'!$I$15:$N$123,Q125+1,R125)</f>
        <v>* group[=].element[=].target.code = #Observation.extension:comorbidConditionPresent</v>
      </c>
    </row>
    <row r="126" spans="16:19">
      <c r="P126" s="11">
        <v>112</v>
      </c>
      <c r="Q126" s="11">
        <f t="shared" si="15"/>
        <v>18</v>
      </c>
      <c r="R126" s="11">
        <f t="shared" si="16"/>
        <v>4</v>
      </c>
      <c r="S126" s="12" t="str" cm="1">
        <f t="array" ref="S126">INDEX('Subject-ConceptMap-4'!$I$15:$N$123,Q126+1,R126)</f>
        <v>* group[=].element[=].target.display = ##34###34#</v>
      </c>
    </row>
    <row r="127" spans="16:19">
      <c r="P127" s="11">
        <v>113</v>
      </c>
      <c r="Q127" s="11">
        <f t="shared" si="15"/>
        <v>18</v>
      </c>
      <c r="R127" s="11">
        <f t="shared" si="16"/>
        <v>5</v>
      </c>
      <c r="S127" s="12" t="str" cm="1">
        <f t="array" ref="S127">INDEX('Subject-ConceptMap-4'!$I$15:$N$123,Q127+1,R127)</f>
        <v>* group[=].element[=].target.equivalence = #equivalent</v>
      </c>
    </row>
    <row r="128" spans="16:19">
      <c r="P128" s="11">
        <v>114</v>
      </c>
      <c r="Q128" s="11">
        <f t="shared" si="15"/>
        <v>18</v>
      </c>
      <c r="R128" s="11">
        <f t="shared" si="16"/>
        <v>6</v>
      </c>
      <c r="S128" s="12" t="str" cm="1">
        <f t="array" ref="S128">INDEX('Subject-ConceptMap-4'!$I$15:$N$123,Q128+1,R128)</f>
        <v/>
      </c>
    </row>
    <row r="129" spans="16:19">
      <c r="P129" s="11">
        <v>115</v>
      </c>
      <c r="Q129" s="11">
        <f t="shared" si="15"/>
        <v>19</v>
      </c>
      <c r="R129" s="11">
        <f t="shared" si="16"/>
        <v>1</v>
      </c>
      <c r="S129" s="12" t="str" cm="1">
        <f t="array" ref="S129">INDEX('Subject-ConceptMap-4'!$I$15:$N$123,Q129+1,R129)</f>
        <v>* group[=].element[+].code = #Subject.comorbidity.multipleMyeloma</v>
      </c>
    </row>
    <row r="130" spans="16:19">
      <c r="P130" s="11">
        <v>116</v>
      </c>
      <c r="Q130" s="11">
        <f t="shared" si="15"/>
        <v>19</v>
      </c>
      <c r="R130" s="11">
        <f t="shared" si="16"/>
        <v>2</v>
      </c>
      <c r="S130" s="12" t="str" cm="1">
        <f t="array" ref="S130">INDEX('Subject-ConceptMap-4'!$I$15:$N$123,Q130+1,R130)</f>
        <v>* group[=].element[=].display = ##34#Multiple myeloma##34#</v>
      </c>
    </row>
    <row r="131" spans="16:19" ht="29.5">
      <c r="P131" s="11">
        <v>117</v>
      </c>
      <c r="Q131" s="11">
        <f t="shared" si="15"/>
        <v>19</v>
      </c>
      <c r="R131" s="11">
        <f t="shared" si="16"/>
        <v>3</v>
      </c>
      <c r="S131" s="12" t="str" cm="1">
        <f t="array" ref="S131">INDEX('Subject-ConceptMap-4'!$I$15:$N$123,Q131+1,R131)</f>
        <v>* group[=].element[=].target.code = #Observation.extension:comorbidConditionPresent</v>
      </c>
    </row>
    <row r="132" spans="16:19">
      <c r="P132" s="11">
        <v>118</v>
      </c>
      <c r="Q132" s="11">
        <f t="shared" si="15"/>
        <v>19</v>
      </c>
      <c r="R132" s="11">
        <f t="shared" si="16"/>
        <v>4</v>
      </c>
      <c r="S132" s="12" t="str" cm="1">
        <f t="array" ref="S132">INDEX('Subject-ConceptMap-4'!$I$15:$N$123,Q132+1,R132)</f>
        <v>* group[=].element[=].target.display = ##34###34#</v>
      </c>
    </row>
    <row r="133" spans="16:19">
      <c r="P133" s="11">
        <v>119</v>
      </c>
      <c r="Q133" s="11">
        <f t="shared" si="15"/>
        <v>19</v>
      </c>
      <c r="R133" s="11">
        <f t="shared" si="16"/>
        <v>5</v>
      </c>
      <c r="S133" s="12" t="str" cm="1">
        <f t="array" ref="S133">INDEX('Subject-ConceptMap-4'!$I$15:$N$123,Q133+1,R133)</f>
        <v>* group[=].element[=].target.equivalence = #equivalent</v>
      </c>
    </row>
    <row r="134" spans="16:19">
      <c r="P134" s="11">
        <v>120</v>
      </c>
      <c r="Q134" s="11">
        <f t="shared" si="15"/>
        <v>19</v>
      </c>
      <c r="R134" s="11">
        <f t="shared" si="16"/>
        <v>6</v>
      </c>
      <c r="S134" s="12" t="str" cm="1">
        <f t="array" ref="S134">INDEX('Subject-ConceptMap-4'!$I$15:$N$123,Q134+1,R134)</f>
        <v/>
      </c>
    </row>
    <row r="135" spans="16:19">
      <c r="P135" s="11">
        <v>121</v>
      </c>
      <c r="Q135" s="11">
        <f t="shared" si="15"/>
        <v>20</v>
      </c>
      <c r="R135" s="11">
        <f t="shared" si="16"/>
        <v>1</v>
      </c>
      <c r="S135" s="12" t="str" cm="1">
        <f t="array" ref="S135">INDEX('Subject-ConceptMap-4'!$I$15:$N$123,Q135+1,R135)</f>
        <v>* group[=].element[+].code = #Subject.comorbidity.aids</v>
      </c>
    </row>
    <row r="136" spans="16:19">
      <c r="P136" s="11">
        <v>122</v>
      </c>
      <c r="Q136" s="11">
        <f t="shared" si="15"/>
        <v>20</v>
      </c>
      <c r="R136" s="11">
        <f t="shared" si="16"/>
        <v>2</v>
      </c>
      <c r="S136" s="12" t="str" cm="1">
        <f t="array" ref="S136">INDEX('Subject-ConceptMap-4'!$I$15:$N$123,Q136+1,R136)</f>
        <v>* group[=].element[=].display = ##34#AIDS##34#</v>
      </c>
    </row>
    <row r="137" spans="16:19" ht="29.5">
      <c r="P137" s="11">
        <v>123</v>
      </c>
      <c r="Q137" s="11">
        <f t="shared" si="15"/>
        <v>20</v>
      </c>
      <c r="R137" s="11">
        <f t="shared" si="16"/>
        <v>3</v>
      </c>
      <c r="S137" s="12" t="str" cm="1">
        <f t="array" ref="S137">INDEX('Subject-ConceptMap-4'!$I$15:$N$123,Q137+1,R137)</f>
        <v>* group[=].element[=].target.code = #Observation.extension:comorbidConditionPresent</v>
      </c>
    </row>
    <row r="138" spans="16:19">
      <c r="P138" s="11">
        <v>124</v>
      </c>
      <c r="Q138" s="11">
        <f t="shared" si="15"/>
        <v>20</v>
      </c>
      <c r="R138" s="11">
        <f t="shared" si="16"/>
        <v>4</v>
      </c>
      <c r="S138" s="12" t="str" cm="1">
        <f t="array" ref="S138">INDEX('Subject-ConceptMap-4'!$I$15:$N$123,Q138+1,R138)</f>
        <v>* group[=].element[=].target.display = ##34###34#</v>
      </c>
    </row>
    <row r="139" spans="16:19">
      <c r="P139" s="11">
        <v>125</v>
      </c>
      <c r="Q139" s="11">
        <f t="shared" si="15"/>
        <v>20</v>
      </c>
      <c r="R139" s="11">
        <f t="shared" si="16"/>
        <v>5</v>
      </c>
      <c r="S139" s="12" t="str" cm="1">
        <f t="array" ref="S139">INDEX('Subject-ConceptMap-4'!$I$15:$N$123,Q139+1,R139)</f>
        <v>* group[=].element[=].target.equivalence = #equivalent</v>
      </c>
    </row>
    <row r="140" spans="16:19">
      <c r="P140" s="11">
        <v>126</v>
      </c>
      <c r="Q140" s="11">
        <f t="shared" si="15"/>
        <v>20</v>
      </c>
      <c r="R140" s="11">
        <f t="shared" si="16"/>
        <v>6</v>
      </c>
      <c r="S140" s="12" t="str" cm="1">
        <f t="array" ref="S140">INDEX('Subject-ConceptMap-4'!$I$15:$N$123,Q140+1,R140)</f>
        <v/>
      </c>
    </row>
    <row r="141" spans="16:19">
      <c r="P141" s="11">
        <v>127</v>
      </c>
      <c r="Q141" s="11">
        <f t="shared" si="15"/>
        <v>21</v>
      </c>
      <c r="R141" s="11">
        <f t="shared" si="16"/>
        <v>1</v>
      </c>
      <c r="S141" s="12" cm="1">
        <f t="array" ref="S141">INDEX('Subject-ConceptMap-4'!$I$15:$N$123,Q141+1,R141)</f>
        <v>0</v>
      </c>
    </row>
    <row r="142" spans="16:19">
      <c r="P142" s="11">
        <v>128</v>
      </c>
      <c r="Q142" s="11">
        <f t="shared" si="15"/>
        <v>21</v>
      </c>
      <c r="R142" s="11">
        <f t="shared" si="16"/>
        <v>2</v>
      </c>
      <c r="S142" s="12" cm="1">
        <f t="array" ref="S142">INDEX('Subject-ConceptMap-4'!$I$15:$N$123,Q142+1,R142)</f>
        <v>0</v>
      </c>
    </row>
    <row r="143" spans="16:19">
      <c r="P143" s="11">
        <v>129</v>
      </c>
      <c r="Q143" s="11">
        <f t="shared" si="15"/>
        <v>21</v>
      </c>
      <c r="R143" s="11">
        <f t="shared" si="16"/>
        <v>3</v>
      </c>
      <c r="S143" s="12" cm="1">
        <f t="array" ref="S143">INDEX('Subject-ConceptMap-4'!$I$15:$N$123,Q143+1,R143)</f>
        <v>0</v>
      </c>
    </row>
    <row r="144" spans="16:19">
      <c r="P144" s="11">
        <v>130</v>
      </c>
      <c r="Q144" s="11">
        <f t="shared" ref="Q144:Q161" si="17">IF(MOD(P144,$Q$8)=0,P144/$Q$8-1,INT(P144/$Q$8))</f>
        <v>21</v>
      </c>
      <c r="R144" s="11">
        <f t="shared" ref="R144:R161" si="18">IF(MOD(P144,$Q$8)=0,$Q$8,MOD(P144,$Q$8))</f>
        <v>4</v>
      </c>
      <c r="S144" s="12" cm="1">
        <f t="array" ref="S144">INDEX('Subject-ConceptMap-4'!$I$15:$N$123,Q144+1,R144)</f>
        <v>0</v>
      </c>
    </row>
    <row r="145" spans="16:19">
      <c r="P145" s="11">
        <v>131</v>
      </c>
      <c r="Q145" s="11">
        <f t="shared" si="17"/>
        <v>21</v>
      </c>
      <c r="R145" s="11">
        <f t="shared" si="18"/>
        <v>5</v>
      </c>
      <c r="S145" s="12" cm="1">
        <f t="array" ref="S145">INDEX('Subject-ConceptMap-4'!$I$15:$N$123,Q145+1,R145)</f>
        <v>0</v>
      </c>
    </row>
    <row r="146" spans="16:19">
      <c r="P146" s="11">
        <v>132</v>
      </c>
      <c r="Q146" s="11">
        <f t="shared" si="17"/>
        <v>21</v>
      </c>
      <c r="R146" s="11">
        <f t="shared" si="18"/>
        <v>6</v>
      </c>
      <c r="S146" s="12" cm="1">
        <f t="array" ref="S146">INDEX('Subject-ConceptMap-4'!$I$15:$N$123,Q146+1,R146)</f>
        <v>0</v>
      </c>
    </row>
    <row r="147" spans="16:19">
      <c r="P147" s="11">
        <v>133</v>
      </c>
      <c r="Q147" s="11">
        <f t="shared" si="17"/>
        <v>22</v>
      </c>
      <c r="R147" s="11">
        <f t="shared" si="18"/>
        <v>1</v>
      </c>
      <c r="S147" s="12" cm="1">
        <f t="array" ref="S147">INDEX('Subject-ConceptMap-4'!$I$15:$N$123,Q147+1,R147)</f>
        <v>0</v>
      </c>
    </row>
    <row r="148" spans="16:19">
      <c r="P148" s="11">
        <v>134</v>
      </c>
      <c r="Q148" s="11">
        <f t="shared" si="17"/>
        <v>22</v>
      </c>
      <c r="R148" s="11">
        <f t="shared" si="18"/>
        <v>2</v>
      </c>
      <c r="S148" s="12" cm="1">
        <f t="array" ref="S148">INDEX('Subject-ConceptMap-4'!$I$15:$N$123,Q148+1,R148)</f>
        <v>0</v>
      </c>
    </row>
    <row r="149" spans="16:19">
      <c r="P149" s="11">
        <v>135</v>
      </c>
      <c r="Q149" s="11">
        <f t="shared" si="17"/>
        <v>22</v>
      </c>
      <c r="R149" s="11">
        <f t="shared" si="18"/>
        <v>3</v>
      </c>
      <c r="S149" s="12" cm="1">
        <f t="array" ref="S149">INDEX('Subject-ConceptMap-4'!$I$15:$N$123,Q149+1,R149)</f>
        <v>0</v>
      </c>
    </row>
    <row r="150" spans="16:19">
      <c r="P150" s="11">
        <v>136</v>
      </c>
      <c r="Q150" s="11">
        <f t="shared" si="17"/>
        <v>22</v>
      </c>
      <c r="R150" s="11">
        <f t="shared" si="18"/>
        <v>4</v>
      </c>
      <c r="S150" s="12" cm="1">
        <f t="array" ref="S150">INDEX('Subject-ConceptMap-4'!$I$15:$N$123,Q150+1,R150)</f>
        <v>0</v>
      </c>
    </row>
    <row r="151" spans="16:19">
      <c r="P151" s="11">
        <v>137</v>
      </c>
      <c r="Q151" s="11">
        <f t="shared" si="17"/>
        <v>22</v>
      </c>
      <c r="R151" s="11">
        <f t="shared" si="18"/>
        <v>5</v>
      </c>
      <c r="S151" s="12" cm="1">
        <f t="array" ref="S151">INDEX('Subject-ConceptMap-4'!$I$15:$N$123,Q151+1,R151)</f>
        <v>0</v>
      </c>
    </row>
    <row r="152" spans="16:19">
      <c r="P152" s="11">
        <v>138</v>
      </c>
      <c r="Q152" s="11">
        <f t="shared" si="17"/>
        <v>22</v>
      </c>
      <c r="R152" s="11">
        <f t="shared" si="18"/>
        <v>6</v>
      </c>
      <c r="S152" s="12" cm="1">
        <f t="array" ref="S152">INDEX('Subject-ConceptMap-4'!$I$15:$N$123,Q152+1,R152)</f>
        <v>0</v>
      </c>
    </row>
    <row r="153" spans="16:19">
      <c r="P153" s="11">
        <v>139</v>
      </c>
      <c r="Q153" s="11">
        <f t="shared" si="17"/>
        <v>23</v>
      </c>
      <c r="R153" s="11">
        <f t="shared" si="18"/>
        <v>1</v>
      </c>
      <c r="S153" s="12" cm="1">
        <f t="array" ref="S153">INDEX('Subject-ConceptMap-4'!$I$15:$N$123,Q153+1,R153)</f>
        <v>0</v>
      </c>
    </row>
    <row r="154" spans="16:19">
      <c r="P154" s="11">
        <v>140</v>
      </c>
      <c r="Q154" s="11">
        <f t="shared" si="17"/>
        <v>23</v>
      </c>
      <c r="R154" s="11">
        <f t="shared" si="18"/>
        <v>2</v>
      </c>
      <c r="S154" s="12" cm="1">
        <f t="array" ref="S154">INDEX('Subject-ConceptMap-4'!$I$15:$N$123,Q154+1,R154)</f>
        <v>0</v>
      </c>
    </row>
    <row r="155" spans="16:19">
      <c r="P155" s="11">
        <v>141</v>
      </c>
      <c r="Q155" s="11">
        <f t="shared" si="17"/>
        <v>23</v>
      </c>
      <c r="R155" s="11">
        <f t="shared" si="18"/>
        <v>3</v>
      </c>
      <c r="S155" s="12" cm="1">
        <f t="array" ref="S155">INDEX('Subject-ConceptMap-4'!$I$15:$N$123,Q155+1,R155)</f>
        <v>0</v>
      </c>
    </row>
    <row r="156" spans="16:19">
      <c r="P156" s="11">
        <v>142</v>
      </c>
      <c r="Q156" s="11">
        <f t="shared" si="17"/>
        <v>23</v>
      </c>
      <c r="R156" s="11">
        <f t="shared" si="18"/>
        <v>4</v>
      </c>
      <c r="S156" s="12" cm="1">
        <f t="array" ref="S156">INDEX('Subject-ConceptMap-4'!$I$15:$N$123,Q156+1,R156)</f>
        <v>0</v>
      </c>
    </row>
    <row r="157" spans="16:19">
      <c r="P157" s="11">
        <v>143</v>
      </c>
      <c r="Q157" s="11">
        <f t="shared" si="17"/>
        <v>23</v>
      </c>
      <c r="R157" s="11">
        <f t="shared" si="18"/>
        <v>5</v>
      </c>
      <c r="S157" s="12" cm="1">
        <f t="array" ref="S157">INDEX('Subject-ConceptMap-4'!$I$15:$N$123,Q157+1,R157)</f>
        <v>0</v>
      </c>
    </row>
    <row r="158" spans="16:19">
      <c r="P158" s="11">
        <v>144</v>
      </c>
      <c r="Q158" s="11">
        <f t="shared" si="17"/>
        <v>23</v>
      </c>
      <c r="R158" s="11">
        <f t="shared" si="18"/>
        <v>6</v>
      </c>
      <c r="S158" s="12" cm="1">
        <f t="array" ref="S158">INDEX('Subject-ConceptMap-4'!$I$15:$N$123,Q158+1,R158)</f>
        <v>0</v>
      </c>
    </row>
    <row r="159" spans="16:19">
      <c r="P159" s="11">
        <v>145</v>
      </c>
      <c r="Q159" s="11">
        <f t="shared" si="17"/>
        <v>24</v>
      </c>
      <c r="R159" s="11">
        <f t="shared" si="18"/>
        <v>1</v>
      </c>
      <c r="S159" s="12" cm="1">
        <f t="array" ref="S159">INDEX('Subject-ConceptMap-4'!$I$15:$N$123,Q159+1,R159)</f>
        <v>0</v>
      </c>
    </row>
    <row r="160" spans="16:19">
      <c r="P160" s="11">
        <v>146</v>
      </c>
      <c r="Q160" s="11">
        <f t="shared" si="17"/>
        <v>24</v>
      </c>
      <c r="R160" s="11">
        <f t="shared" si="18"/>
        <v>2</v>
      </c>
      <c r="S160" s="12" cm="1">
        <f t="array" ref="S160">INDEX('Subject-ConceptMap-4'!$I$15:$N$123,Q160+1,R160)</f>
        <v>0</v>
      </c>
    </row>
    <row r="161" spans="16:19">
      <c r="P161" s="11">
        <v>147</v>
      </c>
      <c r="Q161" s="11">
        <f t="shared" si="17"/>
        <v>24</v>
      </c>
      <c r="R161" s="11">
        <f t="shared" si="18"/>
        <v>3</v>
      </c>
      <c r="S161" s="12" cm="1">
        <f t="array" ref="S161">INDEX('Subject-ConceptMap-4'!$I$15:$N$123,Q161+1,R161)</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62"/>
  <sheetViews>
    <sheetView topLeftCell="A48" workbookViewId="0">
      <selection activeCell="S60" sqref="S60:S7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1781</v>
      </c>
    </row>
    <row r="2" spans="1:19" ht="15.5" thickBot="1"/>
    <row r="3" spans="1:19" ht="15.5" thickBot="1">
      <c r="B3" s="62" t="s">
        <v>17</v>
      </c>
      <c r="C3" s="28" t="s">
        <v>1837</v>
      </c>
      <c r="D3" s="62" t="s">
        <v>1769</v>
      </c>
      <c r="E3" s="117" t="str">
        <f>$C$1&amp;Subject!B5</f>
        <v>http://hl7.eu/fhir/ig/idea4rc/StructureDefinition/Subject</v>
      </c>
    </row>
    <row r="4" spans="1:19">
      <c r="B4" s="62" t="s">
        <v>16</v>
      </c>
      <c r="C4" s="28" t="s">
        <v>1836</v>
      </c>
      <c r="D4" s="62" t="s">
        <v>1770</v>
      </c>
      <c r="E4" s="117" t="s">
        <v>1799</v>
      </c>
    </row>
    <row r="5" spans="1:19">
      <c r="B5" s="62" t="s">
        <v>10</v>
      </c>
      <c r="C5" s="127" t="s">
        <v>1838</v>
      </c>
      <c r="D5" s="62"/>
      <c r="E5" s="7"/>
    </row>
    <row r="6" spans="1:19">
      <c r="B6" s="62" t="s">
        <v>18</v>
      </c>
      <c r="C6" s="128"/>
      <c r="D6" s="62" t="s">
        <v>1771</v>
      </c>
      <c r="E6" s="184" t="str">
        <f>E3</f>
        <v>http://hl7.eu/fhir/ig/idea4rc/StructureDefinition/Subject</v>
      </c>
      <c r="F6" s="185"/>
      <c r="G6" s="185"/>
    </row>
    <row r="7" spans="1:19">
      <c r="B7" s="62" t="s">
        <v>15</v>
      </c>
      <c r="C7" s="129"/>
      <c r="D7" s="62" t="s">
        <v>1772</v>
      </c>
      <c r="E7" s="184" t="s">
        <v>1854</v>
      </c>
      <c r="F7" s="185"/>
      <c r="G7" s="185"/>
    </row>
    <row r="8" spans="1:19" ht="44.25">
      <c r="B8" s="62" t="s">
        <v>1773</v>
      </c>
      <c r="C8" s="103" t="s">
        <v>1838</v>
      </c>
      <c r="D8" s="62"/>
      <c r="E8" s="7"/>
      <c r="I8" s="12" t="s">
        <v>1402</v>
      </c>
      <c r="J8" s="12" t="s">
        <v>1403</v>
      </c>
      <c r="K8" s="12" t="s">
        <v>1404</v>
      </c>
      <c r="L8" s="12" t="s">
        <v>1405</v>
      </c>
      <c r="M8" s="11" t="s">
        <v>1406</v>
      </c>
      <c r="P8" s="49" t="s">
        <v>1441</v>
      </c>
      <c r="Q8" s="49">
        <v>6</v>
      </c>
    </row>
    <row r="9" spans="1:19">
      <c r="B9" s="62" t="s">
        <v>1774</v>
      </c>
      <c r="C9" s="12" t="s">
        <v>1839</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1845</v>
      </c>
      <c r="E14" s="6"/>
      <c r="F14" s="64"/>
      <c r="G14" s="64"/>
      <c r="I14" s="12"/>
      <c r="J14" s="11"/>
      <c r="K14" s="11"/>
      <c r="L14" s="11"/>
      <c r="M14" s="63"/>
      <c r="N14" s="66"/>
    </row>
    <row r="15" spans="1:19" ht="44.25">
      <c r="A15" s="59"/>
      <c r="B15" s="11" t="str">
        <f>Subject!B40</f>
        <v>karnofsyIndexAtDiagnosis</v>
      </c>
      <c r="C15" s="11" t="str">
        <f>Subject!C40</f>
        <v>Karnofsy index at diagnosis</v>
      </c>
      <c r="D15" s="12" t="s">
        <v>1855</v>
      </c>
      <c r="E15" s="12"/>
      <c r="F15" s="64" t="s">
        <v>1430</v>
      </c>
      <c r="G15" s="123"/>
      <c r="I15" s="12" t="str">
        <f>"* group[=].element[+].code = #"&amp;$B$14&amp;"."&amp;B15</f>
        <v>* group[=].element[+].code = #Subject.karnofsyIndexAtDiagnosis</v>
      </c>
      <c r="J15" s="12" t="str">
        <f t="shared" ref="J15:J22" si="0">"* group[=].element[=].display = ##34#"&amp;C15&amp;"##34#"</f>
        <v>* group[=].element[=].display = ##34#Karnofsy index at diagnosis##34#</v>
      </c>
      <c r="K15" s="12" t="str">
        <f t="shared" ref="K15:K22" si="1">IF(F15="unmatched","//-- unmatched","* group[=].element[=].target.code = #"&amp;$D$14&amp;"."&amp;D15)</f>
        <v>* group[=].element[=].target.code = #Observation.valueInteger</v>
      </c>
      <c r="L15" s="12" t="str">
        <f t="shared" ref="L15:L22" si="2">IF(F15="unmatched","//-- unmatched","* group[=].element[=].target.display = ##34#"&amp;E15&amp;"##34#")</f>
        <v>* group[=].element[=].target.display = ##34###34#</v>
      </c>
      <c r="M15" s="12" t="str">
        <f t="shared" ref="M15:M22" si="3">"* group[=].element[=].target.equivalence = #"&amp;F15</f>
        <v>* group[=].element[=].target.equivalence = #equal</v>
      </c>
      <c r="N15" s="12" t="str">
        <f t="shared" ref="N15:N22" si="4">IF(G15&lt;&gt;"",CONCATENATE("* group[=].element[=].target.comment = ","##34#",G15,"##34#"),"")</f>
        <v/>
      </c>
      <c r="P15" s="11">
        <v>1</v>
      </c>
      <c r="Q15" s="11">
        <f t="shared" ref="Q15:Q20" si="5">IF(MOD(P15,$Q$8)=0,P15/$Q$8-1,INT(P15/$Q$8))</f>
        <v>0</v>
      </c>
      <c r="R15" s="11">
        <f t="shared" ref="R15:R20" si="6">IF(MOD(P15,$Q$8)=0,$Q$8,MOD(P15,$Q$8))</f>
        <v>1</v>
      </c>
      <c r="S15" s="12" t="str" cm="1">
        <f t="array" ref="S15">INDEX('Subject-ConceptMap-5-8'!$I$15:$N$17,Q15+1,R15)</f>
        <v>* group[=].element[+].code = #Subject.karnofsyIndexAtDiagnosis</v>
      </c>
    </row>
    <row r="16" spans="1:19" ht="44.25" customHeight="1">
      <c r="A16" s="59"/>
      <c r="B16" s="11"/>
      <c r="C16" s="11"/>
      <c r="D16" s="12"/>
      <c r="E16" s="11"/>
      <c r="F16" s="64"/>
      <c r="G16" s="123"/>
      <c r="H16" s="58"/>
      <c r="I16" s="12"/>
      <c r="J16" s="12"/>
      <c r="K16" s="12"/>
      <c r="L16" s="12"/>
      <c r="M16" s="12"/>
      <c r="N16" s="12"/>
      <c r="P16" s="11">
        <v>2</v>
      </c>
      <c r="Q16" s="11">
        <f t="shared" si="5"/>
        <v>0</v>
      </c>
      <c r="R16" s="11">
        <f t="shared" si="6"/>
        <v>2</v>
      </c>
      <c r="S16" s="12" t="str" cm="1">
        <f t="array" ref="S16">INDEX('Subject-ConceptMap-5-8'!$I$15:$N$17,Q16+1,R16)</f>
        <v>* group[=].element[=].display = ##34#Karnofsy index at diagnosis##34#</v>
      </c>
    </row>
    <row r="17" spans="1:19" ht="103.25" customHeight="1">
      <c r="A17" s="59"/>
      <c r="B17" s="11"/>
      <c r="C17" s="11"/>
      <c r="D17" s="12"/>
      <c r="E17" s="11"/>
      <c r="F17" s="64"/>
      <c r="G17" s="123"/>
      <c r="H17" s="58"/>
      <c r="I17" s="12"/>
      <c r="J17" s="12"/>
      <c r="K17" s="12"/>
      <c r="L17" s="12"/>
      <c r="M17" s="12"/>
      <c r="N17" s="12"/>
      <c r="P17" s="11">
        <v>3</v>
      </c>
      <c r="Q17" s="11">
        <f t="shared" si="5"/>
        <v>0</v>
      </c>
      <c r="R17" s="11">
        <f t="shared" si="6"/>
        <v>3</v>
      </c>
      <c r="S17" s="12" t="str" cm="1">
        <f t="array" ref="S17">INDEX('Subject-ConceptMap-5-8'!$I$15:$N$17,Q17+1,R17)</f>
        <v>* group[=].element[=].target.code = #Observation.valueInteger</v>
      </c>
    </row>
    <row r="18" spans="1:19">
      <c r="A18" s="59"/>
      <c r="B18" s="11"/>
      <c r="C18" s="11"/>
      <c r="D18" s="12"/>
      <c r="E18" s="11"/>
      <c r="F18" s="64"/>
      <c r="G18" s="123"/>
      <c r="H18" s="58"/>
      <c r="I18" s="12"/>
      <c r="J18" s="12"/>
      <c r="K18" s="12"/>
      <c r="L18" s="12"/>
      <c r="M18" s="12"/>
      <c r="N18" s="12"/>
      <c r="P18" s="11">
        <v>4</v>
      </c>
      <c r="Q18" s="11">
        <f t="shared" si="5"/>
        <v>0</v>
      </c>
      <c r="R18" s="11">
        <f t="shared" si="6"/>
        <v>4</v>
      </c>
      <c r="S18" s="12" t="str" cm="1">
        <f t="array" ref="S18">INDEX('Subject-ConceptMap-5-8'!$I$15:$N$17,Q18+1,R18)</f>
        <v>* group[=].element[=].target.display = ##34###34#</v>
      </c>
    </row>
    <row r="19" spans="1:19">
      <c r="A19" s="59"/>
      <c r="B19" s="110"/>
      <c r="C19" s="110"/>
      <c r="D19" s="134" t="s">
        <v>1771</v>
      </c>
      <c r="E19" s="135" t="str">
        <f>$E$3</f>
        <v>http://hl7.eu/fhir/ig/idea4rc/StructureDefinition/Subject</v>
      </c>
      <c r="F19" s="136"/>
      <c r="G19" s="137"/>
      <c r="H19" s="58"/>
      <c r="I19" s="137"/>
      <c r="J19" s="137"/>
      <c r="K19" s="137"/>
      <c r="L19" s="137"/>
      <c r="M19" s="137"/>
      <c r="N19" s="12" t="str">
        <f t="shared" si="4"/>
        <v/>
      </c>
      <c r="P19" s="11">
        <v>5</v>
      </c>
      <c r="Q19" s="11">
        <f t="shared" si="5"/>
        <v>0</v>
      </c>
      <c r="R19" s="11">
        <f t="shared" si="6"/>
        <v>5</v>
      </c>
      <c r="S19" s="12" t="str" cm="1">
        <f t="array" ref="S19">INDEX('Subject-ConceptMap-5-8'!$I$15:$N$17,Q19+1,R19)</f>
        <v>* group[=].element[=].target.equivalence = #equal</v>
      </c>
    </row>
    <row r="20" spans="1:19" ht="44.25" customHeight="1">
      <c r="A20" s="59"/>
      <c r="B20" s="110"/>
      <c r="C20" s="110"/>
      <c r="D20" s="134" t="s">
        <v>1772</v>
      </c>
      <c r="E20" s="135" t="s">
        <v>1856</v>
      </c>
      <c r="F20" s="136"/>
      <c r="G20" s="137"/>
      <c r="H20" s="58"/>
      <c r="I20" s="137"/>
      <c r="J20" s="137"/>
      <c r="K20" s="137"/>
      <c r="L20" s="137"/>
      <c r="M20" s="137"/>
      <c r="N20" s="12" t="str">
        <f t="shared" si="4"/>
        <v/>
      </c>
      <c r="P20" s="11">
        <v>6</v>
      </c>
      <c r="Q20" s="11">
        <f t="shared" si="5"/>
        <v>0</v>
      </c>
      <c r="R20" s="11">
        <f t="shared" si="6"/>
        <v>6</v>
      </c>
      <c r="S20" s="12" t="str" cm="1">
        <f t="array" ref="S20">INDEX('Subject-ConceptMap-5-8'!$I$15:$N$17,Q20+1,R20)</f>
        <v/>
      </c>
    </row>
    <row r="21" spans="1:19" ht="44.25" customHeight="1">
      <c r="A21" s="59"/>
      <c r="B21" s="110"/>
      <c r="C21" s="110"/>
      <c r="D21" s="134"/>
      <c r="E21" s="135"/>
      <c r="F21" s="136"/>
      <c r="G21" s="137"/>
      <c r="H21" s="58"/>
      <c r="I21" s="137"/>
      <c r="J21" s="137"/>
      <c r="K21" s="137"/>
      <c r="L21" s="137"/>
      <c r="M21" s="137"/>
      <c r="N21" s="12"/>
      <c r="P21" s="110"/>
      <c r="Q21" s="110"/>
      <c r="R21" s="110"/>
      <c r="S21" s="111"/>
    </row>
    <row r="22" spans="1:19" ht="88.5" customHeight="1">
      <c r="A22" s="59"/>
      <c r="B22" s="11" t="str">
        <f>Subject!B39</f>
        <v>ecogPsAtDiagnosis</v>
      </c>
      <c r="C22" s="12" t="str">
        <f>Subject!C39</f>
        <v>Eastern Cooperative Oncology Group performance status (ECOG PS)  at diagnosis</v>
      </c>
      <c r="D22" s="12" t="s">
        <v>1996</v>
      </c>
      <c r="E22" s="12"/>
      <c r="F22" s="64" t="s">
        <v>1430</v>
      </c>
      <c r="G22" s="123"/>
      <c r="H22" s="58"/>
      <c r="I22" s="12" t="str">
        <f t="shared" ref="I22" si="7">"* group[=].element[+].code = #"&amp;$B$14&amp;"."&amp;B22</f>
        <v>* group[=].element[+].code = #Subject.ecogPsAtDiagnosis</v>
      </c>
      <c r="J22" s="12" t="str">
        <f t="shared" si="0"/>
        <v>* group[=].element[=].display = ##34#Eastern Cooperative Oncology Group performance status (ECOG PS)  at diagnosis##34#</v>
      </c>
      <c r="K22" s="12" t="str">
        <f t="shared" si="1"/>
        <v>* group[=].element[=].target.code = #Observation.valueCodeableConcept</v>
      </c>
      <c r="L22" s="12" t="str">
        <f t="shared" si="2"/>
        <v>* group[=].element[=].target.display = ##34###34#</v>
      </c>
      <c r="M22" s="12" t="str">
        <f t="shared" si="3"/>
        <v>* group[=].element[=].target.equivalence = #equal</v>
      </c>
      <c r="N22" s="12" t="str">
        <f t="shared" si="4"/>
        <v/>
      </c>
      <c r="P22" s="11">
        <v>1</v>
      </c>
      <c r="Q22" s="11">
        <f t="shared" ref="Q22" si="8">IF(MOD(P22,$Q$8)=0,P22/$Q$8-1,INT(P22/$Q$8))</f>
        <v>0</v>
      </c>
      <c r="R22" s="11">
        <f t="shared" ref="R22" si="9">IF(MOD(P22,$Q$8)=0,$Q$8,MOD(P22,$Q$8))</f>
        <v>1</v>
      </c>
      <c r="S22" s="12" t="str" cm="1">
        <f t="array" ref="S22">INDEX('Subject-ConceptMap-5-8'!$I$22:$N$39,Q22+1,R22)</f>
        <v>* group[=].element[+].code = #Subject.ecogPsAtDiagnosis</v>
      </c>
    </row>
    <row r="23" spans="1:19" ht="29.5">
      <c r="A23" s="59"/>
      <c r="B23" s="11"/>
      <c r="C23" s="11"/>
      <c r="D23" s="12"/>
      <c r="E23" s="11"/>
      <c r="F23" s="64"/>
      <c r="G23" s="123"/>
      <c r="H23" s="58"/>
      <c r="I23" s="12"/>
      <c r="J23" s="12"/>
      <c r="K23" s="12"/>
      <c r="L23" s="12"/>
      <c r="M23" s="12"/>
      <c r="N23" s="12"/>
      <c r="P23" s="11">
        <v>2</v>
      </c>
      <c r="Q23" s="11">
        <f t="shared" ref="Q23:Q36" si="10">IF(MOD(P23,$Q$8)=0,P23/$Q$8-1,INT(P23/$Q$8))</f>
        <v>0</v>
      </c>
      <c r="R23" s="11">
        <f t="shared" ref="R23:R36" si="11">IF(MOD(P23,$Q$8)=0,$Q$8,MOD(P23,$Q$8))</f>
        <v>2</v>
      </c>
      <c r="S23" s="12" t="str" cm="1">
        <f t="array" ref="S23">INDEX('Subject-ConceptMap-5-8'!$I$22:$N$39,Q23+1,R23)</f>
        <v>* group[=].element[=].display = ##34#Eastern Cooperative Oncology Group performance status (ECOG PS)  at diagnosis##34#</v>
      </c>
    </row>
    <row r="24" spans="1:19" ht="29.5" customHeight="1">
      <c r="A24" s="59"/>
      <c r="B24" s="11"/>
      <c r="C24" s="11"/>
      <c r="D24" s="12"/>
      <c r="E24" s="11"/>
      <c r="F24" s="64"/>
      <c r="G24" s="123"/>
      <c r="H24" s="58"/>
      <c r="I24" s="12"/>
      <c r="J24" s="12"/>
      <c r="K24" s="12"/>
      <c r="L24" s="12"/>
      <c r="M24" s="12"/>
      <c r="N24" s="12"/>
      <c r="P24" s="11">
        <v>3</v>
      </c>
      <c r="Q24" s="11">
        <f t="shared" si="10"/>
        <v>0</v>
      </c>
      <c r="R24" s="11">
        <f t="shared" si="11"/>
        <v>3</v>
      </c>
      <c r="S24" s="12" t="str" cm="1">
        <f t="array" ref="S24">INDEX('Subject-ConceptMap-5-8'!$I$22:$N$39,Q24+1,R24)</f>
        <v>* group[=].element[=].target.code = #Observation.valueCodeableConcept</v>
      </c>
    </row>
    <row r="25" spans="1:19">
      <c r="A25" s="59"/>
      <c r="B25" s="11"/>
      <c r="C25" s="11"/>
      <c r="D25" s="12"/>
      <c r="E25" s="11"/>
      <c r="F25" s="64"/>
      <c r="G25" s="123"/>
      <c r="H25" s="58"/>
      <c r="I25" s="12"/>
      <c r="J25" s="12"/>
      <c r="K25" s="12"/>
      <c r="L25" s="12"/>
      <c r="M25" s="12"/>
      <c r="N25" s="12"/>
      <c r="P25" s="11">
        <v>4</v>
      </c>
      <c r="Q25" s="11">
        <f t="shared" si="10"/>
        <v>0</v>
      </c>
      <c r="R25" s="11">
        <f t="shared" si="11"/>
        <v>4</v>
      </c>
      <c r="S25" s="12" t="str" cm="1">
        <f t="array" ref="S25">INDEX('Subject-ConceptMap-5-8'!$I$22:$N$39,Q25+1,R25)</f>
        <v>* group[=].element[=].target.display = ##34###34#</v>
      </c>
    </row>
    <row r="26" spans="1:19">
      <c r="A26" s="59"/>
      <c r="B26" s="11"/>
      <c r="C26" s="11"/>
      <c r="D26" s="12"/>
      <c r="E26" s="12"/>
      <c r="F26" s="64"/>
      <c r="G26" s="123"/>
      <c r="H26" s="58"/>
      <c r="I26" s="12"/>
      <c r="J26" s="12"/>
      <c r="K26" s="12"/>
      <c r="L26" s="12"/>
      <c r="M26" s="12"/>
      <c r="N26" s="12"/>
      <c r="P26" s="11">
        <v>5</v>
      </c>
      <c r="Q26" s="11">
        <f t="shared" si="10"/>
        <v>0</v>
      </c>
      <c r="R26" s="11">
        <f t="shared" si="11"/>
        <v>5</v>
      </c>
      <c r="S26" s="12" t="str" cm="1">
        <f t="array" ref="S26">INDEX('Subject-ConceptMap-5-8'!$I$22:$N$39,Q26+1,R26)</f>
        <v>* group[=].element[=].target.equivalence = #equal</v>
      </c>
    </row>
    <row r="27" spans="1:19">
      <c r="A27" s="59"/>
      <c r="B27" s="11"/>
      <c r="C27" s="11"/>
      <c r="D27" s="12"/>
      <c r="E27" s="12"/>
      <c r="F27" s="64"/>
      <c r="G27" s="123"/>
      <c r="H27" s="58"/>
      <c r="I27" s="12"/>
      <c r="J27" s="12"/>
      <c r="K27" s="12"/>
      <c r="L27" s="12"/>
      <c r="M27" s="12"/>
      <c r="N27" s="12"/>
      <c r="P27" s="11">
        <v>6</v>
      </c>
      <c r="Q27" s="11">
        <f t="shared" si="10"/>
        <v>0</v>
      </c>
      <c r="R27" s="11">
        <f t="shared" si="11"/>
        <v>6</v>
      </c>
      <c r="S27" s="12" t="str" cm="1">
        <f t="array" ref="S27">INDEX('Subject-ConceptMap-5-8'!$I$22:$N$39,Q27+1,R27)</f>
        <v/>
      </c>
    </row>
    <row r="28" spans="1:19">
      <c r="B28" s="11"/>
      <c r="C28" s="11"/>
      <c r="D28" s="12"/>
      <c r="E28" s="12"/>
      <c r="F28" s="64"/>
      <c r="G28" s="123"/>
      <c r="H28" s="58"/>
      <c r="I28" s="12"/>
      <c r="J28" s="12"/>
      <c r="K28" s="12"/>
      <c r="L28" s="12"/>
      <c r="M28" s="12"/>
      <c r="N28" s="12"/>
      <c r="P28" s="11">
        <v>7</v>
      </c>
      <c r="Q28" s="11">
        <f t="shared" si="10"/>
        <v>1</v>
      </c>
      <c r="R28" s="11">
        <f t="shared" si="11"/>
        <v>1</v>
      </c>
      <c r="S28" s="12" cm="1">
        <f t="array" ref="S28">INDEX('Subject-ConceptMap-5-8'!$I$22:$N$39,Q28+1,R28)</f>
        <v>0</v>
      </c>
    </row>
    <row r="29" spans="1:19">
      <c r="B29" s="11"/>
      <c r="C29" s="11"/>
      <c r="D29" s="12"/>
      <c r="E29" s="12"/>
      <c r="F29" s="64"/>
      <c r="G29" s="123"/>
      <c r="H29" s="58"/>
      <c r="I29" s="12"/>
      <c r="J29" s="12"/>
      <c r="K29" s="12"/>
      <c r="L29" s="12"/>
      <c r="M29" s="12"/>
      <c r="N29" s="12"/>
      <c r="P29" s="11">
        <v>8</v>
      </c>
      <c r="Q29" s="11">
        <f t="shared" si="10"/>
        <v>1</v>
      </c>
      <c r="R29" s="11">
        <f t="shared" si="11"/>
        <v>2</v>
      </c>
      <c r="S29" s="12" cm="1">
        <f t="array" ref="S29">INDEX('Subject-ConceptMap-5-8'!$I$22:$N$39,Q29+1,R29)</f>
        <v>0</v>
      </c>
    </row>
    <row r="30" spans="1:19">
      <c r="B30" s="11"/>
      <c r="C30" s="11"/>
      <c r="D30" s="12"/>
      <c r="E30" s="12"/>
      <c r="F30" s="64"/>
      <c r="G30" s="123"/>
      <c r="H30" s="58"/>
      <c r="I30" s="12"/>
      <c r="J30" s="12"/>
      <c r="K30" s="12"/>
      <c r="L30" s="12"/>
      <c r="M30" s="12"/>
      <c r="N30" s="12"/>
      <c r="P30" s="11">
        <v>9</v>
      </c>
      <c r="Q30" s="11">
        <f t="shared" si="10"/>
        <v>1</v>
      </c>
      <c r="R30" s="11">
        <f t="shared" si="11"/>
        <v>3</v>
      </c>
      <c r="S30" s="12" cm="1">
        <f t="array" ref="S30">INDEX('Subject-ConceptMap-5-8'!$I$22:$N$39,Q30+1,R30)</f>
        <v>0</v>
      </c>
    </row>
    <row r="31" spans="1:19">
      <c r="B31" s="11"/>
      <c r="C31" s="11"/>
      <c r="D31" s="12"/>
      <c r="E31" s="12"/>
      <c r="F31" s="64"/>
      <c r="G31" s="123"/>
      <c r="H31" s="58"/>
      <c r="I31" s="12"/>
      <c r="J31" s="12"/>
      <c r="K31" s="12"/>
      <c r="L31" s="12"/>
      <c r="M31" s="12"/>
      <c r="N31" s="12"/>
      <c r="P31" s="11">
        <v>10</v>
      </c>
      <c r="Q31" s="11">
        <f t="shared" si="10"/>
        <v>1</v>
      </c>
      <c r="R31" s="11">
        <f t="shared" si="11"/>
        <v>4</v>
      </c>
      <c r="S31" s="12" cm="1">
        <f t="array" ref="S31">INDEX('Subject-ConceptMap-5-8'!$I$22:$N$39,Q31+1,R31)</f>
        <v>0</v>
      </c>
    </row>
    <row r="32" spans="1:19">
      <c r="B32" s="11"/>
      <c r="C32" s="11"/>
      <c r="D32" s="12"/>
      <c r="E32" s="12"/>
      <c r="F32" s="64"/>
      <c r="G32" s="123"/>
      <c r="H32" s="58"/>
      <c r="I32" s="12"/>
      <c r="J32" s="12"/>
      <c r="K32" s="12"/>
      <c r="L32" s="12"/>
      <c r="M32" s="12"/>
      <c r="N32" s="12"/>
      <c r="P32" s="11">
        <v>11</v>
      </c>
      <c r="Q32" s="11">
        <f t="shared" si="10"/>
        <v>1</v>
      </c>
      <c r="R32" s="11">
        <f t="shared" si="11"/>
        <v>5</v>
      </c>
      <c r="S32" s="12" cm="1">
        <f t="array" ref="S32">INDEX('Subject-ConceptMap-5-8'!$I$22:$N$39,Q32+1,R32)</f>
        <v>0</v>
      </c>
    </row>
    <row r="33" spans="1:19">
      <c r="B33" s="11"/>
      <c r="C33" s="11"/>
      <c r="D33" s="12"/>
      <c r="E33" s="12"/>
      <c r="F33" s="64"/>
      <c r="G33" s="123"/>
      <c r="H33" s="58"/>
      <c r="I33" s="12"/>
      <c r="J33" s="12"/>
      <c r="K33" s="12"/>
      <c r="L33" s="12"/>
      <c r="M33" s="12"/>
      <c r="N33" s="12"/>
      <c r="P33" s="11">
        <v>12</v>
      </c>
      <c r="Q33" s="11">
        <f t="shared" si="10"/>
        <v>1</v>
      </c>
      <c r="R33" s="11">
        <f t="shared" si="11"/>
        <v>6</v>
      </c>
      <c r="S33" s="12" cm="1">
        <f t="array" ref="S33">INDEX('Subject-ConceptMap-5-8'!$I$22:$N$39,Q33+1,R33)</f>
        <v>0</v>
      </c>
    </row>
    <row r="34" spans="1:19">
      <c r="B34" s="11"/>
      <c r="C34" s="11"/>
      <c r="D34" s="12"/>
      <c r="E34" s="12"/>
      <c r="F34" s="64"/>
      <c r="G34" s="123"/>
      <c r="H34" s="58"/>
      <c r="I34" s="12"/>
      <c r="J34" s="12"/>
      <c r="K34" s="12"/>
      <c r="L34" s="12"/>
      <c r="M34" s="12"/>
      <c r="N34" s="12"/>
      <c r="P34" s="11">
        <v>13</v>
      </c>
      <c r="Q34" s="11">
        <f t="shared" si="10"/>
        <v>2</v>
      </c>
      <c r="R34" s="11">
        <f t="shared" si="11"/>
        <v>1</v>
      </c>
      <c r="S34" s="12" cm="1">
        <f t="array" ref="S34">INDEX('Subject-ConceptMap-5-8'!$I$22:$N$39,Q34+1,R34)</f>
        <v>0</v>
      </c>
    </row>
    <row r="35" spans="1:19">
      <c r="B35" s="11"/>
      <c r="C35" s="11"/>
      <c r="D35" s="12"/>
      <c r="E35" s="12"/>
      <c r="F35" s="64"/>
      <c r="G35" s="123"/>
      <c r="H35" s="58"/>
      <c r="I35" s="12"/>
      <c r="J35" s="12"/>
      <c r="K35" s="12"/>
      <c r="L35" s="12"/>
      <c r="M35" s="12"/>
      <c r="N35" s="12"/>
      <c r="P35" s="11">
        <v>14</v>
      </c>
      <c r="Q35" s="11">
        <f t="shared" si="10"/>
        <v>2</v>
      </c>
      <c r="R35" s="11">
        <f t="shared" si="11"/>
        <v>2</v>
      </c>
      <c r="S35" s="12" cm="1">
        <f t="array" ref="S35">INDEX('Subject-ConceptMap-5-8'!$I$22:$N$39,Q35+1,R35)</f>
        <v>0</v>
      </c>
    </row>
    <row r="36" spans="1:19">
      <c r="B36" s="11"/>
      <c r="C36" s="11"/>
      <c r="D36" s="12"/>
      <c r="E36" s="12"/>
      <c r="F36" s="64"/>
      <c r="G36" s="123"/>
      <c r="H36" s="58"/>
      <c r="I36" s="12"/>
      <c r="J36" s="12"/>
      <c r="K36" s="12"/>
      <c r="L36" s="12"/>
      <c r="M36" s="12"/>
      <c r="N36" s="12"/>
      <c r="P36" s="11">
        <v>15</v>
      </c>
      <c r="Q36" s="11">
        <f t="shared" si="10"/>
        <v>2</v>
      </c>
      <c r="R36" s="11">
        <f t="shared" si="11"/>
        <v>3</v>
      </c>
      <c r="S36" s="12" cm="1">
        <f t="array" ref="S36">INDEX('Subject-ConceptMap-5-8'!$I$22:$N$39,Q36+1,R36)</f>
        <v>0</v>
      </c>
    </row>
    <row r="37" spans="1:19">
      <c r="B37" s="11"/>
      <c r="C37" s="11"/>
      <c r="D37" s="12"/>
      <c r="E37" s="12"/>
      <c r="F37" s="64"/>
      <c r="G37" s="64"/>
      <c r="H37" s="58"/>
      <c r="I37" s="12"/>
      <c r="J37" s="12"/>
      <c r="K37" s="12"/>
      <c r="L37" s="12"/>
      <c r="M37" s="12"/>
      <c r="N37" s="12"/>
      <c r="P37" s="11"/>
      <c r="Q37" s="11"/>
      <c r="R37" s="11"/>
      <c r="S37" s="12"/>
    </row>
    <row r="38" spans="1:19">
      <c r="B38" s="11"/>
      <c r="C38" s="11"/>
      <c r="D38" s="12"/>
      <c r="E38" s="12"/>
      <c r="F38" s="64"/>
      <c r="G38" s="64"/>
      <c r="H38" s="58"/>
      <c r="K38" s="58"/>
      <c r="L38" s="58"/>
      <c r="M38" s="66"/>
      <c r="N38" s="66"/>
      <c r="P38" s="11"/>
      <c r="Q38" s="11"/>
      <c r="R38" s="11"/>
      <c r="S38" s="12"/>
    </row>
    <row r="39" spans="1:19">
      <c r="B39" s="11"/>
      <c r="C39" s="11"/>
      <c r="D39" s="12"/>
      <c r="E39" s="12"/>
      <c r="F39" s="64"/>
      <c r="G39" s="64"/>
      <c r="H39" s="58"/>
      <c r="K39" s="58"/>
      <c r="L39" s="58"/>
      <c r="M39" s="66"/>
      <c r="N39" s="66"/>
      <c r="P39" s="11"/>
      <c r="Q39" s="11"/>
      <c r="R39" s="11"/>
      <c r="S39" s="12"/>
    </row>
    <row r="40" spans="1:19">
      <c r="A40" s="59"/>
      <c r="B40" s="110"/>
      <c r="C40" s="110"/>
      <c r="D40" s="134" t="s">
        <v>1771</v>
      </c>
      <c r="E40" s="135" t="str">
        <f>$E$3</f>
        <v>http://hl7.eu/fhir/ig/idea4rc/StructureDefinition/Subject</v>
      </c>
      <c r="F40" s="136"/>
      <c r="G40" s="137"/>
      <c r="H40" s="58"/>
      <c r="I40" s="137"/>
      <c r="J40" s="137"/>
      <c r="K40" s="137"/>
      <c r="L40" s="137"/>
      <c r="M40" s="137"/>
      <c r="N40" s="12" t="str">
        <f t="shared" ref="N40:N41" si="12">IF(G40&lt;&gt;"",CONCATENATE("* group[=].element[=].target.comment = ","##34#",G40,"##34#"),"")</f>
        <v/>
      </c>
      <c r="P40" s="11"/>
      <c r="Q40" s="11"/>
      <c r="R40" s="11"/>
      <c r="S40" s="12"/>
    </row>
    <row r="41" spans="1:19" ht="44.25" customHeight="1">
      <c r="A41" s="59"/>
      <c r="B41" s="110"/>
      <c r="C41" s="110"/>
      <c r="D41" s="134" t="s">
        <v>1772</v>
      </c>
      <c r="E41" s="135" t="s">
        <v>2445</v>
      </c>
      <c r="F41" s="136"/>
      <c r="G41" s="137"/>
      <c r="H41" s="58"/>
      <c r="I41" s="137"/>
      <c r="J41" s="137"/>
      <c r="K41" s="137"/>
      <c r="L41" s="137"/>
      <c r="M41" s="137"/>
      <c r="N41" s="12" t="str">
        <f t="shared" si="12"/>
        <v/>
      </c>
      <c r="P41" s="11"/>
      <c r="Q41" s="11"/>
      <c r="R41" s="11"/>
      <c r="S41" s="12"/>
    </row>
    <row r="42" spans="1:19" ht="44.25" customHeight="1">
      <c r="A42" s="59"/>
      <c r="B42" s="110"/>
      <c r="C42" s="110"/>
      <c r="D42" s="134"/>
      <c r="E42" s="135"/>
      <c r="F42" s="136"/>
      <c r="G42" s="137"/>
      <c r="H42" s="58"/>
      <c r="I42" s="137"/>
      <c r="J42" s="137"/>
      <c r="K42" s="137"/>
      <c r="L42" s="137"/>
      <c r="M42" s="137"/>
      <c r="N42" s="12"/>
      <c r="P42" s="110"/>
      <c r="Q42" s="110"/>
      <c r="R42" s="110"/>
      <c r="S42" s="111"/>
    </row>
    <row r="43" spans="1:19" s="2" customFormat="1" ht="44.25">
      <c r="A43"/>
      <c r="B43" s="11" t="str">
        <f>Subject!B17</f>
        <v>charlsonComorbidityIndex</v>
      </c>
      <c r="C43" s="11" t="str">
        <f>Subject!C17</f>
        <v>Charlson Comorbidity index</v>
      </c>
      <c r="D43" s="12" t="s">
        <v>1855</v>
      </c>
      <c r="E43" s="12"/>
      <c r="F43" s="64" t="s">
        <v>1430</v>
      </c>
      <c r="G43" s="58"/>
      <c r="H43" s="58"/>
      <c r="I43" s="12" t="str">
        <f t="shared" ref="I43" si="13">"* group[=].element[+].code = #"&amp;$B$14&amp;"."&amp;B43</f>
        <v>* group[=].element[+].code = #Subject.charlsonComorbidityIndex</v>
      </c>
      <c r="J43" s="12" t="str">
        <f t="shared" ref="J43" si="14">"* group[=].element[=].display = ##34#"&amp;C43&amp;"##34#"</f>
        <v>* group[=].element[=].display = ##34#Charlson Comorbidity index##34#</v>
      </c>
      <c r="K43" s="12" t="str">
        <f t="shared" ref="K43" si="15">IF(F43="unmatched","//-- unmatched","* group[=].element[=].target.code = #"&amp;$D$14&amp;"."&amp;D43)</f>
        <v>* group[=].element[=].target.code = #Observation.valueInteger</v>
      </c>
      <c r="L43" s="12" t="str">
        <f t="shared" ref="L43" si="16">IF(F43="unmatched","//-- unmatched","* group[=].element[=].target.display = ##34#"&amp;E43&amp;"##34#")</f>
        <v>* group[=].element[=].target.display = ##34###34#</v>
      </c>
      <c r="M43" s="12" t="str">
        <f t="shared" ref="M43" si="17">"* group[=].element[=].target.equivalence = #"&amp;F43</f>
        <v>* group[=].element[=].target.equivalence = #equal</v>
      </c>
      <c r="N43" s="66"/>
      <c r="P43" s="11">
        <v>1</v>
      </c>
      <c r="Q43" s="11">
        <f t="shared" ref="Q43:Q54" si="18">IF(MOD(P43,$Q$8)=0,P43/$Q$8-1,INT(P43/$Q$8))</f>
        <v>0</v>
      </c>
      <c r="R43" s="11">
        <f t="shared" ref="R43:R54" si="19">IF(MOD(P43,$Q$8)=0,$Q$8,MOD(P43,$Q$8))</f>
        <v>1</v>
      </c>
      <c r="S43" s="12" t="str" cm="1">
        <f t="array" ref="S43">INDEX('Subject-ConceptMap-5-8'!$I$43:$N$56,Q43+1,R43)</f>
        <v>* group[=].element[+].code = #Subject.charlsonComorbidityIndex</v>
      </c>
    </row>
    <row r="44" spans="1:19" s="2" customFormat="1">
      <c r="A44"/>
      <c r="B44" s="11"/>
      <c r="C44" s="12"/>
      <c r="F44" s="64"/>
      <c r="G44" s="58"/>
      <c r="H44" s="58"/>
      <c r="J44" s="58"/>
      <c r="K44" s="58"/>
      <c r="L44" s="58"/>
      <c r="M44" s="66"/>
      <c r="N44" s="66"/>
      <c r="P44" s="11">
        <v>2</v>
      </c>
      <c r="Q44" s="11">
        <f t="shared" si="18"/>
        <v>0</v>
      </c>
      <c r="R44" s="11">
        <f t="shared" si="19"/>
        <v>2</v>
      </c>
      <c r="S44" s="12" t="str" cm="1">
        <f t="array" ref="S44">INDEX('Subject-ConceptMap-5-8'!$I$43:$N$56,Q44+1,R44)</f>
        <v>* group[=].element[=].display = ##34#Charlson Comorbidity index##34#</v>
      </c>
    </row>
    <row r="45" spans="1:19">
      <c r="B45" s="11"/>
      <c r="C45" s="12"/>
      <c r="F45" s="64"/>
      <c r="P45" s="11">
        <v>3</v>
      </c>
      <c r="Q45" s="11">
        <f t="shared" si="18"/>
        <v>0</v>
      </c>
      <c r="R45" s="11">
        <f t="shared" si="19"/>
        <v>3</v>
      </c>
      <c r="S45" s="12" t="str" cm="1">
        <f t="array" ref="S45">INDEX('Subject-ConceptMap-5-8'!$I$43:$N$56,Q45+1,R45)</f>
        <v>* group[=].element[=].target.code = #Observation.valueInteger</v>
      </c>
    </row>
    <row r="46" spans="1:19">
      <c r="B46" s="11"/>
      <c r="C46" s="12"/>
      <c r="F46" s="64"/>
      <c r="P46" s="11">
        <v>4</v>
      </c>
      <c r="Q46" s="11">
        <f t="shared" si="18"/>
        <v>0</v>
      </c>
      <c r="R46" s="11">
        <f t="shared" si="19"/>
        <v>4</v>
      </c>
      <c r="S46" s="12" t="str" cm="1">
        <f t="array" ref="S46">INDEX('Subject-ConceptMap-5-8'!$I$43:$N$56,Q46+1,R46)</f>
        <v>* group[=].element[=].target.display = ##34###34#</v>
      </c>
    </row>
    <row r="47" spans="1:19">
      <c r="B47" s="11"/>
      <c r="C47" s="12"/>
      <c r="P47" s="11">
        <v>5</v>
      </c>
      <c r="Q47" s="11">
        <f t="shared" si="18"/>
        <v>0</v>
      </c>
      <c r="R47" s="11">
        <f t="shared" si="19"/>
        <v>5</v>
      </c>
      <c r="S47" s="12" t="str" cm="1">
        <f t="array" ref="S47">INDEX('Subject-ConceptMap-5-8'!$I$43:$N$56,Q47+1,R47)</f>
        <v>* group[=].element[=].target.equivalence = #equal</v>
      </c>
    </row>
    <row r="48" spans="1:19">
      <c r="B48" s="11"/>
      <c r="C48" s="12"/>
      <c r="P48" s="11">
        <v>6</v>
      </c>
      <c r="Q48" s="11">
        <f t="shared" si="18"/>
        <v>0</v>
      </c>
      <c r="R48" s="11">
        <f t="shared" si="19"/>
        <v>6</v>
      </c>
      <c r="S48" s="12" cm="1">
        <f t="array" ref="S48">INDEX('Subject-ConceptMap-5-8'!$I$43:$N$56,Q48+1,R48)</f>
        <v>0</v>
      </c>
    </row>
    <row r="49" spans="1:19">
      <c r="P49" s="11">
        <v>7</v>
      </c>
      <c r="Q49" s="11">
        <f t="shared" si="18"/>
        <v>1</v>
      </c>
      <c r="R49" s="11">
        <f t="shared" si="19"/>
        <v>1</v>
      </c>
      <c r="S49" s="12" cm="1">
        <f t="array" ref="S49">INDEX('Subject-ConceptMap-5-8'!$I$43:$N$56,Q49+1,R49)</f>
        <v>0</v>
      </c>
    </row>
    <row r="50" spans="1:19">
      <c r="P50" s="11">
        <v>8</v>
      </c>
      <c r="Q50" s="11">
        <f t="shared" si="18"/>
        <v>1</v>
      </c>
      <c r="R50" s="11">
        <f t="shared" si="19"/>
        <v>2</v>
      </c>
      <c r="S50" s="12" cm="1">
        <f t="array" ref="S50">INDEX('Subject-ConceptMap-5-8'!$I$43:$N$56,Q50+1,R50)</f>
        <v>0</v>
      </c>
    </row>
    <row r="51" spans="1:19">
      <c r="P51" s="11">
        <v>9</v>
      </c>
      <c r="Q51" s="11">
        <f t="shared" si="18"/>
        <v>1</v>
      </c>
      <c r="R51" s="11">
        <f t="shared" si="19"/>
        <v>3</v>
      </c>
      <c r="S51" s="12" cm="1">
        <f t="array" ref="S51">INDEX('Subject-ConceptMap-5-8'!$I$43:$N$56,Q51+1,R51)</f>
        <v>0</v>
      </c>
    </row>
    <row r="52" spans="1:19">
      <c r="P52" s="11">
        <v>10</v>
      </c>
      <c r="Q52" s="11">
        <f t="shared" si="18"/>
        <v>1</v>
      </c>
      <c r="R52" s="11">
        <f t="shared" si="19"/>
        <v>4</v>
      </c>
      <c r="S52" s="12" cm="1">
        <f t="array" ref="S52">INDEX('Subject-ConceptMap-5-8'!$I$43:$N$56,Q52+1,R52)</f>
        <v>0</v>
      </c>
    </row>
    <row r="53" spans="1:19">
      <c r="P53" s="11">
        <v>11</v>
      </c>
      <c r="Q53" s="11">
        <f t="shared" si="18"/>
        <v>1</v>
      </c>
      <c r="R53" s="11">
        <f t="shared" si="19"/>
        <v>5</v>
      </c>
      <c r="S53" s="12" cm="1">
        <f t="array" ref="S53">INDEX('Subject-ConceptMap-5-8'!$I$43:$N$56,Q53+1,R53)</f>
        <v>0</v>
      </c>
    </row>
    <row r="54" spans="1:19">
      <c r="P54" s="11">
        <v>12</v>
      </c>
      <c r="Q54" s="11">
        <f t="shared" si="18"/>
        <v>1</v>
      </c>
      <c r="R54" s="11">
        <f t="shared" si="19"/>
        <v>6</v>
      </c>
      <c r="S54" s="12" cm="1">
        <f t="array" ref="S54">INDEX('Subject-ConceptMap-5-8'!$I$43:$N$56,Q54+1,R54)</f>
        <v>0</v>
      </c>
    </row>
    <row r="55" spans="1:19">
      <c r="P55" s="11"/>
      <c r="Q55" s="11"/>
      <c r="R55" s="11"/>
      <c r="S55" s="12"/>
    </row>
    <row r="56" spans="1:19">
      <c r="P56" s="11"/>
      <c r="Q56" s="11"/>
      <c r="R56" s="11"/>
      <c r="S56" s="12"/>
    </row>
    <row r="57" spans="1:19">
      <c r="A57" s="59"/>
      <c r="B57" s="110"/>
      <c r="C57" s="110"/>
      <c r="D57" s="134" t="s">
        <v>1771</v>
      </c>
      <c r="E57" s="135" t="str">
        <f>$E$3</f>
        <v>http://hl7.eu/fhir/ig/idea4rc/StructureDefinition/Subject</v>
      </c>
      <c r="F57" s="136"/>
      <c r="G57" s="137"/>
      <c r="H57" s="58"/>
      <c r="I57" s="137"/>
      <c r="J57" s="137"/>
      <c r="K57" s="137"/>
      <c r="L57" s="137"/>
      <c r="M57" s="137"/>
      <c r="N57" s="12" t="str">
        <f t="shared" ref="N57:N58" si="20">IF(G57&lt;&gt;"",CONCATENATE("* group[=].element[=].target.comment = ","##34#",G57,"##34#"),"")</f>
        <v/>
      </c>
      <c r="P57" s="11"/>
      <c r="Q57" s="11"/>
      <c r="R57" s="11"/>
      <c r="S57" s="12"/>
    </row>
    <row r="58" spans="1:19" ht="44.25" customHeight="1">
      <c r="A58" s="59"/>
      <c r="B58" s="110"/>
      <c r="C58" s="110"/>
      <c r="D58" s="134" t="s">
        <v>1772</v>
      </c>
      <c r="E58" s="135" t="s">
        <v>2446</v>
      </c>
      <c r="F58" s="136"/>
      <c r="G58" s="137"/>
      <c r="H58" s="58"/>
      <c r="I58" s="137"/>
      <c r="J58" s="137"/>
      <c r="K58" s="137"/>
      <c r="L58" s="137"/>
      <c r="M58" s="137"/>
      <c r="N58" s="12" t="str">
        <f t="shared" si="20"/>
        <v/>
      </c>
      <c r="P58" s="11"/>
      <c r="Q58" s="11"/>
      <c r="R58" s="11"/>
      <c r="S58" s="12"/>
    </row>
    <row r="59" spans="1:19" ht="44.25" customHeight="1">
      <c r="A59" s="59"/>
      <c r="B59" s="110"/>
      <c r="C59" s="110"/>
      <c r="D59" s="134"/>
      <c r="E59" s="135"/>
      <c r="F59" s="136"/>
      <c r="G59" s="137"/>
      <c r="H59" s="58"/>
      <c r="I59" s="137"/>
      <c r="J59" s="137"/>
      <c r="K59" s="137"/>
      <c r="L59" s="137"/>
      <c r="M59" s="137"/>
      <c r="N59" s="12"/>
      <c r="P59" s="110"/>
      <c r="Q59" s="110"/>
      <c r="R59" s="110"/>
      <c r="S59" s="111"/>
    </row>
    <row r="60" spans="1:19" s="2" customFormat="1" ht="73.75">
      <c r="A60"/>
      <c r="B60" s="11" t="str">
        <f>Subject!B16</f>
        <v>bMI</v>
      </c>
      <c r="C60" s="11" t="str">
        <f>Subject!C16</f>
        <v xml:space="preserve">Height/weight (BMI)
</v>
      </c>
      <c r="D60" s="12" t="s">
        <v>1996</v>
      </c>
      <c r="E60" s="12"/>
      <c r="F60" s="64" t="s">
        <v>1430</v>
      </c>
      <c r="G60" s="58"/>
      <c r="H60" s="58"/>
      <c r="I60" s="12" t="str">
        <f t="shared" ref="I60" si="21">"* group[=].element[+].code = #"&amp;$B$14&amp;"."&amp;B60</f>
        <v>* group[=].element[+].code = #Subject.bMI</v>
      </c>
      <c r="J60" s="12" t="str">
        <f t="shared" ref="J60" si="22">"* group[=].element[=].display = ##34#"&amp;C60&amp;"##34#"</f>
        <v>* group[=].element[=].display = ##34#Height/weight (BMI)
##34#</v>
      </c>
      <c r="K60" s="12" t="str">
        <f t="shared" ref="K60" si="23">IF(F60="unmatched","//-- unmatched","* group[=].element[=].target.code = #"&amp;$D$14&amp;"."&amp;D60)</f>
        <v>* group[=].element[=].target.code = #Observation.valueCodeableConcept</v>
      </c>
      <c r="L60" s="12" t="str">
        <f t="shared" ref="L60" si="24">IF(F60="unmatched","//-- unmatched","* group[=].element[=].target.display = ##34#"&amp;E60&amp;"##34#")</f>
        <v>* group[=].element[=].target.display = ##34###34#</v>
      </c>
      <c r="M60" s="12" t="str">
        <f t="shared" ref="M60" si="25">"* group[=].element[=].target.equivalence = #"&amp;F60</f>
        <v>* group[=].element[=].target.equivalence = #equal</v>
      </c>
      <c r="N60" s="66"/>
      <c r="P60" s="11">
        <v>1</v>
      </c>
      <c r="Q60" s="11">
        <f t="shared" ref="Q60:Q71" si="26">IF(MOD(P60,$Q$8)=0,P60/$Q$8-1,INT(P60/$Q$8))</f>
        <v>0</v>
      </c>
      <c r="R60" s="11">
        <f t="shared" ref="R60:R71" si="27">IF(MOD(P60,$Q$8)=0,$Q$8,MOD(P60,$Q$8))</f>
        <v>1</v>
      </c>
      <c r="S60" s="12" t="str" cm="1">
        <f t="array" ref="S60">INDEX('Subject-ConceptMap-5-8'!$I$60:$N$71,Q60+1,R60)</f>
        <v>* group[=].element[+].code = #Subject.bMI</v>
      </c>
    </row>
    <row r="61" spans="1:19" s="2" customFormat="1" ht="29.5">
      <c r="A61"/>
      <c r="B61" s="11"/>
      <c r="C61" s="12"/>
      <c r="F61" s="64"/>
      <c r="G61" s="58"/>
      <c r="H61" s="58"/>
      <c r="J61" s="58"/>
      <c r="K61" s="58"/>
      <c r="L61" s="58"/>
      <c r="M61" s="66"/>
      <c r="N61" s="66"/>
      <c r="P61" s="11">
        <v>2</v>
      </c>
      <c r="Q61" s="11">
        <f t="shared" si="26"/>
        <v>0</v>
      </c>
      <c r="R61" s="11">
        <f t="shared" si="27"/>
        <v>2</v>
      </c>
      <c r="S61" s="12" t="str" cm="1">
        <f t="array" ref="S61">INDEX('Subject-ConceptMap-5-8'!$I$60:$N$71,Q61+1,R61)</f>
        <v>* group[=].element[=].display = ##34#Height/weight (BMI)
##34#</v>
      </c>
    </row>
    <row r="62" spans="1:19">
      <c r="B62" s="11"/>
      <c r="C62" s="12"/>
      <c r="F62" s="64"/>
      <c r="P62" s="11">
        <v>3</v>
      </c>
      <c r="Q62" s="11">
        <f t="shared" si="26"/>
        <v>0</v>
      </c>
      <c r="R62" s="11">
        <f t="shared" si="27"/>
        <v>3</v>
      </c>
      <c r="S62" s="12" t="str" cm="1">
        <f t="array" ref="S62">INDEX('Subject-ConceptMap-5-8'!$I$60:$N$71,Q62+1,R62)</f>
        <v>* group[=].element[=].target.code = #Observation.valueCodeableConcept</v>
      </c>
    </row>
    <row r="63" spans="1:19">
      <c r="B63" s="11"/>
      <c r="C63" s="12"/>
      <c r="F63" s="64"/>
      <c r="P63" s="11">
        <v>4</v>
      </c>
      <c r="Q63" s="11">
        <f t="shared" si="26"/>
        <v>0</v>
      </c>
      <c r="R63" s="11">
        <f t="shared" si="27"/>
        <v>4</v>
      </c>
      <c r="S63" s="12" t="str" cm="1">
        <f t="array" ref="S63">INDEX('Subject-ConceptMap-5-8'!$I$60:$N$71,Q63+1,R63)</f>
        <v>* group[=].element[=].target.display = ##34###34#</v>
      </c>
    </row>
    <row r="64" spans="1:19">
      <c r="B64" s="11"/>
      <c r="C64" s="12"/>
      <c r="P64" s="11">
        <v>5</v>
      </c>
      <c r="Q64" s="11">
        <f t="shared" si="26"/>
        <v>0</v>
      </c>
      <c r="R64" s="11">
        <f t="shared" si="27"/>
        <v>5</v>
      </c>
      <c r="S64" s="12" t="str" cm="1">
        <f t="array" ref="S64">INDEX('Subject-ConceptMap-5-8'!$I$60:$N$71,Q64+1,R64)</f>
        <v>* group[=].element[=].target.equivalence = #equal</v>
      </c>
    </row>
    <row r="65" spans="2:19">
      <c r="B65" s="11"/>
      <c r="C65" s="12"/>
      <c r="P65" s="11">
        <v>6</v>
      </c>
      <c r="Q65" s="11">
        <f t="shared" si="26"/>
        <v>0</v>
      </c>
      <c r="R65" s="11">
        <f t="shared" si="27"/>
        <v>6</v>
      </c>
      <c r="S65" s="12" cm="1">
        <f t="array" ref="S65">INDEX('Subject-ConceptMap-5-8'!$I$60:$N$71,Q65+1,R65)</f>
        <v>0</v>
      </c>
    </row>
    <row r="66" spans="2:19">
      <c r="P66" s="11">
        <v>7</v>
      </c>
      <c r="Q66" s="11">
        <f t="shared" si="26"/>
        <v>1</v>
      </c>
      <c r="R66" s="11">
        <f t="shared" si="27"/>
        <v>1</v>
      </c>
      <c r="S66" s="12" cm="1">
        <f t="array" ref="S66">INDEX('Subject-ConceptMap-5-8'!$I$60:$N$71,Q66+1,R66)</f>
        <v>0</v>
      </c>
    </row>
    <row r="67" spans="2:19">
      <c r="P67" s="11">
        <v>8</v>
      </c>
      <c r="Q67" s="11">
        <f t="shared" si="26"/>
        <v>1</v>
      </c>
      <c r="R67" s="11">
        <f t="shared" si="27"/>
        <v>2</v>
      </c>
      <c r="S67" s="12" cm="1">
        <f t="array" ref="S67">INDEX('Subject-ConceptMap-5-8'!$I$60:$N$71,Q67+1,R67)</f>
        <v>0</v>
      </c>
    </row>
    <row r="68" spans="2:19">
      <c r="P68" s="11">
        <v>9</v>
      </c>
      <c r="Q68" s="11">
        <f t="shared" si="26"/>
        <v>1</v>
      </c>
      <c r="R68" s="11">
        <f t="shared" si="27"/>
        <v>3</v>
      </c>
      <c r="S68" s="12" cm="1">
        <f t="array" ref="S68">INDEX('Subject-ConceptMap-5-8'!$I$60:$N$71,Q68+1,R68)</f>
        <v>0</v>
      </c>
    </row>
    <row r="69" spans="2:19">
      <c r="P69" s="11">
        <v>10</v>
      </c>
      <c r="Q69" s="11">
        <f t="shared" si="26"/>
        <v>1</v>
      </c>
      <c r="R69" s="11">
        <f t="shared" si="27"/>
        <v>4</v>
      </c>
      <c r="S69" s="12" cm="1">
        <f t="array" ref="S69">INDEX('Subject-ConceptMap-5-8'!$I$60:$N$71,Q69+1,R69)</f>
        <v>0</v>
      </c>
    </row>
    <row r="70" spans="2:19">
      <c r="P70" s="11">
        <v>11</v>
      </c>
      <c r="Q70" s="11">
        <f t="shared" si="26"/>
        <v>1</v>
      </c>
      <c r="R70" s="11">
        <f t="shared" si="27"/>
        <v>5</v>
      </c>
      <c r="S70" s="12" cm="1">
        <f t="array" ref="S70">INDEX('Subject-ConceptMap-5-8'!$I$60:$N$71,Q70+1,R70)</f>
        <v>0</v>
      </c>
    </row>
    <row r="71" spans="2:19">
      <c r="P71" s="11">
        <v>12</v>
      </c>
      <c r="Q71" s="11">
        <f t="shared" si="26"/>
        <v>1</v>
      </c>
      <c r="R71" s="11">
        <f t="shared" si="27"/>
        <v>6</v>
      </c>
      <c r="S71" s="12" cm="1">
        <f t="array" ref="S71">INDEX('Subject-ConceptMap-5-8'!$I$60:$N$71,Q71+1,R71)</f>
        <v>0</v>
      </c>
    </row>
    <row r="72" spans="2:19">
      <c r="P72" s="11"/>
      <c r="Q72" s="11"/>
      <c r="R72" s="11"/>
      <c r="S72" s="12"/>
    </row>
    <row r="73" spans="2:19">
      <c r="P73" s="11"/>
      <c r="Q73" s="11"/>
      <c r="R73" s="11"/>
      <c r="S73" s="12"/>
    </row>
    <row r="74" spans="2:19">
      <c r="P74" s="11"/>
      <c r="Q74" s="11"/>
      <c r="R74" s="11"/>
      <c r="S74" s="12"/>
    </row>
    <row r="75" spans="2:19">
      <c r="P75" s="11"/>
      <c r="Q75" s="11"/>
      <c r="R75" s="11"/>
      <c r="S75" s="12"/>
    </row>
    <row r="76" spans="2:19">
      <c r="P76" s="11"/>
      <c r="Q76" s="11"/>
      <c r="R76" s="11"/>
      <c r="S76" s="12"/>
    </row>
    <row r="77" spans="2:19">
      <c r="P77" s="11"/>
      <c r="Q77" s="11"/>
      <c r="R77" s="11"/>
      <c r="S77" s="12"/>
    </row>
    <row r="78" spans="2:19">
      <c r="P78" s="11"/>
      <c r="Q78" s="11"/>
      <c r="R78" s="11"/>
      <c r="S78" s="12"/>
    </row>
    <row r="79" spans="2:19">
      <c r="P79" s="11"/>
      <c r="Q79" s="11"/>
      <c r="R79" s="11"/>
      <c r="S79" s="12"/>
    </row>
    <row r="80" spans="2: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row r="141" spans="16:19">
      <c r="P141" s="11"/>
      <c r="Q141" s="11"/>
      <c r="R141" s="11"/>
      <c r="S141" s="12"/>
    </row>
    <row r="142" spans="16:19">
      <c r="P142" s="11"/>
      <c r="Q142" s="11"/>
      <c r="R142" s="11"/>
      <c r="S142" s="12"/>
    </row>
    <row r="143" spans="16:19">
      <c r="P143" s="11"/>
      <c r="Q143" s="11"/>
      <c r="R143" s="11"/>
      <c r="S143" s="12"/>
    </row>
    <row r="144" spans="16:19">
      <c r="P144" s="11"/>
      <c r="Q144" s="11"/>
      <c r="R144" s="11"/>
      <c r="S144" s="12"/>
    </row>
    <row r="145" spans="16:19">
      <c r="P145" s="11"/>
      <c r="Q145" s="11"/>
      <c r="R145" s="11"/>
      <c r="S145" s="12"/>
    </row>
    <row r="146" spans="16:19">
      <c r="P146" s="11"/>
      <c r="Q146" s="11"/>
      <c r="R146" s="11"/>
      <c r="S146" s="12"/>
    </row>
    <row r="147" spans="16:19">
      <c r="P147" s="11"/>
      <c r="Q147" s="11"/>
      <c r="R147" s="11"/>
      <c r="S147" s="12"/>
    </row>
    <row r="148" spans="16:19">
      <c r="P148" s="11"/>
      <c r="Q148" s="11"/>
      <c r="R148" s="11"/>
      <c r="S148" s="12"/>
    </row>
    <row r="149" spans="16:19">
      <c r="P149" s="11"/>
      <c r="Q149" s="11"/>
      <c r="R149" s="11"/>
      <c r="S149" s="12"/>
    </row>
    <row r="150" spans="16:19">
      <c r="P150" s="11"/>
      <c r="Q150" s="11"/>
      <c r="R150" s="11"/>
      <c r="S150" s="12"/>
    </row>
    <row r="151" spans="16:19">
      <c r="P151" s="11"/>
      <c r="Q151" s="11"/>
      <c r="R151" s="11"/>
      <c r="S151" s="12"/>
    </row>
    <row r="152" spans="16:19">
      <c r="P152" s="11"/>
      <c r="Q152" s="11"/>
      <c r="R152" s="11"/>
      <c r="S152" s="12"/>
    </row>
    <row r="153" spans="16:19">
      <c r="P153" s="11"/>
      <c r="Q153" s="11"/>
      <c r="R153" s="11"/>
      <c r="S153" s="12"/>
    </row>
    <row r="154" spans="16:19">
      <c r="P154" s="11"/>
      <c r="Q154" s="11"/>
      <c r="R154" s="11"/>
      <c r="S154" s="12"/>
    </row>
    <row r="155" spans="16:19">
      <c r="P155" s="11"/>
      <c r="Q155" s="11"/>
      <c r="R155" s="11"/>
      <c r="S155" s="12"/>
    </row>
    <row r="156" spans="16:19">
      <c r="P156" s="11"/>
      <c r="Q156" s="11"/>
      <c r="R156" s="11"/>
      <c r="S156" s="12"/>
    </row>
    <row r="157" spans="16:19">
      <c r="P157" s="11"/>
      <c r="Q157" s="11"/>
      <c r="R157" s="11"/>
      <c r="S157" s="12"/>
    </row>
    <row r="158" spans="16:19">
      <c r="P158" s="11"/>
      <c r="Q158" s="11"/>
      <c r="R158" s="11"/>
      <c r="S158" s="12"/>
    </row>
    <row r="159" spans="16:19">
      <c r="P159" s="11"/>
      <c r="Q159" s="11"/>
      <c r="R159" s="11"/>
      <c r="S159" s="12"/>
    </row>
    <row r="160" spans="16:19">
      <c r="P160" s="11"/>
      <c r="Q160" s="11"/>
      <c r="R160" s="11"/>
      <c r="S160" s="12"/>
    </row>
    <row r="161" spans="16:19">
      <c r="P161" s="11"/>
      <c r="Q161" s="11"/>
      <c r="R161" s="11"/>
      <c r="S161" s="12"/>
    </row>
    <row r="162" spans="16:19">
      <c r="P162" s="11"/>
      <c r="Q162" s="11"/>
      <c r="R162" s="11"/>
      <c r="S162" s="12"/>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38EC22-4838-4EFA-AF8D-CE1F99C74935}">
  <sheetPr codeName="Foglio94">
    <tabColor theme="0" tint="-0.499984740745262"/>
  </sheetPr>
  <dimension ref="A1:S128"/>
  <sheetViews>
    <sheetView zoomScale="85" zoomScaleNormal="85" workbookViewId="0">
      <selection activeCell="F17" sqref="F1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1781</v>
      </c>
    </row>
    <row r="2" spans="1:19" ht="15.5" thickBot="1"/>
    <row r="3" spans="1:19" ht="15.5" thickBot="1">
      <c r="B3" s="62" t="s">
        <v>17</v>
      </c>
      <c r="C3" s="28" t="s">
        <v>1837</v>
      </c>
      <c r="D3" s="62" t="s">
        <v>1769</v>
      </c>
      <c r="E3" s="117" t="str">
        <f>$C$1&amp;Subject!B5</f>
        <v>http://hl7.eu/fhir/ig/idea4rc/StructureDefinition/Subject</v>
      </c>
    </row>
    <row r="4" spans="1:19">
      <c r="B4" s="62" t="s">
        <v>16</v>
      </c>
      <c r="C4" s="28" t="s">
        <v>1836</v>
      </c>
      <c r="D4" s="62" t="s">
        <v>1770</v>
      </c>
      <c r="E4" s="184" t="s">
        <v>1861</v>
      </c>
      <c r="F4" s="185"/>
      <c r="G4" s="185"/>
    </row>
    <row r="5" spans="1:19">
      <c r="B5" s="62" t="s">
        <v>10</v>
      </c>
      <c r="C5" s="127" t="s">
        <v>1838</v>
      </c>
      <c r="D5" s="62"/>
      <c r="E5" s="7"/>
    </row>
    <row r="6" spans="1:19">
      <c r="B6" s="62" t="s">
        <v>18</v>
      </c>
      <c r="C6" s="128"/>
      <c r="D6" s="62" t="s">
        <v>1771</v>
      </c>
      <c r="E6" s="184" t="str">
        <f>E3</f>
        <v>http://hl7.eu/fhir/ig/idea4rc/StructureDefinition/Subject</v>
      </c>
      <c r="F6" s="185"/>
      <c r="G6" s="185"/>
    </row>
    <row r="7" spans="1:19">
      <c r="B7" s="62" t="s">
        <v>15</v>
      </c>
      <c r="C7" s="129"/>
      <c r="D7" s="62" t="s">
        <v>1772</v>
      </c>
      <c r="E7" s="184" t="s">
        <v>1861</v>
      </c>
      <c r="F7" s="185"/>
      <c r="G7" s="185"/>
    </row>
    <row r="8" spans="1:19" ht="44.25">
      <c r="B8" s="62" t="s">
        <v>1773</v>
      </c>
      <c r="C8" s="103" t="s">
        <v>1838</v>
      </c>
      <c r="D8" s="62"/>
      <c r="E8"/>
      <c r="I8" s="12" t="s">
        <v>1402</v>
      </c>
      <c r="J8" s="12" t="s">
        <v>1403</v>
      </c>
      <c r="K8" s="12" t="s">
        <v>1404</v>
      </c>
      <c r="L8" s="12" t="s">
        <v>1405</v>
      </c>
      <c r="M8" s="11" t="s">
        <v>1406</v>
      </c>
      <c r="P8" s="49" t="s">
        <v>1441</v>
      </c>
      <c r="Q8" s="49">
        <v>6</v>
      </c>
    </row>
    <row r="9" spans="1:19">
      <c r="B9" s="62" t="s">
        <v>1774</v>
      </c>
      <c r="C9" s="12" t="s">
        <v>1839</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Gender</v>
      </c>
      <c r="D15" s="12" t="s">
        <v>1841</v>
      </c>
      <c r="E15" s="12"/>
      <c r="F15" s="64" t="s">
        <v>1429</v>
      </c>
      <c r="G15" s="123" t="s">
        <v>1840</v>
      </c>
      <c r="I15" s="12" t="str">
        <f>"* group[=].element[+].code = #"&amp;$B$14&amp;"."&amp;B15</f>
        <v>* group[=].element[+].code = #Subject.sex</v>
      </c>
      <c r="J15" s="12" t="str">
        <f t="shared" ref="J15:J20" si="0">"* group[=].element[=].display = ##34#"&amp;C15&amp;"##34#"</f>
        <v>* group[=].element[=].display = ##34#Gender##34#</v>
      </c>
      <c r="K15" s="12" t="str">
        <f t="shared" ref="K15:K20" si="1">IF(F15="unmatched","//-- unmatched","* group[=].element[=].target.code = #"&amp;$D$14&amp;"."&amp;D15)</f>
        <v>* group[=].element[=].target.code = #Patient.gender</v>
      </c>
      <c r="L15" s="12" t="str">
        <f t="shared" ref="L15:L20" si="2">IF(F15="unmatched","//-- unmatched","* group[=].element[=].target.display = ##34#"&amp;E15&amp;"##34#")</f>
        <v>* group[=].element[=].target.display = ##34###34#</v>
      </c>
      <c r="M15" s="12" t="str">
        <f t="shared" ref="M15:M20" si="3">"* group[=].element[=].target.equivalence = #"&amp;F15</f>
        <v>* group[=].element[=].target.equivalence = #equivalent</v>
      </c>
      <c r="N15" s="12" t="str">
        <f t="shared" ref="N15:N30" si="4">IF(G15&lt;&gt;"",CONCATENATE("* group[=].element[=].target.comment = ","##34#",G15,"##34#"),"")</f>
        <v>* group[=].element[=].target.comment = ##34#to be checked for the time being assumed to be the administrative gender##34#</v>
      </c>
      <c r="P15" s="11">
        <v>1</v>
      </c>
      <c r="Q15" s="11">
        <f t="shared" ref="Q15:Q66" si="5">IF(MOD(P15,$Q$8)=0,P15/$Q$8-1,INT(P15/$Q$8))</f>
        <v>0</v>
      </c>
      <c r="R15" s="11">
        <f t="shared" ref="R15:R66" si="6">IF(MOD(P15,$Q$8)=0,$Q$8,MOD(P15,$Q$8))</f>
        <v>1</v>
      </c>
      <c r="S15" s="12" t="str" cm="1">
        <f t="array" ref="S15">INDEX('Subject-ConceptMap-9'!$I$15:$N$58,Q15+1,R15)</f>
        <v>* group[=].element[+].code = #Subject.sex</v>
      </c>
    </row>
    <row r="16" spans="1:19" ht="44.25">
      <c r="B16" s="11" t="str">
        <f>Subject!B41</f>
        <v>noGeneticSyndromeWho2020</v>
      </c>
      <c r="C16" s="12" t="str">
        <f>Subject!C41</f>
        <v xml:space="preserve">No Genetic syndrome WHO 2020 </v>
      </c>
      <c r="D16" s="12"/>
      <c r="E16" s="12"/>
      <c r="F16" s="64" t="s">
        <v>2308</v>
      </c>
      <c r="G16" s="11"/>
      <c r="I16" s="12" t="str">
        <f t="shared" ref="I16:I20" si="7">"* group[=].element[+].code = #"&amp;$B$14&amp;"."&amp;B16</f>
        <v>* group[=].element[+].code = #Subject.noGeneticSyndromeWho2020</v>
      </c>
      <c r="J16" s="12" t="str">
        <f t="shared" si="0"/>
        <v>* group[=].element[=].display = ##34#No Genetic syndrome WHO 2020 ##34#</v>
      </c>
      <c r="K16" s="12" t="str">
        <f t="shared" si="1"/>
        <v>* group[=].element[=].target.code = #Patient.</v>
      </c>
      <c r="L16" s="12" t="str">
        <f t="shared" si="2"/>
        <v>* group[=].element[=].target.display = ##34###34#</v>
      </c>
      <c r="M16" s="12" t="str">
        <f t="shared" si="3"/>
        <v>* group[=].element[=].target.equivalence = #relatedTo</v>
      </c>
      <c r="N16" s="12" t="str">
        <f t="shared" si="4"/>
        <v/>
      </c>
      <c r="P16" s="11">
        <v>14</v>
      </c>
      <c r="Q16" s="11">
        <f t="shared" si="5"/>
        <v>2</v>
      </c>
      <c r="R16" s="11">
        <f t="shared" si="6"/>
        <v>2</v>
      </c>
      <c r="S16" s="12" t="str" cm="1">
        <f t="array" ref="S16">INDEX('Subject-ConceptMap-9'!$I$15:$N$58,Q16+1,R16)</f>
        <v>* group[=].element[=].display = ##34#Other Genetic syndrome WHO 2020 ##34#</v>
      </c>
    </row>
    <row r="17" spans="2:19" ht="44.25">
      <c r="B17" s="11" t="str">
        <f>Subject!B52</f>
        <v>otherGeneticSyndromeWho2020</v>
      </c>
      <c r="C17" s="12" t="str">
        <f>Subject!C52</f>
        <v xml:space="preserve">Other Genetic syndrome WHO 2020 </v>
      </c>
      <c r="D17" s="12"/>
      <c r="E17" s="12"/>
      <c r="F17" s="64" t="s">
        <v>1424</v>
      </c>
      <c r="G17" s="11"/>
      <c r="I17" s="12" t="str">
        <f t="shared" si="7"/>
        <v>* group[=].element[+].code = #Subject.otherGeneticSyndromeWho2020</v>
      </c>
      <c r="J17" s="12" t="str">
        <f t="shared" si="0"/>
        <v>* group[=].element[=].display = ##34#Other Genetic syndrome WHO 2020 ##34#</v>
      </c>
      <c r="K17" s="12" t="str">
        <f t="shared" si="1"/>
        <v>//-- unmatched</v>
      </c>
      <c r="L17" s="12" t="str">
        <f t="shared" si="2"/>
        <v>//-- unmatched</v>
      </c>
      <c r="M17" s="12" t="str">
        <f t="shared" si="3"/>
        <v>* group[=].element[=].target.equivalence = #unmatched</v>
      </c>
      <c r="N17" s="12" t="str">
        <f t="shared" si="4"/>
        <v/>
      </c>
      <c r="P17" s="11">
        <v>15</v>
      </c>
      <c r="Q17" s="11">
        <f t="shared" si="5"/>
        <v>2</v>
      </c>
      <c r="R17" s="11">
        <f t="shared" si="6"/>
        <v>3</v>
      </c>
      <c r="S17" s="12" t="str" cm="1">
        <f t="array" ref="S17">INDEX('Subject-ConceptMap-9'!$I$15:$N$58,Q17+1,R17)</f>
        <v>//-- unmatched</v>
      </c>
    </row>
    <row r="18" spans="2:19" ht="44.25">
      <c r="B18" s="11" t="str">
        <f>Subject!B53</f>
        <v>occurrenceOfOtherCancer</v>
      </c>
      <c r="C18" s="12" t="str">
        <f>Subject!C53</f>
        <v>Occurrence of other cancer</v>
      </c>
      <c r="D18" s="12"/>
      <c r="E18" s="12"/>
      <c r="F18" s="64" t="s">
        <v>1424</v>
      </c>
      <c r="G18" s="11"/>
      <c r="I18" s="12" t="str">
        <f t="shared" si="7"/>
        <v>* group[=].element[+].code = #Subject.occurrenceOfOtherCancer</v>
      </c>
      <c r="J18" s="12" t="str">
        <f t="shared" si="0"/>
        <v>* group[=].element[=].display = ##34#Occurrence of other cancer##34#</v>
      </c>
      <c r="K18" s="12" t="str">
        <f t="shared" si="1"/>
        <v>//-- unmatched</v>
      </c>
      <c r="L18" s="12" t="str">
        <f t="shared" si="2"/>
        <v>//-- unmatched</v>
      </c>
      <c r="M18" s="12" t="str">
        <f t="shared" si="3"/>
        <v>* group[=].element[=].target.equivalence = #unmatched</v>
      </c>
      <c r="N18" s="12" t="str">
        <f t="shared" si="4"/>
        <v/>
      </c>
      <c r="P18" s="11">
        <v>16</v>
      </c>
      <c r="Q18" s="11">
        <f t="shared" si="5"/>
        <v>2</v>
      </c>
      <c r="R18" s="11">
        <f t="shared" si="6"/>
        <v>4</v>
      </c>
      <c r="S18" s="12" t="str" cm="1">
        <f t="array" ref="S18">INDEX('Subject-ConceptMap-9'!$I$15:$N$58,Q18+1,R18)</f>
        <v>//-- unmatched</v>
      </c>
    </row>
    <row r="19" spans="2:19" ht="44.25">
      <c r="B19" s="11" t="str">
        <f>Subject!B54</f>
        <v>previousCancerTreatment</v>
      </c>
      <c r="C19" s="12" t="str">
        <f>Subject!C54</f>
        <v>Previous cancer treatment</v>
      </c>
      <c r="D19" s="12"/>
      <c r="E19" s="12"/>
      <c r="F19" s="64" t="s">
        <v>1424</v>
      </c>
      <c r="G19" s="11"/>
      <c r="I19" s="12" t="str">
        <f t="shared" si="7"/>
        <v>* group[=].element[+].code = #Subject.previousCancerTreatment</v>
      </c>
      <c r="J19" s="12" t="str">
        <f t="shared" si="0"/>
        <v>* group[=].element[=].display = ##34#Previous cancer treatment##34#</v>
      </c>
      <c r="K19" s="12" t="str">
        <f t="shared" si="1"/>
        <v>//-- unmatched</v>
      </c>
      <c r="L19" s="12" t="str">
        <f t="shared" si="2"/>
        <v>//-- unmatched</v>
      </c>
      <c r="M19" s="12" t="str">
        <f t="shared" si="3"/>
        <v>* group[=].element[=].target.equivalence = #unmatched</v>
      </c>
      <c r="N19" s="12" t="str">
        <f t="shared" si="4"/>
        <v/>
      </c>
      <c r="P19" s="11">
        <v>17</v>
      </c>
      <c r="Q19" s="11">
        <f t="shared" si="5"/>
        <v>2</v>
      </c>
      <c r="R19" s="11">
        <f t="shared" si="6"/>
        <v>5</v>
      </c>
      <c r="S19" s="12" t="str" cm="1">
        <f t="array" ref="S19">INDEX('Subject-ConceptMap-9'!$I$15:$N$58,Q19+1,R19)</f>
        <v>* group[=].element[=].target.equivalence = #unmatched</v>
      </c>
    </row>
    <row r="20" spans="2:19" ht="44.25">
      <c r="B20" s="11" t="str">
        <f>Subject!B55</f>
        <v>lastContact</v>
      </c>
      <c r="C20" s="12" t="str">
        <f>Subject!C55</f>
        <v>Last Contact</v>
      </c>
      <c r="D20" s="12"/>
      <c r="E20" s="12"/>
      <c r="F20" s="64" t="s">
        <v>1424</v>
      </c>
      <c r="G20" s="11"/>
      <c r="I20" s="12" t="str">
        <f t="shared" si="7"/>
        <v>* group[=].element[+].code = #Subject.lastContact</v>
      </c>
      <c r="J20" s="12" t="str">
        <f t="shared" si="0"/>
        <v>* group[=].element[=].display = ##34#Last Contact##34#</v>
      </c>
      <c r="K20" s="12" t="str">
        <f t="shared" si="1"/>
        <v>//-- unmatched</v>
      </c>
      <c r="L20" s="12" t="str">
        <f t="shared" si="2"/>
        <v>//-- unmatched</v>
      </c>
      <c r="M20" s="12" t="str">
        <f t="shared" si="3"/>
        <v>* group[=].element[=].target.equivalence = #unmatched</v>
      </c>
      <c r="N20" s="12" t="str">
        <f t="shared" si="4"/>
        <v/>
      </c>
      <c r="P20" s="11">
        <v>18</v>
      </c>
      <c r="Q20" s="11">
        <f t="shared" si="5"/>
        <v>2</v>
      </c>
      <c r="R20" s="11">
        <f t="shared" si="6"/>
        <v>6</v>
      </c>
      <c r="S20" s="12" t="str" cm="1">
        <f t="array" ref="S20">INDEX('Subject-ConceptMap-9'!$I$15:$N$58,Q20+1,R20)</f>
        <v/>
      </c>
    </row>
    <row r="21" spans="2:19">
      <c r="B21" s="11"/>
      <c r="C21" s="12"/>
      <c r="D21" s="12"/>
      <c r="E21" s="12"/>
      <c r="F21" s="11"/>
      <c r="G21" s="11"/>
      <c r="I21" s="12"/>
      <c r="J21" s="12"/>
      <c r="K21" s="12"/>
      <c r="L21" s="12"/>
      <c r="M21" s="12"/>
      <c r="N21" s="12" t="str">
        <f t="shared" si="4"/>
        <v/>
      </c>
      <c r="P21" s="11">
        <v>19</v>
      </c>
      <c r="Q21" s="11">
        <f t="shared" si="5"/>
        <v>3</v>
      </c>
      <c r="R21" s="11">
        <f t="shared" si="6"/>
        <v>1</v>
      </c>
      <c r="S21" s="12" t="str" cm="1">
        <f t="array" ref="S21">INDEX('Subject-ConceptMap-9'!$I$15:$N$58,Q21+1,R21)</f>
        <v>* group[=].element[+].code = #Subject.occurrenceOfOtherCancer</v>
      </c>
    </row>
    <row r="22" spans="2:19">
      <c r="B22" s="11"/>
      <c r="C22" s="12"/>
      <c r="D22" s="12"/>
      <c r="E22" s="12"/>
      <c r="F22" s="11"/>
      <c r="G22" s="11"/>
      <c r="I22" s="12"/>
      <c r="J22" s="12"/>
      <c r="K22" s="12"/>
      <c r="L22" s="12"/>
      <c r="M22" s="12"/>
      <c r="N22" s="12" t="str">
        <f t="shared" si="4"/>
        <v/>
      </c>
      <c r="P22" s="11">
        <v>20</v>
      </c>
      <c r="Q22" s="11">
        <f t="shared" si="5"/>
        <v>3</v>
      </c>
      <c r="R22" s="11">
        <f t="shared" si="6"/>
        <v>2</v>
      </c>
      <c r="S22" s="12" t="str" cm="1">
        <f t="array" ref="S22">INDEX('Subject-ConceptMap-9'!$I$15:$N$58,Q22+1,R22)</f>
        <v>* group[=].element[=].display = ##34#Occurrence of other cancer##34#</v>
      </c>
    </row>
    <row r="23" spans="2:19">
      <c r="B23" s="11"/>
      <c r="C23" s="12"/>
      <c r="D23" s="12"/>
      <c r="E23" s="12"/>
      <c r="F23" s="11"/>
      <c r="G23" s="11"/>
      <c r="I23" s="12"/>
      <c r="J23" s="12"/>
      <c r="K23" s="12"/>
      <c r="L23" s="12"/>
      <c r="M23" s="12"/>
      <c r="N23" s="12" t="str">
        <f t="shared" si="4"/>
        <v/>
      </c>
      <c r="P23" s="11">
        <v>21</v>
      </c>
      <c r="Q23" s="11">
        <f t="shared" si="5"/>
        <v>3</v>
      </c>
      <c r="R23" s="11">
        <f t="shared" si="6"/>
        <v>3</v>
      </c>
      <c r="S23" s="12" t="str" cm="1">
        <f t="array" ref="S23">INDEX('Subject-ConceptMap-9'!$I$15:$N$58,Q23+1,R23)</f>
        <v>//-- unmatched</v>
      </c>
    </row>
    <row r="24" spans="2:19">
      <c r="B24" s="11"/>
      <c r="C24" s="12"/>
      <c r="D24" s="12"/>
      <c r="E24" s="12"/>
      <c r="F24" s="11"/>
      <c r="G24" s="11"/>
      <c r="I24" s="12"/>
      <c r="J24" s="12"/>
      <c r="K24" s="12"/>
      <c r="L24" s="12"/>
      <c r="M24" s="12"/>
      <c r="N24" s="12" t="str">
        <f t="shared" si="4"/>
        <v/>
      </c>
      <c r="P24" s="11">
        <v>22</v>
      </c>
      <c r="Q24" s="11">
        <f t="shared" si="5"/>
        <v>3</v>
      </c>
      <c r="R24" s="11">
        <f t="shared" si="6"/>
        <v>4</v>
      </c>
      <c r="S24" s="12" t="str" cm="1">
        <f t="array" ref="S24">INDEX('Subject-ConceptMap-9'!$I$15:$N$58,Q24+1,R24)</f>
        <v>//-- unmatched</v>
      </c>
    </row>
    <row r="25" spans="2:19">
      <c r="B25" s="11"/>
      <c r="C25" s="12"/>
      <c r="D25" s="12"/>
      <c r="E25" s="12"/>
      <c r="F25" s="11"/>
      <c r="G25" s="11"/>
      <c r="I25" s="12"/>
      <c r="J25" s="12"/>
      <c r="K25" s="12"/>
      <c r="L25" s="12"/>
      <c r="M25" s="12"/>
      <c r="N25" s="12" t="str">
        <f t="shared" si="4"/>
        <v/>
      </c>
      <c r="P25" s="11">
        <v>23</v>
      </c>
      <c r="Q25" s="11">
        <f t="shared" si="5"/>
        <v>3</v>
      </c>
      <c r="R25" s="11">
        <f t="shared" si="6"/>
        <v>5</v>
      </c>
      <c r="S25" s="12" t="str" cm="1">
        <f t="array" ref="S25">INDEX('Subject-ConceptMap-9'!$I$15:$N$58,Q25+1,R25)</f>
        <v>* group[=].element[=].target.equivalence = #unmatched</v>
      </c>
    </row>
    <row r="26" spans="2:19">
      <c r="B26" s="11"/>
      <c r="C26" s="12"/>
      <c r="D26" s="12"/>
      <c r="E26" s="12"/>
      <c r="F26" s="11"/>
      <c r="G26" s="11"/>
      <c r="I26" s="12"/>
      <c r="J26" s="12"/>
      <c r="K26" s="12"/>
      <c r="L26" s="12"/>
      <c r="M26" s="12"/>
      <c r="N26" s="12" t="str">
        <f t="shared" si="4"/>
        <v/>
      </c>
      <c r="P26" s="11">
        <v>24</v>
      </c>
      <c r="Q26" s="11">
        <f t="shared" si="5"/>
        <v>3</v>
      </c>
      <c r="R26" s="11">
        <f t="shared" si="6"/>
        <v>6</v>
      </c>
      <c r="S26" s="12" t="str" cm="1">
        <f t="array" ref="S26">INDEX('Subject-ConceptMap-9'!$I$15:$N$58,Q26+1,R26)</f>
        <v/>
      </c>
    </row>
    <row r="27" spans="2:19">
      <c r="B27" s="11"/>
      <c r="C27" s="12"/>
      <c r="D27" s="12"/>
      <c r="E27" s="12"/>
      <c r="F27" s="11"/>
      <c r="G27" s="11"/>
      <c r="I27" s="12"/>
      <c r="J27" s="12"/>
      <c r="K27" s="12"/>
      <c r="L27" s="12"/>
      <c r="M27" s="12"/>
      <c r="N27" s="12" t="str">
        <f t="shared" si="4"/>
        <v/>
      </c>
      <c r="P27" s="11">
        <v>25</v>
      </c>
      <c r="Q27" s="11">
        <f t="shared" si="5"/>
        <v>4</v>
      </c>
      <c r="R27" s="11">
        <f t="shared" si="6"/>
        <v>1</v>
      </c>
      <c r="S27" s="12" t="str" cm="1">
        <f t="array" ref="S27">INDEX('Subject-ConceptMap-9'!$I$15:$N$58,Q27+1,R27)</f>
        <v>* group[=].element[+].code = #Subject.previousCancerTreatment</v>
      </c>
    </row>
    <row r="28" spans="2:19">
      <c r="I28" s="12"/>
      <c r="J28" s="12"/>
      <c r="K28" s="12"/>
      <c r="L28" s="12"/>
      <c r="M28" s="12"/>
      <c r="N28" s="12" t="str">
        <f t="shared" si="4"/>
        <v/>
      </c>
      <c r="P28" s="11">
        <v>26</v>
      </c>
      <c r="Q28" s="11">
        <f t="shared" si="5"/>
        <v>4</v>
      </c>
      <c r="R28" s="11">
        <f t="shared" si="6"/>
        <v>2</v>
      </c>
      <c r="S28" s="12" t="str" cm="1">
        <f t="array" ref="S28">INDEX('Subject-ConceptMap-9'!$I$15:$N$58,Q28+1,R28)</f>
        <v>* group[=].element[=].display = ##34#Previous cancer treatment##34#</v>
      </c>
    </row>
    <row r="29" spans="2:19">
      <c r="I29" s="12"/>
      <c r="J29" s="12"/>
      <c r="K29" s="12"/>
      <c r="L29" s="12"/>
      <c r="M29" s="12"/>
      <c r="N29" s="12" t="str">
        <f t="shared" si="4"/>
        <v/>
      </c>
      <c r="P29" s="11">
        <v>27</v>
      </c>
      <c r="Q29" s="11">
        <f t="shared" si="5"/>
        <v>4</v>
      </c>
      <c r="R29" s="11">
        <f t="shared" si="6"/>
        <v>3</v>
      </c>
      <c r="S29" s="12" t="str" cm="1">
        <f t="array" ref="S29">INDEX('Subject-ConceptMap-9'!$I$15:$N$58,Q29+1,R29)</f>
        <v>//-- unmatched</v>
      </c>
    </row>
    <row r="30" spans="2:19">
      <c r="I30" s="12"/>
      <c r="J30" s="12"/>
      <c r="K30" s="12"/>
      <c r="L30" s="12"/>
      <c r="M30" s="12"/>
      <c r="N30" s="12" t="str">
        <f t="shared" si="4"/>
        <v/>
      </c>
      <c r="P30" s="11">
        <v>28</v>
      </c>
      <c r="Q30" s="11">
        <f t="shared" si="5"/>
        <v>4</v>
      </c>
      <c r="R30" s="11">
        <f t="shared" si="6"/>
        <v>4</v>
      </c>
      <c r="S30" s="12" t="str" cm="1">
        <f t="array" ref="S30">INDEX('Subject-ConceptMap-9'!$I$15:$N$58,Q30+1,R30)</f>
        <v>//-- unmatched</v>
      </c>
    </row>
    <row r="31" spans="2:19">
      <c r="P31" s="11">
        <v>29</v>
      </c>
      <c r="Q31" s="11">
        <f t="shared" si="5"/>
        <v>4</v>
      </c>
      <c r="R31" s="11">
        <f t="shared" si="6"/>
        <v>5</v>
      </c>
      <c r="S31" s="12" t="str" cm="1">
        <f t="array" ref="S31">INDEX('Subject-ConceptMap-9'!$I$15:$N$58,Q31+1,R31)</f>
        <v>* group[=].element[=].target.equivalence = #unmatched</v>
      </c>
    </row>
    <row r="32" spans="2:19">
      <c r="P32" s="11">
        <v>30</v>
      </c>
      <c r="Q32" s="11">
        <f t="shared" si="5"/>
        <v>4</v>
      </c>
      <c r="R32" s="11">
        <f t="shared" si="6"/>
        <v>6</v>
      </c>
      <c r="S32" s="12" t="str" cm="1">
        <f t="array" ref="S32">INDEX('Subject-ConceptMap-9'!$I$15:$N$58,Q32+1,R32)</f>
        <v/>
      </c>
    </row>
    <row r="33" spans="16:19">
      <c r="P33" s="11">
        <v>31</v>
      </c>
      <c r="Q33" s="11">
        <f t="shared" si="5"/>
        <v>5</v>
      </c>
      <c r="R33" s="11">
        <f t="shared" si="6"/>
        <v>1</v>
      </c>
      <c r="S33" s="12" t="str" cm="1">
        <f t="array" ref="S33">INDEX('Subject-ConceptMap-9'!$I$15:$N$58,Q33+1,R33)</f>
        <v>* group[=].element[+].code = #Subject.lastContact</v>
      </c>
    </row>
    <row r="34" spans="16:19">
      <c r="P34" s="11">
        <v>32</v>
      </c>
      <c r="Q34" s="11">
        <f t="shared" si="5"/>
        <v>5</v>
      </c>
      <c r="R34" s="11">
        <f t="shared" si="6"/>
        <v>2</v>
      </c>
      <c r="S34" s="12" t="str" cm="1">
        <f t="array" ref="S34">INDEX('Subject-ConceptMap-9'!$I$15:$N$58,Q34+1,R34)</f>
        <v>* group[=].element[=].display = ##34#Last Contact##34#</v>
      </c>
    </row>
    <row r="35" spans="16:19">
      <c r="P35" s="11">
        <v>33</v>
      </c>
      <c r="Q35" s="11">
        <f t="shared" si="5"/>
        <v>5</v>
      </c>
      <c r="R35" s="11">
        <f t="shared" si="6"/>
        <v>3</v>
      </c>
      <c r="S35" s="12" t="str" cm="1">
        <f t="array" ref="S35">INDEX('Subject-ConceptMap-9'!$I$15:$N$58,Q35+1,R35)</f>
        <v>//-- unmatched</v>
      </c>
    </row>
    <row r="36" spans="16:19">
      <c r="P36" s="11">
        <v>34</v>
      </c>
      <c r="Q36" s="11">
        <f t="shared" si="5"/>
        <v>5</v>
      </c>
      <c r="R36" s="11">
        <f t="shared" si="6"/>
        <v>4</v>
      </c>
      <c r="S36" s="12" t="str" cm="1">
        <f t="array" ref="S36">INDEX('Subject-ConceptMap-9'!$I$15:$N$58,Q36+1,R36)</f>
        <v>//-- unmatched</v>
      </c>
    </row>
    <row r="37" spans="16:19">
      <c r="P37" s="11">
        <v>35</v>
      </c>
      <c r="Q37" s="11">
        <f t="shared" si="5"/>
        <v>5</v>
      </c>
      <c r="R37" s="11">
        <f t="shared" si="6"/>
        <v>5</v>
      </c>
      <c r="S37" s="12" t="str" cm="1">
        <f t="array" ref="S37">INDEX('Subject-ConceptMap-9'!$I$15:$N$58,Q37+1,R37)</f>
        <v>* group[=].element[=].target.equivalence = #unmatched</v>
      </c>
    </row>
    <row r="38" spans="16:19">
      <c r="P38" s="11">
        <v>36</v>
      </c>
      <c r="Q38" s="11">
        <f t="shared" si="5"/>
        <v>5</v>
      </c>
      <c r="R38" s="11">
        <f t="shared" si="6"/>
        <v>6</v>
      </c>
      <c r="S38" s="12" t="str" cm="1">
        <f t="array" ref="S38">INDEX('Subject-ConceptMap-9'!$I$15:$N$58,Q38+1,R38)</f>
        <v/>
      </c>
    </row>
    <row r="39" spans="16:19">
      <c r="P39" s="11">
        <v>37</v>
      </c>
      <c r="Q39" s="11">
        <f t="shared" si="5"/>
        <v>6</v>
      </c>
      <c r="R39" s="11">
        <f t="shared" si="6"/>
        <v>1</v>
      </c>
      <c r="S39" s="12" cm="1">
        <f t="array" ref="S39">INDEX('Subject-ConceptMap-9'!$I$15:$N$58,Q39+1,R39)</f>
        <v>0</v>
      </c>
    </row>
    <row r="40" spans="16:19">
      <c r="P40" s="11">
        <v>38</v>
      </c>
      <c r="Q40" s="11">
        <f t="shared" si="5"/>
        <v>6</v>
      </c>
      <c r="R40" s="11">
        <f t="shared" si="6"/>
        <v>2</v>
      </c>
      <c r="S40" s="12" cm="1">
        <f t="array" ref="S40">INDEX('Subject-ConceptMap-9'!$I$15:$N$58,Q40+1,R40)</f>
        <v>0</v>
      </c>
    </row>
    <row r="41" spans="16:19">
      <c r="P41" s="11">
        <v>39</v>
      </c>
      <c r="Q41" s="11">
        <f t="shared" si="5"/>
        <v>6</v>
      </c>
      <c r="R41" s="11">
        <f t="shared" si="6"/>
        <v>3</v>
      </c>
      <c r="S41" s="12" cm="1">
        <f t="array" ref="S41">INDEX('Subject-ConceptMap-9'!$I$15:$N$58,Q41+1,R41)</f>
        <v>0</v>
      </c>
    </row>
    <row r="42" spans="16:19">
      <c r="P42" s="11">
        <v>40</v>
      </c>
      <c r="Q42" s="11">
        <f t="shared" si="5"/>
        <v>6</v>
      </c>
      <c r="R42" s="11">
        <f t="shared" si="6"/>
        <v>4</v>
      </c>
      <c r="S42" s="12" cm="1">
        <f t="array" ref="S42">INDEX('Subject-ConceptMap-9'!$I$15:$N$58,Q42+1,R42)</f>
        <v>0</v>
      </c>
    </row>
    <row r="43" spans="16:19">
      <c r="P43" s="11">
        <v>41</v>
      </c>
      <c r="Q43" s="11">
        <f t="shared" si="5"/>
        <v>6</v>
      </c>
      <c r="R43" s="11">
        <f t="shared" si="6"/>
        <v>5</v>
      </c>
      <c r="S43" s="12" cm="1">
        <f t="array" ref="S43">INDEX('Subject-ConceptMap-9'!$I$15:$N$58,Q43+1,R43)</f>
        <v>0</v>
      </c>
    </row>
    <row r="44" spans="16:19">
      <c r="P44" s="11">
        <v>42</v>
      </c>
      <c r="Q44" s="11">
        <f t="shared" si="5"/>
        <v>6</v>
      </c>
      <c r="R44" s="11">
        <f t="shared" si="6"/>
        <v>6</v>
      </c>
      <c r="S44" s="12" t="str" cm="1">
        <f t="array" ref="S44">INDEX('Subject-ConceptMap-9'!$I$15:$N$58,Q44+1,R44)</f>
        <v/>
      </c>
    </row>
    <row r="45" spans="16:19">
      <c r="P45" s="11">
        <v>43</v>
      </c>
      <c r="Q45" s="11">
        <f t="shared" si="5"/>
        <v>7</v>
      </c>
      <c r="R45" s="11">
        <f t="shared" si="6"/>
        <v>1</v>
      </c>
      <c r="S45" s="12" cm="1">
        <f t="array" ref="S45">INDEX('Subject-ConceptMap-9'!$I$15:$N$58,Q45+1,R45)</f>
        <v>0</v>
      </c>
    </row>
    <row r="46" spans="16:19">
      <c r="P46" s="11">
        <v>44</v>
      </c>
      <c r="Q46" s="11">
        <f t="shared" si="5"/>
        <v>7</v>
      </c>
      <c r="R46" s="11">
        <f t="shared" si="6"/>
        <v>2</v>
      </c>
      <c r="S46" s="12" cm="1">
        <f t="array" ref="S46">INDEX('Subject-ConceptMap-9'!$I$15:$N$58,Q46+1,R46)</f>
        <v>0</v>
      </c>
    </row>
    <row r="47" spans="16:19">
      <c r="P47" s="11">
        <v>45</v>
      </c>
      <c r="Q47" s="11">
        <f t="shared" si="5"/>
        <v>7</v>
      </c>
      <c r="R47" s="11">
        <f t="shared" si="6"/>
        <v>3</v>
      </c>
      <c r="S47" s="12" cm="1">
        <f t="array" ref="S47">INDEX('Subject-ConceptMap-9'!$I$15:$N$58,Q47+1,R47)</f>
        <v>0</v>
      </c>
    </row>
    <row r="48" spans="16:19">
      <c r="P48" s="11">
        <v>46</v>
      </c>
      <c r="Q48" s="11">
        <f t="shared" si="5"/>
        <v>7</v>
      </c>
      <c r="R48" s="11">
        <f t="shared" si="6"/>
        <v>4</v>
      </c>
      <c r="S48" s="12" cm="1">
        <f t="array" ref="S48">INDEX('Subject-ConceptMap-9'!$I$15:$N$58,Q48+1,R48)</f>
        <v>0</v>
      </c>
    </row>
    <row r="49" spans="16:19">
      <c r="P49" s="11">
        <v>47</v>
      </c>
      <c r="Q49" s="11">
        <f t="shared" si="5"/>
        <v>7</v>
      </c>
      <c r="R49" s="11">
        <f t="shared" si="6"/>
        <v>5</v>
      </c>
      <c r="S49" s="12" cm="1">
        <f t="array" ref="S49">INDEX('Subject-ConceptMap-9'!$I$15:$N$58,Q49+1,R49)</f>
        <v>0</v>
      </c>
    </row>
    <row r="50" spans="16:19">
      <c r="P50" s="11">
        <v>48</v>
      </c>
      <c r="Q50" s="11">
        <f t="shared" si="5"/>
        <v>7</v>
      </c>
      <c r="R50" s="11">
        <f t="shared" si="6"/>
        <v>6</v>
      </c>
      <c r="S50" s="12" t="str" cm="1">
        <f t="array" ref="S50">INDEX('Subject-ConceptMap-9'!$I$15:$N$58,Q50+1,R50)</f>
        <v/>
      </c>
    </row>
    <row r="51" spans="16:19">
      <c r="P51" s="11">
        <v>49</v>
      </c>
      <c r="Q51" s="11">
        <f t="shared" si="5"/>
        <v>8</v>
      </c>
      <c r="R51" s="11">
        <f t="shared" si="6"/>
        <v>1</v>
      </c>
      <c r="S51" s="12" cm="1">
        <f t="array" ref="S51">INDEX('Subject-ConceptMap-9'!$I$15:$N$58,Q51+1,R51)</f>
        <v>0</v>
      </c>
    </row>
    <row r="52" spans="16:19">
      <c r="P52" s="11">
        <v>50</v>
      </c>
      <c r="Q52" s="11">
        <f t="shared" si="5"/>
        <v>8</v>
      </c>
      <c r="R52" s="11">
        <f t="shared" si="6"/>
        <v>2</v>
      </c>
      <c r="S52" s="12" cm="1">
        <f t="array" ref="S52">INDEX('Subject-ConceptMap-9'!$I$15:$N$58,Q52+1,R52)</f>
        <v>0</v>
      </c>
    </row>
    <row r="53" spans="16:19">
      <c r="P53" s="11">
        <v>51</v>
      </c>
      <c r="Q53" s="11">
        <f t="shared" si="5"/>
        <v>8</v>
      </c>
      <c r="R53" s="11">
        <f t="shared" si="6"/>
        <v>3</v>
      </c>
      <c r="S53" s="12" cm="1">
        <f t="array" ref="S53">INDEX('Subject-ConceptMap-9'!$I$15:$N$58,Q53+1,R53)</f>
        <v>0</v>
      </c>
    </row>
    <row r="54" spans="16:19">
      <c r="P54" s="11">
        <v>52</v>
      </c>
      <c r="Q54" s="11">
        <f t="shared" si="5"/>
        <v>8</v>
      </c>
      <c r="R54" s="11">
        <f t="shared" si="6"/>
        <v>4</v>
      </c>
      <c r="S54" s="12" cm="1">
        <f t="array" ref="S54">INDEX('Subject-ConceptMap-9'!$I$15:$N$58,Q54+1,R54)</f>
        <v>0</v>
      </c>
    </row>
    <row r="55" spans="16:19">
      <c r="P55" s="11">
        <v>53</v>
      </c>
      <c r="Q55" s="11">
        <f t="shared" si="5"/>
        <v>8</v>
      </c>
      <c r="R55" s="11">
        <f t="shared" si="6"/>
        <v>5</v>
      </c>
      <c r="S55" s="12" cm="1">
        <f t="array" ref="S55">INDEX('Subject-ConceptMap-9'!$I$15:$N$58,Q55+1,R55)</f>
        <v>0</v>
      </c>
    </row>
    <row r="56" spans="16:19">
      <c r="P56" s="11">
        <v>54</v>
      </c>
      <c r="Q56" s="11">
        <f t="shared" si="5"/>
        <v>8</v>
      </c>
      <c r="R56" s="11">
        <f t="shared" si="6"/>
        <v>6</v>
      </c>
      <c r="S56" s="12" t="str" cm="1">
        <f t="array" ref="S56">INDEX('Subject-ConceptMap-9'!$I$15:$N$58,Q56+1,R56)</f>
        <v/>
      </c>
    </row>
    <row r="57" spans="16:19">
      <c r="P57" s="11">
        <v>55</v>
      </c>
      <c r="Q57" s="11">
        <f t="shared" si="5"/>
        <v>9</v>
      </c>
      <c r="R57" s="11">
        <f t="shared" si="6"/>
        <v>1</v>
      </c>
      <c r="S57" s="12" cm="1">
        <f t="array" ref="S57">INDEX('Subject-ConceptMap-9'!$I$15:$N$58,Q57+1,R57)</f>
        <v>0</v>
      </c>
    </row>
    <row r="58" spans="16:19">
      <c r="P58" s="11">
        <v>56</v>
      </c>
      <c r="Q58" s="11">
        <f t="shared" si="5"/>
        <v>9</v>
      </c>
      <c r="R58" s="11">
        <f t="shared" si="6"/>
        <v>2</v>
      </c>
      <c r="S58" s="12" cm="1">
        <f t="array" ref="S58">INDEX('Subject-ConceptMap-9'!$I$15:$N$58,Q58+1,R58)</f>
        <v>0</v>
      </c>
    </row>
    <row r="59" spans="16:19">
      <c r="P59" s="11">
        <v>57</v>
      </c>
      <c r="Q59" s="11">
        <f t="shared" si="5"/>
        <v>9</v>
      </c>
      <c r="R59" s="11">
        <f t="shared" si="6"/>
        <v>3</v>
      </c>
      <c r="S59" s="12" cm="1">
        <f t="array" ref="S59">INDEX('Subject-ConceptMap-9'!$I$15:$N$58,Q59+1,R59)</f>
        <v>0</v>
      </c>
    </row>
    <row r="60" spans="16:19">
      <c r="P60" s="11">
        <v>58</v>
      </c>
      <c r="Q60" s="11">
        <f t="shared" si="5"/>
        <v>9</v>
      </c>
      <c r="R60" s="11">
        <f t="shared" si="6"/>
        <v>4</v>
      </c>
      <c r="S60" s="12" cm="1">
        <f t="array" ref="S60">INDEX('Subject-ConceptMap-9'!$I$15:$N$58,Q60+1,R60)</f>
        <v>0</v>
      </c>
    </row>
    <row r="61" spans="16:19">
      <c r="P61" s="11">
        <v>59</v>
      </c>
      <c r="Q61" s="11">
        <f t="shared" si="5"/>
        <v>9</v>
      </c>
      <c r="R61" s="11">
        <f t="shared" si="6"/>
        <v>5</v>
      </c>
      <c r="S61" s="12" cm="1">
        <f t="array" ref="S61">INDEX('Subject-ConceptMap-9'!$I$15:$N$58,Q61+1,R61)</f>
        <v>0</v>
      </c>
    </row>
    <row r="62" spans="16:19">
      <c r="P62" s="11">
        <v>60</v>
      </c>
      <c r="Q62" s="11">
        <f t="shared" si="5"/>
        <v>9</v>
      </c>
      <c r="R62" s="11">
        <f t="shared" si="6"/>
        <v>6</v>
      </c>
      <c r="S62" s="12" t="str" cm="1">
        <f t="array" ref="S62">INDEX('Subject-ConceptMap-9'!$I$15:$N$58,Q62+1,R62)</f>
        <v/>
      </c>
    </row>
    <row r="63" spans="16:19">
      <c r="P63" s="11">
        <v>61</v>
      </c>
      <c r="Q63" s="11">
        <f t="shared" si="5"/>
        <v>10</v>
      </c>
      <c r="R63" s="11">
        <f t="shared" si="6"/>
        <v>1</v>
      </c>
      <c r="S63" s="12" cm="1">
        <f t="array" ref="S63">INDEX('Subject-ConceptMap-9'!$I$15:$N$58,Q63+1,R63)</f>
        <v>0</v>
      </c>
    </row>
    <row r="64" spans="16:19">
      <c r="P64" s="11">
        <v>62</v>
      </c>
      <c r="Q64" s="11">
        <f t="shared" si="5"/>
        <v>10</v>
      </c>
      <c r="R64" s="11">
        <f t="shared" si="6"/>
        <v>2</v>
      </c>
      <c r="S64" s="12" cm="1">
        <f t="array" ref="S64">INDEX('Subject-ConceptMap-9'!$I$15:$N$58,Q64+1,R64)</f>
        <v>0</v>
      </c>
    </row>
    <row r="65" spans="16:19">
      <c r="P65" s="11">
        <v>63</v>
      </c>
      <c r="Q65" s="11">
        <f t="shared" si="5"/>
        <v>10</v>
      </c>
      <c r="R65" s="11">
        <f t="shared" si="6"/>
        <v>3</v>
      </c>
      <c r="S65" s="12" cm="1">
        <f t="array" ref="S65">INDEX('Subject-ConceptMap-9'!$I$15:$N$58,Q65+1,R65)</f>
        <v>0</v>
      </c>
    </row>
    <row r="66" spans="16:19">
      <c r="P66" s="11">
        <v>64</v>
      </c>
      <c r="Q66" s="11">
        <f t="shared" si="5"/>
        <v>10</v>
      </c>
      <c r="R66" s="11">
        <f t="shared" si="6"/>
        <v>4</v>
      </c>
      <c r="S66" s="12" cm="1">
        <f t="array" ref="S66">INDEX('Subject-ConceptMap-9'!$I$15:$N$58,Q66+1,R66)</f>
        <v>0</v>
      </c>
    </row>
    <row r="67" spans="16:19">
      <c r="P67" s="11">
        <v>65</v>
      </c>
      <c r="Q67" s="11">
        <f t="shared" ref="Q67:Q109" si="8">IF(MOD(P67,$Q$8)=0,P67/$Q$8-1,INT(P67/$Q$8))</f>
        <v>10</v>
      </c>
      <c r="R67" s="11">
        <f t="shared" ref="R67:R109" si="9">IF(MOD(P67,$Q$8)=0,$Q$8,MOD(P67,$Q$8))</f>
        <v>5</v>
      </c>
      <c r="S67" s="12" cm="1">
        <f t="array" ref="S67">INDEX('Subject-ConceptMap-9'!$I$15:$N$58,Q67+1,R67)</f>
        <v>0</v>
      </c>
    </row>
    <row r="68" spans="16:19">
      <c r="P68" s="11">
        <v>66</v>
      </c>
      <c r="Q68" s="11">
        <f t="shared" si="8"/>
        <v>10</v>
      </c>
      <c r="R68" s="11">
        <f t="shared" si="9"/>
        <v>6</v>
      </c>
      <c r="S68" s="12" t="str" cm="1">
        <f t="array" ref="S68">INDEX('Subject-ConceptMap-9'!$I$15:$N$58,Q68+1,R68)</f>
        <v/>
      </c>
    </row>
    <row r="69" spans="16:19">
      <c r="P69" s="11">
        <v>67</v>
      </c>
      <c r="Q69" s="11">
        <f t="shared" si="8"/>
        <v>11</v>
      </c>
      <c r="R69" s="11">
        <f t="shared" si="9"/>
        <v>1</v>
      </c>
      <c r="S69" s="12" cm="1">
        <f t="array" ref="S69">INDEX('Subject-ConceptMap-9'!$I$15:$N$58,Q69+1,R69)</f>
        <v>0</v>
      </c>
    </row>
    <row r="70" spans="16:19">
      <c r="P70" s="11">
        <v>68</v>
      </c>
      <c r="Q70" s="11">
        <f t="shared" si="8"/>
        <v>11</v>
      </c>
      <c r="R70" s="11">
        <f t="shared" si="9"/>
        <v>2</v>
      </c>
      <c r="S70" s="12" cm="1">
        <f t="array" ref="S70">INDEX('Subject-ConceptMap-9'!$I$15:$N$58,Q70+1,R70)</f>
        <v>0</v>
      </c>
    </row>
    <row r="71" spans="16:19">
      <c r="P71" s="11">
        <v>69</v>
      </c>
      <c r="Q71" s="11">
        <f t="shared" si="8"/>
        <v>11</v>
      </c>
      <c r="R71" s="11">
        <f t="shared" si="9"/>
        <v>3</v>
      </c>
      <c r="S71" s="12" cm="1">
        <f t="array" ref="S71">INDEX('Subject-ConceptMap-9'!$I$15:$N$58,Q71+1,R71)</f>
        <v>0</v>
      </c>
    </row>
    <row r="72" spans="16:19">
      <c r="P72" s="11">
        <v>70</v>
      </c>
      <c r="Q72" s="11">
        <f t="shared" si="8"/>
        <v>11</v>
      </c>
      <c r="R72" s="11">
        <f t="shared" si="9"/>
        <v>4</v>
      </c>
      <c r="S72" s="12" cm="1">
        <f t="array" ref="S72">INDEX('Subject-ConceptMap-9'!$I$15:$N$58,Q72+1,R72)</f>
        <v>0</v>
      </c>
    </row>
    <row r="73" spans="16:19">
      <c r="P73" s="11">
        <v>71</v>
      </c>
      <c r="Q73" s="11">
        <f t="shared" si="8"/>
        <v>11</v>
      </c>
      <c r="R73" s="11">
        <f t="shared" si="9"/>
        <v>5</v>
      </c>
      <c r="S73" s="12" cm="1">
        <f t="array" ref="S73">INDEX('Subject-ConceptMap-9'!$I$15:$N$58,Q73+1,R73)</f>
        <v>0</v>
      </c>
    </row>
    <row r="74" spans="16:19">
      <c r="P74" s="11">
        <v>72</v>
      </c>
      <c r="Q74" s="11">
        <f t="shared" si="8"/>
        <v>11</v>
      </c>
      <c r="R74" s="11">
        <f t="shared" si="9"/>
        <v>6</v>
      </c>
      <c r="S74" s="12" t="str" cm="1">
        <f t="array" ref="S74">INDEX('Subject-ConceptMap-9'!$I$15:$N$58,Q74+1,R74)</f>
        <v/>
      </c>
    </row>
    <row r="75" spans="16:19">
      <c r="P75" s="11">
        <v>73</v>
      </c>
      <c r="Q75" s="11">
        <f t="shared" si="8"/>
        <v>12</v>
      </c>
      <c r="R75" s="11">
        <f t="shared" si="9"/>
        <v>1</v>
      </c>
      <c r="S75" s="12" cm="1">
        <f t="array" ref="S75">INDEX('Subject-ConceptMap-9'!$I$15:$N$58,Q75+1,R75)</f>
        <v>0</v>
      </c>
    </row>
    <row r="76" spans="16:19">
      <c r="P76" s="11">
        <v>74</v>
      </c>
      <c r="Q76" s="11">
        <f t="shared" si="8"/>
        <v>12</v>
      </c>
      <c r="R76" s="11">
        <f t="shared" si="9"/>
        <v>2</v>
      </c>
      <c r="S76" s="12" cm="1">
        <f t="array" ref="S76">INDEX('Subject-ConceptMap-9'!$I$15:$N$58,Q76+1,R76)</f>
        <v>0</v>
      </c>
    </row>
    <row r="77" spans="16:19">
      <c r="P77" s="11">
        <v>75</v>
      </c>
      <c r="Q77" s="11">
        <f t="shared" si="8"/>
        <v>12</v>
      </c>
      <c r="R77" s="11">
        <f t="shared" si="9"/>
        <v>3</v>
      </c>
      <c r="S77" s="12" cm="1">
        <f t="array" ref="S77">INDEX('Subject-ConceptMap-9'!$I$15:$N$58,Q77+1,R77)</f>
        <v>0</v>
      </c>
    </row>
    <row r="78" spans="16:19">
      <c r="P78" s="11">
        <v>76</v>
      </c>
      <c r="Q78" s="11">
        <f t="shared" si="8"/>
        <v>12</v>
      </c>
      <c r="R78" s="11">
        <f t="shared" si="9"/>
        <v>4</v>
      </c>
      <c r="S78" s="12" cm="1">
        <f t="array" ref="S78">INDEX('Subject-ConceptMap-9'!$I$15:$N$58,Q78+1,R78)</f>
        <v>0</v>
      </c>
    </row>
    <row r="79" spans="16:19">
      <c r="P79" s="11">
        <v>77</v>
      </c>
      <c r="Q79" s="11">
        <f t="shared" si="8"/>
        <v>12</v>
      </c>
      <c r="R79" s="11">
        <f t="shared" si="9"/>
        <v>5</v>
      </c>
      <c r="S79" s="12" cm="1">
        <f t="array" ref="S79">INDEX('Subject-ConceptMap-9'!$I$15:$N$58,Q79+1,R79)</f>
        <v>0</v>
      </c>
    </row>
    <row r="80" spans="16:19">
      <c r="P80" s="11">
        <v>78</v>
      </c>
      <c r="Q80" s="11">
        <f t="shared" si="8"/>
        <v>12</v>
      </c>
      <c r="R80" s="11">
        <f t="shared" si="9"/>
        <v>6</v>
      </c>
      <c r="S80" s="12" t="str" cm="1">
        <f t="array" ref="S80">INDEX('Subject-ConceptMap-9'!$I$15:$N$58,Q80+1,R80)</f>
        <v/>
      </c>
    </row>
    <row r="81" spans="16:19">
      <c r="P81" s="11">
        <v>79</v>
      </c>
      <c r="Q81" s="11">
        <f t="shared" si="8"/>
        <v>13</v>
      </c>
      <c r="R81" s="11">
        <f t="shared" si="9"/>
        <v>1</v>
      </c>
      <c r="S81" s="12" cm="1">
        <f t="array" ref="S81">INDEX('Subject-ConceptMap-9'!$I$15:$N$58,Q81+1,R81)</f>
        <v>0</v>
      </c>
    </row>
    <row r="82" spans="16:19">
      <c r="P82" s="11">
        <v>80</v>
      </c>
      <c r="Q82" s="11">
        <f t="shared" si="8"/>
        <v>13</v>
      </c>
      <c r="R82" s="11">
        <f t="shared" si="9"/>
        <v>2</v>
      </c>
      <c r="S82" s="12" cm="1">
        <f t="array" ref="S82">INDEX('Subject-ConceptMap-9'!$I$15:$N$58,Q82+1,R82)</f>
        <v>0</v>
      </c>
    </row>
    <row r="83" spans="16:19">
      <c r="P83" s="11">
        <v>81</v>
      </c>
      <c r="Q83" s="11">
        <f t="shared" si="8"/>
        <v>13</v>
      </c>
      <c r="R83" s="11">
        <f t="shared" si="9"/>
        <v>3</v>
      </c>
      <c r="S83" s="12" cm="1">
        <f t="array" ref="S83">INDEX('Subject-ConceptMap-9'!$I$15:$N$58,Q83+1,R83)</f>
        <v>0</v>
      </c>
    </row>
    <row r="84" spans="16:19">
      <c r="P84" s="11">
        <v>82</v>
      </c>
      <c r="Q84" s="11">
        <f t="shared" si="8"/>
        <v>13</v>
      </c>
      <c r="R84" s="11">
        <f t="shared" si="9"/>
        <v>4</v>
      </c>
      <c r="S84" s="12" cm="1">
        <f t="array" ref="S84">INDEX('Subject-ConceptMap-9'!$I$15:$N$58,Q84+1,R84)</f>
        <v>0</v>
      </c>
    </row>
    <row r="85" spans="16:19">
      <c r="P85" s="11">
        <v>83</v>
      </c>
      <c r="Q85" s="11">
        <f t="shared" si="8"/>
        <v>13</v>
      </c>
      <c r="R85" s="11">
        <f t="shared" si="9"/>
        <v>5</v>
      </c>
      <c r="S85" s="12" cm="1">
        <f t="array" ref="S85">INDEX('Subject-ConceptMap-9'!$I$15:$N$58,Q85+1,R85)</f>
        <v>0</v>
      </c>
    </row>
    <row r="86" spans="16:19">
      <c r="P86" s="11">
        <v>84</v>
      </c>
      <c r="Q86" s="11">
        <f t="shared" si="8"/>
        <v>13</v>
      </c>
      <c r="R86" s="11">
        <f t="shared" si="9"/>
        <v>6</v>
      </c>
      <c r="S86" s="12" t="str" cm="1">
        <f t="array" ref="S86">INDEX('Subject-ConceptMap-9'!$I$15:$N$58,Q86+1,R86)</f>
        <v/>
      </c>
    </row>
    <row r="87" spans="16:19">
      <c r="P87" s="11">
        <v>85</v>
      </c>
      <c r="Q87" s="11">
        <f t="shared" si="8"/>
        <v>14</v>
      </c>
      <c r="R87" s="11">
        <f t="shared" si="9"/>
        <v>1</v>
      </c>
      <c r="S87" s="12" cm="1">
        <f t="array" ref="S87">INDEX('Subject-ConceptMap-9'!$I$15:$N$58,Q87+1,R87)</f>
        <v>0</v>
      </c>
    </row>
    <row r="88" spans="16:19">
      <c r="P88" s="11">
        <v>86</v>
      </c>
      <c r="Q88" s="11">
        <f t="shared" si="8"/>
        <v>14</v>
      </c>
      <c r="R88" s="11">
        <f t="shared" si="9"/>
        <v>2</v>
      </c>
      <c r="S88" s="12" cm="1">
        <f t="array" ref="S88">INDEX('Subject-ConceptMap-9'!$I$15:$N$58,Q88+1,R88)</f>
        <v>0</v>
      </c>
    </row>
    <row r="89" spans="16:19">
      <c r="P89" s="11">
        <v>87</v>
      </c>
      <c r="Q89" s="11">
        <f t="shared" si="8"/>
        <v>14</v>
      </c>
      <c r="R89" s="11">
        <f t="shared" si="9"/>
        <v>3</v>
      </c>
      <c r="S89" s="12" cm="1">
        <f t="array" ref="S89">INDEX('Subject-ConceptMap-9'!$I$15:$N$58,Q89+1,R89)</f>
        <v>0</v>
      </c>
    </row>
    <row r="90" spans="16:19">
      <c r="P90" s="11">
        <v>88</v>
      </c>
      <c r="Q90" s="11">
        <f t="shared" si="8"/>
        <v>14</v>
      </c>
      <c r="R90" s="11">
        <f t="shared" si="9"/>
        <v>4</v>
      </c>
      <c r="S90" s="12" cm="1">
        <f t="array" ref="S90">INDEX('Subject-ConceptMap-9'!$I$15:$N$58,Q90+1,R90)</f>
        <v>0</v>
      </c>
    </row>
    <row r="91" spans="16:19">
      <c r="P91" s="11">
        <v>89</v>
      </c>
      <c r="Q91" s="11">
        <f t="shared" si="8"/>
        <v>14</v>
      </c>
      <c r="R91" s="11">
        <f t="shared" si="9"/>
        <v>5</v>
      </c>
      <c r="S91" s="12" cm="1">
        <f t="array" ref="S91">INDEX('Subject-ConceptMap-9'!$I$15:$N$58,Q91+1,R91)</f>
        <v>0</v>
      </c>
    </row>
    <row r="92" spans="16:19">
      <c r="P92" s="11">
        <v>90</v>
      </c>
      <c r="Q92" s="11">
        <f t="shared" si="8"/>
        <v>14</v>
      </c>
      <c r="R92" s="11">
        <f t="shared" si="9"/>
        <v>6</v>
      </c>
      <c r="S92" s="12" t="str" cm="1">
        <f t="array" ref="S92">INDEX('Subject-ConceptMap-9'!$I$15:$N$58,Q92+1,R92)</f>
        <v/>
      </c>
    </row>
    <row r="93" spans="16:19">
      <c r="P93" s="11">
        <v>91</v>
      </c>
      <c r="Q93" s="11">
        <f t="shared" si="8"/>
        <v>15</v>
      </c>
      <c r="R93" s="11">
        <f t="shared" si="9"/>
        <v>1</v>
      </c>
      <c r="S93" s="12" cm="1">
        <f t="array" ref="S93">INDEX('Subject-ConceptMap-9'!$I$15:$N$58,Q93+1,R93)</f>
        <v>0</v>
      </c>
    </row>
    <row r="94" spans="16:19">
      <c r="P94" s="11">
        <v>92</v>
      </c>
      <c r="Q94" s="11">
        <f t="shared" si="8"/>
        <v>15</v>
      </c>
      <c r="R94" s="11">
        <f t="shared" si="9"/>
        <v>2</v>
      </c>
      <c r="S94" s="12" cm="1">
        <f t="array" ref="S94">INDEX('Subject-ConceptMap-9'!$I$15:$N$58,Q94+1,R94)</f>
        <v>0</v>
      </c>
    </row>
    <row r="95" spans="16:19">
      <c r="P95" s="11">
        <v>93</v>
      </c>
      <c r="Q95" s="11">
        <f t="shared" si="8"/>
        <v>15</v>
      </c>
      <c r="R95" s="11">
        <f t="shared" si="9"/>
        <v>3</v>
      </c>
      <c r="S95" s="12" cm="1">
        <f t="array" ref="S95">INDEX('Subject-ConceptMap-9'!$I$15:$N$58,Q95+1,R95)</f>
        <v>0</v>
      </c>
    </row>
    <row r="96" spans="16:19">
      <c r="P96" s="11">
        <v>94</v>
      </c>
      <c r="Q96" s="11">
        <f t="shared" si="8"/>
        <v>15</v>
      </c>
      <c r="R96" s="11">
        <f t="shared" si="9"/>
        <v>4</v>
      </c>
      <c r="S96" s="12" cm="1">
        <f t="array" ref="S96">INDEX('Subject-ConceptMap-9'!$I$15:$N$58,Q96+1,R96)</f>
        <v>0</v>
      </c>
    </row>
    <row r="97" spans="16:19">
      <c r="P97" s="11">
        <v>95</v>
      </c>
      <c r="Q97" s="11">
        <f t="shared" si="8"/>
        <v>15</v>
      </c>
      <c r="R97" s="11">
        <f t="shared" si="9"/>
        <v>5</v>
      </c>
      <c r="S97" s="12" cm="1">
        <f t="array" ref="S97">INDEX('Subject-ConceptMap-9'!$I$15:$N$58,Q97+1,R97)</f>
        <v>0</v>
      </c>
    </row>
    <row r="98" spans="16:19">
      <c r="P98" s="11">
        <v>96</v>
      </c>
      <c r="Q98" s="11">
        <f t="shared" si="8"/>
        <v>15</v>
      </c>
      <c r="R98" s="11">
        <f t="shared" si="9"/>
        <v>6</v>
      </c>
      <c r="S98" s="12" t="str" cm="1">
        <f t="array" ref="S98">INDEX('Subject-ConceptMap-9'!$I$15:$N$58,Q98+1,R98)</f>
        <v/>
      </c>
    </row>
    <row r="99" spans="16:19">
      <c r="P99" s="11">
        <v>97</v>
      </c>
      <c r="Q99" s="11">
        <f t="shared" si="8"/>
        <v>16</v>
      </c>
      <c r="R99" s="11">
        <f t="shared" si="9"/>
        <v>1</v>
      </c>
      <c r="S99" s="12" cm="1">
        <f t="array" ref="S99">INDEX('Subject-ConceptMap-9'!$I$15:$N$58,Q99+1,R99)</f>
        <v>0</v>
      </c>
    </row>
    <row r="100" spans="16:19">
      <c r="P100" s="11">
        <v>98</v>
      </c>
      <c r="Q100" s="11">
        <f t="shared" si="8"/>
        <v>16</v>
      </c>
      <c r="R100" s="11">
        <f t="shared" si="9"/>
        <v>2</v>
      </c>
      <c r="S100" s="12" cm="1">
        <f t="array" ref="S100">INDEX('Subject-ConceptMap-9'!$I$15:$N$58,Q100+1,R100)</f>
        <v>0</v>
      </c>
    </row>
    <row r="101" spans="16:19">
      <c r="P101" s="11">
        <v>99</v>
      </c>
      <c r="Q101" s="11">
        <f t="shared" si="8"/>
        <v>16</v>
      </c>
      <c r="R101" s="11">
        <f t="shared" si="9"/>
        <v>3</v>
      </c>
      <c r="S101" s="12" cm="1">
        <f t="array" ref="S101">INDEX('Subject-ConceptMap-9'!$I$15:$N$58,Q101+1,R101)</f>
        <v>0</v>
      </c>
    </row>
    <row r="102" spans="16:19">
      <c r="P102" s="11">
        <v>100</v>
      </c>
      <c r="Q102" s="11">
        <f t="shared" si="8"/>
        <v>16</v>
      </c>
      <c r="R102" s="11">
        <f t="shared" si="9"/>
        <v>4</v>
      </c>
      <c r="S102" s="12" cm="1">
        <f t="array" ref="S102">INDEX('Subject-ConceptMap-9'!$I$15:$N$58,Q102+1,R102)</f>
        <v>0</v>
      </c>
    </row>
    <row r="103" spans="16:19">
      <c r="P103" s="11">
        <v>101</v>
      </c>
      <c r="Q103" s="11">
        <f t="shared" si="8"/>
        <v>16</v>
      </c>
      <c r="R103" s="11">
        <f t="shared" si="9"/>
        <v>5</v>
      </c>
      <c r="S103" s="12" cm="1">
        <f t="array" ref="S103">INDEX('Subject-ConceptMap-9'!$I$15:$N$58,Q103+1,R103)</f>
        <v>0</v>
      </c>
    </row>
    <row r="104" spans="16:19">
      <c r="P104" s="11">
        <v>102</v>
      </c>
      <c r="Q104" s="11">
        <f t="shared" si="8"/>
        <v>16</v>
      </c>
      <c r="R104" s="11">
        <f t="shared" si="9"/>
        <v>6</v>
      </c>
      <c r="S104" s="12" cm="1">
        <f t="array" ref="S104">INDEX('Subject-ConceptMap-9'!$I$15:$N$58,Q104+1,R104)</f>
        <v>0</v>
      </c>
    </row>
    <row r="105" spans="16:19">
      <c r="P105" s="11">
        <v>103</v>
      </c>
      <c r="Q105" s="11">
        <f t="shared" si="8"/>
        <v>17</v>
      </c>
      <c r="R105" s="11">
        <f t="shared" si="9"/>
        <v>1</v>
      </c>
      <c r="S105" s="12" cm="1">
        <f t="array" ref="S105">INDEX('Subject-ConceptMap-9'!$I$15:$N$58,Q105+1,R105)</f>
        <v>0</v>
      </c>
    </row>
    <row r="106" spans="16:19">
      <c r="P106" s="11">
        <v>104</v>
      </c>
      <c r="Q106" s="11">
        <f t="shared" si="8"/>
        <v>17</v>
      </c>
      <c r="R106" s="11">
        <f t="shared" si="9"/>
        <v>2</v>
      </c>
      <c r="S106" s="12" cm="1">
        <f t="array" ref="S106">INDEX('Subject-ConceptMap-9'!$I$15:$N$58,Q106+1,R106)</f>
        <v>0</v>
      </c>
    </row>
    <row r="107" spans="16:19">
      <c r="P107" s="11">
        <v>105</v>
      </c>
      <c r="Q107" s="11">
        <f t="shared" si="8"/>
        <v>17</v>
      </c>
      <c r="R107" s="11">
        <f t="shared" si="9"/>
        <v>3</v>
      </c>
      <c r="S107" s="12" cm="1">
        <f t="array" ref="S107">INDEX('Subject-ConceptMap-9'!$I$15:$N$58,Q107+1,R107)</f>
        <v>0</v>
      </c>
    </row>
    <row r="108" spans="16:19">
      <c r="P108" s="11">
        <v>106</v>
      </c>
      <c r="Q108" s="11">
        <f t="shared" si="8"/>
        <v>17</v>
      </c>
      <c r="R108" s="11">
        <f t="shared" si="9"/>
        <v>4</v>
      </c>
      <c r="S108" s="12" cm="1">
        <f t="array" ref="S108">INDEX('Subject-ConceptMap-9'!$I$15:$N$58,Q108+1,R108)</f>
        <v>0</v>
      </c>
    </row>
    <row r="109" spans="16:19">
      <c r="P109" s="11">
        <v>107</v>
      </c>
      <c r="Q109" s="11">
        <f t="shared" si="8"/>
        <v>17</v>
      </c>
      <c r="R109" s="11">
        <f t="shared" si="9"/>
        <v>5</v>
      </c>
      <c r="S109" s="12" cm="1">
        <f t="array" ref="S109">INDEX('Subject-ConceptMap-9'!$I$15:$N$58,Q109+1,R109)</f>
        <v>0</v>
      </c>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sheetData>
  <mergeCells count="3">
    <mergeCell ref="E4:G4"/>
    <mergeCell ref="E6:G6"/>
    <mergeCell ref="E7:G7"/>
  </mergeCells>
  <hyperlinks>
    <hyperlink ref="E3" r:id="rId1" display="http://hl7.eu/fhir/laboratory/StructureDefinition/Author" xr:uid="{8E68DE74-17F5-4449-AF55-EB8225588AA1}"/>
    <hyperlink ref="E6" r:id="rId2" display="http://hl7.eu/fhir/laboratory/StructureDefinition/Author" xr:uid="{62B8284B-9DE4-4B9F-883E-C2247D41B7AF}"/>
    <hyperlink ref="E7" r:id="rId3" xr:uid="{9E7678F4-38DC-4E1B-B5FE-18805EADC45E}"/>
    <hyperlink ref="C1" r:id="rId4" xr:uid="{06257A6B-157E-448C-82DD-4C9FA76A3ACB}"/>
    <hyperlink ref="E4" r:id="rId5" xr:uid="{8CEA1CD8-D640-4558-A2F0-1DC0C3765CD8}"/>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386"/>
  <sheetViews>
    <sheetView workbookViewId="0">
      <selection activeCell="G366" sqref="G366"/>
    </sheetView>
  </sheetViews>
  <sheetFormatPr defaultRowHeight="14.75"/>
  <cols>
    <col min="2" max="2" width="134.81640625" style="2"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1857</v>
      </c>
    </row>
    <row r="3" spans="2:7">
      <c r="B3" s="24" t="s">
        <v>20</v>
      </c>
    </row>
    <row r="4" spans="2:7">
      <c r="B4" s="160" t="str">
        <f>"Instance: "&amp;'Subject-ConceptMap-1'!C4</f>
        <v>Instance: subject2FHIR</v>
      </c>
    </row>
    <row r="5" spans="2:7">
      <c r="B5" s="160" t="s">
        <v>1447</v>
      </c>
    </row>
    <row r="6" spans="2:7">
      <c r="B6" s="160" t="s">
        <v>1438</v>
      </c>
    </row>
    <row r="7" spans="2:7">
      <c r="B7" s="160" t="s">
        <v>1776</v>
      </c>
    </row>
    <row r="8" spans="2:7">
      <c r="B8" s="160" t="str">
        <f>"* name = ##34#"&amp;'Subject-ConceptMap-1'!C3&amp;"##34#"</f>
        <v>* name = ##34#Subject2FHIR##34#</v>
      </c>
    </row>
    <row r="9" spans="2:7">
      <c r="B9" s="160" t="str">
        <f>"* title = ##34#"&amp;'Subject-ConceptMap-1'!C5&amp;"##34#"</f>
        <v>* title = ##34#Subject Model to this guide Map##34#</v>
      </c>
    </row>
    <row r="10" spans="2:7">
      <c r="B10" s="160" t="s">
        <v>1439</v>
      </c>
    </row>
    <row r="11" spans="2:7">
      <c r="B11" s="160" t="s">
        <v>1440</v>
      </c>
    </row>
    <row r="12" spans="2:7">
      <c r="B12" s="160" t="str">
        <f>"* description = ##34#"&amp;'Subject-ConceptMap-1'!C8&amp;"##34#"</f>
        <v>* description = ##34#Subject Model to this guide Map##34#</v>
      </c>
    </row>
    <row r="13" spans="2:7">
      <c r="B13" s="160" t="str">
        <f>"* purpose = ##34#"&amp;'Subject-ConceptMap-1'!C9&amp;"##34#"</f>
        <v>* purpose = ##34#It shows how the Subject model is mapped into this guide##34#</v>
      </c>
    </row>
    <row r="14" spans="2:7">
      <c r="B14" s="161" t="str">
        <f>"* sourceUri = ##34#"&amp;'Subject-ConceptMap-1'!E3&amp;"##34#"</f>
        <v>* sourceUri = ##34#http://hl7.eu/fhir/ig/idea4rc/StructureDefinition/Subject##34#</v>
      </c>
    </row>
    <row r="15" spans="2:7">
      <c r="B15" s="161" t="str">
        <f>"* targetUri = ##34#"&amp;'Subject-ConceptMap-1'!E4&amp;"##34#"</f>
        <v>* targetUri = ##34#http://hl7.eu/fhir/ig/idea4rc/StructureDefinition/patient-eu-i4rc##34#</v>
      </c>
    </row>
    <row r="16" spans="2:7">
      <c r="B16" s="162" t="str">
        <f>"* group[+].source = ##34#"&amp;'Subject-ConceptMap-1'!E6&amp;"##34#"</f>
        <v>* group[+].source = ##34#http://hl7.eu/fhir/ig/idea4rc/StructureDefinition/Subject##34#</v>
      </c>
    </row>
    <row r="17" spans="2:7">
      <c r="B17" s="162" t="str">
        <f>"* group[=].target = ##34#"&amp;'Subject-ConceptMap-1'!E7&amp;"##34#"</f>
        <v>* group[=].target = ##34#http://hl7.eu/fhir/ig/idea4rc/StructureDefinition/patient-eu-i4rc##34#</v>
      </c>
    </row>
    <row r="18" spans="2:7">
      <c r="B18" s="163"/>
    </row>
    <row r="19" spans="2:7">
      <c r="B19" s="12" t="str">
        <f>IF('Subject-ConceptMap-1'!S15=0,"//---END",'Subject-ConceptMap-1'!S15)</f>
        <v>* group[=].element[+].code = #Subject.sex</v>
      </c>
    </row>
    <row r="20" spans="2:7">
      <c r="B20" s="12" t="str">
        <f>IF('Subject-ConceptMap-1'!S16=0,"//---END",'Subject-ConceptMap-1'!S16)</f>
        <v>* group[=].element[=].display = ##34#Gender##34#</v>
      </c>
    </row>
    <row r="21" spans="2:7">
      <c r="B21" s="12" t="str">
        <f>IF('Subject-ConceptMap-1'!S17=0,"//---END",'Subject-ConceptMap-1'!S17)</f>
        <v>* group[=].element[=].target.code = #Patient.gender</v>
      </c>
    </row>
    <row r="22" spans="2:7">
      <c r="B22" s="12" t="str">
        <f>IF('Subject-ConceptMap-1'!S18=0,"//---END",'Subject-ConceptMap-1'!S18)</f>
        <v>* group[=].element[=].target.display = ##34###34#</v>
      </c>
    </row>
    <row r="23" spans="2:7">
      <c r="B23" s="12" t="str">
        <f>IF('Subject-ConceptMap-1'!S19=0,"//---END",'Subject-ConceptMap-1'!S19)</f>
        <v>* group[=].element[=].target.equivalence = #equivalent</v>
      </c>
    </row>
    <row r="24" spans="2:7">
      <c r="B24" s="12" t="str">
        <f>IF('Subject-ConceptMap-1'!S20=0,"//---END",'Subject-ConceptMap-1'!S20)</f>
        <v>* group[=].element[=].target.comment = ##34#to be checked for the time being assumed to be the administrative gender##34#</v>
      </c>
      <c r="G24" s="7"/>
    </row>
    <row r="25" spans="2:7">
      <c r="B25" s="12" t="str">
        <f>IF('Subject-ConceptMap-1'!S21=0,"//---END",'Subject-ConceptMap-1'!S21)</f>
        <v>* group[=].element[+].code = #Subject.race</v>
      </c>
    </row>
    <row r="26" spans="2:7">
      <c r="B26" s="12" t="str">
        <f>IF('Subject-ConceptMap-1'!S22=0,"//---END",'Subject-ConceptMap-1'!S22)</f>
        <v>* group[=].element[=].display = ##34#Race##34#</v>
      </c>
    </row>
    <row r="27" spans="2:7">
      <c r="B27" s="12" t="str">
        <f>IF('Subject-ConceptMap-1'!S23=0,"//---END",'Subject-ConceptMap-1'!S23)</f>
        <v>* group[=].element[=].target.code = #Patient.extension:race.value[x]</v>
      </c>
    </row>
    <row r="28" spans="2:7">
      <c r="B28" s="12" t="str">
        <f>IF('Subject-ConceptMap-1'!S24=0,"//---END",'Subject-ConceptMap-1'!S24)</f>
        <v>* group[=].element[=].target.display = ##34###34#</v>
      </c>
    </row>
    <row r="29" spans="2:7">
      <c r="B29" s="12" t="str">
        <f>IF('Subject-ConceptMap-1'!S25=0,"//---END",'Subject-ConceptMap-1'!S25)</f>
        <v>* group[=].element[=].target.equivalence = #equivalent</v>
      </c>
    </row>
    <row r="30" spans="2:7">
      <c r="B30" s="12" t="str">
        <f>IF('Subject-ConceptMap-1'!S26=0,"//---END",'Subject-ConceptMap-1'!S26)</f>
        <v/>
      </c>
    </row>
    <row r="31" spans="2:7">
      <c r="B31" s="12" t="str">
        <f>IF('Subject-ConceptMap-1'!S27=0,"//---END",'Subject-ConceptMap-1'!S27)</f>
        <v>* group[=].element[+].code = #Subject.countryOfResidence</v>
      </c>
    </row>
    <row r="32" spans="2:7">
      <c r="B32" s="12" t="str">
        <f>IF('Subject-ConceptMap-1'!S28=0,"//---END",'Subject-ConceptMap-1'!S28)</f>
        <v>* group[=].element[=].display = ##34#Country of Residence##34#</v>
      </c>
    </row>
    <row r="33" spans="2:2">
      <c r="B33" s="12" t="str">
        <f>IF('Subject-ConceptMap-1'!S29=0,"//---END",'Subject-ConceptMap-1'!S29)</f>
        <v>* group[=].element[=].target.code = #Patient.address.country</v>
      </c>
    </row>
    <row r="34" spans="2:2">
      <c r="B34" s="12" t="str">
        <f>IF('Subject-ConceptMap-1'!S30=0,"//---END",'Subject-ConceptMap-1'!S30)</f>
        <v>* group[=].element[=].target.display = ##34###34#</v>
      </c>
    </row>
    <row r="35" spans="2:2">
      <c r="B35" s="12" t="str">
        <f>IF('Subject-ConceptMap-1'!S31=0,"//---END",'Subject-ConceptMap-1'!S31)</f>
        <v>* group[=].element[=].target.equivalence = #equivalent</v>
      </c>
    </row>
    <row r="36" spans="2:2">
      <c r="B36" s="12" t="str">
        <f>IF('Subject-ConceptMap-1'!S32=0,"//---END",'Subject-ConceptMap-1'!S32)</f>
        <v/>
      </c>
    </row>
    <row r="37" spans="2:2">
      <c r="B37" s="12" t="str">
        <f>IF('Subject-ConceptMap-1'!S33=0,"//---END",'Subject-ConceptMap-1'!S33)</f>
        <v>* group[=].element[+].code = #Subject.smoking</v>
      </c>
    </row>
    <row r="38" spans="2:2">
      <c r="B38" s="12" t="str">
        <f>IF('Subject-ConceptMap-1'!S34=0,"//---END",'Subject-ConceptMap-1'!S34)</f>
        <v>* group[=].element[=].display = ##34#Smoking##34#</v>
      </c>
    </row>
    <row r="39" spans="2:2">
      <c r="B39" s="12" t="str">
        <f>IF('Subject-ConceptMap-1'!S35=0,"//---END",'Subject-ConceptMap-1'!S35)</f>
        <v>//-- unmatched</v>
      </c>
    </row>
    <row r="40" spans="2:2">
      <c r="B40" s="12" t="str">
        <f>IF('Subject-ConceptMap-1'!S36=0,"//---END",'Subject-ConceptMap-1'!S36)</f>
        <v>//-- unmatched</v>
      </c>
    </row>
    <row r="41" spans="2:2">
      <c r="B41" s="12" t="str">
        <f>IF('Subject-ConceptMap-1'!S37=0,"//---END",'Subject-ConceptMap-1'!S37)</f>
        <v>* group[=].element[=].target.equivalence = #unmatched</v>
      </c>
    </row>
    <row r="42" spans="2:2">
      <c r="B42" s="12" t="str">
        <f>IF('Subject-ConceptMap-1'!S38=0,"//---END",'Subject-ConceptMap-1'!S38)</f>
        <v/>
      </c>
    </row>
    <row r="43" spans="2:2">
      <c r="B43" s="12" t="str">
        <f>IF('Subject-ConceptMap-1'!S39=0,"//---END",'Subject-ConceptMap-1'!S39)</f>
        <v>* group[=].element[+].code = #Subject.smokingType</v>
      </c>
    </row>
    <row r="44" spans="2:2">
      <c r="B44" s="12" t="str">
        <f>IF('Subject-ConceptMap-1'!S40=0,"//---END",'Subject-ConceptMap-1'!S40)</f>
        <v>* group[=].element[=].display = ##34#Smoking type##34#</v>
      </c>
    </row>
    <row r="45" spans="2:2">
      <c r="B45" s="12" t="str">
        <f>IF('Subject-ConceptMap-1'!S41=0,"//---END",'Subject-ConceptMap-1'!S41)</f>
        <v>//-- unmatched</v>
      </c>
    </row>
    <row r="46" spans="2:2">
      <c r="B46" s="12" t="str">
        <f>IF('Subject-ConceptMap-1'!S42=0,"//---END",'Subject-ConceptMap-1'!S42)</f>
        <v>//-- unmatched</v>
      </c>
    </row>
    <row r="47" spans="2:2">
      <c r="B47" s="12" t="str">
        <f>IF('Subject-ConceptMap-1'!S43=0,"//---END",'Subject-ConceptMap-1'!S43)</f>
        <v>* group[=].element[=].target.equivalence = #unmatched</v>
      </c>
    </row>
    <row r="48" spans="2:2">
      <c r="B48" s="12" t="str">
        <f>IF('Subject-ConceptMap-1'!S44=0,"//---END",'Subject-ConceptMap-1'!S44)</f>
        <v/>
      </c>
    </row>
    <row r="49" spans="2:2">
      <c r="B49" s="12" t="str">
        <f>IF('Subject-ConceptMap-1'!S45=0,"//---END",'Subject-ConceptMap-1'!S45)</f>
        <v>* group[=].element[+].code = #Subject.cigSmokedPerDay</v>
      </c>
    </row>
    <row r="50" spans="2:2">
      <c r="B50" s="12" t="str">
        <f>IF('Subject-ConceptMap-1'!S46=0,"//---END",'Subject-ConceptMap-1'!S46)</f>
        <v>* group[=].element[=].display = ##34#Cigarettes/cigars smoked per day##34#</v>
      </c>
    </row>
    <row r="51" spans="2:2">
      <c r="B51" s="12" t="str">
        <f>IF('Subject-ConceptMap-1'!S47=0,"//---END",'Subject-ConceptMap-1'!S47)</f>
        <v>//-- unmatched</v>
      </c>
    </row>
    <row r="52" spans="2:2">
      <c r="B52" s="12" t="str">
        <f>IF('Subject-ConceptMap-1'!S48=0,"//---END",'Subject-ConceptMap-1'!S48)</f>
        <v>//-- unmatched</v>
      </c>
    </row>
    <row r="53" spans="2:2">
      <c r="B53" s="12" t="str">
        <f>IF('Subject-ConceptMap-1'!S49=0,"//---END",'Subject-ConceptMap-1'!S49)</f>
        <v>* group[=].element[=].target.equivalence = #unmatched</v>
      </c>
    </row>
    <row r="54" spans="2:2">
      <c r="B54" s="12" t="str">
        <f>IF('Subject-ConceptMap-1'!S50=0,"//---END",'Subject-ConceptMap-1'!S50)</f>
        <v/>
      </c>
    </row>
    <row r="55" spans="2:2">
      <c r="B55" s="12" t="str">
        <f>IF('Subject-ConceptMap-1'!S51=0,"//---END",'Subject-ConceptMap-1'!S51)</f>
        <v>* group[=].element[+].code = #Subject.yearsAsSmoker</v>
      </c>
    </row>
    <row r="56" spans="2:2">
      <c r="B56" s="12" t="str">
        <f>IF('Subject-ConceptMap-1'!S52=0,"//---END",'Subject-ConceptMap-1'!S52)</f>
        <v>* group[=].element[=].display = ##34#Number of years as a smoker##34#</v>
      </c>
    </row>
    <row r="57" spans="2:2">
      <c r="B57" s="12" t="str">
        <f>IF('Subject-ConceptMap-1'!S53=0,"//---END",'Subject-ConceptMap-1'!S53)</f>
        <v>//-- unmatched</v>
      </c>
    </row>
    <row r="58" spans="2:2">
      <c r="B58" s="12" t="str">
        <f>IF('Subject-ConceptMap-1'!S54=0,"//---END",'Subject-ConceptMap-1'!S54)</f>
        <v>//-- unmatched</v>
      </c>
    </row>
    <row r="59" spans="2:2">
      <c r="B59" s="12" t="str">
        <f>IF('Subject-ConceptMap-1'!S55=0,"//---END",'Subject-ConceptMap-1'!S55)</f>
        <v>* group[=].element[=].target.equivalence = #unmatched</v>
      </c>
    </row>
    <row r="60" spans="2:2">
      <c r="B60" s="12" t="str">
        <f>IF('Subject-ConceptMap-1'!S56=0,"//---END",'Subject-ConceptMap-1'!S56)</f>
        <v/>
      </c>
    </row>
    <row r="61" spans="2:2">
      <c r="B61" s="12" t="str">
        <f>IF('Subject-ConceptMap-1'!S57=0,"//---END",'Subject-ConceptMap-1'!S57)</f>
        <v>* group[=].element[+].code = #Subject.alcohol</v>
      </c>
    </row>
    <row r="62" spans="2:2">
      <c r="B62" s="12" t="str">
        <f>IF('Subject-ConceptMap-1'!S58=0,"//---END",'Subject-ConceptMap-1'!S58)</f>
        <v>* group[=].element[=].display = ##34#Alcohol##34#</v>
      </c>
    </row>
    <row r="63" spans="2:2">
      <c r="B63" s="12" t="str">
        <f>IF('Subject-ConceptMap-1'!S59=0,"//---END",'Subject-ConceptMap-1'!S59)</f>
        <v>//-- unmatched</v>
      </c>
    </row>
    <row r="64" spans="2:2">
      <c r="B64" s="12" t="str">
        <f>IF('Subject-ConceptMap-1'!S60=0,"//---END",'Subject-ConceptMap-1'!S60)</f>
        <v>//-- unmatched</v>
      </c>
    </row>
    <row r="65" spans="2:2">
      <c r="B65" s="12" t="str">
        <f>IF('Subject-ConceptMap-1'!S61=0,"//---END",'Subject-ConceptMap-1'!S61)</f>
        <v>* group[=].element[=].target.equivalence = #unmatched</v>
      </c>
    </row>
    <row r="66" spans="2:2">
      <c r="B66" s="12" t="str">
        <f>IF('Subject-ConceptMap-1'!S62=0,"//---END",'Subject-ConceptMap-1'!S62)</f>
        <v/>
      </c>
    </row>
    <row r="67" spans="2:2">
      <c r="B67" s="12" t="str">
        <f>IF('Subject-ConceptMap-1'!S63=0,"//---END",'Subject-ConceptMap-1'!S63)</f>
        <v>* group[=].element[+].code = #Subject.bMI</v>
      </c>
    </row>
    <row r="68" spans="2:2" ht="29.5">
      <c r="B68" s="12" t="str">
        <f>IF('Subject-ConceptMap-1'!S64=0,"//---END",'Subject-ConceptMap-1'!S64)</f>
        <v>* group[=].element[=].display = ##34#Height/weight (BMI)
##34#</v>
      </c>
    </row>
    <row r="69" spans="2:2">
      <c r="B69" s="12" t="str">
        <f>IF('Subject-ConceptMap-1'!S65=0,"//---END",'Subject-ConceptMap-1'!S65)</f>
        <v>//-- unmatched</v>
      </c>
    </row>
    <row r="70" spans="2:2">
      <c r="B70" s="12" t="str">
        <f>IF('Subject-ConceptMap-1'!S66=0,"//---END",'Subject-ConceptMap-1'!S66)</f>
        <v>//-- unmatched</v>
      </c>
    </row>
    <row r="71" spans="2:2">
      <c r="B71" s="12" t="str">
        <f>IF('Subject-ConceptMap-1'!S67=0,"//---END",'Subject-ConceptMap-1'!S67)</f>
        <v>* group[=].element[=].target.equivalence = #unmatched</v>
      </c>
    </row>
    <row r="72" spans="2:2">
      <c r="B72" s="12" t="str">
        <f>IF('Subject-ConceptMap-1'!S68=0,"//---END",'Subject-ConceptMap-1'!S68)</f>
        <v/>
      </c>
    </row>
    <row r="73" spans="2:2">
      <c r="B73" s="12" t="str">
        <f>IF('Subject-ConceptMap-1'!S69=0,"//---END",'Subject-ConceptMap-1'!S69)</f>
        <v>* group[=].element[+].code = #Subject.charlsonComorbidityIndex</v>
      </c>
    </row>
    <row r="74" spans="2:2">
      <c r="B74" s="12" t="str">
        <f>IF('Subject-ConceptMap-1'!S70=0,"//---END",'Subject-ConceptMap-1'!S70)</f>
        <v>* group[=].element[=].display = ##34#Charlson Comorbidity index##34#</v>
      </c>
    </row>
    <row r="75" spans="2:2">
      <c r="B75" s="12" t="str">
        <f>IF('Subject-ConceptMap-1'!S71=0,"//---END",'Subject-ConceptMap-1'!S71)</f>
        <v>//-- unmatched</v>
      </c>
    </row>
    <row r="76" spans="2:2">
      <c r="B76" s="12" t="str">
        <f>IF('Subject-ConceptMap-1'!S72=0,"//---END",'Subject-ConceptMap-1'!S72)</f>
        <v>//-- unmatched</v>
      </c>
    </row>
    <row r="77" spans="2:2">
      <c r="B77" s="12" t="str">
        <f>IF('Subject-ConceptMap-1'!S73=0,"//---END",'Subject-ConceptMap-1'!S73)</f>
        <v>* group[=].element[=].target.equivalence = #unmatched</v>
      </c>
    </row>
    <row r="78" spans="2:2">
      <c r="B78" s="12" t="str">
        <f>IF('Subject-ConceptMap-1'!S74=0,"//---END",'Subject-ConceptMap-1'!S74)</f>
        <v/>
      </c>
    </row>
    <row r="79" spans="2:2">
      <c r="B79" s="12" t="str">
        <f>IF('Subject-ConceptMap-1'!S75=0,"//---END",'Subject-ConceptMap-1'!S75)</f>
        <v>* group[=].element[+].code = #Subject.comorbidity</v>
      </c>
    </row>
    <row r="80" spans="2:2">
      <c r="B80" s="12" t="str">
        <f>IF('Subject-ConceptMap-1'!S76=0,"//---END",'Subject-ConceptMap-1'!S76)</f>
        <v>* group[=].element[=].display = ##34#Comorbidity##34#</v>
      </c>
    </row>
    <row r="81" spans="2:2">
      <c r="B81" s="12" t="str">
        <f>IF('Subject-ConceptMap-1'!S77=0,"//---END",'Subject-ConceptMap-1'!S77)</f>
        <v>//-- unmatched</v>
      </c>
    </row>
    <row r="82" spans="2:2">
      <c r="B82" s="12" t="str">
        <f>IF('Subject-ConceptMap-1'!S78=0,"//---END",'Subject-ConceptMap-1'!S78)</f>
        <v>//-- unmatched</v>
      </c>
    </row>
    <row r="83" spans="2:2">
      <c r="B83" s="12" t="str">
        <f>IF('Subject-ConceptMap-1'!S79=0,"//---END",'Subject-ConceptMap-1'!S79)</f>
        <v>* group[=].element[=].target.equivalence = #unmatched</v>
      </c>
    </row>
    <row r="84" spans="2:2">
      <c r="B84" s="12" t="str">
        <f>IF('Subject-ConceptMap-1'!S80=0,"//---END",'Subject-ConceptMap-1'!S80)</f>
        <v/>
      </c>
    </row>
    <row r="85" spans="2:2">
      <c r="B85" s="12" t="str">
        <f>IF('Subject-ConceptMap-1'!S81=0,"//---END",'Subject-ConceptMap-1'!S81)</f>
        <v>* group[=].element[+].code = #Subject.ecogPsAtDiagnosis</v>
      </c>
    </row>
    <row r="86" spans="2:2">
      <c r="B86" s="12" t="str">
        <f>IF('Subject-ConceptMap-1'!S82=0,"//---END",'Subject-ConceptMap-1'!S82)</f>
        <v>* group[=].element[=].display = ##34#Eastern Cooperative Oncology Group performance status (ECOG PS)  at diagnosis##34#</v>
      </c>
    </row>
    <row r="87" spans="2:2">
      <c r="B87" s="12" t="str">
        <f>IF('Subject-ConceptMap-1'!S83=0,"//---END",'Subject-ConceptMap-1'!S83)</f>
        <v>//-- unmatched</v>
      </c>
    </row>
    <row r="88" spans="2:2">
      <c r="B88" s="12" t="str">
        <f>IF('Subject-ConceptMap-1'!S84=0,"//---END",'Subject-ConceptMap-1'!S84)</f>
        <v>//-- unmatched</v>
      </c>
    </row>
    <row r="89" spans="2:2">
      <c r="B89" s="12" t="str">
        <f>IF('Subject-ConceptMap-1'!S85=0,"//---END",'Subject-ConceptMap-1'!S85)</f>
        <v>* group[=].element[=].target.equivalence = #unmatched</v>
      </c>
    </row>
    <row r="90" spans="2:2">
      <c r="B90" s="12" t="str">
        <f>IF('Subject-ConceptMap-1'!S86=0,"//---END",'Subject-ConceptMap-1'!S86)</f>
        <v/>
      </c>
    </row>
    <row r="91" spans="2:2">
      <c r="B91" s="12" t="str">
        <f>IF('Subject-ConceptMap-1'!S87=0,"//---END",'Subject-ConceptMap-1'!S87)</f>
        <v>* group[=].element[+].code = #Subject.karnofsyIndexAtDiagnosis</v>
      </c>
    </row>
    <row r="92" spans="2:2">
      <c r="B92" s="12" t="str">
        <f>IF('Subject-ConceptMap-1'!S88=0,"//---END",'Subject-ConceptMap-1'!S88)</f>
        <v>* group[=].element[=].display = ##34#Karnofsy index at diagnosis##34#</v>
      </c>
    </row>
    <row r="93" spans="2:2">
      <c r="B93" s="12" t="str">
        <f>IF('Subject-ConceptMap-1'!S89=0,"//---END",'Subject-ConceptMap-1'!S89)</f>
        <v>//-- unmatched</v>
      </c>
    </row>
    <row r="94" spans="2:2">
      <c r="B94" s="12" t="str">
        <f>IF('Subject-ConceptMap-1'!S90=0,"//---END",'Subject-ConceptMap-1'!S90)</f>
        <v>//-- unmatched</v>
      </c>
    </row>
    <row r="95" spans="2:2">
      <c r="B95" s="12" t="str">
        <f>IF('Subject-ConceptMap-1'!S91=0,"//---END",'Subject-ConceptMap-1'!S91)</f>
        <v>* group[=].element[=].target.equivalence = #unmatched</v>
      </c>
    </row>
    <row r="96" spans="2:2">
      <c r="B96" s="12" t="str">
        <f>IF('Subject-ConceptMap-1'!S92=0,"//---END",'Subject-ConceptMap-1'!S92)</f>
        <v/>
      </c>
    </row>
    <row r="97" spans="2:2">
      <c r="B97" s="12" t="str">
        <f>IF('Subject-ConceptMap-1'!S93=0,"//---END",'Subject-ConceptMap-1'!S93)</f>
        <v>* group[=].element[+].code = #Subject.noGeneticSyndromeWho2020</v>
      </c>
    </row>
    <row r="98" spans="2:2">
      <c r="B98" s="12" t="str">
        <f>IF('Subject-ConceptMap-1'!S94=0,"//---END",'Subject-ConceptMap-1'!S94)</f>
        <v>* group[=].element[=].display = ##34#No Genetic syndrome WHO 2020 ##34#</v>
      </c>
    </row>
    <row r="99" spans="2:2">
      <c r="B99" s="12" t="str">
        <f>IF('Subject-ConceptMap-1'!S95=0,"//---END",'Subject-ConceptMap-1'!S95)</f>
        <v>* group[=].element[=].target.code = #Patient.</v>
      </c>
    </row>
    <row r="100" spans="2:2">
      <c r="B100" s="12" t="str">
        <f>IF('Subject-ConceptMap-1'!S96=0,"//---END",'Subject-ConceptMap-1'!S96)</f>
        <v>* group[=].element[=].target.display = ##34###34#</v>
      </c>
    </row>
    <row r="101" spans="2:2">
      <c r="B101" s="12" t="str">
        <f>IF('Subject-ConceptMap-1'!S97=0,"//---END",'Subject-ConceptMap-1'!S97)</f>
        <v>* group[=].element[=].target.equivalence = #relatedto</v>
      </c>
    </row>
    <row r="102" spans="2:2">
      <c r="B102" s="12" t="str">
        <f>IF('Subject-ConceptMap-1'!S98=0,"//---END",'Subject-ConceptMap-1'!S98)</f>
        <v>* group[=].element[=].target.comment = ##34#TO BE MAPPED##34#</v>
      </c>
    </row>
    <row r="103" spans="2:2">
      <c r="B103" s="12" t="str">
        <f>IF('Subject-ConceptMap-1'!S99=0,"//---END",'Subject-ConceptMap-1'!S99)</f>
        <v>* group[=].element[+].code = #Subject.otherGeneticSyndromeWho2020</v>
      </c>
    </row>
    <row r="104" spans="2:2">
      <c r="B104" s="12" t="str">
        <f>IF('Subject-ConceptMap-1'!S100=0,"//---END",'Subject-ConceptMap-1'!S100)</f>
        <v>* group[=].element[=].display = ##34#Other Genetic syndrome WHO 2020 ##34#</v>
      </c>
    </row>
    <row r="105" spans="2:2">
      <c r="B105" s="12" t="str">
        <f>IF('Subject-ConceptMap-1'!S101=0,"//---END",'Subject-ConceptMap-1'!S101)</f>
        <v>* group[=].element[=].target.code = #Patient.</v>
      </c>
    </row>
    <row r="106" spans="2:2">
      <c r="B106" s="12" t="str">
        <f>IF('Subject-ConceptMap-1'!S102=0,"//---END",'Subject-ConceptMap-1'!S102)</f>
        <v>* group[=].element[=].target.display = ##34###34#</v>
      </c>
    </row>
    <row r="107" spans="2:2">
      <c r="B107" s="12" t="str">
        <f>IF('Subject-ConceptMap-1'!S103=0,"//---END",'Subject-ConceptMap-1'!S103)</f>
        <v>* group[=].element[=].target.equivalence = #relatedto</v>
      </c>
    </row>
    <row r="108" spans="2:2">
      <c r="B108" s="12" t="str">
        <f>IF('Subject-ConceptMap-1'!S104=0,"//---END",'Subject-ConceptMap-1'!S104)</f>
        <v>* group[=].element[=].target.comment = ##34#TO BE MAPPED##34#</v>
      </c>
    </row>
    <row r="109" spans="2:2">
      <c r="B109" s="12" t="str">
        <f>IF('Subject-ConceptMap-1'!S105=0,"//---END",'Subject-ConceptMap-1'!S105)</f>
        <v>* group[=].element[+].code = #Subject.occurrenceOfOtherCancer</v>
      </c>
    </row>
    <row r="110" spans="2:2">
      <c r="B110" s="12" t="str">
        <f>IF('Subject-ConceptMap-1'!S106=0,"//---END",'Subject-ConceptMap-1'!S106)</f>
        <v>* group[=].element[=].display = ##34#Occurrence of other cancer##34#</v>
      </c>
    </row>
    <row r="111" spans="2:2">
      <c r="B111" s="12" t="str">
        <f>IF('Subject-ConceptMap-1'!S107=0,"//---END",'Subject-ConceptMap-1'!S107)</f>
        <v>* group[=].element[=].target.code = #Patient.</v>
      </c>
    </row>
    <row r="112" spans="2:2">
      <c r="B112" s="12" t="str">
        <f>IF('Subject-ConceptMap-1'!S108=0,"//---END",'Subject-ConceptMap-1'!S108)</f>
        <v>* group[=].element[=].target.display = ##34###34#</v>
      </c>
    </row>
    <row r="113" spans="2:2">
      <c r="B113" s="12" t="str">
        <f>IF('Subject-ConceptMap-1'!S109=0,"//---END",'Subject-ConceptMap-1'!S109)</f>
        <v>* group[=].element[=].target.equivalence = #relatedto</v>
      </c>
    </row>
    <row r="114" spans="2:2">
      <c r="B114" s="12" t="str">
        <f>IF('Subject-ConceptMap-1'!S110=0,"//---END",'Subject-ConceptMap-1'!S110)</f>
        <v>* group[=].element[=].target.comment = ##34#TO BE MAPPED##34#</v>
      </c>
    </row>
    <row r="115" spans="2:2">
      <c r="B115" s="12" t="str">
        <f>IF('Subject-ConceptMap-1'!S111=0,"//---END",'Subject-ConceptMap-1'!S111)</f>
        <v>* group[=].element[+].code = #Subject.previousCancerTreatment</v>
      </c>
    </row>
    <row r="116" spans="2:2">
      <c r="B116" s="12" t="str">
        <f>IF('Subject-ConceptMap-1'!S112=0,"//---END",'Subject-ConceptMap-1'!S112)</f>
        <v>* group[=].element[=].display = ##34#Previous cancer treatment##34#</v>
      </c>
    </row>
    <row r="117" spans="2:2">
      <c r="B117" s="12" t="str">
        <f>IF('Subject-ConceptMap-1'!S113=0,"//---END",'Subject-ConceptMap-1'!S113)</f>
        <v>* group[=].element[=].target.code = #Patient.</v>
      </c>
    </row>
    <row r="118" spans="2:2">
      <c r="B118" s="12" t="str">
        <f>IF('Subject-ConceptMap-1'!S114=0,"//---END",'Subject-ConceptMap-1'!S114)</f>
        <v>* group[=].element[=].target.display = ##34###34#</v>
      </c>
    </row>
    <row r="119" spans="2:2">
      <c r="B119" s="12" t="str">
        <f>IF('Subject-ConceptMap-1'!S115=0,"//---END",'Subject-ConceptMap-1'!S115)</f>
        <v>* group[=].element[=].target.equivalence = #relatedto</v>
      </c>
    </row>
    <row r="120" spans="2:2">
      <c r="B120" s="12" t="str">
        <f>IF('Subject-ConceptMap-1'!S116=0,"//---END",'Subject-ConceptMap-1'!S116)</f>
        <v>* group[=].element[=].target.comment = ##34#TO BE MAPPED##34#</v>
      </c>
    </row>
    <row r="121" spans="2:2">
      <c r="B121" s="12" t="str">
        <f>IF('Subject-ConceptMap-1'!S117=0,"//---END",'Subject-ConceptMap-1'!S117)</f>
        <v>* group[=].element[+].code = #Subject.lastContact</v>
      </c>
    </row>
    <row r="122" spans="2:2">
      <c r="B122" s="12" t="str">
        <f>IF('Subject-ConceptMap-1'!S118=0,"//---END",'Subject-ConceptMap-1'!S118)</f>
        <v>* group[=].element[=].display = ##34#Last Contact##34#</v>
      </c>
    </row>
    <row r="123" spans="2:2">
      <c r="B123" s="12" t="str">
        <f>IF('Subject-ConceptMap-1'!S119=0,"//---END",'Subject-ConceptMap-1'!S119)</f>
        <v>* group[=].element[=].target.code = #Patient.</v>
      </c>
    </row>
    <row r="124" spans="2:2">
      <c r="B124" s="12" t="str">
        <f>IF('Subject-ConceptMap-1'!S120=0,"//---END",'Subject-ConceptMap-1'!S120)</f>
        <v>* group[=].element[=].target.display = ##34###34#</v>
      </c>
    </row>
    <row r="125" spans="2:2">
      <c r="B125" s="12" t="str">
        <f>IF('Subject-ConceptMap-1'!S121=0,"//---END",'Subject-ConceptMap-1'!S121)</f>
        <v>* group[=].element[=].target.equivalence = #relatedto</v>
      </c>
    </row>
    <row r="126" spans="2:2">
      <c r="B126" s="12" t="str">
        <f>IF('Subject-ConceptMap-1'!S122=0,"//---END",'Subject-ConceptMap-1'!S122)</f>
        <v>//---END</v>
      </c>
    </row>
    <row r="127" spans="2:2">
      <c r="B127" s="12" t="str">
        <f>IF('Subject-ConceptMap-1'!S123=0,"//---END",'Subject-ConceptMap-1'!S123)</f>
        <v>//---END</v>
      </c>
    </row>
    <row r="128" spans="2:2">
      <c r="B128" s="12" t="str">
        <f>IF('Subject-ConceptMap-1'!S124=0,"//---END",'Subject-ConceptMap-1'!S124)</f>
        <v>//---END</v>
      </c>
    </row>
    <row r="129" spans="2:2">
      <c r="B129" s="12" t="str">
        <f>IF('Subject-ConceptMap-1'!S125=0,"//---END",'Subject-ConceptMap-1'!S125)</f>
        <v>//---END</v>
      </c>
    </row>
    <row r="130" spans="2:2">
      <c r="B130" s="12" t="str">
        <f>IF('Subject-ConceptMap-1'!S126=0,"//---END",'Subject-ConceptMap-1'!S126)</f>
        <v>//---END</v>
      </c>
    </row>
    <row r="131" spans="2:2">
      <c r="B131" s="12" t="str">
        <f>IF('Subject-ConceptMap-1'!S127=0,"//---END",'Subject-ConceptMap-1'!S127)</f>
        <v>//---END</v>
      </c>
    </row>
    <row r="132" spans="2:2">
      <c r="B132" s="12" t="str">
        <f>IF('Subject-ConceptMap-1'!S128=0,"//---END",'Subject-ConceptMap-1'!S128)</f>
        <v>//---END</v>
      </c>
    </row>
    <row r="133" spans="2:2">
      <c r="B133" s="12" t="str">
        <f>IF('Subject-ConceptMap-1'!S129=0,"//---END",'Subject-ConceptMap-1'!S129)</f>
        <v>//---END</v>
      </c>
    </row>
    <row r="134" spans="2:2">
      <c r="B134" s="12"/>
    </row>
    <row r="135" spans="2:2">
      <c r="B135" s="164"/>
    </row>
    <row r="136" spans="2:2">
      <c r="B136" s="162" t="str">
        <f>"* group[+].source = ##34#"&amp;'Subject-ConceptMap-2'!E6&amp;"##34#"</f>
        <v>* group[+].source = ##34#http://hl7.eu/fhir/ig/idea4rc/StructureDefinition/Subject##34#</v>
      </c>
    </row>
    <row r="137" spans="2:2">
      <c r="B137" s="165" t="str">
        <f>"* group[=].target = ##34#"&amp;'Subject-ConceptMap-2'!E7&amp;"##34#"</f>
        <v>* group[=].target = ##34#http://hl7.eu/fhir/ig/idea4rc/StructureDefinition/observation-tobaccouse-eu-i4rc##34#</v>
      </c>
    </row>
    <row r="138" spans="2:2">
      <c r="B138" s="166"/>
    </row>
    <row r="139" spans="2:2">
      <c r="B139" s="12" t="str">
        <f>IF('Subject-ConceptMap-2'!S15=0,"//---END",'Subject-ConceptMap-2'!S15)</f>
        <v>* group[=].element[+].code = #Subject.smoking</v>
      </c>
    </row>
    <row r="140" spans="2:2">
      <c r="B140" s="12" t="str">
        <f>IF('Subject-ConceptMap-2'!S16=0,"//---END",'Subject-ConceptMap-2'!S16)</f>
        <v>* group[=].element[=].display = ##34#Smoking##34#</v>
      </c>
    </row>
    <row r="141" spans="2:2">
      <c r="B141" s="12" t="str">
        <f>IF('Subject-ConceptMap-2'!S17=0,"//---END",'Subject-ConceptMap-2'!S17)</f>
        <v>* group[=].element[=].target.code = #Observation.component:smokingStatus.value[x]:valueCodeableConcept</v>
      </c>
    </row>
    <row r="142" spans="2:2">
      <c r="B142" s="12" t="str">
        <f>IF('Subject-ConceptMap-2'!S18=0,"//---END",'Subject-ConceptMap-2'!S18)</f>
        <v>* group[=].element[=].target.display = ##34###34#</v>
      </c>
    </row>
    <row r="143" spans="2:2">
      <c r="B143" s="12" t="str">
        <f>IF('Subject-ConceptMap-2'!S19=0,"//---END",'Subject-ConceptMap-2'!S19)</f>
        <v>* group[=].element[=].target.equivalence = #equivalent</v>
      </c>
    </row>
    <row r="144" spans="2:2">
      <c r="B144" s="12" t="str">
        <f>IF('Subject-ConceptMap-2'!S20=0,"//---END",'Subject-ConceptMap-2'!S20)</f>
        <v/>
      </c>
    </row>
    <row r="145" spans="2:2">
      <c r="B145" s="12" t="str">
        <f>IF('Subject-ConceptMap-2'!S21=0,"//---END",'Subject-ConceptMap-2'!S21)</f>
        <v>* group[=].element[+].code = #Subject.smokingType</v>
      </c>
    </row>
    <row r="146" spans="2:2">
      <c r="B146" s="12" t="str">
        <f>IF('Subject-ConceptMap-2'!S22=0,"//---END",'Subject-ConceptMap-2'!S22)</f>
        <v>* group[=].element[=].display = ##34#Smoking type##34#</v>
      </c>
    </row>
    <row r="147" spans="2:2">
      <c r="B147" s="12" t="str">
        <f>IF('Subject-ConceptMap-2'!S23=0,"//---END",'Subject-ConceptMap-2'!S23)</f>
        <v>* group[=].element[=].target.code = #Observation.component:tobaccoProduct.value[x]:valueCodeableConcept</v>
      </c>
    </row>
    <row r="148" spans="2:2">
      <c r="B148" s="12" t="str">
        <f>IF('Subject-ConceptMap-2'!S24=0,"//---END",'Subject-ConceptMap-2'!S24)</f>
        <v>* group[=].element[=].target.display = ##34###34#</v>
      </c>
    </row>
    <row r="149" spans="2:2">
      <c r="B149" s="12" t="str">
        <f>IF('Subject-ConceptMap-2'!S25=0,"//---END",'Subject-ConceptMap-2'!S25)</f>
        <v>* group[=].element[=].target.equivalence = #equivalent</v>
      </c>
    </row>
    <row r="150" spans="2:2">
      <c r="B150" s="12" t="str">
        <f>IF('Subject-ConceptMap-2'!S26=0,"//---END",'Subject-ConceptMap-2'!S26)</f>
        <v/>
      </c>
    </row>
    <row r="151" spans="2:2">
      <c r="B151" s="12" t="str">
        <f>IF('Subject-ConceptMap-2'!S27=0,"//---END",'Subject-ConceptMap-2'!S27)</f>
        <v>* group[=].element[+].code = #Subject.cigSmokedPerDay</v>
      </c>
    </row>
    <row r="152" spans="2:2">
      <c r="B152" s="12" t="str">
        <f>IF('Subject-ConceptMap-2'!S28=0,"//---END",'Subject-ConceptMap-2'!S28)</f>
        <v>* group[=].element[=].display = ##34#Cigarettes/cigars smoked per day##34#</v>
      </c>
    </row>
    <row r="153" spans="2:2">
      <c r="B153" s="12" t="str">
        <f>IF('Subject-ConceptMap-2'!S29=0,"//---END",'Subject-ConceptMap-2'!S29)</f>
        <v>* group[=].element[=].target.code = #Observation.component:numberPerDay.value[x]:valueQuantity</v>
      </c>
    </row>
    <row r="154" spans="2:2">
      <c r="B154" s="12" t="str">
        <f>IF('Subject-ConceptMap-2'!S30=0,"//---END",'Subject-ConceptMap-2'!S30)</f>
        <v>* group[=].element[=].target.display = ##34###34#</v>
      </c>
    </row>
    <row r="155" spans="2:2">
      <c r="B155" s="12" t="str">
        <f>IF('Subject-ConceptMap-2'!S31=0,"//---END",'Subject-ConceptMap-2'!S31)</f>
        <v>* group[=].element[=].target.equivalence = #equivalent</v>
      </c>
    </row>
    <row r="156" spans="2:2">
      <c r="B156" s="12" t="str">
        <f>IF('Subject-ConceptMap-2'!S32=0,"//---END",'Subject-ConceptMap-2'!S32)</f>
        <v/>
      </c>
    </row>
    <row r="157" spans="2:2">
      <c r="B157" s="12" t="str">
        <f>IF('Subject-ConceptMap-2'!S33=0,"//---END",'Subject-ConceptMap-2'!S33)</f>
        <v>* group[=].element[+].code = #Subject.yearsAsSmoker</v>
      </c>
    </row>
    <row r="158" spans="2:2">
      <c r="B158" s="12" t="str">
        <f>IF('Subject-ConceptMap-2'!S34=0,"//---END",'Subject-ConceptMap-2'!S34)</f>
        <v>* group[=].element[=].display = ##34#Number of years as a smoker##34#</v>
      </c>
    </row>
    <row r="159" spans="2:2">
      <c r="B159" s="12" t="str">
        <f>IF('Subject-ConceptMap-2'!S35=0,"//---END",'Subject-ConceptMap-2'!S35)</f>
        <v>* group[=].element[=].target.code = #Observation.component:yearsAsSmokervalue[x]:valueQuantity</v>
      </c>
    </row>
    <row r="160" spans="2:2">
      <c r="B160" s="12" t="str">
        <f>IF('Subject-ConceptMap-2'!S36=0,"//---END",'Subject-ConceptMap-2'!S36)</f>
        <v>* group[=].element[=].target.display = ##34###34#</v>
      </c>
    </row>
    <row r="161" spans="2:2">
      <c r="B161" s="12" t="str">
        <f>IF('Subject-ConceptMap-2'!S37=0,"//---END",'Subject-ConceptMap-2'!S37)</f>
        <v>* group[=].element[=].target.equivalence = #equivalent</v>
      </c>
    </row>
    <row r="162" spans="2:2">
      <c r="B162" s="12" t="str">
        <f>IF('Subject-ConceptMap-2'!S38=0,"//---END",'Subject-ConceptMap-2'!S38)</f>
        <v/>
      </c>
    </row>
    <row r="163" spans="2:2">
      <c r="B163" s="12" t="str">
        <f>IF('Subject-ConceptMap-2'!S39=0,"//---END",'Subject-ConceptMap-2'!S39)</f>
        <v>//---END</v>
      </c>
    </row>
    <row r="164" spans="2:2">
      <c r="B164" s="12" t="str">
        <f>IF('Subject-ConceptMap-2'!S40=0,"//---END",'Subject-ConceptMap-2'!S40)</f>
        <v>//---END</v>
      </c>
    </row>
    <row r="165" spans="2:2">
      <c r="B165" s="12" t="str">
        <f>IF('Subject-ConceptMap-2'!S41=0,"//---END",'Subject-ConceptMap-2'!S41)</f>
        <v>//---END</v>
      </c>
    </row>
    <row r="166" spans="2:2">
      <c r="B166" s="12" t="str">
        <f>IF('Subject-ConceptMap-2'!S42=0,"//---END",'Subject-ConceptMap-2'!S42)</f>
        <v>//---END</v>
      </c>
    </row>
    <row r="167" spans="2:2">
      <c r="B167" s="12" t="str">
        <f>IF('Subject-ConceptMap-2'!S43=0,"//---END",'Subject-ConceptMap-2'!S43)</f>
        <v>//---END</v>
      </c>
    </row>
    <row r="168" spans="2:2">
      <c r="B168" s="12" t="str">
        <f>IF('Subject-ConceptMap-2'!S44=0,"//---END",'Subject-ConceptMap-2'!S44)</f>
        <v>//---END</v>
      </c>
    </row>
    <row r="169" spans="2:2">
      <c r="B169" s="12" t="str">
        <f>IF('Subject-ConceptMap-2'!S45=0,"//---END",'Subject-ConceptMap-2'!S45)</f>
        <v>//---END</v>
      </c>
    </row>
    <row r="170" spans="2:2">
      <c r="B170" s="12" t="str">
        <f>IF('Subject-ConceptMap-2'!S46=0,"//---END",'Subject-ConceptMap-2'!S46)</f>
        <v>//---END</v>
      </c>
    </row>
    <row r="171" spans="2:2">
      <c r="B171" s="12" t="str">
        <f>IF('Subject-ConceptMap-2'!S47=0,"//---END",'Subject-ConceptMap-2'!S47)</f>
        <v>//---END</v>
      </c>
    </row>
    <row r="172" spans="2:2">
      <c r="B172" s="12" t="str">
        <f>IF('Subject-ConceptMap-2'!S48=0,"//---END",'Subject-ConceptMap-2'!S48)</f>
        <v>//---END</v>
      </c>
    </row>
    <row r="173" spans="2:2">
      <c r="B173" s="12" t="str">
        <f>IF('Subject-ConceptMap-2'!S49=0,"//---END",'Subject-ConceptMap-2'!S49)</f>
        <v>//---END</v>
      </c>
    </row>
    <row r="174" spans="2:2">
      <c r="B174" s="12" t="str">
        <f>IF('Subject-ConceptMap-2'!S50=0,"//---END",'Subject-ConceptMap-2'!S50)</f>
        <v>//---END</v>
      </c>
    </row>
    <row r="175" spans="2:2">
      <c r="B175" s="12" t="str">
        <f>IF('Subject-ConceptMap-2'!S51=0,"//---END",'Subject-ConceptMap-2'!S51)</f>
        <v>//---END</v>
      </c>
    </row>
    <row r="176" spans="2:2">
      <c r="B176" s="12" t="str">
        <f>IF('Subject-ConceptMap-2'!S52=0,"//---END",'Subject-ConceptMap-2'!S52)</f>
        <v>//---END</v>
      </c>
    </row>
    <row r="177" spans="2:3">
      <c r="B177" s="12" t="str">
        <f>IF('Subject-ConceptMap-2'!S53=0,"//---END",'Subject-ConceptMap-2'!S53)</f>
        <v>//---END</v>
      </c>
    </row>
    <row r="178" spans="2:3">
      <c r="B178" s="12" t="str">
        <f>IF('Subject-ConceptMap-2'!S54=0,"//---END",'Subject-ConceptMap-2'!S54)</f>
        <v>//---END</v>
      </c>
    </row>
    <row r="179" spans="2:3">
      <c r="B179" s="12" t="str">
        <f>IF('Subject-ConceptMap-2'!S55=0,"//---END",'Subject-ConceptMap-2'!S55)</f>
        <v>//---END</v>
      </c>
    </row>
    <row r="181" spans="2:3">
      <c r="B181" s="164"/>
    </row>
    <row r="182" spans="2:3">
      <c r="B182" s="162" t="str">
        <f>"* group[+].source = ##34#"&amp;'Subject-ConceptMap-3'!E6&amp;"##34#"</f>
        <v>* group[+].source = ##34#http://hl7.eu/fhir/ig/idea4rc/StructureDefinition/Subject##34#</v>
      </c>
    </row>
    <row r="183" spans="2:3">
      <c r="B183" s="165" t="str">
        <f>"* group[=].target = ##34#"&amp;'Subject-ConceptMap-3'!E7&amp;"##34#"</f>
        <v>* group[=].target = ##34#http://hl7.eu/fhir/ig/idea4rc/StructureDefinition/observation-alcoholuse-eu-i4rc##34#</v>
      </c>
    </row>
    <row r="184" spans="2:3">
      <c r="B184" s="167"/>
    </row>
    <row r="185" spans="2:3">
      <c r="B185" s="12"/>
      <c r="C185" s="11"/>
    </row>
    <row r="186" spans="2:3">
      <c r="B186" s="12" t="str">
        <f>IF('Subject-ConceptMap-3'!S15=0,"//---END",'Subject-ConceptMap-3'!S15)</f>
        <v>* group[=].element[+].code = #Subject.alcohol</v>
      </c>
      <c r="C186" s="11"/>
    </row>
    <row r="187" spans="2:3">
      <c r="B187" s="12" t="str">
        <f>IF('Subject-ConceptMap-3'!S16=0,"//---END",'Subject-ConceptMap-3'!S16)</f>
        <v>* group[=].element[=].display = ##34#Alcohol##34#</v>
      </c>
      <c r="C187" s="11"/>
    </row>
    <row r="188" spans="2:3">
      <c r="B188" s="12" t="str">
        <f>IF('Subject-ConceptMap-3'!S17=0,"//---END",'Subject-ConceptMap-3'!S17)</f>
        <v>* group[=].element[=].target.code = #Observation.value[x]:valueCodeableConcept</v>
      </c>
      <c r="C188" s="11"/>
    </row>
    <row r="189" spans="2:3">
      <c r="B189" s="12" t="str">
        <f>IF('Subject-ConceptMap-3'!S18=0,"//---END",'Subject-ConceptMap-3'!S18)</f>
        <v>* group[=].element[=].target.display = ##34###34#</v>
      </c>
      <c r="C189" s="11"/>
    </row>
    <row r="190" spans="2:3">
      <c r="B190" s="12" t="str">
        <f>IF('Subject-ConceptMap-3'!S19=0,"//---END",'Subject-ConceptMap-3'!S19)</f>
        <v>* group[=].element[=].target.equivalence = #equivalent</v>
      </c>
      <c r="C190" s="11"/>
    </row>
    <row r="191" spans="2:3">
      <c r="B191" s="12" t="str">
        <f>IF('Subject-ConceptMap-3'!S20=0,"//---END",'Subject-ConceptMap-3'!S20)</f>
        <v/>
      </c>
      <c r="C191" s="11"/>
    </row>
    <row r="192" spans="2:3">
      <c r="B192" s="12" t="str">
        <f>IF('Subject-ConceptMap-3'!S21=0,"//---END",'Subject-ConceptMap-3'!S21)</f>
        <v>//---END</v>
      </c>
      <c r="C192" s="11"/>
    </row>
    <row r="193" spans="2:3">
      <c r="B193" s="12" t="str">
        <f>IF('Subject-ConceptMap-3'!S22=0,"//---END",'Subject-ConceptMap-3'!S22)</f>
        <v>//---END</v>
      </c>
      <c r="C193" s="11"/>
    </row>
    <row r="194" spans="2:3">
      <c r="B194" s="12" t="str">
        <f>IF('Subject-ConceptMap-3'!S23=0,"//---END",'Subject-ConceptMap-3'!S23)</f>
        <v>//---END</v>
      </c>
      <c r="C194" s="11"/>
    </row>
    <row r="195" spans="2:3">
      <c r="B195" s="12" t="str">
        <f>IF('Subject-ConceptMap-3'!S24=0,"//---END",'Subject-ConceptMap-3'!S24)</f>
        <v>//---END</v>
      </c>
      <c r="C195" s="11"/>
    </row>
    <row r="196" spans="2:3">
      <c r="B196" s="12" t="str">
        <f>IF('Subject-ConceptMap-3'!S25=0,"//---END",'Subject-ConceptMap-3'!S25)</f>
        <v>//---END</v>
      </c>
      <c r="C196" s="11"/>
    </row>
    <row r="197" spans="2:3">
      <c r="B197" s="12" t="str">
        <f>IF('Subject-ConceptMap-3'!S26=0,"//---END",'Subject-ConceptMap-3'!S26)</f>
        <v>//---END</v>
      </c>
      <c r="C197" s="11"/>
    </row>
    <row r="198" spans="2:3">
      <c r="B198" s="12" t="str">
        <f>IF('Subject-ConceptMap-3'!S27=0,"//---END",'Subject-ConceptMap-3'!S27)</f>
        <v>//---END</v>
      </c>
      <c r="C198" s="11"/>
    </row>
    <row r="199" spans="2:3">
      <c r="B199" s="12" t="str">
        <f>IF('Subject-ConceptMap-3'!S28=0,"//---END",'Subject-ConceptMap-3'!S28)</f>
        <v>//---END</v>
      </c>
      <c r="C199" s="11"/>
    </row>
    <row r="200" spans="2:3">
      <c r="B200" s="12" t="str">
        <f>IF('Subject-ConceptMap-3'!S29=0,"//---END",'Subject-ConceptMap-3'!S29)</f>
        <v>//---END</v>
      </c>
      <c r="C200" s="11"/>
    </row>
    <row r="201" spans="2:3">
      <c r="B201" s="12" t="str">
        <f>IF('Subject-ConceptMap-3'!S30=0,"//---END",'Subject-ConceptMap-3'!S30)</f>
        <v>//---END</v>
      </c>
      <c r="C201" s="133"/>
    </row>
    <row r="202" spans="2:3">
      <c r="B202" s="12" t="str">
        <f>IF('Subject-ConceptMap-3'!S31=0,"//---END",'Subject-ConceptMap-3'!S31)</f>
        <v>//---END</v>
      </c>
      <c r="C202" s="133"/>
    </row>
    <row r="203" spans="2:3">
      <c r="B203" s="12" t="str">
        <f>IF('Subject-ConceptMap-3'!S32=0,"//---END",'Subject-ConceptMap-3'!S32)</f>
        <v>//---END</v>
      </c>
      <c r="C203" s="133"/>
    </row>
    <row r="204" spans="2:3">
      <c r="B204" s="12"/>
    </row>
    <row r="205" spans="2:3">
      <c r="B205" s="164"/>
    </row>
    <row r="206" spans="2:3">
      <c r="B206" s="165" t="str">
        <f>"* group[+].source = ##34#"&amp;'Subject-ConceptMap-4'!E6&amp;"##34#"</f>
        <v>* group[+].source = ##34#http://hl7.eu/fhir/ig/idea4rc/StructureDefinition/Subject##34#</v>
      </c>
    </row>
    <row r="207" spans="2:3">
      <c r="B207" s="165" t="str">
        <f>"* group[=].target = ##34#"&amp;'Subject-ConceptMap-4'!E7&amp;"##34#"</f>
        <v>* group[=].target = ##34#http://hl7.eu/fhir/ig/idea4rc/StructureDefinition/observation-comorbidity-eu-i4rc##34#</v>
      </c>
    </row>
    <row r="208" spans="2:3">
      <c r="B208" s="166"/>
    </row>
    <row r="209" spans="2:2">
      <c r="B209" s="12"/>
    </row>
    <row r="210" spans="2:2">
      <c r="B210" s="12" t="str">
        <f>IF('Subject-ConceptMap-4'!S15=0,"//---END",'Subject-ConceptMap-4'!S15)</f>
        <v>* group[=].element[+].code = #Subject.comorbidity</v>
      </c>
    </row>
    <row r="211" spans="2:2">
      <c r="B211" s="12" t="str">
        <f>IF('Subject-ConceptMap-4'!S16=0,"//---END",'Subject-ConceptMap-4'!S16)</f>
        <v>* group[=].element[=].display = ##34#Comorbidity##34#</v>
      </c>
    </row>
    <row r="212" spans="2:2">
      <c r="B212" s="12" t="str">
        <f>IF('Subject-ConceptMap-4'!S17=0,"//---END",'Subject-ConceptMap-4'!S17)</f>
        <v>* group[=].element[=].target.code = #Observation.</v>
      </c>
    </row>
    <row r="213" spans="2:2">
      <c r="B213" s="12" t="str">
        <f>IF('Subject-ConceptMap-4'!S18=0,"//---END",'Subject-ConceptMap-4'!S18)</f>
        <v>* group[=].element[=].target.display = ##34###34#</v>
      </c>
    </row>
    <row r="214" spans="2:2">
      <c r="B214" s="12" t="str">
        <f>IF('Subject-ConceptMap-4'!S19=0,"//---END",'Subject-ConceptMap-4'!S19)</f>
        <v>* group[=].element[=].target.equivalence = #relatedto</v>
      </c>
    </row>
    <row r="215" spans="2:2" ht="73.75">
      <c r="B215"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6" spans="2:2">
      <c r="B216" s="12" t="str">
        <f>IF('Subject-ConceptMap-4'!S21=0,"//---END",'Subject-ConceptMap-4'!S21)</f>
        <v>* group[=].element[+].code = #Subject.comorbidity.myocardialInfarction</v>
      </c>
    </row>
    <row r="217" spans="2:2">
      <c r="B217" s="12" t="str">
        <f>IF('Subject-ConceptMap-4'!S22=0,"//---END",'Subject-ConceptMap-4'!S22)</f>
        <v>* group[=].element[=].display = ##34#Myocardial infarction##34#</v>
      </c>
    </row>
    <row r="218" spans="2:2">
      <c r="B218" s="12" t="str">
        <f>IF('Subject-ConceptMap-4'!S23=0,"//---END",'Subject-ConceptMap-4'!S23)</f>
        <v>* group[=].element[=].target.code = #Observation.extension:comorbidConditionPresent</v>
      </c>
    </row>
    <row r="219" spans="2:2">
      <c r="B219" s="12" t="str">
        <f>IF('Subject-ConceptMap-4'!S24=0,"//---END",'Subject-ConceptMap-4'!S24)</f>
        <v>* group[=].element[=].target.display = ##34###34#</v>
      </c>
    </row>
    <row r="220" spans="2:2">
      <c r="B220" s="12" t="str">
        <f>IF('Subject-ConceptMap-4'!S25=0,"//---END",'Subject-ConceptMap-4'!S25)</f>
        <v>* group[=].element[=].target.equivalence = #relatedto</v>
      </c>
    </row>
    <row r="221" spans="2:2">
      <c r="B221" s="12" t="str">
        <f>IF('Subject-ConceptMap-4'!S26=0,"//---END",'Subject-ConceptMap-4'!S26)</f>
        <v/>
      </c>
    </row>
    <row r="222" spans="2:2">
      <c r="B222" s="12" t="str">
        <f>IF('Subject-ConceptMap-4'!S27=0,"//---END",'Subject-ConceptMap-4'!S27)</f>
        <v>* group[=].element[+].code = #Subject.comorbidity.congestiveHeartFailure</v>
      </c>
    </row>
    <row r="223" spans="2:2">
      <c r="B223" s="12" t="str">
        <f>IF('Subject-ConceptMap-4'!S28=0,"//---END",'Subject-ConceptMap-4'!S28)</f>
        <v>* group[=].element[=].display = ##34#Congestive heart failure##34#</v>
      </c>
    </row>
    <row r="224" spans="2:2">
      <c r="B224" s="12" t="str">
        <f>IF('Subject-ConceptMap-4'!S29=0,"//---END",'Subject-ConceptMap-4'!S29)</f>
        <v>* group[=].element[=].target.code = #Observation.extension:comorbidConditionPresent</v>
      </c>
    </row>
    <row r="225" spans="2:2">
      <c r="B225" s="12" t="str">
        <f>IF('Subject-ConceptMap-4'!S30=0,"//---END",'Subject-ConceptMap-4'!S30)</f>
        <v>* group[=].element[=].target.display = ##34###34#</v>
      </c>
    </row>
    <row r="226" spans="2:2">
      <c r="B226" s="12" t="str">
        <f>IF('Subject-ConceptMap-4'!S31=0,"//---END",'Subject-ConceptMap-4'!S31)</f>
        <v>* group[=].element[=].target.equivalence = #equivalent</v>
      </c>
    </row>
    <row r="227" spans="2:2">
      <c r="B227" s="12" t="str">
        <f>IF('Subject-ConceptMap-4'!S32=0,"//---END",'Subject-ConceptMap-4'!S32)</f>
        <v/>
      </c>
    </row>
    <row r="228" spans="2:2">
      <c r="B228" s="12" t="str">
        <f>IF('Subject-ConceptMap-4'!S33=0,"//---END",'Subject-ConceptMap-4'!S33)</f>
        <v>* group[=].element[+].code = #Subject.comorbidity.peripheralVascularDisease</v>
      </c>
    </row>
    <row r="229" spans="2:2">
      <c r="B229" s="12" t="str">
        <f>IF('Subject-ConceptMap-4'!S34=0,"//---END",'Subject-ConceptMap-4'!S34)</f>
        <v>* group[=].element[=].display = ##34#Peripheral vascular disease##34#</v>
      </c>
    </row>
    <row r="230" spans="2:2">
      <c r="B230" s="12" t="str">
        <f>IF('Subject-ConceptMap-4'!S35=0,"//---END",'Subject-ConceptMap-4'!S35)</f>
        <v>* group[=].element[=].target.code = #Observation.extension:comorbidConditionPresent</v>
      </c>
    </row>
    <row r="231" spans="2:2">
      <c r="B231" s="12" t="str">
        <f>IF('Subject-ConceptMap-4'!S36=0,"//---END",'Subject-ConceptMap-4'!S36)</f>
        <v>* group[=].element[=].target.display = ##34###34#</v>
      </c>
    </row>
    <row r="232" spans="2:2">
      <c r="B232" s="12" t="str">
        <f>IF('Subject-ConceptMap-4'!S37=0,"//---END",'Subject-ConceptMap-4'!S37)</f>
        <v>* group[=].element[=].target.equivalence = #equivalent</v>
      </c>
    </row>
    <row r="233" spans="2:2">
      <c r="B233" s="12" t="str">
        <f>IF('Subject-ConceptMap-4'!S38=0,"//---END",'Subject-ConceptMap-4'!S38)</f>
        <v/>
      </c>
    </row>
    <row r="234" spans="2:2">
      <c r="B234" s="12" t="str">
        <f>IF('Subject-ConceptMap-4'!S39=0,"//---END",'Subject-ConceptMap-4'!S39)</f>
        <v>* group[=].element[+].code = #Subject.comorbidity.cerebrovascularAccidentExceptHemiplegia</v>
      </c>
    </row>
    <row r="235" spans="2:2">
      <c r="B235" s="12" t="str">
        <f>IF('Subject-ConceptMap-4'!S40=0,"//---END",'Subject-ConceptMap-4'!S40)</f>
        <v>* group[=].element[=].display = ##34#Cerebrovascular accident  (except hemiplegia)##34#</v>
      </c>
    </row>
    <row r="236" spans="2:2">
      <c r="B236" s="12" t="str">
        <f>IF('Subject-ConceptMap-4'!S41=0,"//---END",'Subject-ConceptMap-4'!S41)</f>
        <v>* group[=].element[=].target.code = #Observation.extension:comorbidConditionPresent</v>
      </c>
    </row>
    <row r="237" spans="2:2">
      <c r="B237" s="12" t="str">
        <f>IF('Subject-ConceptMap-4'!S42=0,"//---END",'Subject-ConceptMap-4'!S42)</f>
        <v>* group[=].element[=].target.display = ##34###34#</v>
      </c>
    </row>
    <row r="238" spans="2:2">
      <c r="B238" s="12" t="str">
        <f>IF('Subject-ConceptMap-4'!S43=0,"//---END",'Subject-ConceptMap-4'!S43)</f>
        <v>* group[=].element[=].target.equivalence = #equivalent</v>
      </c>
    </row>
    <row r="239" spans="2:2">
      <c r="B239" s="12" t="str">
        <f>IF('Subject-ConceptMap-4'!S44=0,"//---END",'Subject-ConceptMap-4'!S44)</f>
        <v/>
      </c>
    </row>
    <row r="240" spans="2:2">
      <c r="B240" s="12" t="str">
        <f>IF('Subject-ConceptMap-4'!S45=0,"//---END",'Subject-ConceptMap-4'!S45)</f>
        <v>* group[=].element[+].code = #Subject.comorbidity.dementia</v>
      </c>
    </row>
    <row r="241" spans="2:2">
      <c r="B241" s="12" t="str">
        <f>IF('Subject-ConceptMap-4'!S46=0,"//---END",'Subject-ConceptMap-4'!S46)</f>
        <v>* group[=].element[=].display = ##34#Dementia##34#</v>
      </c>
    </row>
    <row r="242" spans="2:2">
      <c r="B242" s="12" t="str">
        <f>IF('Subject-ConceptMap-4'!S47=0,"//---END",'Subject-ConceptMap-4'!S47)</f>
        <v>* group[=].element[=].target.code = #Observation.extension:comorbidConditionPresent</v>
      </c>
    </row>
    <row r="243" spans="2:2">
      <c r="B243" s="12" t="str">
        <f>IF('Subject-ConceptMap-4'!S48=0,"//---END",'Subject-ConceptMap-4'!S48)</f>
        <v>* group[=].element[=].target.display = ##34###34#</v>
      </c>
    </row>
    <row r="244" spans="2:2">
      <c r="B244" s="12" t="str">
        <f>IF('Subject-ConceptMap-4'!S49=0,"//---END",'Subject-ConceptMap-4'!S49)</f>
        <v>* group[=].element[=].target.equivalence = #equivalent</v>
      </c>
    </row>
    <row r="245" spans="2:2">
      <c r="B245" s="12" t="str">
        <f>IF('Subject-ConceptMap-4'!S50=0,"//---END",'Subject-ConceptMap-4'!S50)</f>
        <v/>
      </c>
    </row>
    <row r="246" spans="2:2">
      <c r="B246" s="12" t="str">
        <f>IF('Subject-ConceptMap-4'!S51=0,"//---END",'Subject-ConceptMap-4'!S51)</f>
        <v>* group[=].element[+].code = #Subject.comorbidity.chronicPulmonaryDisease</v>
      </c>
    </row>
    <row r="247" spans="2:2">
      <c r="B247" s="12" t="str">
        <f>IF('Subject-ConceptMap-4'!S52=0,"//---END",'Subject-ConceptMap-4'!S52)</f>
        <v>* group[=].element[=].display = ##34#Chronic pulmonary disease##34#</v>
      </c>
    </row>
    <row r="248" spans="2:2">
      <c r="B248" s="12" t="str">
        <f>IF('Subject-ConceptMap-4'!S53=0,"//---END",'Subject-ConceptMap-4'!S53)</f>
        <v>* group[=].element[=].target.code = #Observation.extension:comorbidConditionPresent</v>
      </c>
    </row>
    <row r="249" spans="2:2">
      <c r="B249" s="12" t="str">
        <f>IF('Subject-ConceptMap-4'!S54=0,"//---END",'Subject-ConceptMap-4'!S54)</f>
        <v>* group[=].element[=].target.display = ##34###34#</v>
      </c>
    </row>
    <row r="250" spans="2:2">
      <c r="B250" s="12" t="str">
        <f>IF('Subject-ConceptMap-4'!S55=0,"//---END",'Subject-ConceptMap-4'!S55)</f>
        <v>* group[=].element[=].target.equivalence = #equivalent</v>
      </c>
    </row>
    <row r="251" spans="2:2">
      <c r="B251" s="12" t="str">
        <f>IF('Subject-ConceptMap-4'!S56=0,"//---END",'Subject-ConceptMap-4'!S56)</f>
        <v/>
      </c>
    </row>
    <row r="252" spans="2:2">
      <c r="B252" s="12" t="str">
        <f>IF('Subject-ConceptMap-4'!S57=0,"//---END",'Subject-ConceptMap-4'!S57)</f>
        <v>* group[=].element[+].code = #Subject.comorbidity.connectiveTissueDisease</v>
      </c>
    </row>
    <row r="253" spans="2:2">
      <c r="B253" s="12" t="str">
        <f>IF('Subject-ConceptMap-4'!S58=0,"//---END",'Subject-ConceptMap-4'!S58)</f>
        <v>* group[=].element[=].display = ##34#Connective tissue disease##34#</v>
      </c>
    </row>
    <row r="254" spans="2:2">
      <c r="B254" s="12" t="str">
        <f>IF('Subject-ConceptMap-4'!S59=0,"//---END",'Subject-ConceptMap-4'!S59)</f>
        <v>* group[=].element[=].target.code = #Observation.extension:comorbidConditionPresent</v>
      </c>
    </row>
    <row r="255" spans="2:2">
      <c r="B255" s="12" t="str">
        <f>IF('Subject-ConceptMap-4'!S60=0,"//---END",'Subject-ConceptMap-4'!S60)</f>
        <v>* group[=].element[=].target.display = ##34###34#</v>
      </c>
    </row>
    <row r="256" spans="2:2">
      <c r="B256" s="12" t="str">
        <f>IF('Subject-ConceptMap-4'!S61=0,"//---END",'Subject-ConceptMap-4'!S61)</f>
        <v>* group[=].element[=].target.equivalence = #equivalent</v>
      </c>
    </row>
    <row r="257" spans="2:2">
      <c r="B257" s="12" t="str">
        <f>IF('Subject-ConceptMap-4'!S62=0,"//---END",'Subject-ConceptMap-4'!S62)</f>
        <v/>
      </c>
    </row>
    <row r="258" spans="2:2">
      <c r="B258" s="12" t="str">
        <f>IF('Subject-ConceptMap-4'!S63=0,"//---END",'Subject-ConceptMap-4'!S63)</f>
        <v>* group[=].element[+].code = #Subject.comorbidity.ulcer</v>
      </c>
    </row>
    <row r="259" spans="2:2">
      <c r="B259" s="12" t="str">
        <f>IF('Subject-ConceptMap-4'!S64=0,"//---END",'Subject-ConceptMap-4'!S64)</f>
        <v>* group[=].element[=].display = ##34#Ulcer##34#</v>
      </c>
    </row>
    <row r="260" spans="2:2">
      <c r="B260" s="12" t="str">
        <f>IF('Subject-ConceptMap-4'!S65=0,"//---END",'Subject-ConceptMap-4'!S65)</f>
        <v>* group[=].element[=].target.code = #Observation.extension:comorbidConditionPresent</v>
      </c>
    </row>
    <row r="261" spans="2:2">
      <c r="B261" s="12" t="str">
        <f>IF('Subject-ConceptMap-4'!S66=0,"//---END",'Subject-ConceptMap-4'!S66)</f>
        <v>* group[=].element[=].target.display = ##34###34#</v>
      </c>
    </row>
    <row r="262" spans="2:2">
      <c r="B262" s="12" t="str">
        <f>IF('Subject-ConceptMap-4'!S67=0,"//---END",'Subject-ConceptMap-4'!S67)</f>
        <v>* group[=].element[=].target.equivalence = #equivalent</v>
      </c>
    </row>
    <row r="263" spans="2:2">
      <c r="B263" s="12" t="str">
        <f>IF('Subject-ConceptMap-4'!S68=0,"//---END",'Subject-ConceptMap-4'!S68)</f>
        <v/>
      </c>
    </row>
    <row r="264" spans="2:2">
      <c r="B264" s="12" t="str">
        <f>IF('Subject-ConceptMap-4'!S69=0,"//---END",'Subject-ConceptMap-4'!S69)</f>
        <v>* group[=].element[+].code = #Subject.comorbidity.mildLiverDisease</v>
      </c>
    </row>
    <row r="265" spans="2:2">
      <c r="B265" s="12" t="str">
        <f>IF('Subject-ConceptMap-4'!S70=0,"//---END",'Subject-ConceptMap-4'!S70)</f>
        <v>* group[=].element[=].display = ##34#Mild liver disease##34#</v>
      </c>
    </row>
    <row r="266" spans="2:2">
      <c r="B266" s="12" t="str">
        <f>IF('Subject-ConceptMap-4'!S71=0,"//---END",'Subject-ConceptMap-4'!S71)</f>
        <v>* group[=].element[=].target.code = #Observation.extension:comorbidConditionPresent</v>
      </c>
    </row>
    <row r="267" spans="2:2">
      <c r="B267" s="12" t="str">
        <f>IF('Subject-ConceptMap-4'!S72=0,"//---END",'Subject-ConceptMap-4'!S72)</f>
        <v>* group[=].element[=].target.display = ##34###34#</v>
      </c>
    </row>
    <row r="268" spans="2:2">
      <c r="B268" s="12" t="str">
        <f>IF('Subject-ConceptMap-4'!S73=0,"//---END",'Subject-ConceptMap-4'!S73)</f>
        <v>* group[=].element[=].target.equivalence = #equivalent</v>
      </c>
    </row>
    <row r="269" spans="2:2">
      <c r="B269" s="12" t="str">
        <f>IF('Subject-ConceptMap-4'!S74=0,"//---END",'Subject-ConceptMap-4'!S74)</f>
        <v/>
      </c>
    </row>
    <row r="270" spans="2:2">
      <c r="B270" s="12" t="str">
        <f>IF('Subject-ConceptMap-4'!S75=0,"//---END",'Subject-ConceptMap-4'!S75)</f>
        <v>* group[=].element[+].code = #Subject.comorbidity.moderateToSevereLiverDisease</v>
      </c>
    </row>
    <row r="271" spans="2:2">
      <c r="B271" s="12" t="str">
        <f>IF('Subject-ConceptMap-4'!S76=0,"//---END",'Subject-ConceptMap-4'!S76)</f>
        <v>* group[=].element[=].display = ##34#Moderate to severe liver disease##34#</v>
      </c>
    </row>
    <row r="272" spans="2:2">
      <c r="B272" s="12" t="str">
        <f>IF('Subject-ConceptMap-4'!S77=0,"//---END",'Subject-ConceptMap-4'!S77)</f>
        <v>* group[=].element[=].target.code = #Observation.extension:comorbidConditionPresent</v>
      </c>
    </row>
    <row r="273" spans="2:2">
      <c r="B273" s="12" t="str">
        <f>IF('Subject-ConceptMap-4'!S78=0,"//---END",'Subject-ConceptMap-4'!S78)</f>
        <v>* group[=].element[=].target.display = ##34###34#</v>
      </c>
    </row>
    <row r="274" spans="2:2">
      <c r="B274" s="12" t="str">
        <f>IF('Subject-ConceptMap-4'!S79=0,"//---END",'Subject-ConceptMap-4'!S79)</f>
        <v>* group[=].element[=].target.equivalence = #equivalent</v>
      </c>
    </row>
    <row r="275" spans="2:2">
      <c r="B275" s="12" t="str">
        <f>IF('Subject-ConceptMap-4'!S80=0,"//---END",'Subject-ConceptMap-4'!S80)</f>
        <v/>
      </c>
    </row>
    <row r="276" spans="2:2">
      <c r="B276" s="12" t="str">
        <f>IF('Subject-ConceptMap-4'!S81=0,"//---END",'Subject-ConceptMap-4'!S81)</f>
        <v>* group[=].element[+].code = #Subject.comorbidity.diabetesWithoutComplications</v>
      </c>
    </row>
    <row r="277" spans="2:2">
      <c r="B277" s="12" t="str">
        <f>IF('Subject-ConceptMap-4'!S82=0,"//---END",'Subject-ConceptMap-4'!S82)</f>
        <v>* group[=].element[=].display = ##34#Diabetes (without complications)##34#</v>
      </c>
    </row>
    <row r="278" spans="2:2">
      <c r="B278" s="12" t="str">
        <f>IF('Subject-ConceptMap-4'!S83=0,"//---END",'Subject-ConceptMap-4'!S83)</f>
        <v>* group[=].element[=].target.code = #Observation.extension:comorbidConditionPresent</v>
      </c>
    </row>
    <row r="279" spans="2:2">
      <c r="B279" s="12" t="str">
        <f>IF('Subject-ConceptMap-4'!S84=0,"//---END",'Subject-ConceptMap-4'!S84)</f>
        <v>* group[=].element[=].target.display = ##34###34#</v>
      </c>
    </row>
    <row r="280" spans="2:2">
      <c r="B280" s="12" t="str">
        <f>IF('Subject-ConceptMap-4'!S85=0,"//---END",'Subject-ConceptMap-4'!S85)</f>
        <v>* group[=].element[=].target.equivalence = #equivalent</v>
      </c>
    </row>
    <row r="281" spans="2:2">
      <c r="B281" s="12" t="str">
        <f>IF('Subject-ConceptMap-4'!S86=0,"//---END",'Subject-ConceptMap-4'!S86)</f>
        <v/>
      </c>
    </row>
    <row r="282" spans="2:2">
      <c r="B282" s="12" t="str">
        <f>IF('Subject-ConceptMap-4'!S87=0,"//---END",'Subject-ConceptMap-4'!S87)</f>
        <v>* group[=].element[+].code = #Subject.comorbidity.diabetesWithEndOrganDamage</v>
      </c>
    </row>
    <row r="283" spans="2:2">
      <c r="B283" s="12" t="str">
        <f>IF('Subject-ConceptMap-4'!S88=0,"//---END",'Subject-ConceptMap-4'!S88)</f>
        <v>* group[=].element[=].display = ##34#Diabetes with end organ damage##34#</v>
      </c>
    </row>
    <row r="284" spans="2:2">
      <c r="B284" s="12" t="str">
        <f>IF('Subject-ConceptMap-4'!S89=0,"//---END",'Subject-ConceptMap-4'!S89)</f>
        <v>* group[=].element[=].target.code = #Observation.extension:comorbidConditionPresent</v>
      </c>
    </row>
    <row r="285" spans="2:2">
      <c r="B285" s="12" t="str">
        <f>IF('Subject-ConceptMap-4'!S90=0,"//---END",'Subject-ConceptMap-4'!S90)</f>
        <v>* group[=].element[=].target.display = ##34###34#</v>
      </c>
    </row>
    <row r="286" spans="2:2">
      <c r="B286" s="12" t="str">
        <f>IF('Subject-ConceptMap-4'!S91=0,"//---END",'Subject-ConceptMap-4'!S91)</f>
        <v>* group[=].element[=].target.equivalence = #equivalent</v>
      </c>
    </row>
    <row r="287" spans="2:2">
      <c r="B287" s="12" t="str">
        <f>IF('Subject-ConceptMap-4'!S92=0,"//---END",'Subject-ConceptMap-4'!S92)</f>
        <v/>
      </c>
    </row>
    <row r="288" spans="2:2">
      <c r="B288" s="12" t="str">
        <f>IF('Subject-ConceptMap-4'!S93=0,"//---END",'Subject-ConceptMap-4'!S93)</f>
        <v>* group[=].element[+].code = #Subject.comorbidity.hemiplegia</v>
      </c>
    </row>
    <row r="289" spans="2:2">
      <c r="B289" s="12" t="str">
        <f>IF('Subject-ConceptMap-4'!S94=0,"//---END",'Subject-ConceptMap-4'!S94)</f>
        <v>* group[=].element[=].display = ##34#Hemiplegia##34#</v>
      </c>
    </row>
    <row r="290" spans="2:2">
      <c r="B290" s="12" t="str">
        <f>IF('Subject-ConceptMap-4'!S95=0,"//---END",'Subject-ConceptMap-4'!S95)</f>
        <v>* group[=].element[=].target.code = #Observation.extension:comorbidConditionPresent</v>
      </c>
    </row>
    <row r="291" spans="2:2">
      <c r="B291" s="12" t="str">
        <f>IF('Subject-ConceptMap-4'!S96=0,"//---END",'Subject-ConceptMap-4'!S96)</f>
        <v>* group[=].element[=].target.display = ##34###34#</v>
      </c>
    </row>
    <row r="292" spans="2:2">
      <c r="B292" s="12" t="str">
        <f>IF('Subject-ConceptMap-4'!S97=0,"//---END",'Subject-ConceptMap-4'!S97)</f>
        <v>* group[=].element[=].target.equivalence = #equivalent</v>
      </c>
    </row>
    <row r="293" spans="2:2">
      <c r="B293" s="12" t="str">
        <f>IF('Subject-ConceptMap-4'!S98=0,"//---END",'Subject-ConceptMap-4'!S98)</f>
        <v/>
      </c>
    </row>
    <row r="294" spans="2:2">
      <c r="B294" s="12" t="str">
        <f>IF('Subject-ConceptMap-4'!S99=0,"//---END",'Subject-ConceptMap-4'!S99)</f>
        <v>* group[=].element[+].code = #Subject.comorbidity.moderateToSevereRenalDisease</v>
      </c>
    </row>
    <row r="295" spans="2:2">
      <c r="B295" s="12" t="str">
        <f>IF('Subject-ConceptMap-4'!S100=0,"//---END",'Subject-ConceptMap-4'!S100)</f>
        <v>* group[=].element[=].display = ##34#Moderate to severe renal disease##34#</v>
      </c>
    </row>
    <row r="296" spans="2:2">
      <c r="B296" s="12" t="str">
        <f>IF('Subject-ConceptMap-4'!S101=0,"//---END",'Subject-ConceptMap-4'!S101)</f>
        <v>* group[=].element[=].target.code = #Observation.extension:comorbidConditionPresent</v>
      </c>
    </row>
    <row r="297" spans="2:2">
      <c r="B297" s="12" t="str">
        <f>IF('Subject-ConceptMap-4'!S102=0,"//---END",'Subject-ConceptMap-4'!S102)</f>
        <v>* group[=].element[=].target.display = ##34###34#</v>
      </c>
    </row>
    <row r="298" spans="2:2">
      <c r="B298" s="12" t="str">
        <f>IF('Subject-ConceptMap-4'!S103=0,"//---END",'Subject-ConceptMap-4'!S103)</f>
        <v>* group[=].element[=].target.equivalence = #equivalent</v>
      </c>
    </row>
    <row r="299" spans="2:2">
      <c r="B299" s="12" t="str">
        <f>IF('Subject-ConceptMap-4'!S104=0,"//---END",'Subject-ConceptMap-4'!S104)</f>
        <v/>
      </c>
    </row>
    <row r="300" spans="2:2">
      <c r="B300" s="12" t="str">
        <f>IF('Subject-ConceptMap-4'!S105=0,"//---END",'Subject-ConceptMap-4'!S105)</f>
        <v>* group[=].element[+].code = #Subject.comorbidity.solidTumorNonMetastatic</v>
      </c>
    </row>
    <row r="301" spans="2:2">
      <c r="B301" s="12" t="str">
        <f>IF('Subject-ConceptMap-4'!S106=0,"//---END",'Subject-ConceptMap-4'!S106)</f>
        <v>* group[=].element[=].display = ##34#Solid tumor (non metastatic)##34#</v>
      </c>
    </row>
    <row r="302" spans="2:2">
      <c r="B302" s="12" t="str">
        <f>IF('Subject-ConceptMap-4'!S107=0,"//---END",'Subject-ConceptMap-4'!S107)</f>
        <v>* group[=].element[=].target.code = #Observation.extension:comorbidConditionPresent</v>
      </c>
    </row>
    <row r="303" spans="2:2">
      <c r="B303" s="12" t="str">
        <f>IF('Subject-ConceptMap-4'!S108=0,"//---END",'Subject-ConceptMap-4'!S108)</f>
        <v>* group[=].element[=].target.display = ##34###34#</v>
      </c>
    </row>
    <row r="304" spans="2:2">
      <c r="B304" s="12" t="str">
        <f>IF('Subject-ConceptMap-4'!S109=0,"//---END",'Subject-ConceptMap-4'!S109)</f>
        <v>* group[=].element[=].target.equivalence = #equivalent</v>
      </c>
    </row>
    <row r="305" spans="2:2">
      <c r="B305" s="12" t="str">
        <f>IF('Subject-ConceptMap-4'!S110=0,"//---END",'Subject-ConceptMap-4'!S110)</f>
        <v/>
      </c>
    </row>
    <row r="306" spans="2:2">
      <c r="B306" s="12" t="str">
        <f>IF('Subject-ConceptMap-4'!S111=0,"//---END",'Subject-ConceptMap-4'!S111)</f>
        <v>* group[=].element[+].code = #Subject.comorbidity.metastaticSolidTumor</v>
      </c>
    </row>
    <row r="307" spans="2:2">
      <c r="B307" s="12" t="str">
        <f>IF('Subject-ConceptMap-4'!S112=0,"//---END",'Subject-ConceptMap-4'!S112)</f>
        <v>* group[=].element[=].display = ##34#Metastatic solid tumor##34#</v>
      </c>
    </row>
    <row r="308" spans="2:2">
      <c r="B308" s="12" t="str">
        <f>IF('Subject-ConceptMap-4'!S113=0,"//---END",'Subject-ConceptMap-4'!S113)</f>
        <v>* group[=].element[=].target.code = #Observation.extension:comorbidConditionPresent</v>
      </c>
    </row>
    <row r="309" spans="2:2">
      <c r="B309" s="12" t="str">
        <f>IF('Subject-ConceptMap-4'!S114=0,"//---END",'Subject-ConceptMap-4'!S114)</f>
        <v>* group[=].element[=].target.display = ##34###34#</v>
      </c>
    </row>
    <row r="310" spans="2:2">
      <c r="B310" s="12" t="str">
        <f>IF('Subject-ConceptMap-4'!S115=0,"//---END",'Subject-ConceptMap-4'!S115)</f>
        <v>* group[=].element[=].target.equivalence = #equivalent</v>
      </c>
    </row>
    <row r="311" spans="2:2">
      <c r="B311" s="12" t="str">
        <f>IF('Subject-ConceptMap-4'!S116=0,"//---END",'Subject-ConceptMap-4'!S116)</f>
        <v/>
      </c>
    </row>
    <row r="312" spans="2:2">
      <c r="B312" s="12" t="str">
        <f>IF('Subject-ConceptMap-4'!S117=0,"//---END",'Subject-ConceptMap-4'!S117)</f>
        <v>* group[=].element[+].code = #Subject.comorbidity.leukemia</v>
      </c>
    </row>
    <row r="313" spans="2:2">
      <c r="B313" s="12" t="str">
        <f>IF('Subject-ConceptMap-4'!S118=0,"//---END",'Subject-ConceptMap-4'!S118)</f>
        <v>* group[=].element[=].display = ##34#Leukemia##34#</v>
      </c>
    </row>
    <row r="314" spans="2:2">
      <c r="B314" s="12" t="str">
        <f>IF('Subject-ConceptMap-4'!S119=0,"//---END",'Subject-ConceptMap-4'!S119)</f>
        <v>* group[=].element[=].target.code = #Observation.extension:comorbidConditionPresent</v>
      </c>
    </row>
    <row r="315" spans="2:2">
      <c r="B315" s="12" t="str">
        <f>IF('Subject-ConceptMap-4'!S120=0,"//---END",'Subject-ConceptMap-4'!S120)</f>
        <v>* group[=].element[=].target.display = ##34###34#</v>
      </c>
    </row>
    <row r="316" spans="2:2">
      <c r="B316" s="12" t="str">
        <f>IF('Subject-ConceptMap-4'!S121=0,"//---END",'Subject-ConceptMap-4'!S121)</f>
        <v>* group[=].element[=].target.equivalence = #equivalent</v>
      </c>
    </row>
    <row r="317" spans="2:2">
      <c r="B317" s="12" t="str">
        <f>IF('Subject-ConceptMap-4'!S122=0,"//---END",'Subject-ConceptMap-4'!S122)</f>
        <v/>
      </c>
    </row>
    <row r="318" spans="2:2">
      <c r="B318" s="12" t="str">
        <f>IF('Subject-ConceptMap-4'!S123=0,"//---END",'Subject-ConceptMap-4'!S123)</f>
        <v>* group[=].element[+].code = #Subject.comorbidity.lymphoma</v>
      </c>
    </row>
    <row r="319" spans="2:2">
      <c r="B319" s="12" t="str">
        <f>IF('Subject-ConceptMap-4'!S124=0,"//---END",'Subject-ConceptMap-4'!S124)</f>
        <v>* group[=].element[=].display = ##34#Lymphoma##34#</v>
      </c>
    </row>
    <row r="320" spans="2:2">
      <c r="B320" s="12" t="str">
        <f>IF('Subject-ConceptMap-4'!S125=0,"//---END",'Subject-ConceptMap-4'!S125)</f>
        <v>* group[=].element[=].target.code = #Observation.extension:comorbidConditionPresent</v>
      </c>
    </row>
    <row r="321" spans="2:2">
      <c r="B321" s="12" t="str">
        <f>IF('Subject-ConceptMap-4'!S126=0,"//---END",'Subject-ConceptMap-4'!S126)</f>
        <v>* group[=].element[=].target.display = ##34###34#</v>
      </c>
    </row>
    <row r="322" spans="2:2">
      <c r="B322" s="12" t="str">
        <f>IF('Subject-ConceptMap-4'!S127=0,"//---END",'Subject-ConceptMap-4'!S127)</f>
        <v>* group[=].element[=].target.equivalence = #equivalent</v>
      </c>
    </row>
    <row r="323" spans="2:2">
      <c r="B323" s="12" t="str">
        <f>IF('Subject-ConceptMap-4'!S128=0,"//---END",'Subject-ConceptMap-4'!S128)</f>
        <v/>
      </c>
    </row>
    <row r="324" spans="2:2">
      <c r="B324" s="12" t="str">
        <f>IF('Subject-ConceptMap-4'!S129=0,"//---END",'Subject-ConceptMap-4'!S129)</f>
        <v>* group[=].element[+].code = #Subject.comorbidity.multipleMyeloma</v>
      </c>
    </row>
    <row r="325" spans="2:2">
      <c r="B325" s="12" t="str">
        <f>IF('Subject-ConceptMap-4'!S130=0,"//---END",'Subject-ConceptMap-4'!S130)</f>
        <v>* group[=].element[=].display = ##34#Multiple myeloma##34#</v>
      </c>
    </row>
    <row r="326" spans="2:2">
      <c r="B326" s="12" t="str">
        <f>IF('Subject-ConceptMap-4'!S131=0,"//---END",'Subject-ConceptMap-4'!S131)</f>
        <v>* group[=].element[=].target.code = #Observation.extension:comorbidConditionPresent</v>
      </c>
    </row>
    <row r="327" spans="2:2">
      <c r="B327" s="12" t="str">
        <f>IF('Subject-ConceptMap-4'!S132=0,"//---END",'Subject-ConceptMap-4'!S132)</f>
        <v>* group[=].element[=].target.display = ##34###34#</v>
      </c>
    </row>
    <row r="328" spans="2:2">
      <c r="B328" s="12" t="str">
        <f>IF('Subject-ConceptMap-4'!S133=0,"//---END",'Subject-ConceptMap-4'!S133)</f>
        <v>* group[=].element[=].target.equivalence = #equivalent</v>
      </c>
    </row>
    <row r="329" spans="2:2">
      <c r="B329" s="12" t="str">
        <f>IF('Subject-ConceptMap-4'!S134=0,"//---END",'Subject-ConceptMap-4'!S134)</f>
        <v/>
      </c>
    </row>
    <row r="330" spans="2:2">
      <c r="B330" s="12" t="str">
        <f>IF('Subject-ConceptMap-4'!S135=0,"//---END",'Subject-ConceptMap-4'!S135)</f>
        <v>* group[=].element[+].code = #Subject.comorbidity.aids</v>
      </c>
    </row>
    <row r="331" spans="2:2">
      <c r="B331" s="12" t="str">
        <f>IF('Subject-ConceptMap-4'!S136=0,"//---END",'Subject-ConceptMap-4'!S136)</f>
        <v>* group[=].element[=].display = ##34#AIDS##34#</v>
      </c>
    </row>
    <row r="332" spans="2:2">
      <c r="B332" s="12" t="str">
        <f>IF('Subject-ConceptMap-4'!S137=0,"//---END",'Subject-ConceptMap-4'!S137)</f>
        <v>* group[=].element[=].target.code = #Observation.extension:comorbidConditionPresent</v>
      </c>
    </row>
    <row r="333" spans="2:2">
      <c r="B333" s="12" t="str">
        <f>IF('Subject-ConceptMap-4'!S138=0,"//---END",'Subject-ConceptMap-4'!S138)</f>
        <v>* group[=].element[=].target.display = ##34###34#</v>
      </c>
    </row>
    <row r="334" spans="2:2">
      <c r="B334" s="12" t="str">
        <f>IF('Subject-ConceptMap-4'!S139=0,"//---END",'Subject-ConceptMap-4'!S139)</f>
        <v>* group[=].element[=].target.equivalence = #equivalent</v>
      </c>
    </row>
    <row r="335" spans="2:2">
      <c r="B335" s="12" t="str">
        <f>IF('Subject-ConceptMap-4'!S140=0,"//---END",'Subject-ConceptMap-4'!S140)</f>
        <v/>
      </c>
    </row>
    <row r="336" spans="2:2">
      <c r="B336" s="12" t="str">
        <f>IF('Subject-ConceptMap-4'!S141=0,"//---END",'Subject-ConceptMap-4'!S141)</f>
        <v>//---END</v>
      </c>
    </row>
    <row r="337" spans="2:2">
      <c r="B337" s="12" t="str">
        <f>IF('Subject-ConceptMap-4'!S142=0,"//---END",'Subject-ConceptMap-4'!S142)</f>
        <v>//---END</v>
      </c>
    </row>
    <row r="338" spans="2:2">
      <c r="B338" s="12" t="str">
        <f>IF('Subject-ConceptMap-4'!S143=0,"//---END",'Subject-ConceptMap-4'!S143)</f>
        <v>//---END</v>
      </c>
    </row>
    <row r="339" spans="2:2">
      <c r="B339" s="12" t="str">
        <f>IF('Subject-ConceptMap-4'!S144=0,"//---END",'Subject-ConceptMap-4'!S144)</f>
        <v>//---END</v>
      </c>
    </row>
    <row r="340" spans="2:2" s="7" customFormat="1">
      <c r="B340" s="12" t="str">
        <f>IF('Subject-ConceptMap-4'!S145=0,"//---END",'Subject-ConceptMap-4'!S145)</f>
        <v>//---END</v>
      </c>
    </row>
    <row r="341" spans="2:2" s="7" customFormat="1">
      <c r="B341" s="103"/>
    </row>
    <row r="342" spans="2:2" s="7" customFormat="1">
      <c r="B342" s="166"/>
    </row>
    <row r="343" spans="2:2" s="7" customFormat="1">
      <c r="B343" s="168" t="str">
        <f>"* group[+].source = ##34#"&amp;'Subject-ConceptMap-5-8'!E6&amp;"##34#"</f>
        <v>* group[+].source = ##34#http://hl7.eu/fhir/ig/idea4rc/StructureDefinition/Subject##34#</v>
      </c>
    </row>
    <row r="344" spans="2:2" s="7" customFormat="1">
      <c r="B344" s="168" t="str">
        <f>"* group[=].target = ##34#"&amp;'Subject-ConceptMap-5-8'!E7&amp;"##34#"</f>
        <v>* group[=].target = ##34#http://hl7.eu/fhir/ig/idea4rc/StructureDefinition/observation-karnofsky-performance-statuseu-i4rc##34#</v>
      </c>
    </row>
    <row r="345" spans="2:2" s="7" customFormat="1">
      <c r="B345" s="166"/>
    </row>
    <row r="346" spans="2:2" s="7" customFormat="1">
      <c r="B346" s="103" t="str">
        <f>IF('Subject-ConceptMap-5-8'!S15=0,"//---END",'Subject-ConceptMap-5-8'!S15)</f>
        <v>* group[=].element[+].code = #Subject.karnofsyIndexAtDiagnosis</v>
      </c>
    </row>
    <row r="347" spans="2:2" s="7" customFormat="1">
      <c r="B347" s="103" t="str">
        <f>IF('Subject-ConceptMap-5-8'!S16=0,"//---END",'Subject-ConceptMap-5-8'!S16)</f>
        <v>* group[=].element[=].display = ##34#Karnofsy index at diagnosis##34#</v>
      </c>
    </row>
    <row r="348" spans="2:2">
      <c r="B348" s="103" t="str">
        <f>IF('Subject-ConceptMap-5-8'!S17=0,"//---END",'Subject-ConceptMap-5-8'!S17)</f>
        <v>* group[=].element[=].target.code = #Observation.valueInteger</v>
      </c>
    </row>
    <row r="349" spans="2:2">
      <c r="B349" s="103" t="str">
        <f>IF('Subject-ConceptMap-5-8'!S18=0,"//---END",'Subject-ConceptMap-5-8'!S18)</f>
        <v>* group[=].element[=].target.display = ##34###34#</v>
      </c>
    </row>
    <row r="350" spans="2:2">
      <c r="B350" s="103" t="str">
        <f>IF('Subject-ConceptMap-5-8'!S19=0,"//---END",'Subject-ConceptMap-5-8'!S19)</f>
        <v>* group[=].element[=].target.equivalence = #equal</v>
      </c>
    </row>
    <row r="351" spans="2:2">
      <c r="B351" s="103" t="str">
        <f>IF('Subject-ConceptMap-5-8'!S20=0,"//---END",'Subject-ConceptMap-5-8'!S20)</f>
        <v/>
      </c>
    </row>
    <row r="352" spans="2:2">
      <c r="B352" s="103" t="str">
        <f>IF('Subject-ConceptMap-5-8'!S21=0,"//---END",'Subject-ConceptMap-5-8'!S21)</f>
        <v>//---END</v>
      </c>
    </row>
    <row r="353" spans="2:2">
      <c r="B353" s="103"/>
    </row>
    <row r="354" spans="2:2">
      <c r="B354" s="103"/>
    </row>
    <row r="355" spans="2:2">
      <c r="B355" s="12"/>
    </row>
    <row r="356" spans="2:2">
      <c r="B356" s="164"/>
    </row>
    <row r="357" spans="2:2">
      <c r="B357" s="165" t="str">
        <f>"* group[+].source = ##34#"&amp;'Subject-ConceptMap-5-8'!E19&amp;"##34#"</f>
        <v>* group[+].source = ##34#http://hl7.eu/fhir/ig/idea4rc/StructureDefinition/Subject##34#</v>
      </c>
    </row>
    <row r="358" spans="2:2">
      <c r="B358" s="165" t="str">
        <f>"* group[=].target = ##34#"&amp;'Subject-ConceptMap-5-8'!E20&amp;"##34#"</f>
        <v>* group[=].target = ##34#http://hl7.eu/fhir/ig/idea4rc/StructureDefinition/observation-ecog-performance-status-eu-i4rc##34#</v>
      </c>
    </row>
    <row r="359" spans="2:2">
      <c r="B359" s="166"/>
    </row>
    <row r="360" spans="2:2">
      <c r="B360" s="12"/>
    </row>
    <row r="361" spans="2:2">
      <c r="B361" s="12" t="str">
        <f>IF('Subject-ConceptMap-5-8'!S22=0,"//---END",'Subject-ConceptMap-5-8'!S22)</f>
        <v>* group[=].element[+].code = #Subject.ecogPsAtDiagnosis</v>
      </c>
    </row>
    <row r="362" spans="2:2">
      <c r="B362" s="12" t="str">
        <f>IF('Subject-ConceptMap-5-8'!S23=0,"//---END",'Subject-ConceptMap-5-8'!S23)</f>
        <v>* group[=].element[=].display = ##34#Eastern Cooperative Oncology Group performance status (ECOG PS)  at diagnosis##34#</v>
      </c>
    </row>
    <row r="363" spans="2:2">
      <c r="B363" s="12" t="str">
        <f>IF('Subject-ConceptMap-5-8'!S24=0,"//---END",'Subject-ConceptMap-5-8'!S24)</f>
        <v>* group[=].element[=].target.code = #Observation.valueCodeableConcept</v>
      </c>
    </row>
    <row r="364" spans="2:2">
      <c r="B364" s="12" t="str">
        <f>IF('Subject-ConceptMap-5-8'!S25=0,"//---END",'Subject-ConceptMap-5-8'!S25)</f>
        <v>* group[=].element[=].target.display = ##34###34#</v>
      </c>
    </row>
    <row r="365" spans="2:2">
      <c r="B365" s="12" t="str">
        <f>IF('Subject-ConceptMap-5-8'!S26=0,"//---END",'Subject-ConceptMap-5-8'!S26)</f>
        <v>* group[=].element[=].target.equivalence = #equal</v>
      </c>
    </row>
    <row r="366" spans="2:2">
      <c r="B366" s="12" t="str">
        <f>IF('Subject-ConceptMap-5-8'!S27=0,"//---END",'Subject-ConceptMap-5-8'!S27)</f>
        <v/>
      </c>
    </row>
    <row r="367" spans="2:2">
      <c r="B367" s="12" t="str">
        <f>IF('Subject-ConceptMap-5-8'!S28=0,"//---END",'Subject-ConceptMap-5-8'!S28)</f>
        <v>//---END</v>
      </c>
    </row>
    <row r="368" spans="2:2">
      <c r="B368" s="12" t="str">
        <f>IF('Subject-ConceptMap-5-8'!S29=0,"//---END",'Subject-ConceptMap-5-8'!S29)</f>
        <v>//---END</v>
      </c>
    </row>
    <row r="369" spans="2:2">
      <c r="B369" s="12" t="str">
        <f>IF('Subject-ConceptMap-5-8'!S30=0,"//---END",'Subject-ConceptMap-5-8'!S30)</f>
        <v>//---END</v>
      </c>
    </row>
    <row r="370" spans="2:2">
      <c r="B370" s="164"/>
    </row>
    <row r="371" spans="2:2">
      <c r="B371" s="165" t="str">
        <f>"* group[+].source = ##34#"&amp;'Subject-ConceptMap-5-8'!E40&amp;"##34#"</f>
        <v>* group[+].source = ##34#http://hl7.eu/fhir/ig/idea4rc/StructureDefinition/Subject##34#</v>
      </c>
    </row>
    <row r="372" spans="2:2">
      <c r="B372" s="165" t="str">
        <f>"* group[=].target = ##34#"&amp;'Subject-ConceptMap-5-8'!E41&amp;"##34#"</f>
        <v>* group[=].target = ##34#http://hl7.eu/fhir/ig/idea4rc/StructureDefinition/observation-cci-eu-i4rc##34#</v>
      </c>
    </row>
    <row r="373" spans="2:2">
      <c r="B373" s="166"/>
    </row>
    <row r="374" spans="2:2">
      <c r="B374" s="12"/>
    </row>
    <row r="375" spans="2:2">
      <c r="B375" s="12" t="str">
        <f>IF('Subject-ConceptMap-5-8'!S43=0,"//---END",'Subject-ConceptMap-5-8'!S43)</f>
        <v>* group[=].element[+].code = #Subject.charlsonComorbidityIndex</v>
      </c>
    </row>
    <row r="376" spans="2:2">
      <c r="B376" s="12" t="str">
        <f>IF('Subject-ConceptMap-5-8'!S44=0,"//---END",'Subject-ConceptMap-5-8'!S44)</f>
        <v>* group[=].element[=].display = ##34#Charlson Comorbidity index##34#</v>
      </c>
    </row>
    <row r="377" spans="2:2">
      <c r="B377" s="12" t="str">
        <f>IF('Subject-ConceptMap-5-8'!S45=0,"//---END",'Subject-ConceptMap-5-8'!S45)</f>
        <v>* group[=].element[=].target.code = #Observation.valueInteger</v>
      </c>
    </row>
    <row r="378" spans="2:2">
      <c r="B378" s="12" t="str">
        <f>IF('Subject-ConceptMap-5-8'!S46=0,"//---END",'Subject-ConceptMap-5-8'!S46)</f>
        <v>* group[=].element[=].target.display = ##34###34#</v>
      </c>
    </row>
    <row r="379" spans="2:2">
      <c r="B379" s="12" t="str">
        <f>IF('Subject-ConceptMap-5-8'!S47=0,"//---END",'Subject-ConceptMap-5-8'!S47)</f>
        <v>* group[=].element[=].target.equivalence = #equal</v>
      </c>
    </row>
    <row r="380" spans="2:2">
      <c r="B380" s="12" t="str">
        <f>IF('Subject-ConceptMap-5-8'!S48=0,"//---END",'Subject-ConceptMap-5-8'!S48)</f>
        <v>//---END</v>
      </c>
    </row>
    <row r="381" spans="2:2">
      <c r="B381" s="12" t="str">
        <f>IF('Subject-ConceptMap-5-8'!S49=0,"//---END",'Subject-ConceptMap-5-8'!S49)</f>
        <v>//---END</v>
      </c>
    </row>
    <row r="382" spans="2:2">
      <c r="B382" s="12" t="str">
        <f>IF('Subject-ConceptMap-5-8'!S50=0,"//---END",'Subject-ConceptMap-5-8'!S50)</f>
        <v>//---END</v>
      </c>
    </row>
    <row r="383" spans="2:2">
      <c r="B383" s="12" t="str">
        <f>IF('Subject-ConceptMap-5-8'!S51=0,"//---END",'Subject-ConceptMap-5-8'!S51)</f>
        <v>//---END</v>
      </c>
    </row>
    <row r="384" spans="2:2">
      <c r="B384" s="12" t="str">
        <f>IF('Subject-ConceptMap-5-8'!S52=0,"//---END",'Subject-ConceptMap-5-8'!S52)</f>
        <v>//---END</v>
      </c>
    </row>
    <row r="385" spans="2:2">
      <c r="B385" s="12" t="str">
        <f>IF('Subject-ConceptMap-5-8'!S53=0,"//---END",'Subject-ConceptMap-5-8'!S53)</f>
        <v>//---END</v>
      </c>
    </row>
    <row r="386" spans="2:2">
      <c r="B38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M30"/>
  <sheetViews>
    <sheetView zoomScale="130" zoomScaleNormal="130" workbookViewId="0">
      <selection activeCell="B5" sqref="B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2350</v>
      </c>
      <c r="J4" s="16" t="str">
        <f>CONCATENATE("Logical: ",B4)</f>
        <v>Logical: EpisodeEventI4rc</v>
      </c>
    </row>
    <row r="5" spans="1:12" ht="19.899999999999999" customHeight="1">
      <c r="A5" s="14" t="s">
        <v>16</v>
      </c>
      <c r="B5" s="46" t="s">
        <v>1947</v>
      </c>
      <c r="J5" s="16" t="str">
        <f>CONCATENATE("Id: ",B5)</f>
        <v>Id: EpisodeEvent</v>
      </c>
    </row>
    <row r="6" spans="1:12" ht="19.899999999999999" customHeight="1">
      <c r="A6" s="14" t="s">
        <v>10</v>
      </c>
      <c r="B6" s="47" t="s">
        <v>1887</v>
      </c>
      <c r="J6" s="17" t="str">
        <f>CONCATENATE("Title: ##34#",B6,"##34#")</f>
        <v>Title: ##34#Episode Event##34#</v>
      </c>
    </row>
    <row r="7" spans="1:12" ht="19.899999999999999" customHeight="1">
      <c r="A7" s="26" t="s">
        <v>2</v>
      </c>
      <c r="B7" s="47" t="s">
        <v>1887</v>
      </c>
      <c r="C7" s="9" t="s">
        <v>3</v>
      </c>
      <c r="D7" s="1" t="s">
        <v>4</v>
      </c>
      <c r="E7" s="3" t="s">
        <v>5</v>
      </c>
      <c r="F7" s="3" t="s">
        <v>6</v>
      </c>
      <c r="G7" s="3" t="s">
        <v>7</v>
      </c>
      <c r="H7" s="105" t="s">
        <v>1610</v>
      </c>
      <c r="J7" s="17" t="str">
        <f>CONCATENATE("Description: "," ##334#",B7,"##334#",)</f>
        <v>Description:  ##334#Episode Event##334#</v>
      </c>
    </row>
    <row r="8" spans="1:12" ht="20.25" customHeight="1">
      <c r="A8" s="100">
        <v>0</v>
      </c>
      <c r="B8" s="57" t="s">
        <v>1948</v>
      </c>
      <c r="C8" s="11" t="s">
        <v>1920</v>
      </c>
      <c r="D8" s="11" t="s">
        <v>1921</v>
      </c>
      <c r="E8" s="11">
        <v>1</v>
      </c>
      <c r="F8" s="11">
        <v>1</v>
      </c>
      <c r="G8" t="s">
        <v>1965</v>
      </c>
      <c r="H8" s="12" t="s">
        <v>1767</v>
      </c>
      <c r="I8" s="25"/>
      <c r="J8" s="12" t="str">
        <f t="shared" ref="J8" si="0">CONCATENATE("* ",B8, " ",E8,"..",F8," ",G8," ##34#",C8,"##34# ##334#",D8,"##334#")</f>
        <v>* cancerEpisode 1..1 http://hl7.eu/fhir/ig/idea4rc/StructureDefinition/CancerEpisode ##34#Cancer Episode Reference##34# ##334#CancerEpisode element containing the data regarding the patient's cancer##334#</v>
      </c>
      <c r="L8" s="12" t="str">
        <f>IF(H8="",IF(J8="*  ..  ##34###34# ##334###334#",J8,""),IF(J8="*  ..  ##34###34# ##334###334#",J8,CONCATENATE("* ",B8," ^comment = ##334#",H8,"##334#")))</f>
        <v>* cancerEpisode ^comment = ##334#CancerEpisode##334#</v>
      </c>
    </row>
    <row r="9" spans="1:12" ht="73.75">
      <c r="A9" s="100">
        <v>1</v>
      </c>
      <c r="B9" s="57" t="s">
        <v>1962</v>
      </c>
      <c r="C9" s="11" t="s">
        <v>1922</v>
      </c>
      <c r="D9" s="11" t="s">
        <v>1923</v>
      </c>
      <c r="E9" s="11">
        <v>1</v>
      </c>
      <c r="F9" s="11">
        <v>1</v>
      </c>
      <c r="G9" s="57" t="s">
        <v>1764</v>
      </c>
      <c r="H9" s="12" t="s">
        <v>1944</v>
      </c>
      <c r="I9" s="25"/>
      <c r="J9" s="12" t="str">
        <f t="shared" ref="J9:J30" si="1">CONCATENATE("* ",B9, " ",E9,"..",F9," ",G9," ##34#",C9,"##34# ##334#",D9,"##334#")</f>
        <v>* eventType 1..1 CodeableConcept ##34#Event type##34# ##334#Type of event registered##334#</v>
      </c>
      <c r="L9" s="12" t="str">
        <f t="shared" ref="L9:L30" si="2">IF(H9="",IF(J9="*  ..  ##34###34# ##334###334#",J9,""),IF(J9="*  ..  ##34###34# ##334###334#",J9,CONCATENATE("* ",B9," ^comment = ##334#",H9,"##334#")))</f>
        <v>* eventType ^comment = ##334#Baseline; Progression; Recurrence; Persistent diseaseBaseline -  4190366
Progression - 4168352
Recurrence - 4097297
Persistent disease - ##334#</v>
      </c>
    </row>
    <row r="10" spans="1:12" ht="44.25">
      <c r="A10" s="101">
        <v>2</v>
      </c>
      <c r="B10" s="57" t="s">
        <v>1963</v>
      </c>
      <c r="C10" s="11" t="s">
        <v>1924</v>
      </c>
      <c r="D10" s="12" t="s">
        <v>1925</v>
      </c>
      <c r="E10" s="11">
        <v>0</v>
      </c>
      <c r="F10" s="11">
        <v>1</v>
      </c>
      <c r="G10" s="57" t="s">
        <v>1764</v>
      </c>
      <c r="H10" s="12" t="s">
        <v>1945</v>
      </c>
      <c r="I10" s="25"/>
      <c r="J10" s="12" t="str">
        <f t="shared" si="1"/>
        <v>* definedAt 0..1 CodeableConcept ##34#Defined At##34# ##334#Whether or not the progression/recurrnce or persistent disease  was performed at the registering hospital or another hospital.##334#</v>
      </c>
      <c r="L10" s="12" t="str">
        <f t="shared" si="2"/>
        <v>* definedAt ^comment = ##334#the hospital; a different hospitalCustom##334#</v>
      </c>
    </row>
    <row r="11" spans="1:12" ht="19.899999999999999" customHeight="1">
      <c r="A11" s="100">
        <v>3</v>
      </c>
      <c r="B11" s="57" t="s">
        <v>1964</v>
      </c>
      <c r="C11" s="11" t="s">
        <v>1926</v>
      </c>
      <c r="D11" s="11" t="s">
        <v>1927</v>
      </c>
      <c r="E11" s="11">
        <v>0</v>
      </c>
      <c r="F11" s="11">
        <v>1</v>
      </c>
      <c r="G11" s="57" t="s">
        <v>156</v>
      </c>
      <c r="H11" s="12" t="s">
        <v>213</v>
      </c>
      <c r="I11" s="25"/>
      <c r="J11" s="12" t="str">
        <f t="shared" si="1"/>
        <v>* dateOfEpisode 0..1 date ##34#Date of episode##34# ##334#Start date of progression/recurrence or persistent disease##334#</v>
      </c>
      <c r="L11" s="12" t="str">
        <f t="shared" si="2"/>
        <v>* dateOfEpisode ^comment = ##334#YYYY-MM-DD##334#</v>
      </c>
    </row>
    <row r="12" spans="1:12" ht="19.899999999999999" customHeight="1">
      <c r="A12" s="100">
        <v>4</v>
      </c>
      <c r="B12" s="57" t="s">
        <v>1959</v>
      </c>
      <c r="C12" s="11" t="s">
        <v>1928</v>
      </c>
      <c r="D12" s="11" t="s">
        <v>1929</v>
      </c>
      <c r="E12" s="11">
        <v>0</v>
      </c>
      <c r="F12" s="11">
        <v>1</v>
      </c>
      <c r="G12" s="57" t="s">
        <v>1764</v>
      </c>
      <c r="H12" s="12" t="s">
        <v>1946</v>
      </c>
      <c r="I12" s="25"/>
      <c r="J12" s="12" t="str">
        <f t="shared" si="1"/>
        <v>* isLocal 0..1 CodeableConcept ##34#Is local##34# ##334#Describes if the progression /recurrence or persistent disease is local##334#</v>
      </c>
      <c r="L12" s="12" t="str">
        <f t="shared" si="2"/>
        <v>* isLocal ^comment = ##334#Yes; No; UnknownYes - 4188539
No -  4188540
Unknown - 4129922##334#</v>
      </c>
    </row>
    <row r="13" spans="1:12" ht="19.899999999999999" customHeight="1">
      <c r="A13" s="100">
        <v>5</v>
      </c>
      <c r="B13" s="57" t="s">
        <v>1960</v>
      </c>
      <c r="C13" s="11" t="s">
        <v>1930</v>
      </c>
      <c r="D13" s="12" t="s">
        <v>1931</v>
      </c>
      <c r="E13" s="11">
        <v>0</v>
      </c>
      <c r="F13" s="11">
        <v>1</v>
      </c>
      <c r="G13" s="57" t="s">
        <v>1764</v>
      </c>
      <c r="H13" s="12" t="s">
        <v>1946</v>
      </c>
      <c r="I13" s="25"/>
      <c r="J13" s="12" t="str">
        <f t="shared" si="1"/>
        <v>* isRegional 0..1 CodeableConcept ##34#Is regional##34# ##334#Describes if the progression /recurrence or persistent disease is regional##334#</v>
      </c>
      <c r="L13" s="12" t="str">
        <f t="shared" si="2"/>
        <v>* isRegional ^comment = ##334#Yes; No; UnknownYes - 4188539
No -  4188540
Unknown - 4129922##334#</v>
      </c>
    </row>
    <row r="14" spans="1:12" ht="19.899999999999999" customHeight="1">
      <c r="A14" s="100">
        <v>6</v>
      </c>
      <c r="B14" s="57" t="s">
        <v>1961</v>
      </c>
      <c r="C14" s="11" t="s">
        <v>1932</v>
      </c>
      <c r="D14" s="12" t="s">
        <v>1933</v>
      </c>
      <c r="E14" s="11">
        <v>0</v>
      </c>
      <c r="F14" s="11">
        <v>1</v>
      </c>
      <c r="G14" s="57" t="s">
        <v>1764</v>
      </c>
      <c r="H14" s="12" t="s">
        <v>1946</v>
      </c>
      <c r="I14" s="25"/>
      <c r="J14" s="12" t="str">
        <f t="shared" si="1"/>
        <v>* isMetastatic 0..1 CodeableConcept ##34#Is metastatic##34# ##334#Describes if the progression /recurrence or persistent disease is metastatic##334#</v>
      </c>
      <c r="L14" s="12" t="str">
        <f t="shared" si="2"/>
        <v>* isMetastatic ^comment = ##334#Yes; No; UnknownYes - 4188539
No -  4188540
Unknown - 4129922##334#</v>
      </c>
    </row>
    <row r="15" spans="1:12" ht="19.899999999999999" customHeight="1">
      <c r="A15" s="100"/>
      <c r="B15" s="6" t="s">
        <v>1967</v>
      </c>
      <c r="C15" s="6" t="s">
        <v>1968</v>
      </c>
      <c r="D15" s="6" t="s">
        <v>1968</v>
      </c>
      <c r="E15" s="11">
        <v>0</v>
      </c>
      <c r="F15" s="11">
        <v>1</v>
      </c>
      <c r="G15" s="141" t="s">
        <v>1</v>
      </c>
      <c r="H15" s="4"/>
      <c r="I15" s="25"/>
      <c r="J15" s="12" t="str">
        <f t="shared" si="1"/>
        <v>* siteOfMetastasis 0..1 BackboneElement ##34#Site of metastasis##34# ##334#Site of metastasis##334#</v>
      </c>
      <c r="L15" s="12" t="str">
        <f t="shared" si="2"/>
        <v/>
      </c>
    </row>
    <row r="16" spans="1:12" ht="19.899999999999999" customHeight="1">
      <c r="A16" s="150">
        <v>7</v>
      </c>
      <c r="B16" s="57" t="s">
        <v>1949</v>
      </c>
      <c r="C16" s="11" t="s">
        <v>1934</v>
      </c>
      <c r="D16" s="12" t="s">
        <v>1625</v>
      </c>
      <c r="E16" s="11">
        <v>0</v>
      </c>
      <c r="F16" s="11">
        <v>1</v>
      </c>
      <c r="G16" s="57" t="s">
        <v>157</v>
      </c>
      <c r="H16" s="12" t="s">
        <v>1876</v>
      </c>
      <c r="I16" s="25"/>
      <c r="J16" s="12" t="str">
        <f t="shared" si="1"/>
        <v>* siteOfMetastasis.softTissue 0..1 boolean ##34#Site of metastasis_soft tissue##34# ##334#Describes if site of metastasic disease  is soft tissue##334#</v>
      </c>
      <c r="L16" s="12" t="str">
        <f t="shared" si="2"/>
        <v>* siteOfMetastasis.softTissue ^comment = ##334#True; False##334#</v>
      </c>
    </row>
    <row r="17" spans="1:13" ht="19.899999999999999" customHeight="1">
      <c r="A17" s="150">
        <v>8</v>
      </c>
      <c r="B17" s="57" t="s">
        <v>1956</v>
      </c>
      <c r="C17" s="11" t="s">
        <v>1935</v>
      </c>
      <c r="D17" s="12" t="s">
        <v>1627</v>
      </c>
      <c r="E17" s="11">
        <v>0</v>
      </c>
      <c r="F17" s="11">
        <v>1</v>
      </c>
      <c r="G17" s="57" t="s">
        <v>157</v>
      </c>
      <c r="H17" s="12" t="s">
        <v>1876</v>
      </c>
      <c r="I17" s="25"/>
      <c r="J17" s="12" t="str">
        <f t="shared" si="1"/>
        <v>* siteOfMetastasis.distantLymphNodes 0..1 boolean ##34#Site of metastasis_distant lymph nodes##34# ##334#Describes if site of metastasic disease  is dystan lymph node##334#</v>
      </c>
      <c r="L17" s="12" t="str">
        <f t="shared" si="2"/>
        <v>* siteOfMetastasis.distantLymphNodes ^comment = ##334#True; False##334#</v>
      </c>
    </row>
    <row r="18" spans="1:13" ht="19.899999999999999" customHeight="1">
      <c r="A18" s="150">
        <v>9</v>
      </c>
      <c r="B18" s="57" t="s">
        <v>1952</v>
      </c>
      <c r="C18" s="11" t="s">
        <v>1936</v>
      </c>
      <c r="D18" s="12" t="s">
        <v>1629</v>
      </c>
      <c r="E18" s="11">
        <v>0</v>
      </c>
      <c r="F18" s="11">
        <v>1</v>
      </c>
      <c r="G18" s="57" t="s">
        <v>157</v>
      </c>
      <c r="H18" s="12" t="s">
        <v>1876</v>
      </c>
      <c r="I18" s="25"/>
      <c r="J18" s="12" t="str">
        <f t="shared" si="1"/>
        <v>* siteOfMetastasis.lung 0..1 boolean ##34#Site of metastasis_lung##34# ##334#Describes if site of metastasic disease  is lung##334#</v>
      </c>
      <c r="L18" s="12" t="str">
        <f t="shared" si="2"/>
        <v>* siteOfMetastasis.lung ^comment = ##334#True; False##334#</v>
      </c>
    </row>
    <row r="19" spans="1:13" ht="19.899999999999999" customHeight="1">
      <c r="A19" s="150">
        <v>10</v>
      </c>
      <c r="B19" s="57" t="s">
        <v>1950</v>
      </c>
      <c r="C19" s="11" t="s">
        <v>1937</v>
      </c>
      <c r="D19" s="11" t="s">
        <v>1631</v>
      </c>
      <c r="E19" s="11">
        <v>0</v>
      </c>
      <c r="F19" s="11">
        <v>1</v>
      </c>
      <c r="G19" s="57" t="s">
        <v>157</v>
      </c>
      <c r="H19" s="12" t="s">
        <v>1876</v>
      </c>
      <c r="J19" s="12" t="str">
        <f t="shared" si="1"/>
        <v>* siteOfMetastasis.bone 0..1 boolean ##34#Site of metastasis_bone##34# ##334#Describes if site of metastasic disease  is bone##334#</v>
      </c>
      <c r="L19" s="12" t="str">
        <f t="shared" si="2"/>
        <v>* siteOfMetastasis.bone ^comment = ##334#True; False##334#</v>
      </c>
    </row>
    <row r="20" spans="1:13" ht="19.899999999999999" customHeight="1">
      <c r="A20" s="150">
        <v>11</v>
      </c>
      <c r="B20" s="57" t="s">
        <v>1953</v>
      </c>
      <c r="C20" s="11" t="s">
        <v>1938</v>
      </c>
      <c r="D20" s="11" t="s">
        <v>1633</v>
      </c>
      <c r="E20" s="11">
        <v>0</v>
      </c>
      <c r="F20" s="11">
        <v>1</v>
      </c>
      <c r="G20" s="57" t="s">
        <v>157</v>
      </c>
      <c r="H20" s="12" t="s">
        <v>1876</v>
      </c>
      <c r="J20" s="12" t="str">
        <f t="shared" si="1"/>
        <v>* siteOfMetastasis.liver 0..1 boolean ##34#Site of metastasis_liver##34# ##334#Describes if site of metastasic disease  is liver##334#</v>
      </c>
      <c r="L20" s="12" t="str">
        <f t="shared" si="2"/>
        <v>* siteOfMetastasis.liver ^comment = ##334#True; False##334#</v>
      </c>
    </row>
    <row r="21" spans="1:13" ht="19.899999999999999" customHeight="1">
      <c r="A21" s="150">
        <v>12</v>
      </c>
      <c r="B21" s="57" t="s">
        <v>1954</v>
      </c>
      <c r="C21" s="11" t="s">
        <v>1939</v>
      </c>
      <c r="D21" s="11" t="s">
        <v>1635</v>
      </c>
      <c r="E21" s="11">
        <v>0</v>
      </c>
      <c r="F21" s="11">
        <v>1</v>
      </c>
      <c r="G21" s="57" t="s">
        <v>157</v>
      </c>
      <c r="H21" s="12" t="s">
        <v>1876</v>
      </c>
      <c r="J21" s="12" t="str">
        <f t="shared" si="1"/>
        <v>* siteOfMetastasis.pleura 0..1 boolean ##34#Site of metastasis_pleura##34# ##334#Describes if site of metastasic disease  is pleura##334#</v>
      </c>
      <c r="L21" s="12" t="str">
        <f t="shared" si="2"/>
        <v>* siteOfMetastasis.pleura ^comment = ##334#True; False##334#</v>
      </c>
    </row>
    <row r="22" spans="1:13" ht="19.899999999999999" customHeight="1">
      <c r="A22" s="150">
        <v>13</v>
      </c>
      <c r="B22" s="57" t="s">
        <v>1955</v>
      </c>
      <c r="C22" s="11" t="s">
        <v>1940</v>
      </c>
      <c r="D22" s="11" t="s">
        <v>1637</v>
      </c>
      <c r="E22" s="11">
        <v>0</v>
      </c>
      <c r="F22" s="11">
        <v>1</v>
      </c>
      <c r="G22" s="57" t="s">
        <v>157</v>
      </c>
      <c r="H22" s="12" t="s">
        <v>1876</v>
      </c>
      <c r="J22" s="12" t="str">
        <f t="shared" si="1"/>
        <v>* siteOfMetastasis.peritoneum 0..1 boolean ##34#Site of metastasis_peritoneum##34# ##334#Describes if site of metastasic disease  is peritoneum##334#</v>
      </c>
      <c r="L22" s="12" t="str">
        <f t="shared" si="2"/>
        <v>* siteOfMetastasis.peritoneum ^comment = ##334#True; False##334#</v>
      </c>
      <c r="M22"/>
    </row>
    <row r="23" spans="1:13" ht="19.899999999999999" customHeight="1">
      <c r="A23" s="150">
        <v>14</v>
      </c>
      <c r="B23" s="57" t="s">
        <v>1951</v>
      </c>
      <c r="C23" s="11" t="s">
        <v>1941</v>
      </c>
      <c r="D23" s="11" t="s">
        <v>1639</v>
      </c>
      <c r="E23" s="11">
        <v>0</v>
      </c>
      <c r="F23" s="11">
        <v>1</v>
      </c>
      <c r="G23" s="57" t="s">
        <v>157</v>
      </c>
      <c r="H23" s="12" t="s">
        <v>1876</v>
      </c>
      <c r="J23" s="12" t="str">
        <f t="shared" si="1"/>
        <v>* siteOfMetastasis.brain 0..1 boolean ##34#Site of  metastasis_brain##34# ##334#Describes if site of metastasic disease  is brain##334#</v>
      </c>
      <c r="L23" s="12" t="str">
        <f t="shared" si="2"/>
        <v>* siteOfMetastasis.brain ^comment = ##334#True; False##334#</v>
      </c>
      <c r="M23"/>
    </row>
    <row r="24" spans="1:13" ht="19.899999999999999" customHeight="1">
      <c r="A24" s="150">
        <v>15</v>
      </c>
      <c r="B24" s="57" t="s">
        <v>1957</v>
      </c>
      <c r="C24" s="11" t="s">
        <v>1942</v>
      </c>
      <c r="D24" s="12" t="s">
        <v>1641</v>
      </c>
      <c r="E24" s="11">
        <v>0</v>
      </c>
      <c r="F24" s="11">
        <v>1</v>
      </c>
      <c r="G24" s="57" t="s">
        <v>157</v>
      </c>
      <c r="H24" s="12" t="s">
        <v>1876</v>
      </c>
      <c r="J24" s="12" t="str">
        <f t="shared" si="1"/>
        <v>* siteOfMetastasis.otherViscera 0..1 boolean ##34#Site of  metastasis_other viscera##34# ##334#Describes if site of metastasic disease  is other viscera##334#</v>
      </c>
      <c r="L24" s="12" t="str">
        <f t="shared" si="2"/>
        <v>* siteOfMetastasis.otherViscera ^comment = ##334#True; False##334#</v>
      </c>
      <c r="M24"/>
    </row>
    <row r="25" spans="1:13" ht="19.899999999999999" customHeight="1">
      <c r="A25" s="150">
        <v>16</v>
      </c>
      <c r="B25" s="57" t="s">
        <v>1958</v>
      </c>
      <c r="C25" s="11" t="s">
        <v>1943</v>
      </c>
      <c r="D25" s="12" t="s">
        <v>1643</v>
      </c>
      <c r="E25" s="11">
        <v>0</v>
      </c>
      <c r="F25" s="11">
        <v>1</v>
      </c>
      <c r="G25" s="57" t="s">
        <v>157</v>
      </c>
      <c r="H25" s="12" t="s">
        <v>1876</v>
      </c>
      <c r="J25" s="12" t="str">
        <f t="shared" si="1"/>
        <v>* siteOfMetastasis.unknown 0..1 boolean ##34#Site of  metastasis_unknown##34# ##334#Describes if site of metastasic disease  is unknown##334#</v>
      </c>
      <c r="L25" s="12" t="str">
        <f t="shared" si="2"/>
        <v>* siteOfMetastasis.unknown ^comment = ##334#True; False##334#</v>
      </c>
      <c r="M25"/>
    </row>
    <row r="26" spans="1:13" ht="19.899999999999999" customHeight="1">
      <c r="A26" s="139">
        <v>17</v>
      </c>
      <c r="C26"/>
      <c r="D26" s="2"/>
      <c r="J26" s="12" t="str">
        <f t="shared" si="1"/>
        <v>*  ..  ##34###34# ##334###334#</v>
      </c>
      <c r="L26" s="12" t="str">
        <f t="shared" si="2"/>
        <v>*  ..  ##34###34# ##334###334#</v>
      </c>
      <c r="M26"/>
    </row>
    <row r="27" spans="1:13" ht="19.899999999999999" customHeight="1">
      <c r="A27" s="100">
        <v>18</v>
      </c>
      <c r="C27"/>
      <c r="D27" s="2"/>
      <c r="J27" s="12" t="str">
        <f t="shared" si="1"/>
        <v>*  ..  ##34###34# ##334###334#</v>
      </c>
      <c r="L27" s="12" t="str">
        <f t="shared" si="2"/>
        <v>*  ..  ##34###34# ##334###334#</v>
      </c>
      <c r="M27"/>
    </row>
    <row r="28" spans="1:13" ht="19.899999999999999" customHeight="1">
      <c r="J28" s="12" t="str">
        <f t="shared" si="1"/>
        <v>*  ..  ##34###34# ##334###334#</v>
      </c>
      <c r="L28" s="12" t="str">
        <f t="shared" si="2"/>
        <v>*  ..  ##34###34# ##334###334#</v>
      </c>
    </row>
    <row r="29" spans="1:13" ht="19.899999999999999" customHeight="1">
      <c r="J29" s="12" t="str">
        <f t="shared" si="1"/>
        <v>*  ..  ##34###34# ##334###334#</v>
      </c>
      <c r="L29" s="12" t="str">
        <f t="shared" si="2"/>
        <v>*  ..  ##34###34# ##334###334#</v>
      </c>
    </row>
    <row r="30" spans="1:13" ht="19.899999999999999" customHeight="1">
      <c r="J30" s="12" t="str">
        <f t="shared" si="1"/>
        <v>*  ..  ##34###34# ##334###334#</v>
      </c>
      <c r="L30" s="12" t="str">
        <f t="shared" si="2"/>
        <v>*  ..  ##34###34# ##334###334#</v>
      </c>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7E892-C279-4D16-A59D-A3D1AFDBB6CD}">
  <sheetPr codeName="Foglio54"/>
  <dimension ref="A1:O103"/>
  <sheetViews>
    <sheetView workbookViewId="0">
      <selection activeCell="C4" sqref="C4"/>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EpisodeEvent</v>
      </c>
      <c r="E7" s="20" t="str">
        <f>CONCATENATE("Source: ",C7)</f>
        <v>Source: EpisodeEvent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EpisodeEvent!B5</f>
        <v>EpisodeEvent</v>
      </c>
      <c r="C9" s="6" t="s">
        <v>1609</v>
      </c>
      <c r="E9" s="27" t="str">
        <f>CONCATENATE("* -&gt; ##34#",C9,"##34#")</f>
        <v>* -&gt; ##34#TBD##34#</v>
      </c>
      <c r="H9" s="7"/>
      <c r="I9" s="7"/>
      <c r="J9" s="7"/>
      <c r="K9" s="7"/>
      <c r="L9" s="7"/>
      <c r="M9" s="7"/>
      <c r="N9" s="7"/>
      <c r="O9" s="7"/>
    </row>
    <row r="10" spans="1:15">
      <c r="A10" s="11"/>
      <c r="B10" s="11" t="str">
        <f>EpisodeEvent!B8</f>
        <v>cancerEpisode</v>
      </c>
      <c r="C10" s="11" t="s">
        <v>1609</v>
      </c>
      <c r="E10" s="12" t="str">
        <f t="shared" ref="E10:E73" si="0">IF(B10=0,"*  -&gt; ##34###34#",CONCATENATE("* ",B10," -&gt; ##34#",C10,"##34#"))</f>
        <v>* cancerEpisode -&gt; ##34#TBD##34#</v>
      </c>
      <c r="H10" s="7"/>
      <c r="I10" s="7"/>
      <c r="J10" s="7"/>
      <c r="K10" s="7"/>
      <c r="L10" s="7"/>
      <c r="M10" s="7"/>
      <c r="N10" s="7"/>
      <c r="O10" s="7"/>
    </row>
    <row r="11" spans="1:15">
      <c r="A11" s="11"/>
      <c r="B11" s="11" t="str">
        <f>EpisodeEvent!B9</f>
        <v>eventType</v>
      </c>
      <c r="C11" s="11" t="s">
        <v>1609</v>
      </c>
      <c r="E11" s="12" t="str">
        <f t="shared" si="0"/>
        <v>* eventType -&gt; ##34#TBD##34#</v>
      </c>
      <c r="H11" s="7"/>
      <c r="I11" s="7"/>
      <c r="J11" s="7"/>
      <c r="K11" s="7"/>
      <c r="L11" s="7"/>
      <c r="M11" s="7"/>
      <c r="N11" s="7"/>
      <c r="O11" s="7"/>
    </row>
    <row r="12" spans="1:15">
      <c r="A12" s="11"/>
      <c r="B12" s="11" t="str">
        <f>EpisodeEvent!B10</f>
        <v>definedAt</v>
      </c>
      <c r="C12" s="11" t="s">
        <v>1609</v>
      </c>
      <c r="E12" s="12" t="str">
        <f t="shared" si="0"/>
        <v>* definedAt -&gt; ##34#TBD##34#</v>
      </c>
      <c r="H12" s="7"/>
      <c r="I12" s="7"/>
      <c r="J12" s="7"/>
      <c r="K12" s="7"/>
      <c r="L12" s="7"/>
      <c r="M12" s="7"/>
      <c r="N12" s="7"/>
      <c r="O12" s="7"/>
    </row>
    <row r="13" spans="1:15">
      <c r="A13" s="11"/>
      <c r="B13" s="11" t="str">
        <f>EpisodeEvent!B11</f>
        <v>dateOfEpisode</v>
      </c>
      <c r="C13" s="11" t="s">
        <v>1609</v>
      </c>
      <c r="E13" s="12" t="str">
        <f t="shared" si="0"/>
        <v>* dateOfEpisode -&gt; ##34#TBD##34#</v>
      </c>
      <c r="H13" s="7"/>
      <c r="I13" s="7"/>
      <c r="J13" s="7"/>
      <c r="K13" s="7"/>
      <c r="L13" s="7"/>
      <c r="M13" s="7"/>
      <c r="N13" s="7"/>
      <c r="O13" s="7"/>
    </row>
    <row r="14" spans="1:15">
      <c r="A14" s="11"/>
      <c r="B14" s="11" t="str">
        <f>EpisodeEvent!B12</f>
        <v>isLocal</v>
      </c>
      <c r="C14" s="11" t="s">
        <v>1609</v>
      </c>
      <c r="E14" s="12" t="str">
        <f t="shared" si="0"/>
        <v>* isLocal -&gt; ##34#TBD##34#</v>
      </c>
      <c r="H14" s="7"/>
      <c r="I14" s="7"/>
      <c r="J14" s="7"/>
      <c r="K14" s="7"/>
      <c r="L14" s="7"/>
      <c r="M14" s="7"/>
      <c r="N14" s="7"/>
      <c r="O14" s="7"/>
    </row>
    <row r="15" spans="1:15">
      <c r="A15" s="11"/>
      <c r="B15" s="11" t="str">
        <f>EpisodeEvent!B13</f>
        <v>isRegional</v>
      </c>
      <c r="C15" s="11" t="s">
        <v>1609</v>
      </c>
      <c r="E15" s="12" t="str">
        <f t="shared" si="0"/>
        <v>* isRegional -&gt; ##34#TBD##34#</v>
      </c>
      <c r="H15" s="7"/>
      <c r="I15" s="7"/>
      <c r="J15" s="7"/>
      <c r="K15" s="7"/>
      <c r="L15" s="7"/>
      <c r="M15" s="7"/>
      <c r="N15" s="7"/>
      <c r="O15" s="7"/>
    </row>
    <row r="16" spans="1:15">
      <c r="A16" s="11"/>
      <c r="B16" s="11" t="str">
        <f>EpisodeEvent!B14</f>
        <v>isMetastatic</v>
      </c>
      <c r="C16" s="11" t="s">
        <v>1609</v>
      </c>
      <c r="E16" s="12" t="str">
        <f t="shared" si="0"/>
        <v>* isMetastatic -&gt; ##34#TBD##34#</v>
      </c>
      <c r="H16" s="7"/>
      <c r="I16" s="7"/>
      <c r="J16" s="7"/>
      <c r="K16" s="7"/>
      <c r="L16" s="7"/>
      <c r="M16" s="7"/>
      <c r="N16" s="7"/>
      <c r="O16" s="7"/>
    </row>
    <row r="17" spans="1:5">
      <c r="A17" s="11"/>
      <c r="B17" s="11" t="str">
        <f>EpisodeEvent!B16</f>
        <v>siteOfMetastasis.softTissue</v>
      </c>
      <c r="C17" s="11" t="s">
        <v>1609</v>
      </c>
      <c r="E17" s="12" t="str">
        <f t="shared" si="0"/>
        <v>* siteOfMetastasis.softTissue -&gt; ##34#TBD##34#</v>
      </c>
    </row>
    <row r="18" spans="1:5">
      <c r="A18" s="11"/>
      <c r="B18" s="11" t="str">
        <f>EpisodeEvent!B17</f>
        <v>siteOfMetastasis.distantLymphNodes</v>
      </c>
      <c r="C18" s="11" t="s">
        <v>1609</v>
      </c>
      <c r="E18" s="12" t="str">
        <f t="shared" si="0"/>
        <v>* siteOfMetastasis.distantLymphNodes -&gt; ##34#TBD##34#</v>
      </c>
    </row>
    <row r="19" spans="1:5">
      <c r="A19" s="11"/>
      <c r="B19" s="11" t="str">
        <f>EpisodeEvent!B18</f>
        <v>siteOfMetastasis.lung</v>
      </c>
      <c r="C19" s="11" t="s">
        <v>1609</v>
      </c>
      <c r="E19" s="12" t="str">
        <f t="shared" si="0"/>
        <v>* siteOfMetastasis.lung -&gt; ##34#TBD##34#</v>
      </c>
    </row>
    <row r="20" spans="1:5">
      <c r="A20" s="11"/>
      <c r="B20" s="11" t="str">
        <f>EpisodeEvent!B19</f>
        <v>siteOfMetastasis.bone</v>
      </c>
      <c r="C20" s="11" t="s">
        <v>1609</v>
      </c>
      <c r="E20" s="12" t="str">
        <f t="shared" si="0"/>
        <v>* siteOfMetastasis.bone -&gt; ##34#TBD##34#</v>
      </c>
    </row>
    <row r="21" spans="1:5">
      <c r="B21" s="11" t="str">
        <f>EpisodeEvent!B20</f>
        <v>siteOfMetastasis.liver</v>
      </c>
      <c r="C21" s="11" t="s">
        <v>1609</v>
      </c>
      <c r="E21" s="12" t="str">
        <f t="shared" si="0"/>
        <v>* siteOfMetastasis.liver -&gt; ##34#TBD##34#</v>
      </c>
    </row>
    <row r="22" spans="1:5">
      <c r="B22" s="11" t="str">
        <f>EpisodeEvent!B21</f>
        <v>siteOfMetastasis.pleura</v>
      </c>
      <c r="C22" s="11" t="s">
        <v>1609</v>
      </c>
      <c r="E22" s="12" t="str">
        <f t="shared" si="0"/>
        <v>* siteOfMetastasis.pleura -&gt; ##34#TBD##34#</v>
      </c>
    </row>
    <row r="23" spans="1:5">
      <c r="B23" s="11" t="str">
        <f>EpisodeEvent!B22</f>
        <v>siteOfMetastasis.peritoneum</v>
      </c>
      <c r="C23" s="11" t="s">
        <v>1609</v>
      </c>
      <c r="E23" s="12" t="str">
        <f t="shared" si="0"/>
        <v>* siteOfMetastasis.peritoneum -&gt; ##34#TBD##34#</v>
      </c>
    </row>
    <row r="24" spans="1:5">
      <c r="B24" s="11" t="str">
        <f>EpisodeEvent!B23</f>
        <v>siteOfMetastasis.brain</v>
      </c>
      <c r="C24" s="11" t="s">
        <v>1609</v>
      </c>
      <c r="E24" s="12" t="str">
        <f t="shared" si="0"/>
        <v>* siteOfMetastasis.brain -&gt; ##34#TBD##34#</v>
      </c>
    </row>
    <row r="25" spans="1:5">
      <c r="B25" s="11" t="str">
        <f>EpisodeEvent!B24</f>
        <v>siteOfMetastasis.otherViscera</v>
      </c>
      <c r="C25" s="11" t="s">
        <v>1609</v>
      </c>
      <c r="E25" s="12" t="str">
        <f t="shared" si="0"/>
        <v>* siteOfMetastasis.otherViscera -&gt; ##34#TBD##34#</v>
      </c>
    </row>
    <row r="26" spans="1:5">
      <c r="B26" s="11" t="str">
        <f>EpisodeEvent!B25</f>
        <v>siteOfMetastasis.unknown</v>
      </c>
      <c r="C26" s="11" t="s">
        <v>1609</v>
      </c>
      <c r="E26" s="12" t="str">
        <f t="shared" si="0"/>
        <v>* siteOfMetastasis.unknown -&gt; ##34#TBD##34#</v>
      </c>
    </row>
    <row r="27" spans="1:5">
      <c r="B27" s="11">
        <f>EpisodeEvent!B26</f>
        <v>0</v>
      </c>
      <c r="C27" s="11" t="s">
        <v>1609</v>
      </c>
      <c r="E27" s="12" t="str">
        <f t="shared" si="0"/>
        <v>*  -&gt; ##34###34#</v>
      </c>
    </row>
    <row r="28" spans="1:5">
      <c r="B28" s="11">
        <f>EpisodeEvent!B27</f>
        <v>0</v>
      </c>
      <c r="C28" s="11" t="s">
        <v>1609</v>
      </c>
      <c r="E28" s="12" t="str">
        <f t="shared" si="0"/>
        <v>*  -&gt; ##34###34#</v>
      </c>
    </row>
    <row r="29" spans="1:5">
      <c r="B29" s="11" t="e">
        <f>EpisodeEvent!#REF!</f>
        <v>#REF!</v>
      </c>
      <c r="C29" s="11" t="s">
        <v>1609</v>
      </c>
      <c r="E29" s="12" t="e">
        <f t="shared" si="0"/>
        <v>#REF!</v>
      </c>
    </row>
    <row r="30" spans="1:5">
      <c r="B30" s="11" t="e">
        <f>EpisodeEvent!#REF!</f>
        <v>#REF!</v>
      </c>
      <c r="C30" s="11" t="s">
        <v>1609</v>
      </c>
      <c r="E30" s="12" t="e">
        <f t="shared" si="0"/>
        <v>#REF!</v>
      </c>
    </row>
    <row r="31" spans="1:5">
      <c r="B31" s="11" t="e">
        <f>EpisodeEvent!#REF!</f>
        <v>#REF!</v>
      </c>
      <c r="C31" s="11" t="s">
        <v>1609</v>
      </c>
      <c r="E31" s="12" t="e">
        <f t="shared" si="0"/>
        <v>#REF!</v>
      </c>
    </row>
    <row r="32" spans="1:5">
      <c r="B32" s="11" t="e">
        <f>EpisodeEvent!#REF!</f>
        <v>#REF!</v>
      </c>
      <c r="C32" s="11" t="s">
        <v>1609</v>
      </c>
      <c r="E32" s="12" t="e">
        <f t="shared" si="0"/>
        <v>#REF!</v>
      </c>
    </row>
    <row r="33" spans="2:5">
      <c r="B33" s="11" t="e">
        <f>EpisodeEvent!#REF!</f>
        <v>#REF!</v>
      </c>
      <c r="C33" s="11" t="s">
        <v>1609</v>
      </c>
      <c r="E33" s="12" t="e">
        <f t="shared" si="0"/>
        <v>#REF!</v>
      </c>
    </row>
    <row r="34" spans="2:5">
      <c r="B34" s="11" t="e">
        <f>EpisodeEvent!#REF!</f>
        <v>#REF!</v>
      </c>
      <c r="C34" s="11" t="s">
        <v>1609</v>
      </c>
      <c r="E34" s="12" t="e">
        <f t="shared" si="0"/>
        <v>#REF!</v>
      </c>
    </row>
    <row r="35" spans="2:5">
      <c r="B35" s="11" t="e">
        <f>EpisodeEvent!#REF!</f>
        <v>#REF!</v>
      </c>
      <c r="C35" s="11" t="s">
        <v>1609</v>
      </c>
      <c r="E35" s="12" t="e">
        <f t="shared" si="0"/>
        <v>#REF!</v>
      </c>
    </row>
    <row r="36" spans="2:5">
      <c r="B36" s="11" t="e">
        <f>EpisodeEvent!#REF!</f>
        <v>#REF!</v>
      </c>
      <c r="C36" s="11" t="s">
        <v>1609</v>
      </c>
      <c r="E36" s="12" t="e">
        <f t="shared" si="0"/>
        <v>#REF!</v>
      </c>
    </row>
    <row r="37" spans="2:5">
      <c r="B37" s="11" t="e">
        <f>EpisodeEvent!#REF!</f>
        <v>#REF!</v>
      </c>
      <c r="C37" s="11" t="s">
        <v>1609</v>
      </c>
      <c r="E37" s="12" t="e">
        <f t="shared" si="0"/>
        <v>#REF!</v>
      </c>
    </row>
    <row r="38" spans="2:5">
      <c r="B38" s="11" t="e">
        <f>EpisodeEvent!#REF!</f>
        <v>#REF!</v>
      </c>
      <c r="C38" s="11" t="s">
        <v>1609</v>
      </c>
      <c r="E38" s="12" t="e">
        <f t="shared" si="0"/>
        <v>#REF!</v>
      </c>
    </row>
    <row r="39" spans="2:5">
      <c r="B39" s="11" t="e">
        <f>EpisodeEvent!#REF!</f>
        <v>#REF!</v>
      </c>
      <c r="C39" s="11" t="s">
        <v>1609</v>
      </c>
      <c r="E39" s="12" t="e">
        <f t="shared" si="0"/>
        <v>#REF!</v>
      </c>
    </row>
    <row r="40" spans="2:5">
      <c r="B40" s="11" t="e">
        <f>EpisodeEvent!#REF!</f>
        <v>#REF!</v>
      </c>
      <c r="C40" s="11" t="s">
        <v>1609</v>
      </c>
      <c r="E40" s="12" t="e">
        <f t="shared" si="0"/>
        <v>#REF!</v>
      </c>
    </row>
    <row r="41" spans="2:5">
      <c r="B41" s="11" t="e">
        <f>EpisodeEvent!#REF!</f>
        <v>#REF!</v>
      </c>
      <c r="C41" s="11" t="s">
        <v>1609</v>
      </c>
      <c r="E41" s="12" t="e">
        <f t="shared" si="0"/>
        <v>#REF!</v>
      </c>
    </row>
    <row r="42" spans="2:5">
      <c r="B42" s="11" t="e">
        <f>EpisodeEvent!#REF!</f>
        <v>#REF!</v>
      </c>
      <c r="C42" s="11" t="s">
        <v>1609</v>
      </c>
      <c r="E42" s="12" t="e">
        <f t="shared" si="0"/>
        <v>#REF!</v>
      </c>
    </row>
    <row r="43" spans="2:5">
      <c r="B43" s="11" t="e">
        <f>EpisodeEvent!#REF!</f>
        <v>#REF!</v>
      </c>
      <c r="C43" s="11" t="s">
        <v>1609</v>
      </c>
      <c r="E43" s="12" t="e">
        <f t="shared" si="0"/>
        <v>#REF!</v>
      </c>
    </row>
    <row r="44" spans="2:5">
      <c r="B44" s="11" t="e">
        <f>EpisodeEvent!#REF!</f>
        <v>#REF!</v>
      </c>
      <c r="C44" s="11" t="s">
        <v>1609</v>
      </c>
      <c r="E44" s="12" t="e">
        <f t="shared" si="0"/>
        <v>#REF!</v>
      </c>
    </row>
    <row r="45" spans="2:5">
      <c r="B45" s="11" t="e">
        <f>EpisodeEvent!#REF!</f>
        <v>#REF!</v>
      </c>
      <c r="C45" s="11" t="s">
        <v>1609</v>
      </c>
      <c r="E45" s="12" t="e">
        <f t="shared" si="0"/>
        <v>#REF!</v>
      </c>
    </row>
    <row r="46" spans="2:5">
      <c r="B46" s="11" t="e">
        <f>EpisodeEvent!#REF!</f>
        <v>#REF!</v>
      </c>
      <c r="C46" s="11" t="s">
        <v>1609</v>
      </c>
      <c r="E46" s="12" t="e">
        <f t="shared" si="0"/>
        <v>#REF!</v>
      </c>
    </row>
    <row r="47" spans="2:5">
      <c r="B47" s="11" t="e">
        <f>EpisodeEvent!#REF!</f>
        <v>#REF!</v>
      </c>
      <c r="C47" s="11" t="s">
        <v>1609</v>
      </c>
      <c r="E47" s="12" t="e">
        <f t="shared" si="0"/>
        <v>#REF!</v>
      </c>
    </row>
    <row r="48" spans="2:5">
      <c r="B48" s="11" t="e">
        <f>EpisodeEvent!#REF!</f>
        <v>#REF!</v>
      </c>
      <c r="C48" s="11" t="s">
        <v>1609</v>
      </c>
      <c r="E48" s="12" t="e">
        <f t="shared" si="0"/>
        <v>#REF!</v>
      </c>
    </row>
    <row r="49" spans="2:5">
      <c r="B49" s="11" t="e">
        <f>EpisodeEvent!#REF!</f>
        <v>#REF!</v>
      </c>
      <c r="C49" s="11" t="s">
        <v>1609</v>
      </c>
      <c r="E49" s="12" t="e">
        <f t="shared" si="0"/>
        <v>#REF!</v>
      </c>
    </row>
    <row r="50" spans="2:5">
      <c r="B50" s="11" t="e">
        <f>EpisodeEvent!#REF!</f>
        <v>#REF!</v>
      </c>
      <c r="C50" s="11" t="s">
        <v>1609</v>
      </c>
      <c r="E50" s="12" t="e">
        <f t="shared" si="0"/>
        <v>#REF!</v>
      </c>
    </row>
    <row r="51" spans="2:5">
      <c r="B51" s="11" t="e">
        <f>EpisodeEvent!#REF!</f>
        <v>#REF!</v>
      </c>
      <c r="C51" s="11" t="s">
        <v>1609</v>
      </c>
      <c r="E51" s="12" t="e">
        <f t="shared" si="0"/>
        <v>#REF!</v>
      </c>
    </row>
    <row r="52" spans="2:5">
      <c r="B52" s="11" t="e">
        <f>EpisodeEvent!#REF!</f>
        <v>#REF!</v>
      </c>
      <c r="C52" s="11" t="s">
        <v>1609</v>
      </c>
      <c r="E52" s="12" t="e">
        <f t="shared" si="0"/>
        <v>#REF!</v>
      </c>
    </row>
    <row r="53" spans="2:5">
      <c r="B53" s="11" t="e">
        <f>EpisodeEvent!#REF!</f>
        <v>#REF!</v>
      </c>
      <c r="C53" s="11" t="s">
        <v>1609</v>
      </c>
      <c r="E53" s="12" t="e">
        <f t="shared" si="0"/>
        <v>#REF!</v>
      </c>
    </row>
    <row r="54" spans="2:5">
      <c r="B54" s="11" t="e">
        <f>EpisodeEvent!#REF!</f>
        <v>#REF!</v>
      </c>
      <c r="C54" s="11" t="s">
        <v>1609</v>
      </c>
      <c r="E54" s="12" t="e">
        <f t="shared" si="0"/>
        <v>#REF!</v>
      </c>
    </row>
    <row r="55" spans="2:5">
      <c r="B55" s="11" t="e">
        <f>EpisodeEvent!#REF!</f>
        <v>#REF!</v>
      </c>
      <c r="C55" s="11" t="s">
        <v>1609</v>
      </c>
      <c r="E55" s="12" t="e">
        <f t="shared" si="0"/>
        <v>#REF!</v>
      </c>
    </row>
    <row r="56" spans="2:5">
      <c r="B56" s="11" t="e">
        <f>EpisodeEvent!#REF!</f>
        <v>#REF!</v>
      </c>
      <c r="C56" s="11" t="s">
        <v>1609</v>
      </c>
      <c r="E56" s="12" t="e">
        <f t="shared" si="0"/>
        <v>#REF!</v>
      </c>
    </row>
    <row r="57" spans="2:5">
      <c r="B57" s="11" t="e">
        <f>EpisodeEvent!#REF!</f>
        <v>#REF!</v>
      </c>
      <c r="C57" s="11" t="s">
        <v>1609</v>
      </c>
      <c r="E57" s="12" t="e">
        <f t="shared" si="0"/>
        <v>#REF!</v>
      </c>
    </row>
    <row r="58" spans="2:5">
      <c r="B58" s="11" t="e">
        <f>EpisodeEvent!#REF!</f>
        <v>#REF!</v>
      </c>
      <c r="C58" s="11" t="s">
        <v>1609</v>
      </c>
      <c r="E58" s="12" t="e">
        <f t="shared" si="0"/>
        <v>#REF!</v>
      </c>
    </row>
    <row r="59" spans="2:5">
      <c r="B59" s="11" t="e">
        <f>EpisodeEvent!#REF!</f>
        <v>#REF!</v>
      </c>
      <c r="C59" s="11" t="s">
        <v>1609</v>
      </c>
      <c r="E59" s="12" t="e">
        <f t="shared" si="0"/>
        <v>#REF!</v>
      </c>
    </row>
    <row r="60" spans="2:5">
      <c r="B60" s="11" t="e">
        <f>EpisodeEvent!#REF!</f>
        <v>#REF!</v>
      </c>
      <c r="C60" s="11" t="s">
        <v>1609</v>
      </c>
      <c r="E60" s="12" t="e">
        <f t="shared" si="0"/>
        <v>#REF!</v>
      </c>
    </row>
    <row r="61" spans="2:5">
      <c r="B61" s="11" t="e">
        <f>EpisodeEvent!#REF!</f>
        <v>#REF!</v>
      </c>
      <c r="C61" s="11" t="s">
        <v>1609</v>
      </c>
      <c r="E61" s="12" t="e">
        <f t="shared" si="0"/>
        <v>#REF!</v>
      </c>
    </row>
    <row r="62" spans="2:5">
      <c r="B62" s="11" t="e">
        <f>EpisodeEvent!#REF!</f>
        <v>#REF!</v>
      </c>
      <c r="C62" s="11" t="s">
        <v>1609</v>
      </c>
      <c r="E62" s="12" t="e">
        <f t="shared" si="0"/>
        <v>#REF!</v>
      </c>
    </row>
    <row r="63" spans="2:5">
      <c r="B63" s="11" t="e">
        <f>EpisodeEvent!#REF!</f>
        <v>#REF!</v>
      </c>
      <c r="C63" s="11" t="s">
        <v>1609</v>
      </c>
      <c r="E63" s="12" t="e">
        <f t="shared" si="0"/>
        <v>#REF!</v>
      </c>
    </row>
    <row r="64" spans="2:5">
      <c r="B64" s="11" t="e">
        <f>EpisodeEvent!#REF!</f>
        <v>#REF!</v>
      </c>
      <c r="C64" s="11" t="s">
        <v>1609</v>
      </c>
      <c r="E64" s="12" t="e">
        <f t="shared" si="0"/>
        <v>#REF!</v>
      </c>
    </row>
    <row r="65" spans="2:5">
      <c r="B65" s="11" t="e">
        <f>EpisodeEvent!#REF!</f>
        <v>#REF!</v>
      </c>
      <c r="C65" s="11" t="s">
        <v>1609</v>
      </c>
      <c r="E65" s="12" t="e">
        <f t="shared" si="0"/>
        <v>#REF!</v>
      </c>
    </row>
    <row r="66" spans="2:5">
      <c r="B66" s="11" t="e">
        <f>EpisodeEvent!#REF!</f>
        <v>#REF!</v>
      </c>
      <c r="C66" s="11" t="s">
        <v>1609</v>
      </c>
      <c r="E66" s="12" t="e">
        <f t="shared" si="0"/>
        <v>#REF!</v>
      </c>
    </row>
    <row r="67" spans="2:5">
      <c r="B67" s="11" t="e">
        <f>EpisodeEvent!#REF!</f>
        <v>#REF!</v>
      </c>
      <c r="C67" s="11" t="s">
        <v>1609</v>
      </c>
      <c r="E67" s="12" t="e">
        <f t="shared" si="0"/>
        <v>#REF!</v>
      </c>
    </row>
    <row r="68" spans="2:5">
      <c r="B68" s="11" t="e">
        <f>EpisodeEvent!#REF!</f>
        <v>#REF!</v>
      </c>
      <c r="C68" s="11" t="s">
        <v>1609</v>
      </c>
      <c r="E68" s="12" t="e">
        <f t="shared" si="0"/>
        <v>#REF!</v>
      </c>
    </row>
    <row r="69" spans="2:5">
      <c r="B69" s="11" t="e">
        <f>EpisodeEvent!#REF!</f>
        <v>#REF!</v>
      </c>
      <c r="C69" s="11" t="s">
        <v>1609</v>
      </c>
      <c r="E69" s="12" t="e">
        <f t="shared" si="0"/>
        <v>#REF!</v>
      </c>
    </row>
    <row r="70" spans="2:5">
      <c r="B70" s="11" t="e">
        <f>EpisodeEvent!#REF!</f>
        <v>#REF!</v>
      </c>
      <c r="C70" s="11" t="s">
        <v>1609</v>
      </c>
      <c r="E70" s="12" t="e">
        <f t="shared" si="0"/>
        <v>#REF!</v>
      </c>
    </row>
    <row r="71" spans="2:5">
      <c r="B71" s="11" t="e">
        <f>EpisodeEvent!#REF!</f>
        <v>#REF!</v>
      </c>
      <c r="C71" s="11" t="s">
        <v>1609</v>
      </c>
      <c r="E71" s="12" t="e">
        <f t="shared" si="0"/>
        <v>#REF!</v>
      </c>
    </row>
    <row r="72" spans="2:5">
      <c r="B72" s="11" t="e">
        <f>EpisodeEvent!#REF!</f>
        <v>#REF!</v>
      </c>
      <c r="C72" s="11" t="s">
        <v>1609</v>
      </c>
      <c r="E72" s="12" t="e">
        <f t="shared" si="0"/>
        <v>#REF!</v>
      </c>
    </row>
    <row r="73" spans="2:5">
      <c r="B73" s="11" t="e">
        <f>EpisodeEvent!#REF!</f>
        <v>#REF!</v>
      </c>
      <c r="C73" s="11" t="s">
        <v>1609</v>
      </c>
      <c r="E73" s="12" t="e">
        <f t="shared" si="0"/>
        <v>#REF!</v>
      </c>
    </row>
    <row r="74" spans="2:5">
      <c r="B74" s="11" t="e">
        <f>EpisodeEvent!#REF!</f>
        <v>#REF!</v>
      </c>
      <c r="C74" s="11" t="s">
        <v>1609</v>
      </c>
      <c r="E74" s="12" t="e">
        <f t="shared" ref="E74:E98" si="1">IF(B74=0,"*  -&gt; ##34###34#",CONCATENATE("* ",B74," -&gt; ##34#",C74,"##34#"))</f>
        <v>#REF!</v>
      </c>
    </row>
    <row r="75" spans="2:5">
      <c r="B75" s="11" t="e">
        <f>EpisodeEvent!#REF!</f>
        <v>#REF!</v>
      </c>
      <c r="C75" s="11" t="s">
        <v>1609</v>
      </c>
      <c r="E75" s="12" t="e">
        <f t="shared" si="1"/>
        <v>#REF!</v>
      </c>
    </row>
    <row r="76" spans="2:5">
      <c r="B76" s="11" t="e">
        <f>EpisodeEvent!#REF!</f>
        <v>#REF!</v>
      </c>
      <c r="C76" s="11" t="s">
        <v>1609</v>
      </c>
      <c r="E76" s="12" t="e">
        <f t="shared" si="1"/>
        <v>#REF!</v>
      </c>
    </row>
    <row r="77" spans="2:5">
      <c r="B77" s="11" t="e">
        <f>EpisodeEvent!#REF!</f>
        <v>#REF!</v>
      </c>
      <c r="C77" s="11" t="s">
        <v>1609</v>
      </c>
      <c r="E77" s="12" t="e">
        <f t="shared" si="1"/>
        <v>#REF!</v>
      </c>
    </row>
    <row r="78" spans="2:5">
      <c r="B78" s="11" t="e">
        <f>EpisodeEvent!#REF!</f>
        <v>#REF!</v>
      </c>
      <c r="C78" s="11" t="s">
        <v>1609</v>
      </c>
      <c r="E78" s="12" t="e">
        <f t="shared" si="1"/>
        <v>#REF!</v>
      </c>
    </row>
    <row r="79" spans="2:5">
      <c r="B79" s="11" t="e">
        <f>EpisodeEvent!#REF!</f>
        <v>#REF!</v>
      </c>
      <c r="C79" s="11" t="s">
        <v>1609</v>
      </c>
      <c r="E79" s="12" t="e">
        <f t="shared" si="1"/>
        <v>#REF!</v>
      </c>
    </row>
    <row r="80" spans="2:5">
      <c r="B80" s="11" t="e">
        <f>EpisodeEvent!#REF!</f>
        <v>#REF!</v>
      </c>
      <c r="C80" s="11" t="s">
        <v>1609</v>
      </c>
      <c r="E80" s="12" t="e">
        <f t="shared" si="1"/>
        <v>#REF!</v>
      </c>
    </row>
    <row r="81" spans="2:5">
      <c r="B81" s="11" t="e">
        <f>EpisodeEvent!#REF!</f>
        <v>#REF!</v>
      </c>
      <c r="C81" s="11" t="s">
        <v>1609</v>
      </c>
      <c r="E81" s="12" t="e">
        <f t="shared" si="1"/>
        <v>#REF!</v>
      </c>
    </row>
    <row r="82" spans="2:5">
      <c r="B82" s="11" t="e">
        <f>EpisodeEvent!#REF!</f>
        <v>#REF!</v>
      </c>
      <c r="C82" s="11" t="s">
        <v>1609</v>
      </c>
      <c r="E82" s="12" t="e">
        <f t="shared" si="1"/>
        <v>#REF!</v>
      </c>
    </row>
    <row r="83" spans="2:5">
      <c r="B83" s="11" t="e">
        <f>EpisodeEvent!#REF!</f>
        <v>#REF!</v>
      </c>
      <c r="C83" s="11" t="s">
        <v>1609</v>
      </c>
      <c r="E83" s="12" t="e">
        <f t="shared" si="1"/>
        <v>#REF!</v>
      </c>
    </row>
    <row r="84" spans="2:5">
      <c r="B84" s="11" t="e">
        <f>EpisodeEvent!#REF!</f>
        <v>#REF!</v>
      </c>
      <c r="C84" s="11" t="s">
        <v>1609</v>
      </c>
      <c r="E84" s="12" t="e">
        <f t="shared" si="1"/>
        <v>#REF!</v>
      </c>
    </row>
    <row r="85" spans="2:5">
      <c r="B85" s="11" t="e">
        <f>EpisodeEvent!#REF!</f>
        <v>#REF!</v>
      </c>
      <c r="C85" s="11" t="s">
        <v>1609</v>
      </c>
      <c r="E85" s="12" t="e">
        <f t="shared" si="1"/>
        <v>#REF!</v>
      </c>
    </row>
    <row r="86" spans="2:5">
      <c r="B86" s="11" t="e">
        <f>EpisodeEvent!#REF!</f>
        <v>#REF!</v>
      </c>
      <c r="C86" s="11" t="s">
        <v>1609</v>
      </c>
      <c r="E86" s="12" t="e">
        <f t="shared" si="1"/>
        <v>#REF!</v>
      </c>
    </row>
    <row r="87" spans="2:5">
      <c r="B87" s="11" t="e">
        <f>EpisodeEvent!#REF!</f>
        <v>#REF!</v>
      </c>
      <c r="C87" s="11" t="s">
        <v>1609</v>
      </c>
      <c r="E87" s="12" t="e">
        <f t="shared" si="1"/>
        <v>#REF!</v>
      </c>
    </row>
    <row r="88" spans="2:5">
      <c r="B88" s="11" t="e">
        <f>EpisodeEvent!#REF!</f>
        <v>#REF!</v>
      </c>
      <c r="C88" s="11" t="s">
        <v>1609</v>
      </c>
      <c r="E88" s="12" t="e">
        <f t="shared" si="1"/>
        <v>#REF!</v>
      </c>
    </row>
    <row r="89" spans="2:5">
      <c r="B89" s="11" t="e">
        <f>EpisodeEvent!#REF!</f>
        <v>#REF!</v>
      </c>
      <c r="C89" s="11" t="s">
        <v>1609</v>
      </c>
      <c r="E89" s="12" t="e">
        <f t="shared" si="1"/>
        <v>#REF!</v>
      </c>
    </row>
    <row r="90" spans="2:5">
      <c r="B90" s="11" t="e">
        <f>EpisodeEvent!#REF!</f>
        <v>#REF!</v>
      </c>
      <c r="C90" s="11" t="s">
        <v>1609</v>
      </c>
      <c r="E90" s="12" t="e">
        <f t="shared" si="1"/>
        <v>#REF!</v>
      </c>
    </row>
    <row r="91" spans="2:5">
      <c r="B91" s="11" t="e">
        <f>EpisodeEvent!#REF!</f>
        <v>#REF!</v>
      </c>
      <c r="C91" s="11" t="s">
        <v>1609</v>
      </c>
      <c r="E91" s="12" t="e">
        <f t="shared" si="1"/>
        <v>#REF!</v>
      </c>
    </row>
    <row r="92" spans="2:5">
      <c r="B92" s="11" t="e">
        <f>EpisodeEvent!#REF!</f>
        <v>#REF!</v>
      </c>
      <c r="C92" s="11" t="s">
        <v>1609</v>
      </c>
      <c r="E92" s="12" t="e">
        <f t="shared" si="1"/>
        <v>#REF!</v>
      </c>
    </row>
    <row r="93" spans="2:5">
      <c r="B93" s="11" t="e">
        <f>EpisodeEvent!#REF!</f>
        <v>#REF!</v>
      </c>
      <c r="C93" s="11" t="s">
        <v>1609</v>
      </c>
      <c r="E93" s="12" t="e">
        <f t="shared" si="1"/>
        <v>#REF!</v>
      </c>
    </row>
    <row r="94" spans="2:5">
      <c r="B94" s="11" t="e">
        <f>EpisodeEvent!#REF!</f>
        <v>#REF!</v>
      </c>
      <c r="C94" s="11" t="s">
        <v>1609</v>
      </c>
      <c r="E94" s="12" t="e">
        <f t="shared" si="1"/>
        <v>#REF!</v>
      </c>
    </row>
    <row r="95" spans="2:5">
      <c r="B95" s="11" t="e">
        <f>EpisodeEvent!#REF!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307"/>
  <sheetViews>
    <sheetView workbookViewId="0">
      <selection activeCell="C36" sqref="C36:C56"/>
    </sheetView>
  </sheetViews>
  <sheetFormatPr defaultRowHeight="14.75"/>
  <cols>
    <col min="3" max="3" width="108.2265625" style="12" customWidth="1"/>
    <col min="7" max="7" width="29.54296875" customWidth="1"/>
    <col min="8" max="8" width="54.90625" customWidth="1"/>
  </cols>
  <sheetData>
    <row r="1" spans="3:7" ht="15.5" thickBot="1">
      <c r="C1" s="23" t="str">
        <f>EpisodeEvent!J1</f>
        <v>//===================================================</v>
      </c>
    </row>
    <row r="2" spans="3:7" ht="16.75" thickBot="1">
      <c r="C2" s="24" t="str">
        <f>EpisodeEvent!J2</f>
        <v>//  Logical Model</v>
      </c>
      <c r="G2" s="29" t="s">
        <v>1966</v>
      </c>
    </row>
    <row r="3" spans="3:7">
      <c r="C3" s="24" t="str">
        <f>EpisodeEvent!J3</f>
        <v>//===================================================</v>
      </c>
    </row>
    <row r="4" spans="3:7">
      <c r="C4" s="16" t="str">
        <f>EpisodeEvent!J4</f>
        <v>Logical: EpisodeEventI4rc</v>
      </c>
    </row>
    <row r="5" spans="3:7">
      <c r="C5" s="16" t="str">
        <f>EpisodeEvent!J5</f>
        <v>Id: EpisodeEvent</v>
      </c>
    </row>
    <row r="6" spans="3:7">
      <c r="C6" s="16" t="str">
        <f>EpisodeEvent!J6</f>
        <v>Title: ##34#Episode Event##34#</v>
      </c>
    </row>
    <row r="7" spans="3:7">
      <c r="C7" s="16" t="str">
        <f>EpisodeEvent!J7</f>
        <v>Description:  ##334#Episode Event##334#</v>
      </c>
    </row>
    <row r="8" spans="3:7" ht="29.5">
      <c r="C8" s="12" t="str">
        <f>IF(EpisodeEvent!J8="*  ..  ##34###34# ##334###334#","//--- END",EpisodeEvent!J8)</f>
        <v>* cancerEpisode 1..1 http://hl7.eu/fhir/ig/idea4rc/StructureDefinition/CancerEpisode ##34#Cancer Episode Reference##34# ##334#CancerEpisode element containing the data regarding the patient's cancer##334#</v>
      </c>
    </row>
    <row r="9" spans="3:7">
      <c r="C9" s="12" t="str">
        <f>IF(EpisodeEvent!J9="*  ..  ##34###34# ##334###334#","//--- END",EpisodeEvent!J9)</f>
        <v>* eventType 1..1 CodeableConcept ##34#Event type##34# ##334#Type of event registered##334#</v>
      </c>
    </row>
    <row r="10" spans="3:7" ht="29.5">
      <c r="C10" s="12" t="str">
        <f>IF(EpisodeEvent!J10="*  ..  ##34###34# ##334###334#","//--- END",EpisodeEvent!J10)</f>
        <v>* definedAt 0..1 CodeableConcept ##34#Defined At##34# ##334#Whether or not the progression/recurrnce or persistent disease  was performed at the registering hospital or another hospital.##334#</v>
      </c>
    </row>
    <row r="11" spans="3:7">
      <c r="C11" s="12" t="str">
        <f>IF(EpisodeEvent!J11="*  ..  ##34###34# ##334###334#","//--- END",EpisodeEvent!J11)</f>
        <v>* dateOfEpisode 0..1 date ##34#Date of episode##34# ##334#Start date of progression/recurrence or persistent disease##334#</v>
      </c>
    </row>
    <row r="12" spans="3:7" ht="29.5">
      <c r="C12" s="12" t="str">
        <f>IF(EpisodeEvent!J12="*  ..  ##34###34# ##334###334#","//--- END",EpisodeEvent!J12)</f>
        <v>* isLocal 0..1 CodeableConcept ##34#Is local##34# ##334#Describes if the progression /recurrence or persistent disease is local##334#</v>
      </c>
    </row>
    <row r="13" spans="3:7" ht="29.5">
      <c r="C13" s="12" t="str">
        <f>IF(EpisodeEvent!J13="*  ..  ##34###34# ##334###334#","//--- END",EpisodeEvent!J13)</f>
        <v>* isRegional 0..1 CodeableConcept ##34#Is regional##34# ##334#Describes if the progression /recurrence or persistent disease is regional##334#</v>
      </c>
    </row>
    <row r="14" spans="3:7" ht="29.5">
      <c r="C14" s="12" t="str">
        <f>IF(EpisodeEvent!J14="*  ..  ##34###34# ##334###334#","//--- END",EpisodeEvent!J14)</f>
        <v>* isMetastatic 0..1 CodeableConcept ##34#Is metastatic##34# ##334#Describes if the progression /recurrence or persistent disease is metastatic##334#</v>
      </c>
    </row>
    <row r="15" spans="3:7">
      <c r="C15" s="12" t="str">
        <f>IF(EpisodeEvent!J15="*  ..  ##34###34# ##334###334#","//--- END",EpisodeEvent!J15)</f>
        <v>* siteOfMetastasis 0..1 BackboneElement ##34#Site of metastasis##34# ##334#Site of metastasis##334#</v>
      </c>
    </row>
    <row r="16" spans="3:7" ht="29.5">
      <c r="C16" s="12" t="str">
        <f>IF(EpisodeEvent!J16="*  ..  ##34###34# ##334###334#","//--- END",EpisodeEvent!J16)</f>
        <v>* siteOfMetastasis.softTissue 0..1 boolean ##34#Site of metastasis_soft tissue##34# ##334#Describes if site of metastasic disease  is soft tissue##334#</v>
      </c>
    </row>
    <row r="17" spans="3:3" ht="29.5">
      <c r="C17" s="12" t="str">
        <f>IF(EpisodeEvent!J17="*  ..  ##34###34# ##334###334#","//--- END",EpisodeEvent!J17)</f>
        <v>* siteOfMetastasis.distantLymphNodes 0..1 boolean ##34#Site of metastasis_distant lymph nodes##34# ##334#Describes if site of metastasic disease  is dystan lymph node##334#</v>
      </c>
    </row>
    <row r="18" spans="3:3" ht="29.5">
      <c r="C18" s="12" t="str">
        <f>IF(EpisodeEvent!J18="*  ..  ##34###34# ##334###334#","//--- END",EpisodeEvent!J18)</f>
        <v>* siteOfMetastasis.lung 0..1 boolean ##34#Site of metastasis_lung##34# ##334#Describes if site of metastasic disease  is lung##334#</v>
      </c>
    </row>
    <row r="19" spans="3:3" ht="29.5">
      <c r="C19" s="12" t="str">
        <f>IF(EpisodeEvent!J19="*  ..  ##34###34# ##334###334#","//--- END",EpisodeEvent!J19)</f>
        <v>* siteOfMetastasis.bone 0..1 boolean ##34#Site of metastasis_bone##34# ##334#Describes if site of metastasic disease  is bone##334#</v>
      </c>
    </row>
    <row r="20" spans="3:3" ht="29.5">
      <c r="C20" s="12" t="str">
        <f>IF(EpisodeEvent!J20="*  ..  ##34###34# ##334###334#","//--- END",EpisodeEvent!J20)</f>
        <v>* siteOfMetastasis.liver 0..1 boolean ##34#Site of metastasis_liver##34# ##334#Describes if site of metastasic disease  is liver##334#</v>
      </c>
    </row>
    <row r="21" spans="3:3" ht="29.5">
      <c r="C21" s="12" t="str">
        <f>IF(EpisodeEvent!J21="*  ..  ##34###34# ##334###334#","//--- END",EpisodeEvent!J21)</f>
        <v>* siteOfMetastasis.pleura 0..1 boolean ##34#Site of metastasis_pleura##34# ##334#Describes if site of metastasic disease  is pleura##334#</v>
      </c>
    </row>
    <row r="22" spans="3:3" ht="29.5">
      <c r="C22" s="12" t="str">
        <f>IF(EpisodeEvent!J22="*  ..  ##34###34# ##334###334#","//--- END",EpisodeEvent!J22)</f>
        <v>* siteOfMetastasis.peritoneum 0..1 boolean ##34#Site of metastasis_peritoneum##34# ##334#Describes if site of metastasic disease  is peritoneum##334#</v>
      </c>
    </row>
    <row r="23" spans="3:3" ht="29.5">
      <c r="C23" s="12" t="str">
        <f>IF(EpisodeEvent!J23="*  ..  ##34###34# ##334###334#","//--- END",EpisodeEvent!J23)</f>
        <v>* siteOfMetastasis.brain 0..1 boolean ##34#Site of  metastasis_brain##34# ##334#Describes if site of metastasic disease  is brain##334#</v>
      </c>
    </row>
    <row r="24" spans="3:3" ht="29.5">
      <c r="C24" s="12" t="str">
        <f>IF(EpisodeEvent!J24="*  ..  ##34###34# ##334###334#","//--- END",EpisodeEvent!J24)</f>
        <v>* siteOfMetastasis.otherViscera 0..1 boolean ##34#Site of  metastasis_other viscera##34# ##334#Describes if site of metastasic disease  is other viscera##334#</v>
      </c>
    </row>
    <row r="25" spans="3:3" ht="29.5">
      <c r="C25" s="12" t="str">
        <f>IF(EpisodeEvent!J25="*  ..  ##34###34# ##334###334#","//--- END",EpisodeEvent!J25)</f>
        <v>* siteOfMetastasis.unknown 0..1 boolean ##34#Site of  metastasis_unknown##34# ##334#Describes if site of metastasic disease  is unknown##334#</v>
      </c>
    </row>
    <row r="26" spans="3:3">
      <c r="C26" s="12" t="str">
        <f>IF(EpisodeEvent!J26="*  ..  ##34###34# ##334###334#","//--- END",EpisodeEvent!J26)</f>
        <v>//--- END</v>
      </c>
    </row>
    <row r="27" spans="3:3">
      <c r="C27" s="12" t="str">
        <f>IF(EpisodeEvent!J27="*  ..  ##34###34# ##334###334#","//--- END",EpisodeEvent!J27)</f>
        <v>//--- END</v>
      </c>
    </row>
    <row r="28" spans="3:3">
      <c r="C28" s="12" t="str">
        <f>IF(EpisodeEvent!J28="*  ..  ##34###34# ##334###334#","//--- END",EpisodeEvent!J28)</f>
        <v>//--- END</v>
      </c>
    </row>
    <row r="33" spans="3:3">
      <c r="C33" s="23" t="s">
        <v>1613</v>
      </c>
    </row>
    <row r="34" spans="3:3">
      <c r="C34" s="24" t="s">
        <v>1701</v>
      </c>
    </row>
    <row r="35" spans="3:3">
      <c r="C35" s="24" t="s">
        <v>1613</v>
      </c>
    </row>
    <row r="36" spans="3:3">
      <c r="C36" s="12" t="str">
        <f>IF(EpisodeEvent!L8="*  ..  ##34###34# ##334###334#","//--- END",EpisodeEvent!L8)</f>
        <v>* cancerEpisode ^comment = ##334#CancerEpisode##334#</v>
      </c>
    </row>
    <row r="37" spans="3:3" ht="59">
      <c r="C37" s="12" t="str">
        <f>IF(EpisodeEvent!L9="*  ..  ##34###34# ##334###334#","//--- END",EpisodeEvent!L9)</f>
        <v>* eventType ^comment = ##334#Baseline; Progression; Recurrence; Persistent diseaseBaseline -  4190366
Progression - 4168352
Recurrence - 4097297
Persistent disease - ##334#</v>
      </c>
    </row>
    <row r="38" spans="3:3">
      <c r="C38" s="12" t="str">
        <f>IF(EpisodeEvent!L10="*  ..  ##34###34# ##334###334#","//--- END",EpisodeEvent!L10)</f>
        <v>* definedAt ^comment = ##334#the hospital; a different hospitalCustom##334#</v>
      </c>
    </row>
    <row r="39" spans="3:3">
      <c r="C39" s="12" t="str">
        <f>IF(EpisodeEvent!L11="*  ..  ##34###34# ##334###334#","//--- END",EpisodeEvent!L11)</f>
        <v>* dateOfEpisode ^comment = ##334#YYYY-MM-DD##334#</v>
      </c>
    </row>
    <row r="40" spans="3:3" ht="44.25">
      <c r="C40" s="12" t="str">
        <f>IF(EpisodeEvent!L12="*  ..  ##34###34# ##334###334#","//--- END",EpisodeEvent!L12)</f>
        <v>* isLocal ^comment = ##334#Yes; No; UnknownYes - 4188539
No -  4188540
Unknown - 4129922##334#</v>
      </c>
    </row>
    <row r="41" spans="3:3" ht="44.25">
      <c r="C41" s="12" t="str">
        <f>IF(EpisodeEvent!L13="*  ..  ##34###34# ##334###334#","//--- END",EpisodeEvent!L13)</f>
        <v>* isRegional ^comment = ##334#Yes; No; UnknownYes - 4188539
No -  4188540
Unknown - 4129922##334#</v>
      </c>
    </row>
    <row r="42" spans="3:3" ht="44.25">
      <c r="C42" s="12" t="str">
        <f>IF(EpisodeEvent!L14="*  ..  ##34###34# ##334###334#","//--- END",EpisodeEvent!L14)</f>
        <v>* isMetastatic ^comment = ##334#Yes; No; UnknownYes - 4188539
No -  4188540
Unknown - 4129922##334#</v>
      </c>
    </row>
    <row r="43" spans="3:3">
      <c r="C43" s="12" t="str">
        <f>IF(EpisodeEvent!L15="*  ..  ##34###34# ##334###334#","//--- END",EpisodeEvent!L15)</f>
        <v/>
      </c>
    </row>
    <row r="44" spans="3:3">
      <c r="C44" s="12" t="str">
        <f>IF(EpisodeEvent!L16="*  ..  ##34###34# ##334###334#","//--- END",EpisodeEvent!L16)</f>
        <v>* siteOfMetastasis.softTissue ^comment = ##334#True; False##334#</v>
      </c>
    </row>
    <row r="45" spans="3:3">
      <c r="C45" s="12" t="str">
        <f>IF(EpisodeEvent!L17="*  ..  ##34###34# ##334###334#","//--- END",EpisodeEvent!L17)</f>
        <v>* siteOfMetastasis.distantLymphNodes ^comment = ##334#True; False##334#</v>
      </c>
    </row>
    <row r="46" spans="3:3">
      <c r="C46" s="12" t="str">
        <f>IF(EpisodeEvent!L18="*  ..  ##34###34# ##334###334#","//--- END",EpisodeEvent!L18)</f>
        <v>* siteOfMetastasis.lung ^comment = ##334#True; False##334#</v>
      </c>
    </row>
    <row r="47" spans="3:3">
      <c r="C47" s="12" t="str">
        <f>IF(EpisodeEvent!L19="*  ..  ##34###34# ##334###334#","//--- END",EpisodeEvent!L19)</f>
        <v>* siteOfMetastasis.bone ^comment = ##334#True; False##334#</v>
      </c>
    </row>
    <row r="48" spans="3:3">
      <c r="C48" s="12" t="str">
        <f>IF(EpisodeEvent!L20="*  ..  ##34###34# ##334###334#","//--- END",EpisodeEvent!L20)</f>
        <v>* siteOfMetastasis.liver ^comment = ##334#True; False##334#</v>
      </c>
    </row>
    <row r="49" spans="3:3">
      <c r="C49" s="12" t="str">
        <f>IF(EpisodeEvent!L21="*  ..  ##34###34# ##334###334#","//--- END",EpisodeEvent!L21)</f>
        <v>* siteOfMetastasis.pleura ^comment = ##334#True; False##334#</v>
      </c>
    </row>
    <row r="50" spans="3:3">
      <c r="C50" s="12" t="str">
        <f>IF(EpisodeEvent!L22="*  ..  ##34###34# ##334###334#","//--- END",EpisodeEvent!L22)</f>
        <v>* siteOfMetastasis.peritoneum ^comment = ##334#True; False##334#</v>
      </c>
    </row>
    <row r="51" spans="3:3">
      <c r="C51" s="12" t="str">
        <f>IF(EpisodeEvent!L23="*  ..  ##34###34# ##334###334#","//--- END",EpisodeEvent!L23)</f>
        <v>* siteOfMetastasis.brain ^comment = ##334#True; False##334#</v>
      </c>
    </row>
    <row r="52" spans="3:3">
      <c r="C52" s="12" t="str">
        <f>IF(EpisodeEvent!L24="*  ..  ##34###34# ##334###334#","//--- END",EpisodeEvent!L24)</f>
        <v>* siteOfMetastasis.otherViscera ^comment = ##334#True; False##334#</v>
      </c>
    </row>
    <row r="53" spans="3:3">
      <c r="C53" s="12" t="str">
        <f>IF(EpisodeEvent!L25="*  ..  ##34###34# ##334###334#","//--- END",EpisodeEvent!L25)</f>
        <v>* siteOfMetastasis.unknown ^comment = ##334#True; False##334#</v>
      </c>
    </row>
    <row r="54" spans="3:3">
      <c r="C54" s="12" t="str">
        <f>IF(EpisodeEvent!L26="*  ..  ##34###34# ##334###334#","//--- END",EpisodeEvent!L26)</f>
        <v>//--- END</v>
      </c>
    </row>
    <row r="55" spans="3:3">
      <c r="C55" s="12" t="str">
        <f>IF(EpisodeEvent!L27="*  ..  ##34###34# ##334###334#","//--- END",EpisodeEvent!L27)</f>
        <v>//--- END</v>
      </c>
    </row>
    <row r="56" spans="3:3">
      <c r="C56" s="12" t="str">
        <f>IF(EpisodeEvent!L28="*  ..  ##34###34# ##334###334#","//--- END",EpisodeEvent!L28)</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1979</v>
      </c>
      <c r="D3" s="62" t="s">
        <v>1769</v>
      </c>
      <c r="E3" s="117" t="str">
        <f>$C$1&amp;EpisodeEvent!B4</f>
        <v>http://hl7.eu/fhir/ig/idea4rc/StructureDefinition/EpisodeEventI4rc</v>
      </c>
    </row>
    <row r="4" spans="1:19">
      <c r="B4" s="62" t="s">
        <v>16</v>
      </c>
      <c r="C4" s="28" t="s">
        <v>1984</v>
      </c>
      <c r="D4" s="62" t="s">
        <v>1770</v>
      </c>
      <c r="E4" s="184" t="s">
        <v>1782</v>
      </c>
      <c r="F4" s="185"/>
      <c r="G4" s="185"/>
    </row>
    <row r="5" spans="1:19">
      <c r="B5" s="62" t="s">
        <v>10</v>
      </c>
      <c r="C5" s="7" t="s">
        <v>1980</v>
      </c>
      <c r="D5" s="62"/>
      <c r="E5" s="7"/>
    </row>
    <row r="6" spans="1:19">
      <c r="B6" s="62" t="s">
        <v>18</v>
      </c>
      <c r="C6" s="56"/>
      <c r="D6" s="62" t="s">
        <v>1771</v>
      </c>
      <c r="E6" s="184" t="str">
        <f>E3</f>
        <v>http://hl7.eu/fhir/ig/idea4rc/StructureDefinition/EpisodeEventI4rc</v>
      </c>
      <c r="F6" s="185"/>
      <c r="G6" s="185"/>
    </row>
    <row r="7" spans="1:19">
      <c r="B7" s="62" t="s">
        <v>15</v>
      </c>
      <c r="C7" s="118"/>
      <c r="D7" s="62" t="s">
        <v>1772</v>
      </c>
      <c r="E7" s="184" t="s">
        <v>1782</v>
      </c>
      <c r="F7" s="185"/>
      <c r="G7" s="185"/>
    </row>
    <row r="8" spans="1:19" ht="45" thickBot="1">
      <c r="B8" s="62" t="s">
        <v>1773</v>
      </c>
      <c r="C8" s="119" t="s">
        <v>1980</v>
      </c>
      <c r="D8" s="62"/>
      <c r="E8" s="7"/>
      <c r="I8" s="12" t="s">
        <v>1402</v>
      </c>
      <c r="J8" s="12" t="s">
        <v>1403</v>
      </c>
      <c r="K8" s="12" t="s">
        <v>1404</v>
      </c>
      <c r="L8" s="12" t="s">
        <v>1405</v>
      </c>
      <c r="M8" s="11" t="s">
        <v>1406</v>
      </c>
      <c r="P8" s="49" t="s">
        <v>1441</v>
      </c>
      <c r="Q8" s="49">
        <v>6</v>
      </c>
    </row>
    <row r="9" spans="1:19" ht="30.25" thickBot="1">
      <c r="B9" s="62" t="s">
        <v>1774</v>
      </c>
      <c r="C9" s="12" t="s">
        <v>1981</v>
      </c>
      <c r="D9" s="143"/>
      <c r="E9" s="186" t="s">
        <v>1990</v>
      </c>
      <c r="F9" s="187"/>
      <c r="G9" s="18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EpisodeEvent!B5</f>
        <v>EpisodeEvent</v>
      </c>
      <c r="C14" s="11"/>
      <c r="D14" s="4" t="s">
        <v>1797</v>
      </c>
      <c r="E14" s="6"/>
      <c r="F14" s="64"/>
      <c r="G14" s="64"/>
      <c r="I14" s="12"/>
      <c r="J14" s="11"/>
      <c r="K14" s="11"/>
      <c r="L14" s="11"/>
      <c r="M14" s="63"/>
      <c r="N14" s="66"/>
    </row>
    <row r="15" spans="1:19" ht="59">
      <c r="A15" s="59"/>
      <c r="B15" s="11" t="str">
        <f>EpisodeEvent!B8</f>
        <v>cancerEpisode</v>
      </c>
      <c r="C15" s="11" t="str">
        <f>EpisodeEvent!C8</f>
        <v>Cancer Episode Reference</v>
      </c>
      <c r="D15" s="12" t="s">
        <v>1970</v>
      </c>
      <c r="E15" s="12"/>
      <c r="F15" s="64" t="s">
        <v>1429</v>
      </c>
      <c r="G15" s="123" t="s">
        <v>1988</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c r="A16" s="59"/>
      <c r="B16" s="11" t="str">
        <f>EpisodeEvent!B8</f>
        <v>cancerEpisode</v>
      </c>
      <c r="C16" s="11" t="str">
        <f>EpisodeEvent!C8</f>
        <v>Cancer Episode Reference</v>
      </c>
      <c r="D16" s="12"/>
      <c r="E16" s="12"/>
      <c r="F16" s="64" t="s">
        <v>1429</v>
      </c>
      <c r="G16" s="123" t="s">
        <v>1989</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c r="A17" s="59"/>
      <c r="B17" s="11" t="str">
        <f>EpisodeEvent!B9</f>
        <v>eventType</v>
      </c>
      <c r="C17" s="11" t="str">
        <f>EpisodeEvent!C9</f>
        <v>Event type</v>
      </c>
      <c r="D17" s="12" t="s">
        <v>1971</v>
      </c>
      <c r="E17" s="12"/>
      <c r="F17" s="64" t="s">
        <v>1407</v>
      </c>
      <c r="G17" s="123" t="s">
        <v>1972</v>
      </c>
      <c r="H17" s="58"/>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c r="A18" s="59"/>
      <c r="B18" s="6" t="str">
        <f>EpisodeEvent!B10</f>
        <v>definedAt</v>
      </c>
      <c r="C18" s="11" t="str">
        <f>EpisodeEvent!C10</f>
        <v>Defined At</v>
      </c>
      <c r="D18" s="12"/>
      <c r="E18" s="12"/>
      <c r="F18" s="120" t="s">
        <v>1407</v>
      </c>
      <c r="G18" s="120" t="s">
        <v>1973</v>
      </c>
      <c r="H18" s="58"/>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c r="A19" s="59"/>
      <c r="B19" s="11" t="str">
        <f>EpisodeEvent!B11</f>
        <v>dateOfEpisode</v>
      </c>
      <c r="C19" s="11" t="str">
        <f>EpisodeEvent!C11</f>
        <v>Date of episode</v>
      </c>
      <c r="D19" s="12" t="s">
        <v>1974</v>
      </c>
      <c r="E19" s="12"/>
      <c r="F19" s="64" t="s">
        <v>1430</v>
      </c>
      <c r="G19" s="64"/>
      <c r="H19" s="58"/>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c r="A20" s="59"/>
      <c r="B20" s="11" t="str">
        <f>EpisodeEvent!B12</f>
        <v>isLocal</v>
      </c>
      <c r="C20" s="11" t="str">
        <f>EpisodeEvent!C12</f>
        <v>Is local</v>
      </c>
      <c r="D20" s="12" t="s">
        <v>1975</v>
      </c>
      <c r="E20" s="12"/>
      <c r="F20" s="64" t="s">
        <v>1407</v>
      </c>
      <c r="G20" s="142" t="s">
        <v>1976</v>
      </c>
      <c r="H20" s="58"/>
      <c r="I20" s="12" t="str">
        <f t="shared" si="15"/>
        <v>* group[=].element[+].code = #EpisodeEvent.isLocal</v>
      </c>
      <c r="J20" s="12" t="str">
        <f t="shared" si="16"/>
        <v>* group[=].element[=].display = ##34#Is local##34#</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c r="A21" s="59"/>
      <c r="B21" s="11" t="str">
        <f>EpisodeEvent!B13</f>
        <v>isRegional</v>
      </c>
      <c r="C21" s="11" t="str">
        <f>EpisodeEvent!C13</f>
        <v>Is regional</v>
      </c>
      <c r="D21" s="12" t="s">
        <v>1975</v>
      </c>
      <c r="E21" s="12"/>
      <c r="F21" s="64" t="s">
        <v>1407</v>
      </c>
      <c r="G21" s="142" t="s">
        <v>1976</v>
      </c>
      <c r="H21" s="58"/>
      <c r="I21" s="12" t="str">
        <f t="shared" si="15"/>
        <v>* group[=].element[+].code = #EpisodeEvent.isRegional</v>
      </c>
      <c r="J21" s="12" t="str">
        <f t="shared" si="16"/>
        <v>* group[=].element[=].display = ##34#Is regional##34#</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c r="A22" s="59"/>
      <c r="B22" s="11" t="str">
        <f>EpisodeEvent!B14</f>
        <v>isMetastatic</v>
      </c>
      <c r="C22" s="11" t="str">
        <f>EpisodeEvent!C14</f>
        <v>Is metastatic</v>
      </c>
      <c r="D22" s="12" t="s">
        <v>1975</v>
      </c>
      <c r="E22" s="12"/>
      <c r="F22" s="64" t="s">
        <v>1407</v>
      </c>
      <c r="G22" s="142" t="s">
        <v>1976</v>
      </c>
      <c r="H22" s="58"/>
      <c r="I22" s="12" t="str">
        <f t="shared" si="15"/>
        <v>* group[=].element[+].code = #EpisodeEvent.isMetastatic</v>
      </c>
      <c r="J22" s="12" t="str">
        <f t="shared" si="16"/>
        <v>* group[=].element[=].display = ##34#Is metastatic##34#</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c r="A23" s="59"/>
      <c r="B23" s="11" t="str">
        <f>EpisodeEvent!B15</f>
        <v>siteOfMetastasis</v>
      </c>
      <c r="C23" s="11" t="str">
        <f>EpisodeEvent!C15</f>
        <v>Site of metastasis</v>
      </c>
      <c r="D23" s="12" t="s">
        <v>1977</v>
      </c>
      <c r="E23" s="11"/>
      <c r="F23" s="64" t="s">
        <v>1407</v>
      </c>
      <c r="G23" s="123" t="s">
        <v>1978</v>
      </c>
      <c r="H23" s="58"/>
      <c r="I23" s="12" t="str">
        <f t="shared" si="15"/>
        <v>* group[=].element[+].code = #EpisodeEvent.siteOfMetastasis</v>
      </c>
      <c r="J23" s="12" t="str">
        <f t="shared" si="16"/>
        <v>* group[=].element[=].display = ##34#Site of metastasis##34#</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c r="A24" s="59"/>
      <c r="B24" s="11" t="str">
        <f>EpisodeEvent!B16</f>
        <v>siteOfMetastasis.softTissue</v>
      </c>
      <c r="C24" s="11" t="str">
        <f>EpisodeEvent!C16</f>
        <v>Site of metastasis_soft tissue</v>
      </c>
      <c r="D24" s="12" t="s">
        <v>1977</v>
      </c>
      <c r="E24" s="11"/>
      <c r="F24" s="64" t="s">
        <v>1407</v>
      </c>
      <c r="G24" s="64"/>
      <c r="H24" s="58"/>
      <c r="I24" s="12" t="str">
        <f t="shared" si="15"/>
        <v>* group[=].element[+].code = #EpisodeEvent.siteOfMetastasis.softTissue</v>
      </c>
      <c r="J24" s="12" t="str">
        <f t="shared" si="16"/>
        <v>* group[=].element[=].display = ##34#Site of metastasis_soft tissue##34#</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c r="A25" s="59"/>
      <c r="B25" s="11" t="str">
        <f>EpisodeEvent!B17</f>
        <v>siteOfMetastasis.distantLymphNodes</v>
      </c>
      <c r="C25" s="11" t="str">
        <f>EpisodeEvent!C17</f>
        <v>Site of metastasis_distant lymph nodes</v>
      </c>
      <c r="D25" s="12" t="s">
        <v>1977</v>
      </c>
      <c r="E25" s="11"/>
      <c r="F25" s="64" t="s">
        <v>1407</v>
      </c>
      <c r="G25" s="64"/>
      <c r="H25" s="58"/>
      <c r="I25" s="12" t="str">
        <f t="shared" si="15"/>
        <v>* group[=].element[+].code = #EpisodeEvent.siteOfMetastasis.distantLymphNodes</v>
      </c>
      <c r="J25" s="12" t="str">
        <f t="shared" si="16"/>
        <v>* group[=].element[=].display = ##34#Site of metastasis_distant lymph nodes##34#</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c r="A26" s="59"/>
      <c r="B26" s="11" t="str">
        <f>EpisodeEvent!B18</f>
        <v>siteOfMetastasis.lung</v>
      </c>
      <c r="C26" s="11" t="str">
        <f>EpisodeEvent!C18</f>
        <v>Site of metastasis_lung</v>
      </c>
      <c r="D26" s="12" t="s">
        <v>1977</v>
      </c>
      <c r="E26" s="12"/>
      <c r="F26" s="64" t="s">
        <v>1407</v>
      </c>
      <c r="G26" s="64"/>
      <c r="H26" s="58"/>
      <c r="I26" s="12" t="str">
        <f t="shared" si="15"/>
        <v>* group[=].element[+].code = #EpisodeEvent.siteOfMetastasis.lung</v>
      </c>
      <c r="J26" s="12" t="str">
        <f t="shared" si="16"/>
        <v>* group[=].element[=].display = ##34#Site of metastasis_lung##34#</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c r="A27" s="59"/>
      <c r="B27" s="11" t="str">
        <f>EpisodeEvent!B19</f>
        <v>siteOfMetastasis.bone</v>
      </c>
      <c r="C27" s="11" t="str">
        <f>EpisodeEvent!C19</f>
        <v>Site of metastasis_bone</v>
      </c>
      <c r="D27" s="12" t="s">
        <v>1977</v>
      </c>
      <c r="E27" s="12"/>
      <c r="F27" s="64" t="s">
        <v>1407</v>
      </c>
      <c r="G27" s="64"/>
      <c r="H27" s="58"/>
      <c r="I27" s="12" t="str">
        <f t="shared" si="15"/>
        <v>* group[=].element[+].code = #EpisodeEvent.siteOfMetastasis.bone</v>
      </c>
      <c r="J27" s="12" t="str">
        <f t="shared" si="16"/>
        <v>* group[=].element[=].display = ##34#Site of metastasis_bone##34#</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c r="B28" s="11" t="str">
        <f>EpisodeEvent!B20</f>
        <v>siteOfMetastasis.liver</v>
      </c>
      <c r="C28" s="11" t="str">
        <f>EpisodeEvent!C20</f>
        <v>Site of metastasis_liver</v>
      </c>
      <c r="D28" s="12" t="s">
        <v>1977</v>
      </c>
      <c r="E28" s="12"/>
      <c r="F28" s="64" t="s">
        <v>1407</v>
      </c>
      <c r="G28" s="64"/>
      <c r="H28" s="58"/>
      <c r="I28" s="12" t="str">
        <f t="shared" si="15"/>
        <v>* group[=].element[+].code = #EpisodeEvent.siteOfMetastasis.liver</v>
      </c>
      <c r="J28" s="12" t="str">
        <f t="shared" si="16"/>
        <v>* group[=].element[=].display = ##34#Site of metastasis_liver##34#</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c r="B29" s="11" t="str">
        <f>EpisodeEvent!B21</f>
        <v>siteOfMetastasis.pleura</v>
      </c>
      <c r="C29" s="11" t="str">
        <f>EpisodeEvent!C21</f>
        <v>Site of metastasis_pleura</v>
      </c>
      <c r="D29" s="12" t="s">
        <v>1977</v>
      </c>
      <c r="E29" s="12"/>
      <c r="F29" s="64" t="s">
        <v>1407</v>
      </c>
      <c r="G29" s="64"/>
      <c r="H29" s="58"/>
      <c r="I29" s="12" t="str">
        <f t="shared" si="15"/>
        <v>* group[=].element[+].code = #EpisodeEvent.siteOfMetastasis.pleura</v>
      </c>
      <c r="J29" s="12" t="str">
        <f t="shared" si="16"/>
        <v>* group[=].element[=].display = ##34#Site of metastasis_pleura##34#</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c r="B30" s="11" t="str">
        <f>EpisodeEvent!B22</f>
        <v>siteOfMetastasis.peritoneum</v>
      </c>
      <c r="C30" s="11" t="str">
        <f>EpisodeEvent!C22</f>
        <v>Site of metastasis_peritoneum</v>
      </c>
      <c r="D30" s="12" t="s">
        <v>1977</v>
      </c>
      <c r="E30" s="12"/>
      <c r="F30" s="64" t="s">
        <v>1407</v>
      </c>
      <c r="G30" s="64"/>
      <c r="H30" s="58"/>
      <c r="I30" s="12" t="str">
        <f t="shared" si="15"/>
        <v>* group[=].element[+].code = #EpisodeEvent.siteOfMetastasis.peritoneum</v>
      </c>
      <c r="J30" s="12" t="str">
        <f t="shared" si="16"/>
        <v>* group[=].element[=].display = ##34#Site of metastasis_peritoneum##34#</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c r="B31" s="11" t="str">
        <f>EpisodeEvent!B23</f>
        <v>siteOfMetastasis.brain</v>
      </c>
      <c r="C31" s="11" t="str">
        <f>EpisodeEvent!C23</f>
        <v>Site of  metastasis_brain</v>
      </c>
      <c r="D31" s="12" t="s">
        <v>1977</v>
      </c>
      <c r="E31" s="12"/>
      <c r="F31" s="64" t="s">
        <v>1407</v>
      </c>
      <c r="G31" s="64"/>
      <c r="H31" s="58"/>
      <c r="I31" s="12" t="str">
        <f t="shared" si="15"/>
        <v>* group[=].element[+].code = #EpisodeEvent.siteOfMetastasis.brain</v>
      </c>
      <c r="J31" s="12" t="str">
        <f t="shared" si="16"/>
        <v>* group[=].element[=].display = ##34#Site of  metastasis_brain##34#</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c r="B32" s="11" t="str">
        <f>EpisodeEvent!B24</f>
        <v>siteOfMetastasis.otherViscera</v>
      </c>
      <c r="C32" s="11" t="str">
        <f>EpisodeEvent!C24</f>
        <v>Site of  metastasis_other viscera</v>
      </c>
      <c r="D32" s="12" t="s">
        <v>1977</v>
      </c>
      <c r="E32" s="12"/>
      <c r="F32" s="64" t="s">
        <v>1407</v>
      </c>
      <c r="G32" s="64"/>
      <c r="H32" s="58"/>
      <c r="I32" s="12" t="str">
        <f t="shared" si="15"/>
        <v>* group[=].element[+].code = #EpisodeEvent.siteOfMetastasis.otherViscera</v>
      </c>
      <c r="J32" s="12" t="str">
        <f t="shared" si="16"/>
        <v>* group[=].element[=].display = ##34#Site of  metastasis_other viscera##34#</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c r="B33" s="11" t="str">
        <f>EpisodeEvent!B25</f>
        <v>siteOfMetastasis.unknown</v>
      </c>
      <c r="C33" s="11" t="str">
        <f>EpisodeEvent!C25</f>
        <v>Site of  metastasis_unknown</v>
      </c>
      <c r="D33" s="12" t="s">
        <v>1977</v>
      </c>
      <c r="E33" s="12"/>
      <c r="F33" s="64" t="s">
        <v>1407</v>
      </c>
      <c r="G33" s="64"/>
      <c r="H33" s="58"/>
      <c r="I33" s="12" t="str">
        <f t="shared" si="15"/>
        <v>* group[=].element[+].code = #EpisodeEvent.siteOfMetastasis.unknown</v>
      </c>
      <c r="J33" s="12" t="str">
        <f t="shared" si="16"/>
        <v>* group[=].element[=].display = ##34#Site of  metastasis_unknown##34#</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c r="B38" s="11"/>
      <c r="C38" s="11"/>
      <c r="D38" s="12"/>
      <c r="E38" s="12"/>
      <c r="F38" s="64"/>
      <c r="G38" s="64"/>
      <c r="H38" s="58"/>
      <c r="K38" s="58"/>
      <c r="L38" s="58"/>
      <c r="M38" s="66"/>
      <c r="N38" s="66"/>
      <c r="P38" s="11">
        <v>24</v>
      </c>
      <c r="Q38" s="11">
        <f t="shared" si="13"/>
        <v>3</v>
      </c>
      <c r="R38" s="11">
        <f t="shared" si="14"/>
        <v>6</v>
      </c>
      <c r="S38" s="12" t="str" cm="1">
        <f t="array" ref="S38">INDEX('EpisodeEvent-ConceptMap-1'!$I$15:$N$124,Q38+1,R38)</f>
        <v>* group[=].element[=].target.comment = ##34#CONCEPT TO BE CLARIFIED##34#</v>
      </c>
    </row>
    <row r="39" spans="1:19">
      <c r="B39" s="11"/>
      <c r="C39" s="11"/>
      <c r="D39" s="12"/>
      <c r="E39" s="12"/>
      <c r="F39" s="64"/>
      <c r="G39" s="64"/>
      <c r="H39" s="58"/>
      <c r="K39" s="58"/>
      <c r="L39" s="58"/>
      <c r="M39" s="66"/>
      <c r="N39" s="66"/>
      <c r="P39" s="11">
        <v>25</v>
      </c>
      <c r="Q39" s="11">
        <f t="shared" si="13"/>
        <v>4</v>
      </c>
      <c r="R39" s="11">
        <f t="shared" si="14"/>
        <v>1</v>
      </c>
      <c r="S39" s="12" t="str" cm="1">
        <f t="array" ref="S39">INDEX('EpisodeEvent-ConceptMap-1'!$I$15:$N$124,Q39+1,R39)</f>
        <v>* group[=].element[+].code = #EpisodeEvent.dateOfEpisode</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INDEX('EpisodeEvent-ConceptMap-1'!$I$15:$N$124,Q40+1,R40)</f>
        <v>* group[=].element[=].display = ##34#Date of episode##34#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INDEX('EpisodeEvent-ConceptMap-1'!$I$15:$N$124,Q41+1,R41)</f>
        <v>* group[=].element[=].target.code = #Condition.effectivePeriod.start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INDEX('EpisodeEvent-ConceptMap-1'!$I$15:$N$124,Q42+1,R42)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INDEX('EpisodeEvent-ConceptMap-1'!$I$15:$N$124,Q43+1,R43)</f>
        <v>* group[=].element[=].target.equivalence = #equal</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INDEX('EpisodeEvent-ConceptMap-1'!$I$15:$N$124,Q44+1,R44)</f>
        <v/>
      </c>
    </row>
    <row r="45" spans="1:19">
      <c r="B45" s="11"/>
      <c r="C45" s="11"/>
      <c r="P45" s="11">
        <v>31</v>
      </c>
      <c r="Q45" s="11">
        <f t="shared" si="13"/>
        <v>5</v>
      </c>
      <c r="R45" s="11">
        <f t="shared" si="14"/>
        <v>1</v>
      </c>
      <c r="S45" s="12" t="str" cm="1">
        <f t="array" ref="S45">INDEX('EpisodeEvent-ConceptMap-1'!$I$15:$N$124,Q45+1,R45)</f>
        <v>* group[=].element[+].code = #EpisodeEvent.isLocal</v>
      </c>
    </row>
    <row r="46" spans="1:19">
      <c r="B46" s="11"/>
      <c r="C46" s="11"/>
      <c r="P46" s="11">
        <v>32</v>
      </c>
      <c r="Q46" s="11">
        <f t="shared" si="13"/>
        <v>5</v>
      </c>
      <c r="R46" s="11">
        <f t="shared" si="14"/>
        <v>2</v>
      </c>
      <c r="S46" s="12" t="str" cm="1">
        <f t="array" ref="S46">INDEX('EpisodeEvent-ConceptMap-1'!$I$15:$N$124,Q46+1,R46)</f>
        <v>* group[=].element[=].display = ##34#Is local##34#</v>
      </c>
    </row>
    <row r="47" spans="1:19">
      <c r="P47" s="11">
        <v>33</v>
      </c>
      <c r="Q47" s="11">
        <f t="shared" si="13"/>
        <v>5</v>
      </c>
      <c r="R47" s="11">
        <f t="shared" si="14"/>
        <v>3</v>
      </c>
      <c r="S47" s="12" t="str" cm="1">
        <f t="array" ref="S47">INDEX('EpisodeEvent-ConceptMap-1'!$I$15:$N$124,Q47+1,R47)</f>
        <v>* group[=].element[=].target.code = #Condition.extension:relapseType</v>
      </c>
    </row>
    <row r="48" spans="1:19">
      <c r="P48" s="11">
        <v>34</v>
      </c>
      <c r="Q48" s="11">
        <f t="shared" si="13"/>
        <v>5</v>
      </c>
      <c r="R48" s="11">
        <f t="shared" si="14"/>
        <v>4</v>
      </c>
      <c r="S48" s="12" t="str" cm="1">
        <f t="array" ref="S48">INDEX('EpisodeEvent-ConceptMap-1'!$I$15:$N$124,Q48+1,R48)</f>
        <v>* group[=].element[=].target.display = ##34###34#</v>
      </c>
    </row>
    <row r="49" spans="16:19">
      <c r="P49" s="11">
        <v>35</v>
      </c>
      <c r="Q49" s="11">
        <f t="shared" si="13"/>
        <v>5</v>
      </c>
      <c r="R49" s="11">
        <f t="shared" si="14"/>
        <v>5</v>
      </c>
      <c r="S49" s="12" t="str" cm="1">
        <f t="array" ref="S49">INDEX('EpisodeEvent-ConceptMap-1'!$I$15:$N$124,Q49+1,R49)</f>
        <v>* group[=].element[=].target.equivalence = #relatedto</v>
      </c>
    </row>
    <row r="50" spans="16:19">
      <c r="P50" s="11">
        <v>36</v>
      </c>
      <c r="Q50" s="11">
        <f t="shared" si="13"/>
        <v>5</v>
      </c>
      <c r="R50" s="11">
        <f t="shared" si="14"/>
        <v>6</v>
      </c>
      <c r="S50" s="12" t="str" cm="1">
        <f t="array" ref="S50">INDEX('EpisodeEvent-ConceptMap-1'!$I$15:$N$124,Q50+1,R50)</f>
        <v>* group[=].element[=].target.comment = ##34#to be further analized##34#</v>
      </c>
    </row>
    <row r="51" spans="16:19">
      <c r="P51" s="11">
        <v>37</v>
      </c>
      <c r="Q51" s="11">
        <f t="shared" si="13"/>
        <v>6</v>
      </c>
      <c r="R51" s="11">
        <f t="shared" si="14"/>
        <v>1</v>
      </c>
      <c r="S51" s="12" t="str" cm="1">
        <f t="array" ref="S51">INDEX('EpisodeEvent-ConceptMap-1'!$I$15:$N$124,Q51+1,R51)</f>
        <v>* group[=].element[+].code = #EpisodeEvent.isRegional</v>
      </c>
    </row>
    <row r="52" spans="16:19">
      <c r="P52" s="11">
        <v>38</v>
      </c>
      <c r="Q52" s="11">
        <f t="shared" si="13"/>
        <v>6</v>
      </c>
      <c r="R52" s="11">
        <f t="shared" si="14"/>
        <v>2</v>
      </c>
      <c r="S52" s="12" t="str" cm="1">
        <f t="array" ref="S52">INDEX('EpisodeEvent-ConceptMap-1'!$I$15:$N$124,Q52+1,R52)</f>
        <v>* group[=].element[=].display = ##34#Is regional##34#</v>
      </c>
    </row>
    <row r="53" spans="16:19">
      <c r="P53" s="11">
        <v>39</v>
      </c>
      <c r="Q53" s="11">
        <f t="shared" si="13"/>
        <v>6</v>
      </c>
      <c r="R53" s="11">
        <f t="shared" si="14"/>
        <v>3</v>
      </c>
      <c r="S53" s="12" t="str" cm="1">
        <f t="array" ref="S53">INDEX('EpisodeEvent-ConceptMap-1'!$I$15:$N$124,Q53+1,R53)</f>
        <v>* group[=].element[=].target.code = #Condition.extension:relapseType</v>
      </c>
    </row>
    <row r="54" spans="16:19">
      <c r="P54" s="11">
        <v>40</v>
      </c>
      <c r="Q54" s="11">
        <f t="shared" si="13"/>
        <v>6</v>
      </c>
      <c r="R54" s="11">
        <f t="shared" si="14"/>
        <v>4</v>
      </c>
      <c r="S54" s="12" t="str" cm="1">
        <f t="array" ref="S54">INDEX('EpisodeEvent-ConceptMap-1'!$I$15:$N$124,Q54+1,R54)</f>
        <v>* group[=].element[=].target.display = ##34###34#</v>
      </c>
    </row>
    <row r="55" spans="16:19">
      <c r="P55" s="11">
        <v>41</v>
      </c>
      <c r="Q55" s="11">
        <f t="shared" si="13"/>
        <v>6</v>
      </c>
      <c r="R55" s="11">
        <f t="shared" si="14"/>
        <v>5</v>
      </c>
      <c r="S55" s="12" t="str" cm="1">
        <f t="array" ref="S55">INDEX('EpisodeEvent-ConceptMap-1'!$I$15:$N$124,Q55+1,R55)</f>
        <v>* group[=].element[=].target.equivalence = #relatedto</v>
      </c>
    </row>
    <row r="56" spans="16:19">
      <c r="P56" s="11">
        <v>42</v>
      </c>
      <c r="Q56" s="11">
        <f t="shared" si="13"/>
        <v>6</v>
      </c>
      <c r="R56" s="11">
        <f t="shared" si="14"/>
        <v>6</v>
      </c>
      <c r="S56" s="12" t="str" cm="1">
        <f t="array" ref="S56">INDEX('EpisodeEvent-ConceptMap-1'!$I$15:$N$124,Q56+1,R56)</f>
        <v>* group[=].element[=].target.comment = ##34#to be further analized##34#</v>
      </c>
    </row>
    <row r="57" spans="16:19">
      <c r="P57" s="11">
        <v>43</v>
      </c>
      <c r="Q57" s="11">
        <f t="shared" si="13"/>
        <v>7</v>
      </c>
      <c r="R57" s="11">
        <f t="shared" si="14"/>
        <v>1</v>
      </c>
      <c r="S57" s="12" t="str" cm="1">
        <f t="array" ref="S57">INDEX('EpisodeEvent-ConceptMap-1'!$I$15:$N$124,Q57+1,R57)</f>
        <v>* group[=].element[+].code = #EpisodeEvent.isMetastatic</v>
      </c>
    </row>
    <row r="58" spans="16:19">
      <c r="P58" s="11">
        <v>44</v>
      </c>
      <c r="Q58" s="11">
        <f t="shared" si="13"/>
        <v>7</v>
      </c>
      <c r="R58" s="11">
        <f t="shared" si="14"/>
        <v>2</v>
      </c>
      <c r="S58" s="12" t="str" cm="1">
        <f t="array" ref="S58">INDEX('EpisodeEvent-ConceptMap-1'!$I$15:$N$124,Q58+1,R58)</f>
        <v>* group[=].element[=].display = ##34#Is metastatic##34#</v>
      </c>
    </row>
    <row r="59" spans="16:19">
      <c r="P59" s="11">
        <v>45</v>
      </c>
      <c r="Q59" s="11">
        <f t="shared" si="13"/>
        <v>7</v>
      </c>
      <c r="R59" s="11">
        <f t="shared" si="14"/>
        <v>3</v>
      </c>
      <c r="S59" s="12" t="str" cm="1">
        <f t="array" ref="S59">INDEX('EpisodeEvent-ConceptMap-1'!$I$15:$N$124,Q59+1,R59)</f>
        <v>* group[=].element[=].target.code = #Condition.extension:relapseType</v>
      </c>
    </row>
    <row r="60" spans="16:19">
      <c r="P60" s="11">
        <v>46</v>
      </c>
      <c r="Q60" s="11">
        <f t="shared" si="13"/>
        <v>7</v>
      </c>
      <c r="R60" s="11">
        <f t="shared" si="14"/>
        <v>4</v>
      </c>
      <c r="S60" s="12" t="str" cm="1">
        <f t="array" ref="S60">INDEX('EpisodeEvent-ConceptMap-1'!$I$15:$N$124,Q60+1,R60)</f>
        <v>* group[=].element[=].target.display = ##34###34#</v>
      </c>
    </row>
    <row r="61" spans="16:19">
      <c r="P61" s="11">
        <v>47</v>
      </c>
      <c r="Q61" s="11">
        <f t="shared" si="13"/>
        <v>7</v>
      </c>
      <c r="R61" s="11">
        <f t="shared" si="14"/>
        <v>5</v>
      </c>
      <c r="S61" s="12" t="str" cm="1">
        <f t="array" ref="S61">INDEX('EpisodeEvent-ConceptMap-1'!$I$15:$N$124,Q61+1,R61)</f>
        <v>* group[=].element[=].target.equivalence = #relatedto</v>
      </c>
    </row>
    <row r="62" spans="16:19">
      <c r="P62" s="11">
        <v>48</v>
      </c>
      <c r="Q62" s="11">
        <f t="shared" si="13"/>
        <v>7</v>
      </c>
      <c r="R62" s="11">
        <f t="shared" si="14"/>
        <v>6</v>
      </c>
      <c r="S62" s="12" t="str" cm="1">
        <f t="array" ref="S62">INDEX('EpisodeEvent-ConceptMap-1'!$I$15:$N$124,Q62+1,R62)</f>
        <v>* group[=].element[=].target.comment = ##34#to be further analized##34#</v>
      </c>
    </row>
    <row r="63" spans="16:19">
      <c r="P63" s="11">
        <v>49</v>
      </c>
      <c r="Q63" s="11">
        <f t="shared" si="13"/>
        <v>8</v>
      </c>
      <c r="R63" s="11">
        <f t="shared" si="14"/>
        <v>1</v>
      </c>
      <c r="S63" s="12" t="str" cm="1">
        <f t="array" ref="S63">INDEX('EpisodeEvent-ConceptMap-1'!$I$15:$N$124,Q63+1,R63)</f>
        <v>* group[=].element[+].code = #EpisodeEvent.siteOfMetastasis</v>
      </c>
    </row>
    <row r="64" spans="16:19">
      <c r="P64" s="11">
        <v>50</v>
      </c>
      <c r="Q64" s="11">
        <f t="shared" si="13"/>
        <v>8</v>
      </c>
      <c r="R64" s="11">
        <f t="shared" si="14"/>
        <v>2</v>
      </c>
      <c r="S64" s="12" t="str" cm="1">
        <f t="array" ref="S64">INDEX('EpisodeEvent-ConceptMap-1'!$I$15:$N$124,Q64+1,R64)</f>
        <v>* group[=].element[=].display = ##34#Site of metastasis##34#</v>
      </c>
    </row>
    <row r="65" spans="16:19">
      <c r="P65" s="11">
        <v>51</v>
      </c>
      <c r="Q65" s="11">
        <f t="shared" si="13"/>
        <v>8</v>
      </c>
      <c r="R65" s="11">
        <f t="shared" si="14"/>
        <v>3</v>
      </c>
      <c r="S65" s="12" t="str" cm="1">
        <f t="array" ref="S65">INDEX('EpisodeEvent-ConceptMap-1'!$I$15:$N$124,Q65+1,R65)</f>
        <v>* group[=].element[=].target.code = #Condition.bodySite</v>
      </c>
    </row>
    <row r="66" spans="16:19">
      <c r="P66" s="11">
        <v>52</v>
      </c>
      <c r="Q66" s="11">
        <f t="shared" si="13"/>
        <v>8</v>
      </c>
      <c r="R66" s="11">
        <f t="shared" si="14"/>
        <v>4</v>
      </c>
      <c r="S66" s="12" t="str" cm="1">
        <f t="array" ref="S66">INDEX('EpisodeEvent-ConceptMap-1'!$I$15:$N$124,Q66+1,R66)</f>
        <v>* group[=].element[=].target.display = ##34###34#</v>
      </c>
    </row>
    <row r="67" spans="16:19">
      <c r="P67" s="11">
        <v>53</v>
      </c>
      <c r="Q67" s="11">
        <f t="shared" si="13"/>
        <v>8</v>
      </c>
      <c r="R67" s="11">
        <f t="shared" si="14"/>
        <v>5</v>
      </c>
      <c r="S67" s="12" t="str" cm="1">
        <f t="array" ref="S67">INDEX('EpisodeEvent-ConceptMap-1'!$I$15:$N$124,Q67+1,R67)</f>
        <v>* group[=].element[=].target.equivalence = #relatedto</v>
      </c>
    </row>
    <row r="68" spans="16:19" ht="44.2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c r="P69" s="11">
        <v>55</v>
      </c>
      <c r="Q69" s="11">
        <f t="shared" si="13"/>
        <v>9</v>
      </c>
      <c r="R69" s="11">
        <f t="shared" si="14"/>
        <v>1</v>
      </c>
      <c r="S69" s="12" t="str" cm="1">
        <f t="array" ref="S69">INDEX('EpisodeEvent-ConceptMap-1'!$I$15:$N$124,Q69+1,R69)</f>
        <v>* group[=].element[+].code = #EpisodeEvent.siteOfMetastasis.softTissue</v>
      </c>
    </row>
    <row r="70" spans="16:19">
      <c r="P70" s="11">
        <v>56</v>
      </c>
      <c r="Q70" s="11">
        <f t="shared" si="13"/>
        <v>9</v>
      </c>
      <c r="R70" s="11">
        <f t="shared" si="14"/>
        <v>2</v>
      </c>
      <c r="S70" s="12" t="str" cm="1">
        <f t="array" ref="S70">INDEX('EpisodeEvent-ConceptMap-1'!$I$15:$N$124,Q70+1,R70)</f>
        <v>* group[=].element[=].display = ##34#Site of metastasis_soft tissue##34#</v>
      </c>
    </row>
    <row r="71" spans="16:19">
      <c r="P71" s="11">
        <v>57</v>
      </c>
      <c r="Q71" s="11">
        <f t="shared" si="13"/>
        <v>9</v>
      </c>
      <c r="R71" s="11">
        <f t="shared" si="14"/>
        <v>3</v>
      </c>
      <c r="S71" s="12" t="str" cm="1">
        <f t="array" ref="S71">INDEX('EpisodeEvent-ConceptMap-1'!$I$15:$N$124,Q71+1,R71)</f>
        <v>* group[=].element[=].target.code = #Condition.bodySite</v>
      </c>
    </row>
    <row r="72" spans="16:19">
      <c r="P72" s="11">
        <v>58</v>
      </c>
      <c r="Q72" s="11">
        <f t="shared" si="13"/>
        <v>9</v>
      </c>
      <c r="R72" s="11">
        <f t="shared" si="14"/>
        <v>4</v>
      </c>
      <c r="S72" s="12" t="str" cm="1">
        <f t="array" ref="S72">INDEX('EpisodeEvent-ConceptMap-1'!$I$15:$N$124,Q72+1,R72)</f>
        <v>* group[=].element[=].target.display = ##34###34#</v>
      </c>
    </row>
    <row r="73" spans="16:19">
      <c r="P73" s="11">
        <v>59</v>
      </c>
      <c r="Q73" s="11">
        <f t="shared" si="13"/>
        <v>9</v>
      </c>
      <c r="R73" s="11">
        <f t="shared" si="14"/>
        <v>5</v>
      </c>
      <c r="S73" s="12" t="str" cm="1">
        <f t="array" ref="S73">INDEX('EpisodeEvent-ConceptMap-1'!$I$15:$N$124,Q73+1,R73)</f>
        <v>* group[=].element[=].target.equivalence = #relatedto</v>
      </c>
    </row>
    <row r="74" spans="16:19">
      <c r="P74" s="11">
        <v>60</v>
      </c>
      <c r="Q74" s="11">
        <f t="shared" si="13"/>
        <v>9</v>
      </c>
      <c r="R74" s="11">
        <f t="shared" si="14"/>
        <v>6</v>
      </c>
      <c r="S74" s="12" t="str" cm="1">
        <f t="array" ref="S74">INDEX('EpisodeEvent-ConceptMap-1'!$I$15:$N$124,Q74+1,R74)</f>
        <v/>
      </c>
    </row>
    <row r="75" spans="16:19">
      <c r="P75" s="11">
        <v>61</v>
      </c>
      <c r="Q75" s="11">
        <f t="shared" si="13"/>
        <v>10</v>
      </c>
      <c r="R75" s="11">
        <f t="shared" si="14"/>
        <v>1</v>
      </c>
      <c r="S75" s="12" t="str" cm="1">
        <f t="array" ref="S75">INDEX('EpisodeEvent-ConceptMap-1'!$I$15:$N$124,Q75+1,R75)</f>
        <v>* group[=].element[+].code = #EpisodeEvent.siteOfMetastasis.distantLymphNodes</v>
      </c>
    </row>
    <row r="76" spans="16:19">
      <c r="P76" s="11">
        <v>62</v>
      </c>
      <c r="Q76" s="11">
        <f t="shared" si="13"/>
        <v>10</v>
      </c>
      <c r="R76" s="11">
        <f t="shared" si="14"/>
        <v>2</v>
      </c>
      <c r="S76" s="12" t="str" cm="1">
        <f t="array" ref="S76">INDEX('EpisodeEvent-ConceptMap-1'!$I$15:$N$124,Q76+1,R76)</f>
        <v>* group[=].element[=].display = ##34#Site of metastasis_distant lymph nodes##34#</v>
      </c>
    </row>
    <row r="77" spans="16:19">
      <c r="P77" s="11">
        <v>63</v>
      </c>
      <c r="Q77" s="11">
        <f t="shared" si="13"/>
        <v>10</v>
      </c>
      <c r="R77" s="11">
        <f t="shared" si="14"/>
        <v>3</v>
      </c>
      <c r="S77" s="12" t="str" cm="1">
        <f t="array" ref="S77">INDEX('EpisodeEvent-ConceptMap-1'!$I$15:$N$124,Q77+1,R77)</f>
        <v>* group[=].element[=].target.code = #Condition.bodySite</v>
      </c>
    </row>
    <row r="78" spans="16:19">
      <c r="P78" s="11">
        <v>64</v>
      </c>
      <c r="Q78" s="11">
        <f t="shared" si="13"/>
        <v>10</v>
      </c>
      <c r="R78" s="11">
        <f t="shared" si="14"/>
        <v>4</v>
      </c>
      <c r="S78" s="12" t="str" cm="1">
        <f t="array" ref="S78">INDEX('EpisodeEvent-ConceptMap-1'!$I$15:$N$124,Q78+1,R78)</f>
        <v>* group[=].element[=].target.display = ##34###34#</v>
      </c>
    </row>
    <row r="79" spans="16:19">
      <c r="P79" s="11">
        <v>65</v>
      </c>
      <c r="Q79" s="11">
        <f t="shared" si="13"/>
        <v>10</v>
      </c>
      <c r="R79" s="11">
        <f t="shared" si="14"/>
        <v>5</v>
      </c>
      <c r="S79" s="12" t="str" cm="1">
        <f t="array" ref="S79">INDEX('EpisodeEvent-ConceptMap-1'!$I$15:$N$124,Q79+1,R79)</f>
        <v>* group[=].element[=].target.equivalence = #relatedto</v>
      </c>
    </row>
    <row r="80" spans="16:19">
      <c r="P80" s="11">
        <v>66</v>
      </c>
      <c r="Q80" s="11">
        <f t="shared" ref="Q80:Q126" si="21">IF(MOD(P80,$Q$8)=0,P80/$Q$8-1,INT(P80/$Q$8))</f>
        <v>10</v>
      </c>
      <c r="R80" s="11">
        <f t="shared" ref="R80:R126" si="22">IF(MOD(P80,$Q$8)=0,$Q$8,MOD(P80,$Q$8))</f>
        <v>6</v>
      </c>
      <c r="S80" s="12" t="str" cm="1">
        <f t="array" ref="S80">INDEX('EpisodeEvent-ConceptMap-1'!$I$15:$N$124,Q80+1,R80)</f>
        <v/>
      </c>
    </row>
    <row r="81" spans="16:19">
      <c r="P81" s="11">
        <v>67</v>
      </c>
      <c r="Q81" s="11">
        <f t="shared" si="21"/>
        <v>11</v>
      </c>
      <c r="R81" s="11">
        <f t="shared" si="22"/>
        <v>1</v>
      </c>
      <c r="S81" s="12" t="str" cm="1">
        <f t="array" ref="S81">INDEX('EpisodeEvent-ConceptMap-1'!$I$15:$N$124,Q81+1,R81)</f>
        <v>* group[=].element[+].code = #EpisodeEvent.siteOfMetastasis.lung</v>
      </c>
    </row>
    <row r="82" spans="16:19">
      <c r="P82" s="11">
        <v>68</v>
      </c>
      <c r="Q82" s="11">
        <f t="shared" si="21"/>
        <v>11</v>
      </c>
      <c r="R82" s="11">
        <f t="shared" si="22"/>
        <v>2</v>
      </c>
      <c r="S82" s="12" t="str" cm="1">
        <f t="array" ref="S82">INDEX('EpisodeEvent-ConceptMap-1'!$I$15:$N$124,Q82+1,R82)</f>
        <v>* group[=].element[=].display = ##34#Site of metastasis_lung##34#</v>
      </c>
    </row>
    <row r="83" spans="16:19">
      <c r="P83" s="11">
        <v>69</v>
      </c>
      <c r="Q83" s="11">
        <f t="shared" si="21"/>
        <v>11</v>
      </c>
      <c r="R83" s="11">
        <f t="shared" si="22"/>
        <v>3</v>
      </c>
      <c r="S83" s="12" t="str" cm="1">
        <f t="array" ref="S83">INDEX('EpisodeEvent-ConceptMap-1'!$I$15:$N$124,Q83+1,R83)</f>
        <v>* group[=].element[=].target.code = #Condition.bodySite</v>
      </c>
    </row>
    <row r="84" spans="16:19">
      <c r="P84" s="11">
        <v>70</v>
      </c>
      <c r="Q84" s="11">
        <f t="shared" si="21"/>
        <v>11</v>
      </c>
      <c r="R84" s="11">
        <f t="shared" si="22"/>
        <v>4</v>
      </c>
      <c r="S84" s="12" t="str" cm="1">
        <f t="array" ref="S84">INDEX('EpisodeEvent-ConceptMap-1'!$I$15:$N$124,Q84+1,R84)</f>
        <v>* group[=].element[=].target.display = ##34###34#</v>
      </c>
    </row>
    <row r="85" spans="16:19">
      <c r="P85" s="11">
        <v>71</v>
      </c>
      <c r="Q85" s="11">
        <f t="shared" si="21"/>
        <v>11</v>
      </c>
      <c r="R85" s="11">
        <f t="shared" si="22"/>
        <v>5</v>
      </c>
      <c r="S85" s="12" t="str" cm="1">
        <f t="array" ref="S85">INDEX('EpisodeEvent-ConceptMap-1'!$I$15:$N$124,Q85+1,R85)</f>
        <v>* group[=].element[=].target.equivalence = #relatedto</v>
      </c>
    </row>
    <row r="86" spans="16:19">
      <c r="P86" s="11">
        <v>72</v>
      </c>
      <c r="Q86" s="11">
        <f t="shared" si="21"/>
        <v>11</v>
      </c>
      <c r="R86" s="11">
        <f t="shared" si="22"/>
        <v>6</v>
      </c>
      <c r="S86" s="12" t="str" cm="1">
        <f t="array" ref="S86">INDEX('EpisodeEvent-ConceptMap-1'!$I$15:$N$124,Q86+1,R86)</f>
        <v/>
      </c>
    </row>
    <row r="87" spans="16:19">
      <c r="P87" s="11">
        <v>73</v>
      </c>
      <c r="Q87" s="11">
        <f t="shared" si="21"/>
        <v>12</v>
      </c>
      <c r="R87" s="11">
        <f t="shared" si="22"/>
        <v>1</v>
      </c>
      <c r="S87" s="12" t="str" cm="1">
        <f t="array" ref="S87">INDEX('EpisodeEvent-ConceptMap-1'!$I$15:$N$124,Q87+1,R87)</f>
        <v>* group[=].element[+].code = #EpisodeEvent.siteOfMetastasis.bone</v>
      </c>
    </row>
    <row r="88" spans="16:19">
      <c r="P88" s="11">
        <v>74</v>
      </c>
      <c r="Q88" s="11">
        <f t="shared" si="21"/>
        <v>12</v>
      </c>
      <c r="R88" s="11">
        <f t="shared" si="22"/>
        <v>2</v>
      </c>
      <c r="S88" s="12" t="str" cm="1">
        <f t="array" ref="S88">INDEX('EpisodeEvent-ConceptMap-1'!$I$15:$N$124,Q88+1,R88)</f>
        <v>* group[=].element[=].display = ##34#Site of metastasis_bone##34#</v>
      </c>
    </row>
    <row r="89" spans="16:19">
      <c r="P89" s="11">
        <v>75</v>
      </c>
      <c r="Q89" s="11">
        <f t="shared" si="21"/>
        <v>12</v>
      </c>
      <c r="R89" s="11">
        <f t="shared" si="22"/>
        <v>3</v>
      </c>
      <c r="S89" s="12" t="str" cm="1">
        <f t="array" ref="S89">INDEX('EpisodeEvent-ConceptMap-1'!$I$15:$N$124,Q89+1,R89)</f>
        <v>* group[=].element[=].target.code = #Condition.bodySite</v>
      </c>
    </row>
    <row r="90" spans="16:19">
      <c r="P90" s="11">
        <v>76</v>
      </c>
      <c r="Q90" s="11">
        <f t="shared" si="21"/>
        <v>12</v>
      </c>
      <c r="R90" s="11">
        <f t="shared" si="22"/>
        <v>4</v>
      </c>
      <c r="S90" s="12" t="str" cm="1">
        <f t="array" ref="S90">INDEX('EpisodeEvent-ConceptMap-1'!$I$15:$N$124,Q90+1,R90)</f>
        <v>* group[=].element[=].target.display = ##34###34#</v>
      </c>
    </row>
    <row r="91" spans="16:19">
      <c r="P91" s="11">
        <v>77</v>
      </c>
      <c r="Q91" s="11">
        <f t="shared" si="21"/>
        <v>12</v>
      </c>
      <c r="R91" s="11">
        <f t="shared" si="22"/>
        <v>5</v>
      </c>
      <c r="S91" s="12" t="str" cm="1">
        <f t="array" ref="S91">INDEX('EpisodeEvent-ConceptMap-1'!$I$15:$N$124,Q91+1,R91)</f>
        <v>* group[=].element[=].target.equivalence = #relatedto</v>
      </c>
    </row>
    <row r="92" spans="16:19">
      <c r="P92" s="11">
        <v>78</v>
      </c>
      <c r="Q92" s="11">
        <f t="shared" si="21"/>
        <v>12</v>
      </c>
      <c r="R92" s="11">
        <f t="shared" si="22"/>
        <v>6</v>
      </c>
      <c r="S92" s="12" t="str" cm="1">
        <f t="array" ref="S92">INDEX('EpisodeEvent-ConceptMap-1'!$I$15:$N$124,Q92+1,R92)</f>
        <v/>
      </c>
    </row>
    <row r="93" spans="16:19">
      <c r="P93" s="11">
        <v>79</v>
      </c>
      <c r="Q93" s="11">
        <f t="shared" si="21"/>
        <v>13</v>
      </c>
      <c r="R93" s="11">
        <f t="shared" si="22"/>
        <v>1</v>
      </c>
      <c r="S93" s="12" t="str" cm="1">
        <f t="array" ref="S93">INDEX('EpisodeEvent-ConceptMap-1'!$I$15:$N$124,Q93+1,R93)</f>
        <v>* group[=].element[+].code = #EpisodeEvent.siteOfMetastasis.liver</v>
      </c>
    </row>
    <row r="94" spans="16:19">
      <c r="P94" s="11">
        <v>80</v>
      </c>
      <c r="Q94" s="11">
        <f t="shared" si="21"/>
        <v>13</v>
      </c>
      <c r="R94" s="11">
        <f t="shared" si="22"/>
        <v>2</v>
      </c>
      <c r="S94" s="12" t="str" cm="1">
        <f t="array" ref="S94">INDEX('EpisodeEvent-ConceptMap-1'!$I$15:$N$124,Q94+1,R94)</f>
        <v>* group[=].element[=].display = ##34#Site of metastasis_liver##34#</v>
      </c>
    </row>
    <row r="95" spans="16:19">
      <c r="P95" s="11">
        <v>81</v>
      </c>
      <c r="Q95" s="11">
        <f t="shared" si="21"/>
        <v>13</v>
      </c>
      <c r="R95" s="11">
        <f t="shared" si="22"/>
        <v>3</v>
      </c>
      <c r="S95" s="12" t="str" cm="1">
        <f t="array" ref="S95">INDEX('EpisodeEvent-ConceptMap-1'!$I$15:$N$124,Q95+1,R95)</f>
        <v>* group[=].element[=].target.code = #Condition.bodySite</v>
      </c>
    </row>
    <row r="96" spans="16:19">
      <c r="P96" s="11">
        <v>82</v>
      </c>
      <c r="Q96" s="11">
        <f t="shared" si="21"/>
        <v>13</v>
      </c>
      <c r="R96" s="11">
        <f t="shared" si="22"/>
        <v>4</v>
      </c>
      <c r="S96" s="12" t="str" cm="1">
        <f t="array" ref="S96">INDEX('EpisodeEvent-ConceptMap-1'!$I$15:$N$124,Q96+1,R96)</f>
        <v>* group[=].element[=].target.display = ##34###34#</v>
      </c>
    </row>
    <row r="97" spans="16:19">
      <c r="P97" s="11">
        <v>83</v>
      </c>
      <c r="Q97" s="11">
        <f t="shared" si="21"/>
        <v>13</v>
      </c>
      <c r="R97" s="11">
        <f t="shared" si="22"/>
        <v>5</v>
      </c>
      <c r="S97" s="12" t="str" cm="1">
        <f t="array" ref="S97">INDEX('EpisodeEvent-ConceptMap-1'!$I$15:$N$124,Q97+1,R97)</f>
        <v>* group[=].element[=].target.equivalence = #relatedto</v>
      </c>
    </row>
    <row r="98" spans="16:19">
      <c r="P98" s="11">
        <v>84</v>
      </c>
      <c r="Q98" s="11">
        <f t="shared" si="21"/>
        <v>13</v>
      </c>
      <c r="R98" s="11">
        <f t="shared" si="22"/>
        <v>6</v>
      </c>
      <c r="S98" s="12" t="str" cm="1">
        <f t="array" ref="S98">INDEX('EpisodeEvent-ConceptMap-1'!$I$15:$N$124,Q98+1,R98)</f>
        <v/>
      </c>
    </row>
    <row r="99" spans="16:19">
      <c r="P99" s="11">
        <v>85</v>
      </c>
      <c r="Q99" s="11">
        <f t="shared" si="21"/>
        <v>14</v>
      </c>
      <c r="R99" s="11">
        <f t="shared" si="22"/>
        <v>1</v>
      </c>
      <c r="S99" s="12" t="str" cm="1">
        <f t="array" ref="S99">INDEX('EpisodeEvent-ConceptMap-1'!$I$15:$N$124,Q99+1,R99)</f>
        <v>* group[=].element[+].code = #EpisodeEvent.siteOfMetastasis.pleura</v>
      </c>
    </row>
    <row r="100" spans="16:19">
      <c r="P100" s="11">
        <v>86</v>
      </c>
      <c r="Q100" s="11">
        <f t="shared" si="21"/>
        <v>14</v>
      </c>
      <c r="R100" s="11">
        <f t="shared" si="22"/>
        <v>2</v>
      </c>
      <c r="S100" s="12" t="str" cm="1">
        <f t="array" ref="S100">INDEX('EpisodeEvent-ConceptMap-1'!$I$15:$N$124,Q100+1,R100)</f>
        <v>* group[=].element[=].display = ##34#Site of metastasis_pleura##34#</v>
      </c>
    </row>
    <row r="101" spans="16:19">
      <c r="P101" s="11">
        <v>87</v>
      </c>
      <c r="Q101" s="11">
        <f t="shared" si="21"/>
        <v>14</v>
      </c>
      <c r="R101" s="11">
        <f t="shared" si="22"/>
        <v>3</v>
      </c>
      <c r="S101" s="12" t="str" cm="1">
        <f t="array" ref="S101">INDEX('EpisodeEvent-ConceptMap-1'!$I$15:$N$124,Q101+1,R101)</f>
        <v>* group[=].element[=].target.code = #Condition.bodySite</v>
      </c>
    </row>
    <row r="102" spans="16:19">
      <c r="P102" s="11">
        <v>88</v>
      </c>
      <c r="Q102" s="11">
        <f t="shared" si="21"/>
        <v>14</v>
      </c>
      <c r="R102" s="11">
        <f t="shared" si="22"/>
        <v>4</v>
      </c>
      <c r="S102" s="12" t="str" cm="1">
        <f t="array" ref="S102">INDEX('EpisodeEvent-ConceptMap-1'!$I$15:$N$124,Q102+1,R102)</f>
        <v>* group[=].element[=].target.display = ##34###34#</v>
      </c>
    </row>
    <row r="103" spans="16:19">
      <c r="P103" s="11">
        <v>89</v>
      </c>
      <c r="Q103" s="11">
        <f t="shared" si="21"/>
        <v>14</v>
      </c>
      <c r="R103" s="11">
        <f t="shared" si="22"/>
        <v>5</v>
      </c>
      <c r="S103" s="12" t="str" cm="1">
        <f t="array" ref="S103">INDEX('EpisodeEvent-ConceptMap-1'!$I$15:$N$124,Q103+1,R103)</f>
        <v>* group[=].element[=].target.equivalence = #relatedto</v>
      </c>
    </row>
    <row r="104" spans="16:19">
      <c r="P104" s="11">
        <v>90</v>
      </c>
      <c r="Q104" s="11">
        <f t="shared" si="21"/>
        <v>14</v>
      </c>
      <c r="R104" s="11">
        <f t="shared" si="22"/>
        <v>6</v>
      </c>
      <c r="S104" s="12" t="str" cm="1">
        <f t="array" ref="S104">INDEX('EpisodeEvent-ConceptMap-1'!$I$15:$N$124,Q104+1,R104)</f>
        <v/>
      </c>
    </row>
    <row r="105" spans="16:19">
      <c r="P105" s="11">
        <v>91</v>
      </c>
      <c r="Q105" s="11">
        <f t="shared" si="21"/>
        <v>15</v>
      </c>
      <c r="R105" s="11">
        <f t="shared" si="22"/>
        <v>1</v>
      </c>
      <c r="S105" s="12" t="str" cm="1">
        <f t="array" ref="S105">INDEX('EpisodeEvent-ConceptMap-1'!$I$15:$N$124,Q105+1,R105)</f>
        <v>* group[=].element[+].code = #EpisodeEvent.siteOfMetastasis.peritoneum</v>
      </c>
    </row>
    <row r="106" spans="16:19">
      <c r="P106" s="11">
        <v>92</v>
      </c>
      <c r="Q106" s="11">
        <f t="shared" si="21"/>
        <v>15</v>
      </c>
      <c r="R106" s="11">
        <f t="shared" si="22"/>
        <v>2</v>
      </c>
      <c r="S106" s="12" t="str" cm="1">
        <f t="array" ref="S106">INDEX('EpisodeEvent-ConceptMap-1'!$I$15:$N$124,Q106+1,R106)</f>
        <v>* group[=].element[=].display = ##34#Site of metastasis_peritoneum##34#</v>
      </c>
    </row>
    <row r="107" spans="16:19">
      <c r="P107" s="11">
        <v>93</v>
      </c>
      <c r="Q107" s="11">
        <f t="shared" si="21"/>
        <v>15</v>
      </c>
      <c r="R107" s="11">
        <f t="shared" si="22"/>
        <v>3</v>
      </c>
      <c r="S107" s="12" t="str" cm="1">
        <f t="array" ref="S107">INDEX('EpisodeEvent-ConceptMap-1'!$I$15:$N$124,Q107+1,R107)</f>
        <v>* group[=].element[=].target.code = #Condition.bodySite</v>
      </c>
    </row>
    <row r="108" spans="16:19">
      <c r="P108" s="11">
        <v>94</v>
      </c>
      <c r="Q108" s="11">
        <f t="shared" si="21"/>
        <v>15</v>
      </c>
      <c r="R108" s="11">
        <f t="shared" si="22"/>
        <v>4</v>
      </c>
      <c r="S108" s="12" t="str" cm="1">
        <f t="array" ref="S108">INDEX('EpisodeEvent-ConceptMap-1'!$I$15:$N$124,Q108+1,R108)</f>
        <v>* group[=].element[=].target.display = ##34###34#</v>
      </c>
    </row>
    <row r="109" spans="16:19">
      <c r="P109" s="11">
        <v>95</v>
      </c>
      <c r="Q109" s="11">
        <f t="shared" si="21"/>
        <v>15</v>
      </c>
      <c r="R109" s="11">
        <f t="shared" si="22"/>
        <v>5</v>
      </c>
      <c r="S109" s="12" t="str" cm="1">
        <f t="array" ref="S109">INDEX('EpisodeEvent-ConceptMap-1'!$I$15:$N$124,Q109+1,R109)</f>
        <v>* group[=].element[=].target.equivalence = #relatedto</v>
      </c>
    </row>
    <row r="110" spans="16:19">
      <c r="P110" s="11">
        <v>96</v>
      </c>
      <c r="Q110" s="11">
        <f t="shared" si="21"/>
        <v>15</v>
      </c>
      <c r="R110" s="11">
        <f t="shared" si="22"/>
        <v>6</v>
      </c>
      <c r="S110" s="12" t="str" cm="1">
        <f t="array" ref="S110">INDEX('EpisodeEvent-ConceptMap-1'!$I$15:$N$124,Q110+1,R110)</f>
        <v/>
      </c>
    </row>
    <row r="111" spans="16:19">
      <c r="P111" s="11">
        <v>97</v>
      </c>
      <c r="Q111" s="11">
        <f t="shared" si="21"/>
        <v>16</v>
      </c>
      <c r="R111" s="11">
        <f t="shared" si="22"/>
        <v>1</v>
      </c>
      <c r="S111" s="12" t="str" cm="1">
        <f t="array" ref="S111">INDEX('EpisodeEvent-ConceptMap-1'!$I$15:$N$124,Q111+1,R111)</f>
        <v>* group[=].element[+].code = #EpisodeEvent.siteOfMetastasis.brain</v>
      </c>
    </row>
    <row r="112" spans="16:19">
      <c r="P112" s="11">
        <v>98</v>
      </c>
      <c r="Q112" s="11">
        <f t="shared" si="21"/>
        <v>16</v>
      </c>
      <c r="R112" s="11">
        <f t="shared" si="22"/>
        <v>2</v>
      </c>
      <c r="S112" s="12" t="str" cm="1">
        <f t="array" ref="S112">INDEX('EpisodeEvent-ConceptMap-1'!$I$15:$N$124,Q112+1,R112)</f>
        <v>* group[=].element[=].display = ##34#Site of  metastasis_brain##34#</v>
      </c>
    </row>
    <row r="113" spans="16:19">
      <c r="P113" s="11">
        <v>99</v>
      </c>
      <c r="Q113" s="11">
        <f t="shared" si="21"/>
        <v>16</v>
      </c>
      <c r="R113" s="11">
        <f t="shared" si="22"/>
        <v>3</v>
      </c>
      <c r="S113" s="12" t="str" cm="1">
        <f t="array" ref="S113">INDEX('EpisodeEvent-ConceptMap-1'!$I$15:$N$124,Q113+1,R113)</f>
        <v>* group[=].element[=].target.code = #Condition.bodySite</v>
      </c>
    </row>
    <row r="114" spans="16:19">
      <c r="P114" s="11">
        <v>100</v>
      </c>
      <c r="Q114" s="11">
        <f t="shared" si="21"/>
        <v>16</v>
      </c>
      <c r="R114" s="11">
        <f t="shared" si="22"/>
        <v>4</v>
      </c>
      <c r="S114" s="12" t="str" cm="1">
        <f t="array" ref="S114">INDEX('EpisodeEvent-ConceptMap-1'!$I$15:$N$124,Q114+1,R114)</f>
        <v>* group[=].element[=].target.display = ##34###34#</v>
      </c>
    </row>
    <row r="115" spans="16:19">
      <c r="P115" s="11">
        <v>101</v>
      </c>
      <c r="Q115" s="11">
        <f t="shared" si="21"/>
        <v>16</v>
      </c>
      <c r="R115" s="11">
        <f t="shared" si="22"/>
        <v>5</v>
      </c>
      <c r="S115" s="12" t="str" cm="1">
        <f t="array" ref="S115">INDEX('EpisodeEvent-ConceptMap-1'!$I$15:$N$124,Q115+1,R115)</f>
        <v>* group[=].element[=].target.equivalence = #relatedto</v>
      </c>
    </row>
    <row r="116" spans="16:19">
      <c r="P116" s="11">
        <v>102</v>
      </c>
      <c r="Q116" s="11">
        <f t="shared" si="21"/>
        <v>16</v>
      </c>
      <c r="R116" s="11">
        <f t="shared" si="22"/>
        <v>6</v>
      </c>
      <c r="S116" s="12" t="str" cm="1">
        <f t="array" ref="S116">INDEX('EpisodeEvent-ConceptMap-1'!$I$15:$N$124,Q116+1,R116)</f>
        <v/>
      </c>
    </row>
    <row r="117" spans="16:19">
      <c r="P117" s="11">
        <v>103</v>
      </c>
      <c r="Q117" s="11">
        <f t="shared" si="21"/>
        <v>17</v>
      </c>
      <c r="R117" s="11">
        <f t="shared" si="22"/>
        <v>1</v>
      </c>
      <c r="S117" s="12" t="str" cm="1">
        <f t="array" ref="S117">INDEX('EpisodeEvent-ConceptMap-1'!$I$15:$N$124,Q117+1,R117)</f>
        <v>* group[=].element[+].code = #EpisodeEvent.siteOfMetastasis.otherViscera</v>
      </c>
    </row>
    <row r="118" spans="16:19">
      <c r="P118" s="11">
        <v>104</v>
      </c>
      <c r="Q118" s="11">
        <f t="shared" si="21"/>
        <v>17</v>
      </c>
      <c r="R118" s="11">
        <f t="shared" si="22"/>
        <v>2</v>
      </c>
      <c r="S118" s="12" t="str" cm="1">
        <f t="array" ref="S118">INDEX('EpisodeEvent-ConceptMap-1'!$I$15:$N$124,Q118+1,R118)</f>
        <v>* group[=].element[=].display = ##34#Site of  metastasis_other viscera##34#</v>
      </c>
    </row>
    <row r="119" spans="16:19">
      <c r="P119" s="11">
        <v>105</v>
      </c>
      <c r="Q119" s="11">
        <f t="shared" si="21"/>
        <v>17</v>
      </c>
      <c r="R119" s="11">
        <f t="shared" si="22"/>
        <v>3</v>
      </c>
      <c r="S119" s="12" t="str" cm="1">
        <f t="array" ref="S119">INDEX('EpisodeEvent-ConceptMap-1'!$I$15:$N$124,Q119+1,R119)</f>
        <v>* group[=].element[=].target.code = #Condition.bodySite</v>
      </c>
    </row>
    <row r="120" spans="16:19">
      <c r="P120" s="11">
        <v>106</v>
      </c>
      <c r="Q120" s="11">
        <f t="shared" si="21"/>
        <v>17</v>
      </c>
      <c r="R120" s="11">
        <f t="shared" si="22"/>
        <v>4</v>
      </c>
      <c r="S120" s="12" t="str" cm="1">
        <f t="array" ref="S120">INDEX('EpisodeEvent-ConceptMap-1'!$I$15:$N$124,Q120+1,R120)</f>
        <v>* group[=].element[=].target.display = ##34###34#</v>
      </c>
    </row>
    <row r="121" spans="16:19">
      <c r="P121" s="11">
        <v>107</v>
      </c>
      <c r="Q121" s="11">
        <f t="shared" si="21"/>
        <v>17</v>
      </c>
      <c r="R121" s="11">
        <f t="shared" si="22"/>
        <v>5</v>
      </c>
      <c r="S121" s="12" t="str" cm="1">
        <f t="array" ref="S121">INDEX('EpisodeEvent-ConceptMap-1'!$I$15:$N$124,Q121+1,R121)</f>
        <v>* group[=].element[=].target.equivalence = #relatedto</v>
      </c>
    </row>
    <row r="122" spans="16:19">
      <c r="P122" s="11">
        <v>108</v>
      </c>
      <c r="Q122" s="11">
        <f t="shared" si="21"/>
        <v>17</v>
      </c>
      <c r="R122" s="11">
        <f t="shared" si="22"/>
        <v>6</v>
      </c>
      <c r="S122" s="12" t="str" cm="1">
        <f t="array" ref="S122">INDEX('EpisodeEvent-ConceptMap-1'!$I$15:$N$124,Q122+1,R122)</f>
        <v/>
      </c>
    </row>
    <row r="123" spans="16:19">
      <c r="P123" s="11">
        <v>109</v>
      </c>
      <c r="Q123" s="11">
        <f t="shared" si="21"/>
        <v>18</v>
      </c>
      <c r="R123" s="11">
        <f t="shared" si="22"/>
        <v>1</v>
      </c>
      <c r="S123" s="12" t="str" cm="1">
        <f t="array" ref="S123">INDEX('EpisodeEvent-ConceptMap-1'!$I$15:$N$124,Q123+1,R123)</f>
        <v>* group[=].element[+].code = #EpisodeEvent.siteOfMetastasis.unknown</v>
      </c>
    </row>
    <row r="124" spans="16:19">
      <c r="P124" s="11">
        <v>110</v>
      </c>
      <c r="Q124" s="11">
        <f t="shared" si="21"/>
        <v>18</v>
      </c>
      <c r="R124" s="11">
        <f t="shared" si="22"/>
        <v>2</v>
      </c>
      <c r="S124" s="12" t="str" cm="1">
        <f t="array" ref="S124">INDEX('EpisodeEvent-ConceptMap-1'!$I$15:$N$124,Q124+1,R124)</f>
        <v>* group[=].element[=].display = ##34#Site of  metastasis_unknown##34#</v>
      </c>
    </row>
    <row r="125" spans="16:19">
      <c r="P125" s="11">
        <v>111</v>
      </c>
      <c r="Q125" s="11">
        <f t="shared" si="21"/>
        <v>18</v>
      </c>
      <c r="R125" s="11">
        <f t="shared" si="22"/>
        <v>3</v>
      </c>
      <c r="S125" s="12" t="str" cm="1">
        <f t="array" ref="S125">INDEX('EpisodeEvent-ConceptMap-1'!$I$15:$N$124,Q125+1,R125)</f>
        <v>* group[=].element[=].target.code = #Condition.bodySite</v>
      </c>
    </row>
    <row r="126" spans="16:19">
      <c r="P126" s="11">
        <v>112</v>
      </c>
      <c r="Q126" s="11">
        <f t="shared" si="21"/>
        <v>18</v>
      </c>
      <c r="R126" s="11">
        <f t="shared" si="22"/>
        <v>4</v>
      </c>
      <c r="S126" s="12" t="str" cm="1">
        <f t="array" ref="S126">INDEX('EpisodeEvent-ConceptMap-1'!$I$15:$N$124,Q126+1,R126)</f>
        <v>* group[=].element[=].target.display = ##34###34#</v>
      </c>
    </row>
    <row r="127" spans="16:19">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c r="P128" s="11">
        <v>114</v>
      </c>
      <c r="Q128" s="11">
        <f t="shared" si="23"/>
        <v>18</v>
      </c>
      <c r="R128" s="11">
        <f t="shared" si="24"/>
        <v>6</v>
      </c>
      <c r="S128" s="12" t="str" cm="1">
        <f t="array" ref="S128">INDEX('EpisodeEvent-ConceptMap-1'!$I$15:$N$124,Q128+1,R128)</f>
        <v/>
      </c>
    </row>
    <row r="129" spans="16:19">
      <c r="P129" s="11">
        <v>115</v>
      </c>
      <c r="Q129" s="11">
        <f t="shared" si="23"/>
        <v>19</v>
      </c>
      <c r="R129" s="11">
        <f t="shared" si="24"/>
        <v>1</v>
      </c>
      <c r="S129" s="12" cm="1">
        <f t="array" ref="S129">INDEX('EpisodeEvent-ConceptMap-1'!$I$15:$N$124,Q129+1,R129)</f>
        <v>0</v>
      </c>
    </row>
    <row r="130" spans="16:19">
      <c r="P130" s="11">
        <v>116</v>
      </c>
      <c r="Q130" s="11">
        <f t="shared" si="23"/>
        <v>19</v>
      </c>
      <c r="R130" s="11">
        <f t="shared" si="24"/>
        <v>2</v>
      </c>
      <c r="S130" s="12" cm="1">
        <f t="array" ref="S130">INDEX('EpisodeEvent-ConceptMap-1'!$I$15:$N$124,Q130+1,R130)</f>
        <v>0</v>
      </c>
    </row>
    <row r="131" spans="16:19">
      <c r="P131" s="11">
        <v>117</v>
      </c>
      <c r="Q131" s="11">
        <f t="shared" si="23"/>
        <v>19</v>
      </c>
      <c r="R131" s="11">
        <f t="shared" si="24"/>
        <v>3</v>
      </c>
      <c r="S131" s="12" cm="1">
        <f t="array" ref="S131">INDEX('EpisodeEvent-ConceptMap-1'!$I$15:$N$124,Q131+1,R131)</f>
        <v>0</v>
      </c>
    </row>
    <row r="132" spans="16:19">
      <c r="P132" s="11">
        <v>118</v>
      </c>
      <c r="Q132" s="11">
        <f t="shared" si="23"/>
        <v>19</v>
      </c>
      <c r="R132" s="11">
        <f t="shared" si="24"/>
        <v>4</v>
      </c>
      <c r="S132" s="12" cm="1">
        <f t="array" ref="S132">INDEX('EpisodeEvent-ConceptMap-1'!$I$15:$N$124,Q132+1,R132)</f>
        <v>0</v>
      </c>
    </row>
    <row r="133" spans="16:19">
      <c r="P133" s="11">
        <v>119</v>
      </c>
      <c r="Q133" s="11">
        <f t="shared" si="23"/>
        <v>19</v>
      </c>
      <c r="R133" s="11">
        <f t="shared" si="24"/>
        <v>5</v>
      </c>
      <c r="S133" s="12" cm="1">
        <f t="array" ref="S133">INDEX('EpisodeEvent-ConceptMap-1'!$I$15:$N$124,Q133+1,R133)</f>
        <v>0</v>
      </c>
    </row>
    <row r="134" spans="16:19">
      <c r="P134" s="11">
        <v>120</v>
      </c>
      <c r="Q134" s="11">
        <f t="shared" si="23"/>
        <v>19</v>
      </c>
      <c r="R134" s="11">
        <f t="shared" si="24"/>
        <v>6</v>
      </c>
      <c r="S134" s="12" cm="1">
        <f t="array" ref="S134">INDEX('EpisodeEvent-ConceptMap-1'!$I$15:$N$124,Q134+1,R134)</f>
        <v>0</v>
      </c>
    </row>
    <row r="135" spans="16:19">
      <c r="P135" s="11">
        <v>121</v>
      </c>
      <c r="Q135" s="11">
        <f t="shared" si="23"/>
        <v>20</v>
      </c>
      <c r="R135" s="11">
        <f t="shared" si="24"/>
        <v>1</v>
      </c>
      <c r="S135" s="12" cm="1">
        <f t="array" ref="S135">INDEX('EpisodeEvent-ConceptMap-1'!$I$15:$N$124,Q135+1,R135)</f>
        <v>0</v>
      </c>
    </row>
    <row r="136" spans="16:19">
      <c r="P136" s="11">
        <v>122</v>
      </c>
      <c r="Q136" s="11">
        <f t="shared" si="23"/>
        <v>20</v>
      </c>
      <c r="R136" s="11">
        <f t="shared" si="24"/>
        <v>2</v>
      </c>
      <c r="S136" s="12" cm="1">
        <f t="array" ref="S136">INDEX('EpisodeEvent-ConceptMap-1'!$I$15:$N$124,Q136+1,R136)</f>
        <v>0</v>
      </c>
    </row>
    <row r="137" spans="16:19">
      <c r="P137" s="11">
        <v>123</v>
      </c>
      <c r="Q137" s="11">
        <f t="shared" si="23"/>
        <v>20</v>
      </c>
      <c r="R137" s="11">
        <f t="shared" si="24"/>
        <v>3</v>
      </c>
      <c r="S137" s="12" cm="1">
        <f t="array" ref="S137">INDEX('EpisodeEvent-ConceptMap-1'!$I$15:$N$124,Q137+1,R137)</f>
        <v>0</v>
      </c>
    </row>
    <row r="138" spans="16:19">
      <c r="P138" s="11">
        <v>124</v>
      </c>
      <c r="Q138" s="11">
        <f t="shared" si="23"/>
        <v>20</v>
      </c>
      <c r="R138" s="11">
        <f t="shared" si="24"/>
        <v>4</v>
      </c>
      <c r="S138" s="12" cm="1">
        <f t="array" ref="S138">INDEX('EpisodeEvent-ConceptMap-1'!$I$15:$N$124,Q138+1,R138)</f>
        <v>0</v>
      </c>
    </row>
    <row r="139" spans="16:19">
      <c r="P139" s="11">
        <v>125</v>
      </c>
      <c r="Q139" s="11">
        <f t="shared" si="23"/>
        <v>20</v>
      </c>
      <c r="R139" s="11">
        <f t="shared" si="24"/>
        <v>5</v>
      </c>
      <c r="S139" s="12" cm="1">
        <f t="array" ref="S139">INDEX('EpisodeEvent-ConceptMap-1'!$I$15:$N$124,Q139+1,R139)</f>
        <v>0</v>
      </c>
    </row>
    <row r="140" spans="16:19">
      <c r="P140" s="11">
        <v>126</v>
      </c>
      <c r="Q140" s="11">
        <f t="shared" si="23"/>
        <v>20</v>
      </c>
      <c r="R140" s="11">
        <f t="shared" si="24"/>
        <v>6</v>
      </c>
      <c r="S140" s="12" cm="1">
        <f t="array" ref="S140">INDEX('EpisodeEvent-ConceptMap-1'!$I$15:$N$124,Q140+1,R140)</f>
        <v>0</v>
      </c>
    </row>
    <row r="141" spans="16:19">
      <c r="P141" s="11">
        <v>127</v>
      </c>
      <c r="Q141" s="11">
        <f t="shared" si="23"/>
        <v>21</v>
      </c>
      <c r="R141" s="11">
        <f t="shared" si="24"/>
        <v>1</v>
      </c>
      <c r="S141" s="12" cm="1">
        <f t="array" ref="S141">INDEX('EpisodeEvent-ConceptMap-1'!$I$15:$N$124,Q141+1,R141)</f>
        <v>0</v>
      </c>
    </row>
    <row r="142" spans="16:19">
      <c r="P142" s="11">
        <v>128</v>
      </c>
      <c r="Q142" s="11">
        <f t="shared" si="23"/>
        <v>21</v>
      </c>
      <c r="R142" s="11">
        <f t="shared" si="24"/>
        <v>2</v>
      </c>
      <c r="S142" s="12" cm="1">
        <f t="array" ref="S142">INDEX('EpisodeEvent-ConceptMap-1'!$I$15:$N$124,Q142+1,R142)</f>
        <v>0</v>
      </c>
    </row>
    <row r="143" spans="16:19">
      <c r="P143" s="11">
        <v>129</v>
      </c>
      <c r="Q143" s="11">
        <f t="shared" si="23"/>
        <v>21</v>
      </c>
      <c r="R143" s="11">
        <f t="shared" si="24"/>
        <v>3</v>
      </c>
      <c r="S143" s="12" cm="1">
        <f t="array" ref="S143">INDEX('EpisodeEvent-ConceptMap-1'!$I$15:$N$124,Q143+1,R143)</f>
        <v>0</v>
      </c>
    </row>
    <row r="144" spans="16:19">
      <c r="P144" s="11">
        <v>130</v>
      </c>
      <c r="Q144" s="11">
        <f t="shared" si="23"/>
        <v>21</v>
      </c>
      <c r="R144" s="11">
        <f t="shared" si="24"/>
        <v>4</v>
      </c>
      <c r="S144" s="12" cm="1">
        <f t="array" ref="S144">INDEX('EpisodeEvent-ConceptMap-1'!$I$15:$N$124,Q144+1,R144)</f>
        <v>0</v>
      </c>
    </row>
    <row r="145" spans="16:19">
      <c r="P145" s="11">
        <v>131</v>
      </c>
      <c r="Q145" s="11">
        <f t="shared" si="23"/>
        <v>21</v>
      </c>
      <c r="R145" s="11">
        <f t="shared" si="24"/>
        <v>5</v>
      </c>
      <c r="S145" s="12" cm="1">
        <f t="array" ref="S145">INDEX('EpisodeEvent-ConceptMap-1'!$I$15:$N$124,Q145+1,R145)</f>
        <v>0</v>
      </c>
    </row>
    <row r="146" spans="16:19">
      <c r="P146" s="11">
        <v>132</v>
      </c>
      <c r="Q146" s="11">
        <f t="shared" si="23"/>
        <v>21</v>
      </c>
      <c r="R146" s="11">
        <f t="shared" si="24"/>
        <v>6</v>
      </c>
      <c r="S146" s="12" cm="1">
        <f t="array" ref="S146">INDEX('EpisodeEvent-ConceptMap-1'!$I$15:$N$124,Q146+1,R146)</f>
        <v>0</v>
      </c>
    </row>
    <row r="147" spans="16:19">
      <c r="P147" s="11">
        <v>133</v>
      </c>
      <c r="Q147" s="11">
        <f t="shared" si="23"/>
        <v>22</v>
      </c>
      <c r="R147" s="11">
        <f t="shared" si="24"/>
        <v>1</v>
      </c>
      <c r="S147" s="12" cm="1">
        <f t="array" ref="S147">INDEX('EpisodeEvent-ConceptMap-1'!$I$15:$N$124,Q147+1,R147)</f>
        <v>0</v>
      </c>
    </row>
    <row r="148" spans="16:19">
      <c r="P148" s="11">
        <v>134</v>
      </c>
      <c r="Q148" s="11">
        <f t="shared" si="23"/>
        <v>22</v>
      </c>
      <c r="R148" s="11">
        <f t="shared" si="24"/>
        <v>2</v>
      </c>
      <c r="S148" s="12" cm="1">
        <f t="array" ref="S148">INDEX('EpisodeEvent-ConceptMap-1'!$I$15:$N$124,Q148+1,R148)</f>
        <v>0</v>
      </c>
    </row>
    <row r="149" spans="16:19">
      <c r="P149" s="11">
        <v>135</v>
      </c>
      <c r="Q149" s="11">
        <f t="shared" si="23"/>
        <v>22</v>
      </c>
      <c r="R149" s="11">
        <f t="shared" si="24"/>
        <v>3</v>
      </c>
      <c r="S149" s="12" cm="1">
        <f t="array" ref="S149">INDEX('EpisodeEvent-ConceptMap-1'!$I$15:$N$124,Q149+1,R149)</f>
        <v>0</v>
      </c>
    </row>
    <row r="150" spans="16:19">
      <c r="P150" s="11">
        <v>136</v>
      </c>
      <c r="Q150" s="11">
        <f t="shared" si="23"/>
        <v>22</v>
      </c>
      <c r="R150" s="11">
        <f t="shared" si="24"/>
        <v>4</v>
      </c>
      <c r="S150" s="12" cm="1">
        <f t="array" ref="S150">INDEX('EpisodeEvent-ConceptMap-1'!$I$15:$N$124,Q150+1,R150)</f>
        <v>0</v>
      </c>
    </row>
    <row r="151" spans="16:19">
      <c r="P151" s="11">
        <v>137</v>
      </c>
      <c r="Q151" s="11">
        <f t="shared" si="23"/>
        <v>22</v>
      </c>
      <c r="R151" s="11">
        <f t="shared" si="24"/>
        <v>5</v>
      </c>
      <c r="S151" s="12" cm="1">
        <f t="array" ref="S151">INDEX('EpisodeEvent-ConceptMap-1'!$I$15:$N$124,Q151+1,R151)</f>
        <v>0</v>
      </c>
    </row>
    <row r="152" spans="16:19">
      <c r="P152" s="11">
        <v>138</v>
      </c>
      <c r="Q152" s="11">
        <f t="shared" si="23"/>
        <v>22</v>
      </c>
      <c r="R152" s="11">
        <f t="shared" si="24"/>
        <v>6</v>
      </c>
      <c r="S152" s="12" cm="1">
        <f t="array" ref="S152">INDEX('EpisodeEvent-ConceptMap-1'!$I$15:$N$124,Q152+1,R152)</f>
        <v>0</v>
      </c>
    </row>
    <row r="153" spans="16:19">
      <c r="P153" s="11">
        <v>139</v>
      </c>
      <c r="Q153" s="11">
        <f t="shared" si="23"/>
        <v>23</v>
      </c>
      <c r="R153" s="11">
        <f t="shared" si="24"/>
        <v>1</v>
      </c>
      <c r="S153" s="12" cm="1">
        <f t="array" ref="S153">INDEX('EpisodeEvent-ConceptMap-1'!$I$15:$N$124,Q153+1,R153)</f>
        <v>0</v>
      </c>
    </row>
    <row r="154" spans="16:19">
      <c r="P154" s="11">
        <v>140</v>
      </c>
      <c r="Q154" s="11">
        <f t="shared" si="23"/>
        <v>23</v>
      </c>
      <c r="R154" s="11">
        <f t="shared" si="24"/>
        <v>2</v>
      </c>
      <c r="S154" s="12" cm="1">
        <f t="array" ref="S154">INDEX('EpisodeEvent-ConceptMap-1'!$I$15:$N$124,Q154+1,R154)</f>
        <v>0</v>
      </c>
    </row>
    <row r="155" spans="16:19">
      <c r="P155" s="11">
        <v>141</v>
      </c>
      <c r="Q155" s="11">
        <f t="shared" si="23"/>
        <v>23</v>
      </c>
      <c r="R155" s="11">
        <f t="shared" si="24"/>
        <v>3</v>
      </c>
      <c r="S155" s="12" cm="1">
        <f t="array" ref="S155">INDEX('EpisodeEvent-ConceptMap-1'!$I$15:$N$124,Q155+1,R155)</f>
        <v>0</v>
      </c>
    </row>
    <row r="156" spans="16:19">
      <c r="P156" s="11">
        <v>142</v>
      </c>
      <c r="Q156" s="11">
        <f t="shared" si="23"/>
        <v>23</v>
      </c>
      <c r="R156" s="11">
        <f t="shared" si="24"/>
        <v>4</v>
      </c>
      <c r="S156" s="12" cm="1">
        <f t="array" ref="S156">INDEX('EpisodeEvent-ConceptMap-1'!$I$15:$N$124,Q156+1,R156)</f>
        <v>0</v>
      </c>
    </row>
    <row r="157" spans="16:19">
      <c r="P157" s="11">
        <v>143</v>
      </c>
      <c r="Q157" s="11">
        <f t="shared" si="23"/>
        <v>23</v>
      </c>
      <c r="R157" s="11">
        <f t="shared" si="24"/>
        <v>5</v>
      </c>
      <c r="S157" s="12" cm="1">
        <f t="array" ref="S157">INDEX('EpisodeEvent-ConceptMap-1'!$I$15:$N$124,Q157+1,R157)</f>
        <v>0</v>
      </c>
    </row>
    <row r="158" spans="16:19">
      <c r="P158" s="11">
        <v>144</v>
      </c>
      <c r="Q158" s="11">
        <f t="shared" si="23"/>
        <v>23</v>
      </c>
      <c r="R158" s="11">
        <f t="shared" si="24"/>
        <v>6</v>
      </c>
      <c r="S158" s="12" cm="1">
        <f t="array" ref="S158">INDEX('EpisodeEvent-ConceptMap-1'!$I$15:$N$124,Q158+1,R158)</f>
        <v>0</v>
      </c>
    </row>
    <row r="159" spans="16:19">
      <c r="P159" s="11">
        <v>145</v>
      </c>
      <c r="Q159" s="11">
        <f t="shared" si="23"/>
        <v>24</v>
      </c>
      <c r="R159" s="11">
        <f t="shared" si="24"/>
        <v>1</v>
      </c>
      <c r="S159" s="12" cm="1">
        <f t="array" ref="S159">INDEX('EpisodeEvent-ConceptMap-1'!$I$15:$N$124,Q159+1,R159)</f>
        <v>0</v>
      </c>
    </row>
    <row r="160" spans="16:19">
      <c r="P160" s="11">
        <v>146</v>
      </c>
      <c r="Q160" s="11">
        <f t="shared" si="23"/>
        <v>24</v>
      </c>
      <c r="R160" s="11">
        <f t="shared" si="24"/>
        <v>2</v>
      </c>
      <c r="S160" s="12" cm="1">
        <f t="array" ref="S160">INDEX('EpisodeEvent-ConceptMap-1'!$I$15:$N$124,Q160+1,R160)</f>
        <v>0</v>
      </c>
    </row>
    <row r="161" spans="16:19">
      <c r="P161" s="11">
        <v>147</v>
      </c>
      <c r="Q161" s="11">
        <f t="shared" si="23"/>
        <v>24</v>
      </c>
      <c r="R161" s="11">
        <f t="shared" si="24"/>
        <v>3</v>
      </c>
      <c r="S161" s="12" cm="1">
        <f t="array" ref="S161">INDEX('EpisodeEvent-ConceptMap-1'!$I$15:$N$124,Q161+1,R161)</f>
        <v>0</v>
      </c>
    </row>
    <row r="162" spans="16:19">
      <c r="P162" s="11">
        <v>148</v>
      </c>
      <c r="Q162" s="11">
        <f t="shared" si="23"/>
        <v>24</v>
      </c>
      <c r="R162" s="11">
        <f t="shared" si="24"/>
        <v>4</v>
      </c>
      <c r="S162" s="12" cm="1">
        <f t="array" ref="S162">INDEX('EpisodeEvent-ConceptMap-1'!$I$15:$N$124,Q162+1,R162)</f>
        <v>0</v>
      </c>
    </row>
    <row r="163" spans="16:19">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E9" sqref="E9:G9"/>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1982</v>
      </c>
    </row>
    <row r="3" spans="2:7">
      <c r="B3" s="24" t="s">
        <v>20</v>
      </c>
    </row>
    <row r="4" spans="2:7">
      <c r="B4" s="65" t="str">
        <f>"Instance: "&amp;'EpisodeEvent-ConceptMap-1'!C4</f>
        <v>Instance: episodeEvent2FHIR</v>
      </c>
    </row>
    <row r="5" spans="2:7">
      <c r="B5" s="65" t="s">
        <v>1447</v>
      </c>
    </row>
    <row r="6" spans="2:7">
      <c r="B6" s="65" t="s">
        <v>1438</v>
      </c>
    </row>
    <row r="7" spans="2:7">
      <c r="B7" s="65" t="s">
        <v>1776</v>
      </c>
    </row>
    <row r="8" spans="2:7">
      <c r="B8" s="65" t="str">
        <f>"* name = ##34#"&amp;'EpisodeEvent-ConceptMap-1'!C3&amp;"##34#"</f>
        <v>* name = ##34#EpisodeEvent2FHIR##34#</v>
      </c>
    </row>
    <row r="9" spans="2:7">
      <c r="B9" s="65" t="str">
        <f>"* title = ##34#"&amp;'EpisodeEvent-ConceptMap-1'!C5&amp;"##34#"</f>
        <v>* title = ##34#Episode Event Model to this guide Map##34#</v>
      </c>
    </row>
    <row r="10" spans="2:7">
      <c r="B10" s="65" t="s">
        <v>1439</v>
      </c>
    </row>
    <row r="11" spans="2:7">
      <c r="B11" s="65" t="s">
        <v>1440</v>
      </c>
    </row>
    <row r="12" spans="2:7">
      <c r="B12" s="65" t="str">
        <f>"* description = ##34#"&amp;'EpisodeEvent-ConceptMap-1'!C8&amp;"##34#"</f>
        <v>* description = ##34#Episode Event Model to this guide Map##34#</v>
      </c>
    </row>
    <row r="13" spans="2:7">
      <c r="B13" s="65" t="str">
        <f>"* purpose = ##34#"&amp;'EpisodeEvent-ConceptMap-1'!C9&amp;"##34#"</f>
        <v>* purpose = ##34#It shows how the Episode Event model is mapped into this guide##34#</v>
      </c>
    </row>
    <row r="14" spans="2:7">
      <c r="B14" s="69" t="str">
        <f>"* sourceUri = ##34#"&amp;'EpisodeEvent-ConceptMap-1'!E3&amp;"##34#"</f>
        <v>* sourceUri = ##34#http://hl7.eu/fhir/ig/idea4rc/StructureDefinition/EpisodeEventI4rc##34#</v>
      </c>
    </row>
    <row r="15" spans="2:7">
      <c r="B15" s="69" t="str">
        <f>"* targetUri = ##34#"&amp;'EpisodeEvent-ConceptMap-1'!E4&amp;"##34#"</f>
        <v>* targetUri = ##34#http://hl7.eu/fhir/ig/idea4rc/StructureDefinition/Condition-primaryCancer-eu-i4rc##34#</v>
      </c>
    </row>
    <row r="16" spans="2:7">
      <c r="B16" s="68" t="str">
        <f>"* group[+].source = ##34#"&amp;'EpisodeEvent-ConceptMap-1'!E6&amp;"##34#"</f>
        <v>* group[+].source = ##34#http://hl7.eu/fhir/ig/idea4rc/StructureDefinition/EpisodeEventI4rc##34#</v>
      </c>
    </row>
    <row r="17" spans="2:7">
      <c r="B17" s="68" t="str">
        <f>"* group[=].target = ##34#"&amp;'EpisodeEvent-ConceptMap-1'!E7&amp;"##34#"</f>
        <v>* group[=].target = ##34#http://hl7.eu/fhir/ig/idea4rc/StructureDefinition/Condition-primaryCancer-eu-i4rc##34#</v>
      </c>
    </row>
    <row r="18" spans="2:7">
      <c r="B18" s="121"/>
    </row>
    <row r="19" spans="2:7">
      <c r="B19" s="12" t="str">
        <f>IF('EpisodeEvent-ConceptMap-1'!S15=0,"//---END",'EpisodeEvent-ConceptMap-1'!S15)</f>
        <v>* group[=].element[+].code = #EpisodeEvent.cancerEpisode</v>
      </c>
    </row>
    <row r="20" spans="2:7">
      <c r="B20" s="12" t="str">
        <f>IF('EpisodeEvent-ConceptMap-1'!S16=0,"//---END",'EpisodeEvent-ConceptMap-1'!S16)</f>
        <v>* group[=].element[=].display = ##34#Cancer Episode Reference##34#</v>
      </c>
    </row>
    <row r="21" spans="2:7">
      <c r="B21" s="12" t="str">
        <f>IF('EpisodeEvent-ConceptMap-1'!S17=0,"//---END",'EpisodeEvent-ConceptMap-1'!S17)</f>
        <v>* group[=].element[=].target.code = #Condition.extension:condition-occurredFollowing</v>
      </c>
    </row>
    <row r="22" spans="2:7">
      <c r="B22" s="12" t="str">
        <f>IF('EpisodeEvent-ConceptMap-1'!S18=0,"//---END",'EpisodeEvent-ConceptMap-1'!S18)</f>
        <v>* group[=].element[=].target.display = ##34###34#</v>
      </c>
    </row>
    <row r="23" spans="2:7">
      <c r="B23" s="12" t="str">
        <f>IF('EpisodeEvent-ConceptMap-1'!S19=0,"//---END",'EpisodeEvent-ConceptMap-1'!S19)</f>
        <v>* group[=].element[=].target.equivalence = #equivalent</v>
      </c>
    </row>
    <row r="24" spans="2:7">
      <c r="B24" s="12" t="str">
        <f>IF('EpisodeEvent-ConceptMap-1'!S20=0,"//---END",'EpisodeEvent-ConceptMap-1'!S20)</f>
        <v>* group[=].element[=].target.comment = ##34#if not 'Baseline'##34#</v>
      </c>
      <c r="G24" s="7"/>
    </row>
    <row r="25" spans="2:7">
      <c r="B25" s="12" t="str">
        <f>IF('EpisodeEvent-ConceptMap-1'!S21=0,"//---END",'EpisodeEvent-ConceptMap-1'!S21)</f>
        <v>* group[=].element[+].code = #EpisodeEvent.cancerEpisode</v>
      </c>
    </row>
    <row r="26" spans="2:7">
      <c r="B26" s="12" t="str">
        <f>IF('EpisodeEvent-ConceptMap-1'!S22=0,"//---END",'EpisodeEvent-ConceptMap-1'!S22)</f>
        <v>* group[=].element[=].display = ##34#Cancer Episode Reference##34#</v>
      </c>
    </row>
    <row r="27" spans="2:7">
      <c r="B27" s="12" t="str">
        <f>IF('EpisodeEvent-ConceptMap-1'!S23=0,"//---END",'EpisodeEvent-ConceptMap-1'!S23)</f>
        <v>* group[=].element[=].target.code = #Condition.</v>
      </c>
    </row>
    <row r="28" spans="2:7">
      <c r="B28" s="12" t="str">
        <f>IF('EpisodeEvent-ConceptMap-1'!S24=0,"//---END",'EpisodeEvent-ConceptMap-1'!S24)</f>
        <v>* group[=].element[=].target.display = ##34###34#</v>
      </c>
    </row>
    <row r="29" spans="2:7">
      <c r="B29" s="12" t="str">
        <f>IF('EpisodeEvent-ConceptMap-1'!S25=0,"//---END",'EpisodeEvent-ConceptMap-1'!S25)</f>
        <v>* group[=].element[=].target.equivalence = #equivalent</v>
      </c>
    </row>
    <row r="30" spans="2:7">
      <c r="B30" s="12" t="str">
        <f>IF('EpisodeEvent-ConceptMap-1'!S26=0,"//---END",'EpisodeEvent-ConceptMap-1'!S26)</f>
        <v>* group[=].element[=].target.comment = ##34#If 'Baseline': new Condition##34#</v>
      </c>
    </row>
    <row r="31" spans="2:7">
      <c r="B31" s="12" t="str">
        <f>IF('EpisodeEvent-ConceptMap-1'!S27=0,"//---END",'EpisodeEvent-ConceptMap-1'!S27)</f>
        <v>* group[=].element[+].code = #EpisodeEvent.eventType</v>
      </c>
    </row>
    <row r="32" spans="2:7">
      <c r="B32" s="12" t="str">
        <f>IF('EpisodeEvent-ConceptMap-1'!S28=0,"//---END",'EpisodeEvent-ConceptMap-1'!S28)</f>
        <v>* group[=].element[=].display = ##34#Event type##34#</v>
      </c>
    </row>
    <row r="33" spans="2:2">
      <c r="B33" s="12" t="str">
        <f>IF('EpisodeEvent-ConceptMap-1'!S29=0,"//---END",'EpisodeEvent-ConceptMap-1'!S29)</f>
        <v>* group[=].element[=].target.code = #Condition.clinicalStatus</v>
      </c>
    </row>
    <row r="34" spans="2:2">
      <c r="B34" s="12" t="str">
        <f>IF('EpisodeEvent-ConceptMap-1'!S30=0,"//---END",'EpisodeEvent-ConceptMap-1'!S30)</f>
        <v>* group[=].element[=].target.display = ##34###34#</v>
      </c>
    </row>
    <row r="35" spans="2:2">
      <c r="B35" s="12" t="str">
        <f>IF('EpisodeEvent-ConceptMap-1'!S31=0,"//---END",'EpisodeEvent-ConceptMap-1'!S31)</f>
        <v>* group[=].element[=].target.equivalence = #relatedto</v>
      </c>
    </row>
    <row r="36" spans="2:2" ht="73.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c r="B37" s="12" t="str">
        <f>IF('EpisodeEvent-ConceptMap-1'!S33=0,"//---END",'EpisodeEvent-ConceptMap-1'!S33)</f>
        <v>* group[=].element[+].code = #EpisodeEvent.definedAt</v>
      </c>
    </row>
    <row r="38" spans="2:2">
      <c r="B38" s="12" t="str">
        <f>IF('EpisodeEvent-ConceptMap-1'!S34=0,"//---END",'EpisodeEvent-ConceptMap-1'!S34)</f>
        <v>* group[=].element[=].display = ##34#Defined At##34#</v>
      </c>
    </row>
    <row r="39" spans="2:2">
      <c r="B39" s="12" t="str">
        <f>IF('EpisodeEvent-ConceptMap-1'!S35=0,"//---END",'EpisodeEvent-ConceptMap-1'!S35)</f>
        <v>* group[=].element[=].target.code = #Condition.</v>
      </c>
    </row>
    <row r="40" spans="2:2">
      <c r="B40" s="12" t="str">
        <f>IF('EpisodeEvent-ConceptMap-1'!S36=0,"//---END",'EpisodeEvent-ConceptMap-1'!S36)</f>
        <v>* group[=].element[=].target.display = ##34###34#</v>
      </c>
    </row>
    <row r="41" spans="2:2">
      <c r="B41" s="12" t="str">
        <f>IF('EpisodeEvent-ConceptMap-1'!S37=0,"//---END",'EpisodeEvent-ConceptMap-1'!S37)</f>
        <v>* group[=].element[=].target.equivalence = #relatedto</v>
      </c>
    </row>
    <row r="42" spans="2:2">
      <c r="B42" s="12" t="str">
        <f>IF('EpisodeEvent-ConceptMap-1'!S38=0,"//---END",'EpisodeEvent-ConceptMap-1'!S38)</f>
        <v>* group[=].element[=].target.comment = ##34#CONCEPT TO BE CLARIFIED##34#</v>
      </c>
    </row>
    <row r="43" spans="2:2">
      <c r="B43" s="12" t="str">
        <f>IF('EpisodeEvent-ConceptMap-1'!S39=0,"//---END",'EpisodeEvent-ConceptMap-1'!S39)</f>
        <v>* group[=].element[+].code = #EpisodeEvent.dateOfEpisode</v>
      </c>
    </row>
    <row r="44" spans="2:2">
      <c r="B44" s="12" t="str">
        <f>IF('EpisodeEvent-ConceptMap-1'!S40=0,"//---END",'EpisodeEvent-ConceptMap-1'!S40)</f>
        <v>* group[=].element[=].display = ##34#Date of episode##34#</v>
      </c>
    </row>
    <row r="45" spans="2:2">
      <c r="B45" s="12" t="str">
        <f>IF('EpisodeEvent-ConceptMap-1'!S41=0,"//---END",'EpisodeEvent-ConceptMap-1'!S41)</f>
        <v>* group[=].element[=].target.code = #Condition.effectivePeriod.start</v>
      </c>
    </row>
    <row r="46" spans="2:2">
      <c r="B46" s="12" t="str">
        <f>IF('EpisodeEvent-ConceptMap-1'!S42=0,"//---END",'EpisodeEvent-ConceptMap-1'!S42)</f>
        <v>* group[=].element[=].target.display = ##34###34#</v>
      </c>
    </row>
    <row r="47" spans="2:2">
      <c r="B47" s="12" t="str">
        <f>IF('EpisodeEvent-ConceptMap-1'!S43=0,"//---END",'EpisodeEvent-ConceptMap-1'!S43)</f>
        <v>* group[=].element[=].target.equivalence = #equal</v>
      </c>
    </row>
    <row r="48" spans="2:2">
      <c r="B48" s="12" t="str">
        <f>IF('EpisodeEvent-ConceptMap-1'!S44=0,"//---END",'EpisodeEvent-ConceptMap-1'!S44)</f>
        <v/>
      </c>
    </row>
    <row r="49" spans="2:2">
      <c r="B49" s="12" t="str">
        <f>IF('EpisodeEvent-ConceptMap-1'!S45=0,"//---END",'EpisodeEvent-ConceptMap-1'!S45)</f>
        <v>* group[=].element[+].code = #EpisodeEvent.isLocal</v>
      </c>
    </row>
    <row r="50" spans="2:2">
      <c r="B50" s="12" t="str">
        <f>IF('EpisodeEvent-ConceptMap-1'!S46=0,"//---END",'EpisodeEvent-ConceptMap-1'!S46)</f>
        <v>* group[=].element[=].display = ##34#Is local##34#</v>
      </c>
    </row>
    <row r="51" spans="2:2">
      <c r="B51" s="12" t="str">
        <f>IF('EpisodeEvent-ConceptMap-1'!S47=0,"//---END",'EpisodeEvent-ConceptMap-1'!S47)</f>
        <v>* group[=].element[=].target.code = #Condition.extension:relapseType</v>
      </c>
    </row>
    <row r="52" spans="2:2">
      <c r="B52" s="12" t="str">
        <f>IF('EpisodeEvent-ConceptMap-1'!S48=0,"//---END",'EpisodeEvent-ConceptMap-1'!S48)</f>
        <v>* group[=].element[=].target.display = ##34###34#</v>
      </c>
    </row>
    <row r="53" spans="2:2">
      <c r="B53" s="12" t="str">
        <f>IF('EpisodeEvent-ConceptMap-1'!S49=0,"//---END",'EpisodeEvent-ConceptMap-1'!S49)</f>
        <v>* group[=].element[=].target.equivalence = #relatedto</v>
      </c>
    </row>
    <row r="54" spans="2:2">
      <c r="B54" s="12" t="str">
        <f>IF('EpisodeEvent-ConceptMap-1'!S50=0,"//---END",'EpisodeEvent-ConceptMap-1'!S50)</f>
        <v>* group[=].element[=].target.comment = ##34#to be further analized##34#</v>
      </c>
    </row>
    <row r="55" spans="2:2">
      <c r="B55" s="12" t="str">
        <f>IF('EpisodeEvent-ConceptMap-1'!S51=0,"//---END",'EpisodeEvent-ConceptMap-1'!S51)</f>
        <v>* group[=].element[+].code = #EpisodeEvent.isRegional</v>
      </c>
    </row>
    <row r="56" spans="2:2">
      <c r="B56" s="12" t="str">
        <f>IF('EpisodeEvent-ConceptMap-1'!S52=0,"//---END",'EpisodeEvent-ConceptMap-1'!S52)</f>
        <v>* group[=].element[=].display = ##34#Is regional##34#</v>
      </c>
    </row>
    <row r="57" spans="2:2">
      <c r="B57" s="12" t="str">
        <f>IF('EpisodeEvent-ConceptMap-1'!S53=0,"//---END",'EpisodeEvent-ConceptMap-1'!S53)</f>
        <v>* group[=].element[=].target.code = #Condition.extension:relapseType</v>
      </c>
    </row>
    <row r="58" spans="2:2">
      <c r="B58" s="12" t="str">
        <f>IF('EpisodeEvent-ConceptMap-1'!S54=0,"//---END",'EpisodeEvent-ConceptMap-1'!S54)</f>
        <v>* group[=].element[=].target.display = ##34###34#</v>
      </c>
    </row>
    <row r="59" spans="2:2">
      <c r="B59" s="12" t="str">
        <f>IF('EpisodeEvent-ConceptMap-1'!S55=0,"//---END",'EpisodeEvent-ConceptMap-1'!S55)</f>
        <v>* group[=].element[=].target.equivalence = #relatedto</v>
      </c>
    </row>
    <row r="60" spans="2:2">
      <c r="B60" s="12" t="str">
        <f>IF('EpisodeEvent-ConceptMap-1'!S56=0,"//---END",'EpisodeEvent-ConceptMap-1'!S56)</f>
        <v>* group[=].element[=].target.comment = ##34#to be further analized##34#</v>
      </c>
    </row>
    <row r="61" spans="2:2">
      <c r="B61" s="12" t="str">
        <f>IF('EpisodeEvent-ConceptMap-1'!S57=0,"//---END",'EpisodeEvent-ConceptMap-1'!S57)</f>
        <v>* group[=].element[+].code = #EpisodeEvent.isMetastatic</v>
      </c>
    </row>
    <row r="62" spans="2:2">
      <c r="B62" s="12" t="str">
        <f>IF('EpisodeEvent-ConceptMap-1'!S58=0,"//---END",'EpisodeEvent-ConceptMap-1'!S58)</f>
        <v>* group[=].element[=].display = ##34#Is metastatic##34#</v>
      </c>
    </row>
    <row r="63" spans="2:2">
      <c r="B63" s="12" t="str">
        <f>IF('EpisodeEvent-ConceptMap-1'!S59=0,"//---END",'EpisodeEvent-ConceptMap-1'!S59)</f>
        <v>* group[=].element[=].target.code = #Condition.extension:relapseType</v>
      </c>
    </row>
    <row r="64" spans="2:2">
      <c r="B64" s="12" t="str">
        <f>IF('EpisodeEvent-ConceptMap-1'!S60=0,"//---END",'EpisodeEvent-ConceptMap-1'!S60)</f>
        <v>* group[=].element[=].target.display = ##34###34#</v>
      </c>
    </row>
    <row r="65" spans="2:2">
      <c r="B65" s="12" t="str">
        <f>IF('EpisodeEvent-ConceptMap-1'!S61=0,"//---END",'EpisodeEvent-ConceptMap-1'!S61)</f>
        <v>* group[=].element[=].target.equivalence = #relatedto</v>
      </c>
    </row>
    <row r="66" spans="2:2">
      <c r="B66" s="12" t="str">
        <f>IF('EpisodeEvent-ConceptMap-1'!S62=0,"//---END",'EpisodeEvent-ConceptMap-1'!S62)</f>
        <v>* group[=].element[=].target.comment = ##34#to be further analized##34#</v>
      </c>
    </row>
    <row r="67" spans="2:2">
      <c r="B67" s="12" t="str">
        <f>IF('EpisodeEvent-ConceptMap-1'!S63=0,"//---END",'EpisodeEvent-ConceptMap-1'!S63)</f>
        <v>* group[=].element[+].code = #EpisodeEvent.siteOfMetastasis</v>
      </c>
    </row>
    <row r="68" spans="2:2">
      <c r="B68" s="12" t="str">
        <f>IF('EpisodeEvent-ConceptMap-1'!S64=0,"//---END",'EpisodeEvent-ConceptMap-1'!S64)</f>
        <v>* group[=].element[=].display = ##34#Site of metastasis##34#</v>
      </c>
    </row>
    <row r="69" spans="2:2">
      <c r="B69" s="12" t="str">
        <f>IF('EpisodeEvent-ConceptMap-1'!S65=0,"//---END",'EpisodeEvent-ConceptMap-1'!S65)</f>
        <v>* group[=].element[=].target.code = #Condition.bodySite</v>
      </c>
    </row>
    <row r="70" spans="2:2">
      <c r="B70" s="12" t="str">
        <f>IF('EpisodeEvent-ConceptMap-1'!S66=0,"//---END",'EpisodeEvent-ConceptMap-1'!S66)</f>
        <v>* group[=].element[=].target.display = ##34###34#</v>
      </c>
    </row>
    <row r="71" spans="2:2">
      <c r="B71" s="12" t="str">
        <f>IF('EpisodeEvent-ConceptMap-1'!S67=0,"//---END",'EpisodeEvent-ConceptMap-1'!S67)</f>
        <v>* group[=].element[=].target.equivalence = #relatedto</v>
      </c>
    </row>
    <row r="72" spans="2:2" ht="29.5">
      <c r="B72" s="12" t="str">
        <f>IF('EpisodeEvent-ConceptMap-1'!S68=0,"//---END",'EpisodeEvent-ConceptMap-1'!S68)</f>
        <v>* group[=].element[=].target.comment = ##34#Condition conforming to http://hl7.eu/fhir/ig/idea4rc/StructureDefinition/Condition-secondaryCancer-eu-i4rc##34#</v>
      </c>
    </row>
    <row r="73" spans="2:2">
      <c r="B73" s="12" t="str">
        <f>IF('EpisodeEvent-ConceptMap-1'!S69=0,"//---END",'EpisodeEvent-ConceptMap-1'!S69)</f>
        <v>* group[=].element[+].code = #EpisodeEvent.siteOfMetastasis.softTissue</v>
      </c>
    </row>
    <row r="74" spans="2:2">
      <c r="B74" s="12" t="str">
        <f>IF('EpisodeEvent-ConceptMap-1'!S70=0,"//---END",'EpisodeEvent-ConceptMap-1'!S70)</f>
        <v>* group[=].element[=].display = ##34#Site of metastasis_soft tissue##34#</v>
      </c>
    </row>
    <row r="75" spans="2:2">
      <c r="B75" s="12" t="str">
        <f>IF('EpisodeEvent-ConceptMap-1'!S71=0,"//---END",'EpisodeEvent-ConceptMap-1'!S71)</f>
        <v>* group[=].element[=].target.code = #Condition.bodySite</v>
      </c>
    </row>
    <row r="76" spans="2:2">
      <c r="B76" s="12" t="str">
        <f>IF('EpisodeEvent-ConceptMap-1'!S72=0,"//---END",'EpisodeEvent-ConceptMap-1'!S72)</f>
        <v>* group[=].element[=].target.display = ##34###34#</v>
      </c>
    </row>
    <row r="77" spans="2:2">
      <c r="B77" s="12" t="str">
        <f>IF('EpisodeEvent-ConceptMap-1'!S73=0,"//---END",'EpisodeEvent-ConceptMap-1'!S73)</f>
        <v>* group[=].element[=].target.equivalence = #relatedto</v>
      </c>
    </row>
    <row r="78" spans="2:2">
      <c r="B78" s="12" t="str">
        <f>IF('EpisodeEvent-ConceptMap-1'!S74=0,"//---END",'EpisodeEvent-ConceptMap-1'!S74)</f>
        <v/>
      </c>
    </row>
    <row r="79" spans="2:2">
      <c r="B79" s="12" t="str">
        <f>IF('EpisodeEvent-ConceptMap-1'!S75=0,"//---END",'EpisodeEvent-ConceptMap-1'!S75)</f>
        <v>* group[=].element[+].code = #EpisodeEvent.siteOfMetastasis.distantLymphNodes</v>
      </c>
    </row>
    <row r="80" spans="2:2">
      <c r="B80" s="12" t="str">
        <f>IF('EpisodeEvent-ConceptMap-1'!S76=0,"//---END",'EpisodeEvent-ConceptMap-1'!S76)</f>
        <v>* group[=].element[=].display = ##34#Site of metastasis_distant lymph nodes##34#</v>
      </c>
    </row>
    <row r="81" spans="2:2">
      <c r="B81" s="12" t="str">
        <f>IF('EpisodeEvent-ConceptMap-1'!S77=0,"//---END",'EpisodeEvent-ConceptMap-1'!S77)</f>
        <v>* group[=].element[=].target.code = #Condition.bodySite</v>
      </c>
    </row>
    <row r="82" spans="2:2">
      <c r="B82" s="12" t="str">
        <f>IF('EpisodeEvent-ConceptMap-1'!S78=0,"//---END",'EpisodeEvent-ConceptMap-1'!S78)</f>
        <v>* group[=].element[=].target.display = ##34###34#</v>
      </c>
    </row>
    <row r="83" spans="2:2">
      <c r="B83" s="12" t="str">
        <f>IF('EpisodeEvent-ConceptMap-1'!S79=0,"//---END",'EpisodeEvent-ConceptMap-1'!S79)</f>
        <v>* group[=].element[=].target.equivalence = #relatedto</v>
      </c>
    </row>
    <row r="84" spans="2:2">
      <c r="B84" s="12" t="str">
        <f>IF('EpisodeEvent-ConceptMap-1'!S80=0,"//---END",'EpisodeEvent-ConceptMap-1'!S80)</f>
        <v/>
      </c>
    </row>
    <row r="85" spans="2:2">
      <c r="B85" s="12" t="str">
        <f>IF('EpisodeEvent-ConceptMap-1'!S81=0,"//---END",'EpisodeEvent-ConceptMap-1'!S81)</f>
        <v>* group[=].element[+].code = #EpisodeEvent.siteOfMetastasis.lung</v>
      </c>
    </row>
    <row r="86" spans="2:2">
      <c r="B86" s="12" t="str">
        <f>IF('EpisodeEvent-ConceptMap-1'!S82=0,"//---END",'EpisodeEvent-ConceptMap-1'!S82)</f>
        <v>* group[=].element[=].display = ##34#Site of metastasis_lung##34#</v>
      </c>
    </row>
    <row r="87" spans="2:2">
      <c r="B87" s="12" t="str">
        <f>IF('EpisodeEvent-ConceptMap-1'!S83=0,"//---END",'EpisodeEvent-ConceptMap-1'!S83)</f>
        <v>* group[=].element[=].target.code = #Condition.bodySite</v>
      </c>
    </row>
    <row r="88" spans="2:2">
      <c r="B88" s="12" t="str">
        <f>IF('EpisodeEvent-ConceptMap-1'!S84=0,"//---END",'EpisodeEvent-ConceptMap-1'!S84)</f>
        <v>* group[=].element[=].target.display = ##34###34#</v>
      </c>
    </row>
    <row r="89" spans="2:2">
      <c r="B89" s="12" t="str">
        <f>IF('EpisodeEvent-ConceptMap-1'!S85=0,"//---END",'EpisodeEvent-ConceptMap-1'!S85)</f>
        <v>* group[=].element[=].target.equivalence = #relatedto</v>
      </c>
    </row>
    <row r="90" spans="2:2">
      <c r="B90" s="12" t="str">
        <f>IF('EpisodeEvent-ConceptMap-1'!S86=0,"//---END",'EpisodeEvent-ConceptMap-1'!S86)</f>
        <v/>
      </c>
    </row>
    <row r="91" spans="2:2">
      <c r="B91" s="12" t="str">
        <f>IF('EpisodeEvent-ConceptMap-1'!S87=0,"//---END",'EpisodeEvent-ConceptMap-1'!S87)</f>
        <v>* group[=].element[+].code = #EpisodeEvent.siteOfMetastasis.bone</v>
      </c>
    </row>
    <row r="92" spans="2:2">
      <c r="B92" s="12" t="str">
        <f>IF('EpisodeEvent-ConceptMap-1'!S88=0,"//---END",'EpisodeEvent-ConceptMap-1'!S88)</f>
        <v>* group[=].element[=].display = ##34#Site of metastasis_bone##34#</v>
      </c>
    </row>
    <row r="93" spans="2:2">
      <c r="B93" s="12" t="str">
        <f>IF('EpisodeEvent-ConceptMap-1'!S89=0,"//---END",'EpisodeEvent-ConceptMap-1'!S89)</f>
        <v>* group[=].element[=].target.code = #Condition.bodySite</v>
      </c>
    </row>
    <row r="94" spans="2:2">
      <c r="B94" s="12" t="str">
        <f>IF('EpisodeEvent-ConceptMap-1'!S90=0,"//---END",'EpisodeEvent-ConceptMap-1'!S90)</f>
        <v>* group[=].element[=].target.display = ##34###34#</v>
      </c>
    </row>
    <row r="95" spans="2:2">
      <c r="B95" s="12" t="str">
        <f>IF('EpisodeEvent-ConceptMap-1'!S91=0,"//---END",'EpisodeEvent-ConceptMap-1'!S91)</f>
        <v>* group[=].element[=].target.equivalence = #relatedto</v>
      </c>
    </row>
    <row r="96" spans="2:2">
      <c r="B96" s="12" t="str">
        <f>IF('EpisodeEvent-ConceptMap-1'!S92=0,"//---END",'EpisodeEvent-ConceptMap-1'!S92)</f>
        <v/>
      </c>
    </row>
    <row r="97" spans="2:2">
      <c r="B97" s="12" t="str">
        <f>IF('EpisodeEvent-ConceptMap-1'!S93=0,"//---END",'EpisodeEvent-ConceptMap-1'!S93)</f>
        <v>* group[=].element[+].code = #EpisodeEvent.siteOfMetastasis.liver</v>
      </c>
    </row>
    <row r="98" spans="2:2">
      <c r="B98" s="12" t="str">
        <f>IF('EpisodeEvent-ConceptMap-1'!S94=0,"//---END",'EpisodeEvent-ConceptMap-1'!S94)</f>
        <v>* group[=].element[=].display = ##34#Site of metastasis_liver##34#</v>
      </c>
    </row>
    <row r="99" spans="2:2">
      <c r="B99" s="12" t="str">
        <f>IF('EpisodeEvent-ConceptMap-1'!S95=0,"//---END",'EpisodeEvent-ConceptMap-1'!S95)</f>
        <v>* group[=].element[=].target.code = #Condition.bodySite</v>
      </c>
    </row>
    <row r="100" spans="2:2">
      <c r="B100" s="12" t="str">
        <f>IF('EpisodeEvent-ConceptMap-1'!S96=0,"//---END",'EpisodeEvent-ConceptMap-1'!S96)</f>
        <v>* group[=].element[=].target.display = ##34###34#</v>
      </c>
    </row>
    <row r="101" spans="2:2">
      <c r="B101" s="12" t="str">
        <f>IF('EpisodeEvent-ConceptMap-1'!S97=0,"//---END",'EpisodeEvent-ConceptMap-1'!S97)</f>
        <v>* group[=].element[=].target.equivalence = #relatedto</v>
      </c>
    </row>
    <row r="102" spans="2:2">
      <c r="B102" s="12" t="str">
        <f>IF('EpisodeEvent-ConceptMap-1'!S98=0,"//---END",'EpisodeEvent-ConceptMap-1'!S98)</f>
        <v/>
      </c>
    </row>
    <row r="103" spans="2:2">
      <c r="B103" s="12" t="str">
        <f>IF('EpisodeEvent-ConceptMap-1'!S99=0,"//---END",'EpisodeEvent-ConceptMap-1'!S99)</f>
        <v>* group[=].element[+].code = #EpisodeEvent.siteOfMetastasis.pleura</v>
      </c>
    </row>
    <row r="104" spans="2:2">
      <c r="B104" s="12" t="str">
        <f>IF('EpisodeEvent-ConceptMap-1'!S100=0,"//---END",'EpisodeEvent-ConceptMap-1'!S100)</f>
        <v>* group[=].element[=].display = ##34#Site of metastasis_pleura##34#</v>
      </c>
    </row>
    <row r="105" spans="2:2">
      <c r="B105" s="12" t="str">
        <f>IF('EpisodeEvent-ConceptMap-1'!S101=0,"//---END",'EpisodeEvent-ConceptMap-1'!S101)</f>
        <v>* group[=].element[=].target.code = #Condition.bodySite</v>
      </c>
    </row>
    <row r="106" spans="2:2">
      <c r="B106" s="12" t="str">
        <f>IF('EpisodeEvent-ConceptMap-1'!S102=0,"//---END",'EpisodeEvent-ConceptMap-1'!S102)</f>
        <v>* group[=].element[=].target.display = ##34###34#</v>
      </c>
    </row>
    <row r="107" spans="2:2">
      <c r="B107" s="12" t="str">
        <f>IF('EpisodeEvent-ConceptMap-1'!S103=0,"//---END",'EpisodeEvent-ConceptMap-1'!S103)</f>
        <v>* group[=].element[=].target.equivalence = #relatedto</v>
      </c>
    </row>
    <row r="108" spans="2:2">
      <c r="B108" s="12" t="str">
        <f>IF('EpisodeEvent-ConceptMap-1'!S104=0,"//---END",'EpisodeEvent-ConceptMap-1'!S104)</f>
        <v/>
      </c>
    </row>
    <row r="109" spans="2:2">
      <c r="B109" s="12" t="str">
        <f>IF('EpisodeEvent-ConceptMap-1'!S105=0,"//---END",'EpisodeEvent-ConceptMap-1'!S105)</f>
        <v>* group[=].element[+].code = #EpisodeEvent.siteOfMetastasis.peritoneum</v>
      </c>
    </row>
    <row r="110" spans="2:2">
      <c r="B110" s="12" t="str">
        <f>IF('EpisodeEvent-ConceptMap-1'!S106=0,"//---END",'EpisodeEvent-ConceptMap-1'!S106)</f>
        <v>* group[=].element[=].display = ##34#Site of metastasis_peritoneum##34#</v>
      </c>
    </row>
    <row r="111" spans="2:2">
      <c r="B111" s="12" t="str">
        <f>IF('EpisodeEvent-ConceptMap-1'!S107=0,"//---END",'EpisodeEvent-ConceptMap-1'!S107)</f>
        <v>* group[=].element[=].target.code = #Condition.bodySite</v>
      </c>
    </row>
    <row r="112" spans="2:2">
      <c r="B112" s="12" t="str">
        <f>IF('EpisodeEvent-ConceptMap-1'!S108=0,"//---END",'EpisodeEvent-ConceptMap-1'!S108)</f>
        <v>* group[=].element[=].target.display = ##34###34#</v>
      </c>
    </row>
    <row r="113" spans="2:2">
      <c r="B113" s="12" t="str">
        <f>IF('EpisodeEvent-ConceptMap-1'!S109=0,"//---END",'EpisodeEvent-ConceptMap-1'!S109)</f>
        <v>* group[=].element[=].target.equivalence = #relatedto</v>
      </c>
    </row>
    <row r="114" spans="2:2">
      <c r="B114" s="12" t="str">
        <f>IF('EpisodeEvent-ConceptMap-1'!S110=0,"//---END",'EpisodeEvent-ConceptMap-1'!S110)</f>
        <v/>
      </c>
    </row>
    <row r="115" spans="2:2">
      <c r="B115" s="12" t="str">
        <f>IF('EpisodeEvent-ConceptMap-1'!S111=0,"//---END",'EpisodeEvent-ConceptMap-1'!S111)</f>
        <v>* group[=].element[+].code = #EpisodeEvent.siteOfMetastasis.brain</v>
      </c>
    </row>
    <row r="116" spans="2:2">
      <c r="B116" s="12" t="str">
        <f>IF('EpisodeEvent-ConceptMap-1'!S112=0,"//---END",'EpisodeEvent-ConceptMap-1'!S112)</f>
        <v>* group[=].element[=].display = ##34#Site of  metastasis_brain##34#</v>
      </c>
    </row>
    <row r="117" spans="2:2">
      <c r="B117" s="12" t="str">
        <f>IF('EpisodeEvent-ConceptMap-1'!S113=0,"//---END",'EpisodeEvent-ConceptMap-1'!S113)</f>
        <v>* group[=].element[=].target.code = #Condition.bodySite</v>
      </c>
    </row>
    <row r="118" spans="2:2">
      <c r="B118" s="12" t="str">
        <f>IF('EpisodeEvent-ConceptMap-1'!S114=0,"//---END",'EpisodeEvent-ConceptMap-1'!S114)</f>
        <v>* group[=].element[=].target.display = ##34###34#</v>
      </c>
    </row>
    <row r="119" spans="2:2">
      <c r="B119" s="12" t="str">
        <f>IF('EpisodeEvent-ConceptMap-1'!S115=0,"//---END",'EpisodeEvent-ConceptMap-1'!S115)</f>
        <v>* group[=].element[=].target.equivalence = #relatedto</v>
      </c>
    </row>
    <row r="120" spans="2:2">
      <c r="B120" s="12" t="str">
        <f>IF('EpisodeEvent-ConceptMap-1'!S116=0,"//---END",'EpisodeEvent-ConceptMap-1'!S116)</f>
        <v/>
      </c>
    </row>
    <row r="121" spans="2:2">
      <c r="B121" s="12" t="str">
        <f>IF('EpisodeEvent-ConceptMap-1'!S117=0,"//---END",'EpisodeEvent-ConceptMap-1'!S117)</f>
        <v>* group[=].element[+].code = #EpisodeEvent.siteOfMetastasis.otherViscera</v>
      </c>
    </row>
    <row r="122" spans="2:2">
      <c r="B122" s="12" t="str">
        <f>IF('EpisodeEvent-ConceptMap-1'!S118=0,"//---END",'EpisodeEvent-ConceptMap-1'!S118)</f>
        <v>* group[=].element[=].display = ##34#Site of  metastasis_other viscera##34#</v>
      </c>
    </row>
    <row r="123" spans="2:2">
      <c r="B123" s="12" t="str">
        <f>IF('EpisodeEvent-ConceptMap-1'!S119=0,"//---END",'EpisodeEvent-ConceptMap-1'!S119)</f>
        <v>* group[=].element[=].target.code = #Condition.bodySite</v>
      </c>
    </row>
    <row r="124" spans="2:2">
      <c r="B124" s="12" t="str">
        <f>IF('EpisodeEvent-ConceptMap-1'!S120=0,"//---END",'EpisodeEvent-ConceptMap-1'!S120)</f>
        <v>* group[=].element[=].target.display = ##34###34#</v>
      </c>
    </row>
    <row r="125" spans="2:2">
      <c r="B125" s="12" t="str">
        <f>IF('EpisodeEvent-ConceptMap-1'!S121=0,"//---END",'EpisodeEvent-ConceptMap-1'!S121)</f>
        <v>* group[=].element[=].target.equivalence = #relatedto</v>
      </c>
    </row>
    <row r="126" spans="2:2">
      <c r="B126" s="12" t="str">
        <f>IF('EpisodeEvent-ConceptMap-1'!S122=0,"//---END",'EpisodeEvent-ConceptMap-1'!S122)</f>
        <v/>
      </c>
    </row>
    <row r="127" spans="2:2">
      <c r="B127" s="12" t="str">
        <f>IF('EpisodeEvent-ConceptMap-1'!S123=0,"//---END",'EpisodeEvent-ConceptMap-1'!S123)</f>
        <v>* group[=].element[+].code = #EpisodeEvent.siteOfMetastasis.unknown</v>
      </c>
    </row>
    <row r="128" spans="2:2">
      <c r="B128" s="12" t="str">
        <f>IF('EpisodeEvent-ConceptMap-1'!S124=0,"//---END",'EpisodeEvent-ConceptMap-1'!S124)</f>
        <v>* group[=].element[=].display = ##34#Site of  metastasis_unknown##34#</v>
      </c>
    </row>
    <row r="129" spans="2:2">
      <c r="B129" s="12" t="str">
        <f>IF('EpisodeEvent-ConceptMap-1'!S125=0,"//---END",'EpisodeEvent-ConceptMap-1'!S125)</f>
        <v>* group[=].element[=].target.code = #Condition.bodySite</v>
      </c>
    </row>
    <row r="130" spans="2:2">
      <c r="B130" s="12" t="str">
        <f>IF('EpisodeEvent-ConceptMap-1'!S126=0,"//---END",'EpisodeEvent-ConceptMap-1'!S126)</f>
        <v>* group[=].element[=].target.display = ##34###34#</v>
      </c>
    </row>
    <row r="131" spans="2:2">
      <c r="B131" s="12" t="str">
        <f>IF('EpisodeEvent-ConceptMap-1'!S127=0,"//---END",'EpisodeEvent-ConceptMap-1'!S127)</f>
        <v>* group[=].element[=].target.equivalence = #relatedto</v>
      </c>
    </row>
    <row r="132" spans="2:2">
      <c r="B132" s="12" t="str">
        <f>IF('EpisodeEvent-ConceptMap-1'!S128=0,"//---END",'EpisodeEvent-ConceptMap-1'!S128)</f>
        <v/>
      </c>
    </row>
    <row r="133" spans="2:2">
      <c r="B133" s="12" t="str">
        <f>IF('EpisodeEvent-ConceptMap-1'!S129=0,"//---END",'EpisodeEvent-ConceptMap-1'!S129)</f>
        <v>//---END</v>
      </c>
    </row>
    <row r="134" spans="2:2">
      <c r="B134" s="12" t="str">
        <f>IF('EpisodeEvent-ConceptMap-1'!S130=0,"//---END",'EpisodeEvent-ConceptMap-1'!S130)</f>
        <v>//---END</v>
      </c>
    </row>
    <row r="135" spans="2:2">
      <c r="B135" s="12" t="str">
        <f>IF('EpisodeEvent-ConceptMap-1'!S131=0,"//---END",'EpisodeEvent-ConceptMap-1'!S131)</f>
        <v>//---END</v>
      </c>
    </row>
    <row r="136" spans="2:2">
      <c r="B136" s="12" t="str">
        <f>IF('EpisodeEvent-ConceptMap-1'!S132=0,"//---END",'EpisodeEvent-ConceptMap-1'!S132)</f>
        <v>//---END</v>
      </c>
    </row>
    <row r="137" spans="2:2">
      <c r="B137" s="12" t="str">
        <f>IF('EpisodeEvent-ConceptMap-1'!S133=0,"//---END",'EpisodeEvent-ConceptMap-1'!S133)</f>
        <v>//---END</v>
      </c>
    </row>
    <row r="138" spans="2:2">
      <c r="B138" s="12" t="str">
        <f>IF('EpisodeEvent-ConceptMap-1'!S134=0,"//---END",'EpisodeEvent-ConceptMap-1'!S134)</f>
        <v>//---END</v>
      </c>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29"/>
  <sheetViews>
    <sheetView zoomScale="130" zoomScaleNormal="130" workbookViewId="0">
      <selection activeCell="B4" sqref="B4"/>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2351</v>
      </c>
      <c r="J4" s="16" t="str">
        <f>CONCATENATE("Logical: ",B4)</f>
        <v>Logical: ClinicalStageI4rc</v>
      </c>
    </row>
    <row r="5" spans="1:12" ht="19.899999999999999" customHeight="1">
      <c r="A5" s="14" t="s">
        <v>16</v>
      </c>
      <c r="B5" s="46" t="s">
        <v>1883</v>
      </c>
      <c r="J5" s="16" t="str">
        <f>CONCATENATE("Id: ",B5)</f>
        <v>Id: ClinicalStage</v>
      </c>
    </row>
    <row r="6" spans="1:12" ht="19.899999999999999" customHeight="1">
      <c r="A6" s="14" t="s">
        <v>10</v>
      </c>
      <c r="B6" s="47" t="s">
        <v>1884</v>
      </c>
      <c r="J6" s="17" t="str">
        <f>CONCATENATE("Title: ##34#",B6,"##34#")</f>
        <v>Title: ##34#Clinical Stage##34#</v>
      </c>
    </row>
    <row r="7" spans="1:12" ht="19.899999999999999" customHeight="1">
      <c r="A7" s="26" t="s">
        <v>2</v>
      </c>
      <c r="B7" s="104" t="s">
        <v>1884</v>
      </c>
      <c r="C7" s="9" t="s">
        <v>3</v>
      </c>
      <c r="D7" s="1" t="s">
        <v>4</v>
      </c>
      <c r="E7" s="3" t="s">
        <v>5</v>
      </c>
      <c r="F7" s="3" t="s">
        <v>6</v>
      </c>
      <c r="G7" s="3" t="s">
        <v>7</v>
      </c>
      <c r="H7" s="105" t="s">
        <v>1610</v>
      </c>
      <c r="J7" s="17" t="str">
        <f>CONCATENATE("Description: "," ##334#",B7,"##334#",)</f>
        <v>Description:  ##334#Clinical Stage##334#</v>
      </c>
    </row>
    <row r="8" spans="1:12" ht="20.25" customHeight="1">
      <c r="A8" s="100">
        <v>0</v>
      </c>
      <c r="B8" s="57" t="s">
        <v>1886</v>
      </c>
      <c r="C8" s="11" t="s">
        <v>1887</v>
      </c>
      <c r="D8" s="11" t="s">
        <v>1872</v>
      </c>
      <c r="E8" s="11">
        <v>1</v>
      </c>
      <c r="F8" s="11">
        <v>1</v>
      </c>
      <c r="G8" t="s">
        <v>1969</v>
      </c>
      <c r="H8" s="12" t="s">
        <v>184</v>
      </c>
      <c r="I8" s="25"/>
      <c r="J8" s="12" t="str">
        <f t="shared" ref="J8:J28" si="0">CONCATENATE("* ",B8, " ",E8,"..",F8," ",G8," ##34#",C8,"##34# ##334#",D8,"##334#")</f>
        <v>* episodeEvent 1..1 http://hl7.eu/fhir/ig/idea4rc/StructureDefinition/EpisodeEvent ##34#Episode Event##34# ##334#EpisodeEvent element containing the data regarding the patient's cancer##334#</v>
      </c>
      <c r="L8" s="12" t="str">
        <f>IF(H8="",IF(J8="*  ..  ##34###34# ##334###334#",J8,""),IF(J8="*  ..  ##34###34# ##334###334#",J8,CONCATENATE("* ",B8," ^comment = ##334#",H8,"##334#")))</f>
        <v/>
      </c>
    </row>
    <row r="9" spans="1:12" ht="147.5">
      <c r="A9" s="100">
        <v>1</v>
      </c>
      <c r="B9" s="57" t="s">
        <v>1614</v>
      </c>
      <c r="C9" s="11" t="s">
        <v>1614</v>
      </c>
      <c r="D9" s="11" t="s">
        <v>1615</v>
      </c>
      <c r="E9" s="11">
        <v>1</v>
      </c>
      <c r="F9" s="11">
        <v>1</v>
      </c>
      <c r="G9" s="57" t="s">
        <v>1764</v>
      </c>
      <c r="H9" s="12" t="s">
        <v>1877</v>
      </c>
      <c r="I9" s="25"/>
      <c r="J9" s="12" t="str">
        <f t="shared" si="0"/>
        <v>* cT 1..1 CodeableConcept ##34#cT##34# ##334#Specifies the clinical T##334#</v>
      </c>
      <c r="L9" s="12" t="str">
        <f t="shared" ref="L9:L28" si="1">IF(H9="",IF(J9="*  ..  ##34###34# ##334###334#",J9,""),IF(J9="*  ..  ##34###34# ##334###334#",J9,CONCATENATE("* ",B9," ^comment = ##334#",H9,"##334#")))</f>
        <v>* cT ^comment = ##334#Tx; Tis; T0;T1;T2; T3; T4; T4a; T4b;Tx - 4282467
 Tis - 4195922
T0 - 4243213
T1 -  4052407
T2 - 4194614
 T3 - 4032012
 T4 - 4278513
 T4a - 4127612
 T4b - 4129920##334#</v>
      </c>
    </row>
    <row r="10" spans="1:12" ht="162.25">
      <c r="A10" s="100">
        <v>2</v>
      </c>
      <c r="B10" s="57" t="s">
        <v>1616</v>
      </c>
      <c r="C10" s="11" t="s">
        <v>1616</v>
      </c>
      <c r="D10" s="11" t="s">
        <v>1617</v>
      </c>
      <c r="E10" s="11">
        <v>1</v>
      </c>
      <c r="F10" s="11">
        <v>1</v>
      </c>
      <c r="G10" s="57" t="s">
        <v>1764</v>
      </c>
      <c r="H10" s="12" t="s">
        <v>1878</v>
      </c>
      <c r="I10" s="25"/>
      <c r="J10" s="12" t="str">
        <f t="shared" si="0"/>
        <v>* cN 1..1 CodeableConcept ##34#cN##34# ##334#Specifies the clinical N##334#</v>
      </c>
      <c r="L10" s="12" t="str">
        <f t="shared" si="1"/>
        <v>* cN ^comment = ##334#Nx; N0;N1;N2;N2a;N2b;N2c;N3; N3a;N3b;Nx - 4195718
N0 - 4266674
N1 - 4203608
N2 - 4263599
N2a - 4135247
N2b - 4119012
N2c - 4118508
N3 - 4239307
N3a - 4240556
N3b - 4240557##334#</v>
      </c>
    </row>
    <row r="11" spans="1:12" ht="32.25" customHeight="1">
      <c r="A11" s="101">
        <v>3</v>
      </c>
      <c r="B11" s="140" t="s">
        <v>1918</v>
      </c>
      <c r="C11" s="11" t="s">
        <v>1873</v>
      </c>
      <c r="D11" s="11" t="s">
        <v>1874</v>
      </c>
      <c r="E11" s="11">
        <v>1</v>
      </c>
      <c r="F11" s="11">
        <v>1</v>
      </c>
      <c r="G11" s="57" t="s">
        <v>1764</v>
      </c>
      <c r="H11" s="12" t="s">
        <v>1879</v>
      </c>
      <c r="I11" s="25"/>
      <c r="J11" s="12" t="str">
        <f t="shared" si="0"/>
        <v>* radiologicalExtraNodalExtension 1..1 CodeableConcept ##34#Radiological Extra-nodal extension (rENE)##34# ##334#Describes the presence or absence of radiological signs of extracapsular extension, as defined in the AJCC 8th Ed##334#</v>
      </c>
      <c r="L11" s="12" t="str">
        <f t="shared" si="1"/>
        <v>* radiologicalExtraNodalExtension ^comment = ##334#ENE-; ENE+;ENE- - 36769946
ENE+ - 36770618##334#</v>
      </c>
    </row>
    <row r="12" spans="1:12" ht="29.5">
      <c r="A12" s="100">
        <v>4</v>
      </c>
      <c r="B12" s="57" t="s">
        <v>1618</v>
      </c>
      <c r="C12" s="11" t="s">
        <v>1618</v>
      </c>
      <c r="D12" s="11" t="s">
        <v>1619</v>
      </c>
      <c r="E12" s="11">
        <v>1</v>
      </c>
      <c r="F12" s="11">
        <v>1</v>
      </c>
      <c r="G12" s="57" t="s">
        <v>1764</v>
      </c>
      <c r="H12" s="12" t="s">
        <v>1880</v>
      </c>
      <c r="I12" s="25"/>
      <c r="J12" s="12" t="str">
        <f t="shared" si="0"/>
        <v>* cM 1..1 CodeableConcept ##34#cM##34# ##334#Specifies the clinical M##334#</v>
      </c>
      <c r="L12" s="12" t="str">
        <f t="shared" si="1"/>
        <v>* cM ^comment = ##334#M0; M1;M0 -  4149726
M1 - 4205430##334#</v>
      </c>
    </row>
    <row r="13" spans="1:12" ht="45.25" customHeight="1">
      <c r="A13" s="100">
        <v>5</v>
      </c>
      <c r="B13" s="57" t="s">
        <v>1885</v>
      </c>
      <c r="C13" s="11" t="s">
        <v>1620</v>
      </c>
      <c r="D13" s="12" t="s">
        <v>1621</v>
      </c>
      <c r="E13" s="11">
        <v>1</v>
      </c>
      <c r="F13" s="11">
        <v>1</v>
      </c>
      <c r="G13" s="57" t="s">
        <v>1764</v>
      </c>
      <c r="H13" s="12" t="s">
        <v>1881</v>
      </c>
      <c r="I13" s="25"/>
      <c r="J13" s="12" t="str">
        <f t="shared" si="0"/>
        <v>* clinicalStaging 1..1 CodeableConcept ##34#Clinical staging##34# ##334#Specifies the clinical TNM##334#</v>
      </c>
      <c r="L13" s="12" t="str">
        <f t="shared" si="1"/>
        <v>* clinicalStaging ^comment = ##334#0;I;II;III;IV;IVA;IVB;IVC;0 - 4127500
I - 4121054
II - 4106768
III - 4121176
IV - 4123017
IVA - 4129915
IVB - 4130412
IVC - 4196439##334#</v>
      </c>
    </row>
    <row r="14" spans="1:12" ht="32.75" customHeight="1">
      <c r="A14" s="100">
        <v>6</v>
      </c>
      <c r="B14" s="57" t="s">
        <v>1647</v>
      </c>
      <c r="C14" s="11" t="s">
        <v>1622</v>
      </c>
      <c r="D14" s="12" t="s">
        <v>1623</v>
      </c>
      <c r="E14" s="11">
        <v>1</v>
      </c>
      <c r="F14" s="11">
        <v>1</v>
      </c>
      <c r="G14" s="57" t="s">
        <v>1764</v>
      </c>
      <c r="H14" s="12" t="s">
        <v>1882</v>
      </c>
      <c r="I14" s="25"/>
      <c r="J14" s="12" t="str">
        <f t="shared" si="0"/>
        <v>* ajccEdition 1..1 CodeableConcept ##34#Ajcc edition##34# ##334#Describe the edition of the AJCC used for staging##334#</v>
      </c>
      <c r="L14" s="12" t="str">
        <f t="shared" si="1"/>
        <v>* ajccEdition ^comment = ##334#8th,9th,10th,11th8th - 1634449
9th - 
10th - 
11th - ##334#</v>
      </c>
    </row>
    <row r="15" spans="1:12" ht="19.899999999999999" customHeight="1">
      <c r="A15" s="150">
        <v>7</v>
      </c>
      <c r="B15" s="57" t="s">
        <v>1648</v>
      </c>
      <c r="C15" s="11" t="s">
        <v>1624</v>
      </c>
      <c r="D15" s="12" t="s">
        <v>1625</v>
      </c>
      <c r="E15" s="11">
        <v>0</v>
      </c>
      <c r="F15" s="11">
        <v>1</v>
      </c>
      <c r="G15" s="57" t="s">
        <v>157</v>
      </c>
      <c r="H15" s="12" t="s">
        <v>1876</v>
      </c>
      <c r="I15" s="25"/>
      <c r="J15" s="12" t="str">
        <f t="shared" si="0"/>
        <v>* softTissue 0..1 boolean ##34#Soft tissue##34# ##334#Describes if site of metastasic disease  is soft tissue##334#</v>
      </c>
      <c r="L15" s="12" t="str">
        <f t="shared" si="1"/>
        <v>* softTissue ^comment = ##334#True; False##334#</v>
      </c>
    </row>
    <row r="16" spans="1:12" ht="19.899999999999999" customHeight="1">
      <c r="A16" s="150">
        <v>8</v>
      </c>
      <c r="B16" s="57" t="s">
        <v>1649</v>
      </c>
      <c r="C16" s="11" t="s">
        <v>1626</v>
      </c>
      <c r="D16" s="12" t="s">
        <v>1627</v>
      </c>
      <c r="E16" s="11">
        <v>0</v>
      </c>
      <c r="F16" s="11">
        <v>1</v>
      </c>
      <c r="G16" s="57" t="s">
        <v>157</v>
      </c>
      <c r="H16" s="12" t="s">
        <v>1876</v>
      </c>
      <c r="I16" s="25"/>
      <c r="J16" s="12" t="str">
        <f t="shared" si="0"/>
        <v>* distantLymphNode 0..1 boolean ##34#distant lymph node##34# ##334#Describes if site of metastasic disease  is dystan lymph node##334#</v>
      </c>
      <c r="L16" s="12" t="str">
        <f t="shared" si="1"/>
        <v>* distantLymphNode ^comment = ##334#True; False##334#</v>
      </c>
    </row>
    <row r="17" spans="1:13" ht="19.899999999999999" customHeight="1">
      <c r="A17" s="150">
        <v>9</v>
      </c>
      <c r="B17" s="57" t="s">
        <v>1628</v>
      </c>
      <c r="C17" s="11" t="s">
        <v>1628</v>
      </c>
      <c r="D17" s="12" t="s">
        <v>1629</v>
      </c>
      <c r="E17" s="11">
        <v>0</v>
      </c>
      <c r="F17" s="11">
        <v>1</v>
      </c>
      <c r="G17" s="57" t="s">
        <v>157</v>
      </c>
      <c r="H17" s="12" t="s">
        <v>1876</v>
      </c>
      <c r="I17" s="25"/>
      <c r="J17" s="12" t="str">
        <f t="shared" si="0"/>
        <v>* lung 0..1 boolean ##34#lung##34# ##334#Describes if site of metastasic disease  is lung##334#</v>
      </c>
      <c r="L17" s="12" t="str">
        <f t="shared" si="1"/>
        <v>* lung ^comment = ##334#True; False##334#</v>
      </c>
    </row>
    <row r="18" spans="1:13" ht="19.899999999999999" customHeight="1">
      <c r="A18" s="150">
        <v>10</v>
      </c>
      <c r="B18" s="57" t="s">
        <v>1630</v>
      </c>
      <c r="C18" s="11" t="s">
        <v>1630</v>
      </c>
      <c r="D18" s="11" t="s">
        <v>1631</v>
      </c>
      <c r="E18" s="11">
        <v>0</v>
      </c>
      <c r="F18" s="11">
        <v>1</v>
      </c>
      <c r="G18" s="57" t="s">
        <v>157</v>
      </c>
      <c r="H18" s="12" t="s">
        <v>1876</v>
      </c>
      <c r="J18" s="12" t="str">
        <f t="shared" si="0"/>
        <v>* bone 0..1 boolean ##34#bone##34# ##334#Describes if site of metastasic disease  is bone##334#</v>
      </c>
      <c r="L18" s="12" t="str">
        <f t="shared" si="1"/>
        <v>* bone ^comment = ##334#True; False##334#</v>
      </c>
    </row>
    <row r="19" spans="1:13" ht="19.899999999999999" customHeight="1">
      <c r="A19" s="150">
        <v>11</v>
      </c>
      <c r="B19" s="57" t="s">
        <v>1632</v>
      </c>
      <c r="C19" s="11" t="s">
        <v>1632</v>
      </c>
      <c r="D19" s="11" t="s">
        <v>1633</v>
      </c>
      <c r="E19" s="11">
        <v>0</v>
      </c>
      <c r="F19" s="11">
        <v>1</v>
      </c>
      <c r="G19" s="57" t="s">
        <v>157</v>
      </c>
      <c r="H19" s="12" t="s">
        <v>1876</v>
      </c>
      <c r="J19" s="12" t="str">
        <f t="shared" si="0"/>
        <v>* liver 0..1 boolean ##34#liver##34# ##334#Describes if site of metastasic disease  is liver##334#</v>
      </c>
      <c r="L19" s="12" t="str">
        <f t="shared" si="1"/>
        <v>* liver ^comment = ##334#True; False##334#</v>
      </c>
    </row>
    <row r="20" spans="1:13" ht="19.899999999999999" customHeight="1">
      <c r="A20" s="150">
        <v>12</v>
      </c>
      <c r="B20" s="57" t="s">
        <v>1634</v>
      </c>
      <c r="C20" s="11" t="s">
        <v>1634</v>
      </c>
      <c r="D20" s="11" t="s">
        <v>1635</v>
      </c>
      <c r="E20" s="11">
        <v>0</v>
      </c>
      <c r="F20" s="11">
        <v>1</v>
      </c>
      <c r="G20" s="57" t="s">
        <v>157</v>
      </c>
      <c r="H20" s="12" t="s">
        <v>1876</v>
      </c>
      <c r="J20" s="12" t="str">
        <f t="shared" si="0"/>
        <v>* pleura 0..1 boolean ##34#pleura##34# ##334#Describes if site of metastasic disease  is pleura##334#</v>
      </c>
      <c r="L20" s="12" t="str">
        <f t="shared" si="1"/>
        <v>* pleura ^comment = ##334#True; False##334#</v>
      </c>
    </row>
    <row r="21" spans="1:13" ht="19.899999999999999" customHeight="1">
      <c r="A21" s="150">
        <v>13</v>
      </c>
      <c r="B21" s="57" t="s">
        <v>1636</v>
      </c>
      <c r="C21" s="11" t="s">
        <v>1636</v>
      </c>
      <c r="D21" s="11" t="s">
        <v>1637</v>
      </c>
      <c r="E21" s="11">
        <v>0</v>
      </c>
      <c r="F21" s="11">
        <v>1</v>
      </c>
      <c r="G21" s="57" t="s">
        <v>157</v>
      </c>
      <c r="H21" s="12" t="s">
        <v>1876</v>
      </c>
      <c r="J21" s="12" t="str">
        <f t="shared" si="0"/>
        <v>* peritoneum 0..1 boolean ##34#peritoneum##34# ##334#Describes if site of metastasic disease  is peritoneum##334#</v>
      </c>
      <c r="L21" s="12" t="str">
        <f t="shared" si="1"/>
        <v>* peritoneum ^comment = ##334#True; False##334#</v>
      </c>
      <c r="M21"/>
    </row>
    <row r="22" spans="1:13" ht="19.899999999999999" customHeight="1">
      <c r="A22" s="150">
        <v>14</v>
      </c>
      <c r="B22" s="57" t="s">
        <v>1638</v>
      </c>
      <c r="C22" s="11" t="s">
        <v>1638</v>
      </c>
      <c r="D22" s="11" t="s">
        <v>1639</v>
      </c>
      <c r="E22" s="11">
        <v>0</v>
      </c>
      <c r="F22" s="11">
        <v>1</v>
      </c>
      <c r="G22" s="57" t="s">
        <v>157</v>
      </c>
      <c r="H22" s="12" t="s">
        <v>1876</v>
      </c>
      <c r="J22" s="12" t="str">
        <f t="shared" si="0"/>
        <v>* brain 0..1 boolean ##34#brain##34# ##334#Describes if site of metastasic disease  is brain##334#</v>
      </c>
      <c r="L22" s="12" t="str">
        <f t="shared" si="1"/>
        <v>* brain ^comment = ##334#True; False##334#</v>
      </c>
      <c r="M22"/>
    </row>
    <row r="23" spans="1:13" ht="19.899999999999999" customHeight="1">
      <c r="A23" s="150">
        <v>15</v>
      </c>
      <c r="B23" s="57" t="s">
        <v>1650</v>
      </c>
      <c r="C23" s="11" t="s">
        <v>1640</v>
      </c>
      <c r="D23" s="12" t="s">
        <v>1641</v>
      </c>
      <c r="E23" s="11">
        <v>0</v>
      </c>
      <c r="F23" s="11">
        <v>1</v>
      </c>
      <c r="G23" s="57" t="s">
        <v>157</v>
      </c>
      <c r="H23" s="12" t="s">
        <v>1876</v>
      </c>
      <c r="J23" s="12" t="str">
        <f t="shared" si="0"/>
        <v>* otherViscera 0..1 boolean ##34#other viscera##34# ##334#Describes if site of metastasic disease  is other viscera##334#</v>
      </c>
      <c r="L23" s="12" t="str">
        <f t="shared" si="1"/>
        <v>* otherViscera ^comment = ##334#True; False##334#</v>
      </c>
      <c r="M23"/>
    </row>
    <row r="24" spans="1:13" ht="19.899999999999999" customHeight="1">
      <c r="A24" s="150">
        <v>16</v>
      </c>
      <c r="B24" s="57" t="s">
        <v>1642</v>
      </c>
      <c r="C24" s="11" t="s">
        <v>1642</v>
      </c>
      <c r="D24" s="12" t="s">
        <v>1643</v>
      </c>
      <c r="E24" s="11">
        <v>0</v>
      </c>
      <c r="F24" s="11">
        <v>1</v>
      </c>
      <c r="G24" s="57" t="s">
        <v>157</v>
      </c>
      <c r="H24" s="12" t="s">
        <v>1876</v>
      </c>
      <c r="J24" s="12" t="str">
        <f t="shared" si="0"/>
        <v>* unknown 0..1 boolean ##34#unknown##34# ##334#Describes if site of metastasic disease  is unknown##334#</v>
      </c>
      <c r="L24" s="12" t="str">
        <f t="shared" si="1"/>
        <v>* unknown ^comment = ##334#True; False##334#</v>
      </c>
      <c r="M24"/>
    </row>
    <row r="25" spans="1:13" ht="19.899999999999999" customHeight="1">
      <c r="A25" s="139">
        <v>17</v>
      </c>
      <c r="C25"/>
      <c r="D25" s="2"/>
      <c r="J25" s="12" t="str">
        <f t="shared" si="0"/>
        <v>*  ..  ##34###34# ##334###334#</v>
      </c>
      <c r="L25" s="12" t="str">
        <f t="shared" si="1"/>
        <v>*  ..  ##34###34# ##334###334#</v>
      </c>
      <c r="M25"/>
    </row>
    <row r="26" spans="1:13" ht="19.899999999999999" customHeight="1">
      <c r="A26" s="100">
        <v>18</v>
      </c>
      <c r="C26"/>
      <c r="D26" s="2"/>
      <c r="J26" s="12" t="str">
        <f t="shared" si="0"/>
        <v>*  ..  ##34###34# ##334###334#</v>
      </c>
      <c r="L26" s="12" t="str">
        <f t="shared" si="1"/>
        <v>*  ..  ##34###34# ##334###334#</v>
      </c>
      <c r="M26"/>
    </row>
    <row r="27" spans="1:13" ht="19.899999999999999" customHeight="1">
      <c r="J27" s="12" t="str">
        <f t="shared" si="0"/>
        <v>*  ..  ##34###34# ##334###334#</v>
      </c>
      <c r="L27" s="12" t="str">
        <f t="shared" si="1"/>
        <v>*  ..  ##34###34# ##334###334#</v>
      </c>
    </row>
    <row r="28" spans="1:13" ht="19.899999999999999" customHeight="1" thickBot="1">
      <c r="J28" s="12" t="str">
        <f t="shared" si="0"/>
        <v>*  ..  ##34###34# ##334###334#</v>
      </c>
      <c r="L28" s="12" t="str">
        <f t="shared" si="1"/>
        <v>*  ..  ##34###34# ##334###334#</v>
      </c>
    </row>
    <row r="29" spans="1:13" ht="19.899999999999999" customHeight="1" thickBot="1">
      <c r="B29" s="144" t="s">
        <v>2000</v>
      </c>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ClinicalStage</v>
      </c>
      <c r="E7" s="20" t="str">
        <f>CONCATENATE("Source: ",C7)</f>
        <v>Source: ClinicalStage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ClinicalStage!B5</f>
        <v>ClinicalStage</v>
      </c>
      <c r="C9" s="6" t="s">
        <v>1609</v>
      </c>
      <c r="E9" s="27" t="str">
        <f>CONCATENATE("* -&gt; ##34#",C9,"##34#")</f>
        <v>* -&gt; ##34#TBD##34#</v>
      </c>
      <c r="H9" s="7"/>
      <c r="I9" s="7"/>
      <c r="J9" s="7"/>
      <c r="K9" s="7"/>
      <c r="L9" s="7"/>
      <c r="M9" s="7"/>
      <c r="N9" s="7"/>
      <c r="O9" s="7"/>
    </row>
    <row r="10" spans="1:15">
      <c r="A10" s="11"/>
      <c r="B10" s="11" t="str">
        <f>ClinicalStage!B8</f>
        <v>episodeEvent</v>
      </c>
      <c r="C10" s="11" t="s">
        <v>1609</v>
      </c>
      <c r="E10" s="12" t="str">
        <f t="shared" ref="E10:E73" si="0">IF(B10=0,"*  -&gt; ##34###34#",CONCATENATE("* ",B10," -&gt; ##34#",C10,"##34#"))</f>
        <v>* episodeEvent -&gt; ##34#TBD##34#</v>
      </c>
      <c r="H10" s="7"/>
      <c r="I10" s="7"/>
      <c r="J10" s="7"/>
      <c r="K10" s="7"/>
      <c r="L10" s="7"/>
      <c r="M10" s="7"/>
      <c r="N10" s="7"/>
      <c r="O10" s="7"/>
    </row>
    <row r="11" spans="1:15">
      <c r="A11" s="11"/>
      <c r="B11" s="11" t="str">
        <f>ClinicalStage!B9</f>
        <v>cT</v>
      </c>
      <c r="C11" s="11" t="s">
        <v>1609</v>
      </c>
      <c r="E11" s="12" t="str">
        <f t="shared" si="0"/>
        <v>* cT -&gt; ##34#TBD##34#</v>
      </c>
      <c r="H11" s="7"/>
      <c r="I11" s="7"/>
      <c r="J11" s="7"/>
      <c r="K11" s="7"/>
      <c r="L11" s="7"/>
      <c r="M11" s="7"/>
      <c r="N11" s="7"/>
      <c r="O11" s="7"/>
    </row>
    <row r="12" spans="1:15">
      <c r="A12" s="11"/>
      <c r="B12" s="11" t="str">
        <f>ClinicalStage!B10</f>
        <v>cN</v>
      </c>
      <c r="C12" s="11" t="s">
        <v>1609</v>
      </c>
      <c r="E12" s="12" t="str">
        <f t="shared" si="0"/>
        <v>* cN -&gt; ##34#TBD##34#</v>
      </c>
      <c r="H12" s="7"/>
      <c r="I12" s="7"/>
      <c r="J12" s="7"/>
      <c r="K12" s="7"/>
      <c r="L12" s="7"/>
      <c r="M12" s="7"/>
      <c r="N12" s="7"/>
      <c r="O12" s="7"/>
    </row>
    <row r="13" spans="1:15">
      <c r="A13" s="11"/>
      <c r="B13" s="11" t="str">
        <f>ClinicalStage!B11</f>
        <v>radiologicalExtraNodalExtension</v>
      </c>
      <c r="C13" s="11" t="s">
        <v>1609</v>
      </c>
      <c r="E13" s="12" t="str">
        <f t="shared" si="0"/>
        <v>* radiologicalExtraNodalExtension -&gt; ##34#TBD##34#</v>
      </c>
      <c r="H13" s="7"/>
      <c r="I13" s="7"/>
      <c r="J13" s="7"/>
      <c r="K13" s="7"/>
      <c r="L13" s="7"/>
      <c r="M13" s="7"/>
      <c r="N13" s="7"/>
      <c r="O13" s="7"/>
    </row>
    <row r="14" spans="1:15">
      <c r="A14" s="11"/>
      <c r="B14" s="11" t="str">
        <f>ClinicalStage!B12</f>
        <v>cM</v>
      </c>
      <c r="C14" s="11" t="s">
        <v>1609</v>
      </c>
      <c r="E14" s="12" t="str">
        <f t="shared" si="0"/>
        <v>* cM -&gt; ##34#TBD##34#</v>
      </c>
      <c r="H14" s="7"/>
      <c r="I14" s="7"/>
      <c r="J14" s="7"/>
      <c r="K14" s="7"/>
      <c r="L14" s="7"/>
      <c r="M14" s="7"/>
      <c r="N14" s="7"/>
      <c r="O14" s="7"/>
    </row>
    <row r="15" spans="1:15">
      <c r="A15" s="11"/>
      <c r="B15" s="11" t="str">
        <f>ClinicalStage!B13</f>
        <v>clinicalStaging</v>
      </c>
      <c r="C15" s="11" t="s">
        <v>1609</v>
      </c>
      <c r="E15" s="12" t="str">
        <f t="shared" si="0"/>
        <v>* clinicalStaging -&gt; ##34#TBD##34#</v>
      </c>
      <c r="H15" s="7"/>
      <c r="I15" s="7"/>
      <c r="J15" s="7"/>
      <c r="K15" s="7"/>
      <c r="L15" s="7"/>
      <c r="M15" s="7"/>
      <c r="N15" s="7"/>
      <c r="O15" s="7"/>
    </row>
    <row r="16" spans="1:15">
      <c r="A16" s="11"/>
      <c r="B16" s="11" t="str">
        <f>ClinicalStage!B14</f>
        <v>ajccEdition</v>
      </c>
      <c r="C16" s="11" t="s">
        <v>1609</v>
      </c>
      <c r="E16" s="12" t="str">
        <f t="shared" si="0"/>
        <v>* ajccEdition -&gt; ##34#TBD##34#</v>
      </c>
      <c r="H16" s="7"/>
      <c r="I16" s="7"/>
      <c r="J16" s="7"/>
      <c r="K16" s="7"/>
      <c r="L16" s="7"/>
      <c r="M16" s="7"/>
      <c r="N16" s="7"/>
      <c r="O16" s="7"/>
    </row>
    <row r="17" spans="1:5">
      <c r="A17" s="11"/>
      <c r="B17" s="11" t="str">
        <f>ClinicalStage!B15</f>
        <v>softTissue</v>
      </c>
      <c r="C17" s="11" t="s">
        <v>1609</v>
      </c>
      <c r="E17" s="12" t="str">
        <f t="shared" si="0"/>
        <v>* softTissue -&gt; ##34#TBD##34#</v>
      </c>
    </row>
    <row r="18" spans="1:5">
      <c r="A18" s="11"/>
      <c r="B18" s="11" t="str">
        <f>ClinicalStage!B16</f>
        <v>distantLymphNode</v>
      </c>
      <c r="C18" s="11" t="s">
        <v>1609</v>
      </c>
      <c r="E18" s="12" t="str">
        <f t="shared" si="0"/>
        <v>* distantLymphNode -&gt; ##34#TBD##34#</v>
      </c>
    </row>
    <row r="19" spans="1:5">
      <c r="A19" s="11"/>
      <c r="B19" s="11" t="str">
        <f>ClinicalStage!B17</f>
        <v>lung</v>
      </c>
      <c r="C19" s="11" t="s">
        <v>1609</v>
      </c>
      <c r="E19" s="12" t="str">
        <f t="shared" si="0"/>
        <v>* lung -&gt; ##34#TBD##34#</v>
      </c>
    </row>
    <row r="20" spans="1:5">
      <c r="A20" s="11"/>
      <c r="B20" s="11" t="str">
        <f>ClinicalStage!B18</f>
        <v>bone</v>
      </c>
      <c r="C20" s="11" t="s">
        <v>1609</v>
      </c>
      <c r="E20" s="12" t="str">
        <f t="shared" si="0"/>
        <v>* bone -&gt; ##34#TBD##34#</v>
      </c>
    </row>
    <row r="21" spans="1:5">
      <c r="B21" s="11" t="str">
        <f>ClinicalStage!B19</f>
        <v>liver</v>
      </c>
      <c r="C21" s="11" t="s">
        <v>1609</v>
      </c>
      <c r="E21" s="12" t="str">
        <f t="shared" si="0"/>
        <v>* liver -&gt; ##34#TBD##34#</v>
      </c>
    </row>
    <row r="22" spans="1:5">
      <c r="B22" s="11" t="str">
        <f>ClinicalStage!B20</f>
        <v>pleura</v>
      </c>
      <c r="C22" s="11" t="s">
        <v>1609</v>
      </c>
      <c r="E22" s="12" t="str">
        <f t="shared" si="0"/>
        <v>* pleura -&gt; ##34#TBD##34#</v>
      </c>
    </row>
    <row r="23" spans="1:5">
      <c r="B23" s="11" t="str">
        <f>ClinicalStage!B21</f>
        <v>peritoneum</v>
      </c>
      <c r="C23" s="11" t="s">
        <v>1609</v>
      </c>
      <c r="E23" s="12" t="str">
        <f t="shared" si="0"/>
        <v>* peritoneum -&gt; ##34#TBD##34#</v>
      </c>
    </row>
    <row r="24" spans="1:5">
      <c r="B24" s="11" t="str">
        <f>ClinicalStage!B22</f>
        <v>brain</v>
      </c>
      <c r="C24" s="11" t="s">
        <v>1609</v>
      </c>
      <c r="E24" s="12" t="str">
        <f t="shared" si="0"/>
        <v>* brain -&gt; ##34#TBD##34#</v>
      </c>
    </row>
    <row r="25" spans="1:5">
      <c r="B25" s="11" t="str">
        <f>ClinicalStage!B23</f>
        <v>otherViscera</v>
      </c>
      <c r="C25" s="11" t="s">
        <v>1609</v>
      </c>
      <c r="E25" s="12" t="str">
        <f t="shared" si="0"/>
        <v>* otherViscera -&gt; ##34#TBD##34#</v>
      </c>
    </row>
    <row r="26" spans="1:5">
      <c r="B26" s="11" t="str">
        <f>ClinicalStage!B24</f>
        <v>unknown</v>
      </c>
      <c r="C26" s="11" t="s">
        <v>1609</v>
      </c>
      <c r="E26" s="12" t="str">
        <f t="shared" si="0"/>
        <v>* unknown -&gt; ##34#TBD##34#</v>
      </c>
    </row>
    <row r="27" spans="1:5">
      <c r="B27" s="11">
        <f>ClinicalStage!B25</f>
        <v>0</v>
      </c>
      <c r="C27" s="11" t="s">
        <v>1609</v>
      </c>
      <c r="E27" s="12" t="str">
        <f t="shared" si="0"/>
        <v>*  -&gt; ##34###34#</v>
      </c>
    </row>
    <row r="28" spans="1:5">
      <c r="B28" s="11">
        <f>ClinicalStage!B26</f>
        <v>0</v>
      </c>
      <c r="C28" s="11" t="s">
        <v>1609</v>
      </c>
      <c r="E28" s="12" t="str">
        <f t="shared" si="0"/>
        <v>*  -&gt; ##34###34#</v>
      </c>
    </row>
    <row r="29" spans="1:5">
      <c r="B29" s="11" t="e">
        <f>ClinicalStage!#REF!</f>
        <v>#REF!</v>
      </c>
      <c r="C29" s="11" t="s">
        <v>1609</v>
      </c>
      <c r="E29" s="12" t="e">
        <f t="shared" si="0"/>
        <v>#REF!</v>
      </c>
    </row>
    <row r="30" spans="1:5">
      <c r="B30" s="11" t="e">
        <f>ClinicalStage!#REF!</f>
        <v>#REF!</v>
      </c>
      <c r="C30" s="11" t="s">
        <v>1609</v>
      </c>
      <c r="E30" s="12" t="e">
        <f t="shared" si="0"/>
        <v>#REF!</v>
      </c>
    </row>
    <row r="31" spans="1:5">
      <c r="B31" s="11" t="e">
        <f>ClinicalStage!#REF!</f>
        <v>#REF!</v>
      </c>
      <c r="C31" s="11" t="s">
        <v>1609</v>
      </c>
      <c r="E31" s="12" t="e">
        <f t="shared" si="0"/>
        <v>#REF!</v>
      </c>
    </row>
    <row r="32" spans="1:5">
      <c r="B32" s="11" t="e">
        <f>ClinicalStage!#REF!</f>
        <v>#REF!</v>
      </c>
      <c r="C32" s="11" t="s">
        <v>1609</v>
      </c>
      <c r="E32" s="12" t="e">
        <f t="shared" si="0"/>
        <v>#REF!</v>
      </c>
    </row>
    <row r="33" spans="2:5">
      <c r="B33" s="11" t="e">
        <f>ClinicalStage!#REF!</f>
        <v>#REF!</v>
      </c>
      <c r="C33" s="11" t="s">
        <v>1609</v>
      </c>
      <c r="E33" s="12" t="e">
        <f t="shared" si="0"/>
        <v>#REF!</v>
      </c>
    </row>
    <row r="34" spans="2:5">
      <c r="B34" s="11" t="e">
        <f>ClinicalStage!#REF!</f>
        <v>#REF!</v>
      </c>
      <c r="C34" s="11" t="s">
        <v>1609</v>
      </c>
      <c r="E34" s="12" t="e">
        <f t="shared" si="0"/>
        <v>#REF!</v>
      </c>
    </row>
    <row r="35" spans="2:5">
      <c r="B35" s="11" t="e">
        <f>ClinicalStage!#REF!</f>
        <v>#REF!</v>
      </c>
      <c r="C35" s="11" t="s">
        <v>1609</v>
      </c>
      <c r="E35" s="12" t="e">
        <f t="shared" si="0"/>
        <v>#REF!</v>
      </c>
    </row>
    <row r="36" spans="2:5">
      <c r="B36" s="11" t="e">
        <f>ClinicalStage!#REF!</f>
        <v>#REF!</v>
      </c>
      <c r="C36" s="11" t="s">
        <v>1609</v>
      </c>
      <c r="E36" s="12" t="e">
        <f t="shared" si="0"/>
        <v>#REF!</v>
      </c>
    </row>
    <row r="37" spans="2:5">
      <c r="B37" s="11" t="e">
        <f>ClinicalStage!#REF!</f>
        <v>#REF!</v>
      </c>
      <c r="C37" s="11" t="s">
        <v>1609</v>
      </c>
      <c r="E37" s="12" t="e">
        <f t="shared" si="0"/>
        <v>#REF!</v>
      </c>
    </row>
    <row r="38" spans="2:5">
      <c r="B38" s="11" t="e">
        <f>ClinicalStage!#REF!</f>
        <v>#REF!</v>
      </c>
      <c r="C38" s="11" t="s">
        <v>1609</v>
      </c>
      <c r="E38" s="12" t="e">
        <f t="shared" si="0"/>
        <v>#REF!</v>
      </c>
    </row>
    <row r="39" spans="2:5">
      <c r="B39" s="11" t="e">
        <f>ClinicalStage!#REF!</f>
        <v>#REF!</v>
      </c>
      <c r="C39" s="11" t="s">
        <v>1609</v>
      </c>
      <c r="E39" s="12" t="e">
        <f t="shared" si="0"/>
        <v>#REF!</v>
      </c>
    </row>
    <row r="40" spans="2:5">
      <c r="B40" s="11" t="e">
        <f>ClinicalStage!#REF!</f>
        <v>#REF!</v>
      </c>
      <c r="C40" s="11" t="s">
        <v>1609</v>
      </c>
      <c r="E40" s="12" t="e">
        <f t="shared" si="0"/>
        <v>#REF!</v>
      </c>
    </row>
    <row r="41" spans="2:5">
      <c r="B41" s="11" t="e">
        <f>ClinicalStage!#REF!</f>
        <v>#REF!</v>
      </c>
      <c r="C41" s="11" t="s">
        <v>1609</v>
      </c>
      <c r="E41" s="12" t="e">
        <f t="shared" si="0"/>
        <v>#REF!</v>
      </c>
    </row>
    <row r="42" spans="2:5">
      <c r="B42" s="11" t="e">
        <f>ClinicalStage!#REF!</f>
        <v>#REF!</v>
      </c>
      <c r="C42" s="11" t="s">
        <v>1609</v>
      </c>
      <c r="E42" s="12" t="e">
        <f t="shared" si="0"/>
        <v>#REF!</v>
      </c>
    </row>
    <row r="43" spans="2:5">
      <c r="B43" s="11" t="e">
        <f>ClinicalStage!#REF!</f>
        <v>#REF!</v>
      </c>
      <c r="C43" s="11" t="s">
        <v>1609</v>
      </c>
      <c r="E43" s="12" t="e">
        <f t="shared" si="0"/>
        <v>#REF!</v>
      </c>
    </row>
    <row r="44" spans="2:5">
      <c r="B44" s="11" t="e">
        <f>ClinicalStage!#REF!</f>
        <v>#REF!</v>
      </c>
      <c r="C44" s="11" t="s">
        <v>1609</v>
      </c>
      <c r="E44" s="12" t="e">
        <f t="shared" si="0"/>
        <v>#REF!</v>
      </c>
    </row>
    <row r="45" spans="2:5">
      <c r="B45" s="11" t="e">
        <f>ClinicalStage!#REF!</f>
        <v>#REF!</v>
      </c>
      <c r="C45" s="11" t="s">
        <v>1609</v>
      </c>
      <c r="E45" s="12" t="e">
        <f t="shared" si="0"/>
        <v>#REF!</v>
      </c>
    </row>
    <row r="46" spans="2:5">
      <c r="B46" s="11" t="e">
        <f>ClinicalStage!#REF!</f>
        <v>#REF!</v>
      </c>
      <c r="C46" s="11" t="s">
        <v>1609</v>
      </c>
      <c r="E46" s="12" t="e">
        <f t="shared" si="0"/>
        <v>#REF!</v>
      </c>
    </row>
    <row r="47" spans="2:5">
      <c r="B47" s="11" t="e">
        <f>ClinicalStage!#REF!</f>
        <v>#REF!</v>
      </c>
      <c r="C47" s="11" t="s">
        <v>1609</v>
      </c>
      <c r="E47" s="12" t="e">
        <f t="shared" si="0"/>
        <v>#REF!</v>
      </c>
    </row>
    <row r="48" spans="2:5">
      <c r="B48" s="11" t="e">
        <f>ClinicalStage!#REF!</f>
        <v>#REF!</v>
      </c>
      <c r="C48" s="11" t="s">
        <v>1609</v>
      </c>
      <c r="E48" s="12" t="e">
        <f t="shared" si="0"/>
        <v>#REF!</v>
      </c>
    </row>
    <row r="49" spans="2:5">
      <c r="B49" s="11" t="e">
        <f>ClinicalStage!#REF!</f>
        <v>#REF!</v>
      </c>
      <c r="C49" s="11" t="s">
        <v>1609</v>
      </c>
      <c r="E49" s="12" t="e">
        <f t="shared" si="0"/>
        <v>#REF!</v>
      </c>
    </row>
    <row r="50" spans="2:5">
      <c r="B50" s="11" t="e">
        <f>ClinicalStage!#REF!</f>
        <v>#REF!</v>
      </c>
      <c r="C50" s="11" t="s">
        <v>1609</v>
      </c>
      <c r="E50" s="12" t="e">
        <f t="shared" si="0"/>
        <v>#REF!</v>
      </c>
    </row>
    <row r="51" spans="2:5">
      <c r="B51" s="11" t="e">
        <f>ClinicalStage!#REF!</f>
        <v>#REF!</v>
      </c>
      <c r="C51" s="11" t="s">
        <v>1609</v>
      </c>
      <c r="E51" s="12" t="e">
        <f t="shared" si="0"/>
        <v>#REF!</v>
      </c>
    </row>
    <row r="52" spans="2:5">
      <c r="B52" s="11" t="e">
        <f>ClinicalStage!#REF!</f>
        <v>#REF!</v>
      </c>
      <c r="C52" s="11" t="s">
        <v>1609</v>
      </c>
      <c r="E52" s="12" t="e">
        <f t="shared" si="0"/>
        <v>#REF!</v>
      </c>
    </row>
    <row r="53" spans="2:5">
      <c r="B53" s="11" t="e">
        <f>ClinicalStage!#REF!</f>
        <v>#REF!</v>
      </c>
      <c r="C53" s="11" t="s">
        <v>1609</v>
      </c>
      <c r="E53" s="12" t="e">
        <f t="shared" si="0"/>
        <v>#REF!</v>
      </c>
    </row>
    <row r="54" spans="2:5">
      <c r="B54" s="11" t="e">
        <f>ClinicalStage!#REF!</f>
        <v>#REF!</v>
      </c>
      <c r="C54" s="11" t="s">
        <v>1609</v>
      </c>
      <c r="E54" s="12" t="e">
        <f t="shared" si="0"/>
        <v>#REF!</v>
      </c>
    </row>
    <row r="55" spans="2:5">
      <c r="B55" s="11" t="e">
        <f>ClinicalStage!#REF!</f>
        <v>#REF!</v>
      </c>
      <c r="C55" s="11" t="s">
        <v>1609</v>
      </c>
      <c r="E55" s="12" t="e">
        <f t="shared" si="0"/>
        <v>#REF!</v>
      </c>
    </row>
    <row r="56" spans="2:5">
      <c r="B56" s="11" t="e">
        <f>ClinicalStage!#REF!</f>
        <v>#REF!</v>
      </c>
      <c r="C56" s="11" t="s">
        <v>1609</v>
      </c>
      <c r="E56" s="12" t="e">
        <f t="shared" si="0"/>
        <v>#REF!</v>
      </c>
    </row>
    <row r="57" spans="2:5">
      <c r="B57" s="11" t="e">
        <f>ClinicalStage!#REF!</f>
        <v>#REF!</v>
      </c>
      <c r="C57" s="11" t="s">
        <v>1609</v>
      </c>
      <c r="E57" s="12" t="e">
        <f t="shared" si="0"/>
        <v>#REF!</v>
      </c>
    </row>
    <row r="58" spans="2:5">
      <c r="B58" s="11" t="e">
        <f>ClinicalStage!#REF!</f>
        <v>#REF!</v>
      </c>
      <c r="C58" s="11" t="s">
        <v>1609</v>
      </c>
      <c r="E58" s="12" t="e">
        <f t="shared" si="0"/>
        <v>#REF!</v>
      </c>
    </row>
    <row r="59" spans="2:5">
      <c r="B59" s="11" t="e">
        <f>ClinicalStage!#REF!</f>
        <v>#REF!</v>
      </c>
      <c r="C59" s="11" t="s">
        <v>1609</v>
      </c>
      <c r="E59" s="12" t="e">
        <f t="shared" si="0"/>
        <v>#REF!</v>
      </c>
    </row>
    <row r="60" spans="2:5">
      <c r="B60" s="11" t="e">
        <f>ClinicalStage!#REF!</f>
        <v>#REF!</v>
      </c>
      <c r="C60" s="11" t="s">
        <v>1609</v>
      </c>
      <c r="E60" s="12" t="e">
        <f t="shared" si="0"/>
        <v>#REF!</v>
      </c>
    </row>
    <row r="61" spans="2:5">
      <c r="B61" s="11" t="e">
        <f>ClinicalStage!#REF!</f>
        <v>#REF!</v>
      </c>
      <c r="C61" s="11" t="s">
        <v>1609</v>
      </c>
      <c r="E61" s="12" t="e">
        <f t="shared" si="0"/>
        <v>#REF!</v>
      </c>
    </row>
    <row r="62" spans="2:5">
      <c r="B62" s="11" t="e">
        <f>ClinicalStage!#REF!</f>
        <v>#REF!</v>
      </c>
      <c r="C62" s="11" t="s">
        <v>1609</v>
      </c>
      <c r="E62" s="12" t="e">
        <f t="shared" si="0"/>
        <v>#REF!</v>
      </c>
    </row>
    <row r="63" spans="2:5">
      <c r="B63" s="11" t="e">
        <f>ClinicalStage!#REF!</f>
        <v>#REF!</v>
      </c>
      <c r="C63" s="11" t="s">
        <v>1609</v>
      </c>
      <c r="E63" s="12" t="e">
        <f t="shared" si="0"/>
        <v>#REF!</v>
      </c>
    </row>
    <row r="64" spans="2:5">
      <c r="B64" s="11" t="e">
        <f>ClinicalStage!#REF!</f>
        <v>#REF!</v>
      </c>
      <c r="C64" s="11" t="s">
        <v>1609</v>
      </c>
      <c r="E64" s="12" t="e">
        <f t="shared" si="0"/>
        <v>#REF!</v>
      </c>
    </row>
    <row r="65" spans="2:5">
      <c r="B65" s="11" t="e">
        <f>ClinicalStage!#REF!</f>
        <v>#REF!</v>
      </c>
      <c r="C65" s="11" t="s">
        <v>1609</v>
      </c>
      <c r="E65" s="12" t="e">
        <f t="shared" si="0"/>
        <v>#REF!</v>
      </c>
    </row>
    <row r="66" spans="2:5">
      <c r="B66" s="11" t="e">
        <f>ClinicalStage!#REF!</f>
        <v>#REF!</v>
      </c>
      <c r="C66" s="11" t="s">
        <v>1609</v>
      </c>
      <c r="E66" s="12" t="e">
        <f t="shared" si="0"/>
        <v>#REF!</v>
      </c>
    </row>
    <row r="67" spans="2:5">
      <c r="B67" s="11" t="e">
        <f>ClinicalStage!#REF!</f>
        <v>#REF!</v>
      </c>
      <c r="C67" s="11" t="s">
        <v>1609</v>
      </c>
      <c r="E67" s="12" t="e">
        <f t="shared" si="0"/>
        <v>#REF!</v>
      </c>
    </row>
    <row r="68" spans="2:5">
      <c r="B68" s="11" t="e">
        <f>ClinicalStage!#REF!</f>
        <v>#REF!</v>
      </c>
      <c r="C68" s="11" t="s">
        <v>1609</v>
      </c>
      <c r="E68" s="12" t="e">
        <f t="shared" si="0"/>
        <v>#REF!</v>
      </c>
    </row>
    <row r="69" spans="2:5">
      <c r="B69" s="11" t="e">
        <f>ClinicalStage!#REF!</f>
        <v>#REF!</v>
      </c>
      <c r="C69" s="11" t="s">
        <v>1609</v>
      </c>
      <c r="E69" s="12" t="e">
        <f t="shared" si="0"/>
        <v>#REF!</v>
      </c>
    </row>
    <row r="70" spans="2:5">
      <c r="B70" s="11" t="e">
        <f>ClinicalStage!#REF!</f>
        <v>#REF!</v>
      </c>
      <c r="C70" s="11" t="s">
        <v>1609</v>
      </c>
      <c r="E70" s="12" t="e">
        <f t="shared" si="0"/>
        <v>#REF!</v>
      </c>
    </row>
    <row r="71" spans="2:5">
      <c r="B71" s="11" t="e">
        <f>ClinicalStage!#REF!</f>
        <v>#REF!</v>
      </c>
      <c r="C71" s="11" t="s">
        <v>1609</v>
      </c>
      <c r="E71" s="12" t="e">
        <f t="shared" si="0"/>
        <v>#REF!</v>
      </c>
    </row>
    <row r="72" spans="2:5">
      <c r="B72" s="11" t="e">
        <f>ClinicalStage!#REF!</f>
        <v>#REF!</v>
      </c>
      <c r="C72" s="11" t="s">
        <v>1609</v>
      </c>
      <c r="E72" s="12" t="e">
        <f t="shared" si="0"/>
        <v>#REF!</v>
      </c>
    </row>
    <row r="73" spans="2:5">
      <c r="B73" s="11" t="e">
        <f>ClinicalStage!#REF!</f>
        <v>#REF!</v>
      </c>
      <c r="C73" s="11" t="s">
        <v>1609</v>
      </c>
      <c r="E73" s="12" t="e">
        <f t="shared" si="0"/>
        <v>#REF!</v>
      </c>
    </row>
    <row r="74" spans="2:5">
      <c r="B74" s="11" t="e">
        <f>ClinicalStage!#REF!</f>
        <v>#REF!</v>
      </c>
      <c r="C74" s="11" t="s">
        <v>1609</v>
      </c>
      <c r="E74" s="12" t="e">
        <f t="shared" ref="E74:E98" si="1">IF(B74=0,"*  -&gt; ##34###34#",CONCATENATE("* ",B74," -&gt; ##34#",C74,"##34#"))</f>
        <v>#REF!</v>
      </c>
    </row>
    <row r="75" spans="2:5">
      <c r="B75" s="11" t="e">
        <f>ClinicalStage!#REF!</f>
        <v>#REF!</v>
      </c>
      <c r="C75" s="11" t="s">
        <v>1609</v>
      </c>
      <c r="E75" s="12" t="e">
        <f t="shared" si="1"/>
        <v>#REF!</v>
      </c>
    </row>
    <row r="76" spans="2:5">
      <c r="B76" s="11" t="e">
        <f>ClinicalStage!#REF!</f>
        <v>#REF!</v>
      </c>
      <c r="C76" s="11" t="s">
        <v>1609</v>
      </c>
      <c r="E76" s="12" t="e">
        <f t="shared" si="1"/>
        <v>#REF!</v>
      </c>
    </row>
    <row r="77" spans="2:5">
      <c r="B77" s="11" t="e">
        <f>ClinicalStage!#REF!</f>
        <v>#REF!</v>
      </c>
      <c r="C77" s="11" t="s">
        <v>1609</v>
      </c>
      <c r="E77" s="12" t="e">
        <f t="shared" si="1"/>
        <v>#REF!</v>
      </c>
    </row>
    <row r="78" spans="2:5">
      <c r="B78" s="11" t="e">
        <f>ClinicalStage!#REF!</f>
        <v>#REF!</v>
      </c>
      <c r="C78" s="11" t="s">
        <v>1609</v>
      </c>
      <c r="E78" s="12" t="e">
        <f t="shared" si="1"/>
        <v>#REF!</v>
      </c>
    </row>
    <row r="79" spans="2:5">
      <c r="B79" s="11" t="e">
        <f>ClinicalStage!#REF!</f>
        <v>#REF!</v>
      </c>
      <c r="C79" s="11" t="s">
        <v>1609</v>
      </c>
      <c r="E79" s="12" t="e">
        <f t="shared" si="1"/>
        <v>#REF!</v>
      </c>
    </row>
    <row r="80" spans="2:5">
      <c r="B80" s="11" t="e">
        <f>ClinicalStage!#REF!</f>
        <v>#REF!</v>
      </c>
      <c r="C80" s="11" t="s">
        <v>1609</v>
      </c>
      <c r="E80" s="12" t="e">
        <f t="shared" si="1"/>
        <v>#REF!</v>
      </c>
    </row>
    <row r="81" spans="2:5">
      <c r="B81" s="11" t="e">
        <f>ClinicalStage!#REF!</f>
        <v>#REF!</v>
      </c>
      <c r="C81" s="11" t="s">
        <v>1609</v>
      </c>
      <c r="E81" s="12" t="e">
        <f t="shared" si="1"/>
        <v>#REF!</v>
      </c>
    </row>
    <row r="82" spans="2:5">
      <c r="B82" s="11" t="e">
        <f>ClinicalStage!#REF!</f>
        <v>#REF!</v>
      </c>
      <c r="C82" s="11" t="s">
        <v>1609</v>
      </c>
      <c r="E82" s="12" t="e">
        <f t="shared" si="1"/>
        <v>#REF!</v>
      </c>
    </row>
    <row r="83" spans="2:5">
      <c r="B83" s="11" t="e">
        <f>ClinicalStage!#REF!</f>
        <v>#REF!</v>
      </c>
      <c r="C83" s="11" t="s">
        <v>1609</v>
      </c>
      <c r="E83" s="12" t="e">
        <f t="shared" si="1"/>
        <v>#REF!</v>
      </c>
    </row>
    <row r="84" spans="2:5">
      <c r="B84" s="11" t="e">
        <f>ClinicalStage!#REF!</f>
        <v>#REF!</v>
      </c>
      <c r="C84" s="11" t="s">
        <v>1609</v>
      </c>
      <c r="E84" s="12" t="e">
        <f t="shared" si="1"/>
        <v>#REF!</v>
      </c>
    </row>
    <row r="85" spans="2:5">
      <c r="B85" s="11" t="e">
        <f>ClinicalStage!#REF!</f>
        <v>#REF!</v>
      </c>
      <c r="C85" s="11" t="s">
        <v>1609</v>
      </c>
      <c r="E85" s="12" t="e">
        <f t="shared" si="1"/>
        <v>#REF!</v>
      </c>
    </row>
    <row r="86" spans="2:5">
      <c r="B86" s="11" t="e">
        <f>ClinicalStage!#REF!</f>
        <v>#REF!</v>
      </c>
      <c r="C86" s="11" t="s">
        <v>1609</v>
      </c>
      <c r="E86" s="12" t="e">
        <f t="shared" si="1"/>
        <v>#REF!</v>
      </c>
    </row>
    <row r="87" spans="2:5">
      <c r="B87" s="11" t="e">
        <f>ClinicalStage!#REF!</f>
        <v>#REF!</v>
      </c>
      <c r="C87" s="11" t="s">
        <v>1609</v>
      </c>
      <c r="E87" s="12" t="e">
        <f t="shared" si="1"/>
        <v>#REF!</v>
      </c>
    </row>
    <row r="88" spans="2:5">
      <c r="B88" s="11" t="e">
        <f>ClinicalStage!#REF!</f>
        <v>#REF!</v>
      </c>
      <c r="C88" s="11" t="s">
        <v>1609</v>
      </c>
      <c r="E88" s="12" t="e">
        <f t="shared" si="1"/>
        <v>#REF!</v>
      </c>
    </row>
    <row r="89" spans="2:5">
      <c r="B89" s="11" t="e">
        <f>ClinicalStage!#REF!</f>
        <v>#REF!</v>
      </c>
      <c r="C89" s="11" t="s">
        <v>1609</v>
      </c>
      <c r="E89" s="12" t="e">
        <f t="shared" si="1"/>
        <v>#REF!</v>
      </c>
    </row>
    <row r="90" spans="2:5">
      <c r="B90" s="11" t="e">
        <f>ClinicalStage!#REF!</f>
        <v>#REF!</v>
      </c>
      <c r="C90" s="11" t="s">
        <v>1609</v>
      </c>
      <c r="E90" s="12" t="e">
        <f t="shared" si="1"/>
        <v>#REF!</v>
      </c>
    </row>
    <row r="91" spans="2:5">
      <c r="B91" s="11" t="e">
        <f>ClinicalStage!#REF!</f>
        <v>#REF!</v>
      </c>
      <c r="C91" s="11" t="s">
        <v>1609</v>
      </c>
      <c r="E91" s="12" t="e">
        <f t="shared" si="1"/>
        <v>#REF!</v>
      </c>
    </row>
    <row r="92" spans="2:5">
      <c r="B92" s="11" t="e">
        <f>ClinicalStage!#REF!</f>
        <v>#REF!</v>
      </c>
      <c r="C92" s="11" t="s">
        <v>1609</v>
      </c>
      <c r="E92" s="12" t="e">
        <f t="shared" si="1"/>
        <v>#REF!</v>
      </c>
    </row>
    <row r="93" spans="2:5">
      <c r="B93" s="11" t="e">
        <f>ClinicalStage!#REF!</f>
        <v>#REF!</v>
      </c>
      <c r="C93" s="11" t="s">
        <v>1609</v>
      </c>
      <c r="E93" s="12" t="e">
        <f t="shared" si="1"/>
        <v>#REF!</v>
      </c>
    </row>
    <row r="94" spans="2:5">
      <c r="B94" s="11" t="e">
        <f>ClinicalStage!#REF!</f>
        <v>#REF!</v>
      </c>
      <c r="C94" s="11" t="s">
        <v>1609</v>
      </c>
      <c r="E94" s="12" t="e">
        <f t="shared" si="1"/>
        <v>#REF!</v>
      </c>
    </row>
    <row r="95" spans="2:5">
      <c r="B95" s="11" t="e">
        <f>ClinicalStage!#REF!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C56" sqref="C56:G307"/>
    </sheetView>
  </sheetViews>
  <sheetFormatPr defaultRowHeight="14.75"/>
  <cols>
    <col min="3" max="3" width="108.2265625" style="12" customWidth="1"/>
    <col min="7" max="7" width="29.54296875" customWidth="1"/>
    <col min="8" max="8" width="54.90625" customWidth="1"/>
  </cols>
  <sheetData>
    <row r="1" spans="3:7" ht="15.5" thickBot="1">
      <c r="C1" s="23" t="str">
        <f>ClinicalStage!J1</f>
        <v>//===================================================</v>
      </c>
    </row>
    <row r="2" spans="3:7" ht="16.75" thickBot="1">
      <c r="C2" s="24" t="str">
        <f>ClinicalStage!J2</f>
        <v>//  Logical Model</v>
      </c>
      <c r="G2" s="29" t="s">
        <v>1888</v>
      </c>
    </row>
    <row r="3" spans="3:7">
      <c r="C3" s="24" t="str">
        <f>ClinicalStage!J3</f>
        <v>//===================================================</v>
      </c>
    </row>
    <row r="4" spans="3:7">
      <c r="C4" s="16" t="str">
        <f>ClinicalStage!J4</f>
        <v>Logical: ClinicalStageI4rc</v>
      </c>
    </row>
    <row r="5" spans="3:7">
      <c r="C5" s="16" t="str">
        <f>ClinicalStage!J5</f>
        <v>Id: ClinicalStage</v>
      </c>
    </row>
    <row r="6" spans="3:7">
      <c r="C6" s="16" t="str">
        <f>ClinicalStage!J6</f>
        <v>Title: ##34#Clinical Stage##34#</v>
      </c>
    </row>
    <row r="7" spans="3:7">
      <c r="C7" s="16" t="str">
        <f>ClinicalStage!J7</f>
        <v>Description:  ##334#Clinical Stage##334#</v>
      </c>
    </row>
    <row r="8" spans="3:7" ht="29.5">
      <c r="C8" s="12" t="str">
        <f>IF(ClinicalStage!J8="*  ..  ##34###34# ##334###334#","//--- END",ClinicalStage!J8)</f>
        <v>* episodeEvent 1..1 http://hl7.eu/fhir/ig/idea4rc/StructureDefinition/EpisodeEvent ##34#Episode Event##34# ##334#EpisodeEvent element containing the data regarding the patient's cancer##334#</v>
      </c>
    </row>
    <row r="9" spans="3:7">
      <c r="C9" s="12" t="str">
        <f>IF(ClinicalStage!J9="*  ..  ##34###34# ##334###334#","//--- END",ClinicalStage!J9)</f>
        <v>* cT 1..1 CodeableConcept ##34#cT##34# ##334#Specifies the clinical T##334#</v>
      </c>
    </row>
    <row r="10" spans="3:7">
      <c r="C10" s="12" t="str">
        <f>IF(ClinicalStage!J10="*  ..  ##34###34# ##334###334#","//--- END",ClinicalStage!J10)</f>
        <v>* cN 1..1 CodeableConcept ##34#cN##34# ##334#Specifies the clinical N##334#</v>
      </c>
    </row>
    <row r="11" spans="3:7" ht="29.5">
      <c r="C11" s="12" t="str">
        <f>IF(ClinicalStage!J11="*  ..  ##34###34# ##334###334#","//--- END",ClinicalStage!J11)</f>
        <v>* radiologicalExtraNodalExtension 1..1 CodeableConcept ##34#Radiological Extra-nodal extension (rENE)##34# ##334#Describes the presence or absence of radiological signs of extracapsular extension, as defined in the AJCC 8th Ed##334#</v>
      </c>
    </row>
    <row r="12" spans="3:7">
      <c r="C12" s="12" t="str">
        <f>IF(ClinicalStage!J12="*  ..  ##34###34# ##334###334#","//--- END",ClinicalStage!J12)</f>
        <v>* cM 1..1 CodeableConcept ##34#cM##34# ##334#Specifies the clinical M##334#</v>
      </c>
    </row>
    <row r="13" spans="3:7">
      <c r="C13" s="12" t="str">
        <f>IF(ClinicalStage!J13="*  ..  ##34###34# ##334###334#","//--- END",ClinicalStage!J13)</f>
        <v>* clinicalStaging 1..1 CodeableConcept ##34#Clinical staging##34# ##334#Specifies the clinical TNM##334#</v>
      </c>
    </row>
    <row r="14" spans="3:7">
      <c r="C14" s="12" t="str">
        <f>IF(ClinicalStage!J14="*  ..  ##34###34# ##334###334#","//--- END",ClinicalStage!J14)</f>
        <v>* ajccEdition 1..1 CodeableConcept ##34#Ajcc edition##34# ##334#Describe the edition of the AJCC used for staging##334#</v>
      </c>
    </row>
    <row r="15" spans="3:7">
      <c r="C15" s="12" t="str">
        <f>IF(ClinicalStage!J15="*  ..  ##34###34# ##334###334#","//--- END",ClinicalStage!J15)</f>
        <v>* softTissue 0..1 boolean ##34#Soft tissue##34# ##334#Describes if site of metastasic disease  is soft tissue##334#</v>
      </c>
    </row>
    <row r="16" spans="3:7" ht="29.5">
      <c r="C16" s="12" t="str">
        <f>IF(ClinicalStage!J16="*  ..  ##34###34# ##334###334#","//--- END",ClinicalStage!J16)</f>
        <v>* distantLymphNode 0..1 boolean ##34#distant lymph node##34# ##334#Describes if site of metastasic disease  is dystan lymph node##334#</v>
      </c>
    </row>
    <row r="17" spans="3:3">
      <c r="C17" s="12" t="str">
        <f>IF(ClinicalStage!J17="*  ..  ##34###34# ##334###334#","//--- END",ClinicalStage!J17)</f>
        <v>* lung 0..1 boolean ##34#lung##34# ##334#Describes if site of metastasic disease  is lung##334#</v>
      </c>
    </row>
    <row r="18" spans="3:3">
      <c r="C18" s="12" t="str">
        <f>IF(ClinicalStage!J18="*  ..  ##34###34# ##334###334#","//--- END",ClinicalStage!J18)</f>
        <v>* bone 0..1 boolean ##34#bone##34# ##334#Describes if site of metastasic disease  is bone##334#</v>
      </c>
    </row>
    <row r="19" spans="3:3">
      <c r="C19" s="12" t="str">
        <f>IF(ClinicalStage!J19="*  ..  ##34###34# ##334###334#","//--- END",ClinicalStage!J19)</f>
        <v>* liver 0..1 boolean ##34#liver##34# ##334#Describes if site of metastasic disease  is liver##334#</v>
      </c>
    </row>
    <row r="20" spans="3:3">
      <c r="C20" s="12" t="str">
        <f>IF(ClinicalStage!J20="*  ..  ##34###34# ##334###334#","//--- END",ClinicalStage!J20)</f>
        <v>* pleura 0..1 boolean ##34#pleura##34# ##334#Describes if site of metastasic disease  is pleura##334#</v>
      </c>
    </row>
    <row r="21" spans="3:3">
      <c r="C21" s="12" t="str">
        <f>IF(ClinicalStage!J21="*  ..  ##34###34# ##334###334#","//--- END",ClinicalStage!J21)</f>
        <v>* peritoneum 0..1 boolean ##34#peritoneum##34# ##334#Describes if site of metastasic disease  is peritoneum##334#</v>
      </c>
    </row>
    <row r="22" spans="3:3">
      <c r="C22" s="12" t="str">
        <f>IF(ClinicalStage!J22="*  ..  ##34###34# ##334###334#","//--- END",ClinicalStage!J22)</f>
        <v>* brain 0..1 boolean ##34#brain##34# ##334#Describes if site of metastasic disease  is brain##334#</v>
      </c>
    </row>
    <row r="23" spans="3:3">
      <c r="C23" s="12" t="str">
        <f>IF(ClinicalStage!J23="*  ..  ##34###34# ##334###334#","//--- END",ClinicalStage!J23)</f>
        <v>* otherViscera 0..1 boolean ##34#other viscera##34# ##334#Describes if site of metastasic disease  is other viscera##334#</v>
      </c>
    </row>
    <row r="24" spans="3:3">
      <c r="C24" s="12" t="str">
        <f>IF(ClinicalStage!J24="*  ..  ##34###34# ##334###334#","//--- END",ClinicalStage!J24)</f>
        <v>* unknown 0..1 boolean ##34#unknown##34# ##334#Describes if site of metastasic disease  is unknown##334#</v>
      </c>
    </row>
    <row r="25" spans="3:3">
      <c r="C25" s="12" t="str">
        <f>IF(ClinicalStage!J25="*  ..  ##34###34# ##334###334#","//--- END",ClinicalStage!J25)</f>
        <v>//--- END</v>
      </c>
    </row>
    <row r="26" spans="3:3">
      <c r="C26" s="12" t="str">
        <f>IF(ClinicalStage!J26="*  ..  ##34###34# ##334###334#","//--- END",ClinicalStage!J26)</f>
        <v>//--- END</v>
      </c>
    </row>
    <row r="27" spans="3:3">
      <c r="C27" s="12" t="str">
        <f>IF(ClinicalStage!J27="*  ..  ##34###34# ##334###334#","//--- END",ClinicalStage!J27)</f>
        <v>//--- END</v>
      </c>
    </row>
    <row r="28" spans="3:3">
      <c r="C28" s="12" t="str">
        <f>IF(ClinicalStage!J28="*  ..  ##34###34# ##334###334#","//--- END",ClinicalStage!J28)</f>
        <v>//--- END</v>
      </c>
    </row>
    <row r="33" spans="3:3">
      <c r="C33" s="23" t="s">
        <v>1613</v>
      </c>
    </row>
    <row r="34" spans="3:3">
      <c r="C34" s="24" t="s">
        <v>1701</v>
      </c>
    </row>
    <row r="35" spans="3:3">
      <c r="C35" s="24" t="s">
        <v>1613</v>
      </c>
    </row>
    <row r="36" spans="3:3">
      <c r="C36" s="12" t="str">
        <f>IF(ClinicalStage!L8="*  ..  ##34###34# ##334###334#","//--- END",ClinicalStage!L8)</f>
        <v/>
      </c>
    </row>
    <row r="37" spans="3:3" ht="132.75">
      <c r="C37" s="12" t="str">
        <f>IF(ClinicalStage!L9="*  ..  ##34###34# ##334###334#","//--- END",ClinicalStage!L9)</f>
        <v>* cT ^comment = ##334#Tx; Tis; T0;T1;T2; T3; T4; T4a; T4b;Tx - 4282467
 Tis - 4195922
T0 - 4243213
T1 -  4052407
T2 - 4194614
 T3 - 4032012
 T4 - 4278513
 T4a - 4127612
 T4b - 4129920##334#</v>
      </c>
    </row>
    <row r="38" spans="3:3" ht="147.5">
      <c r="C38" s="12" t="str">
        <f>IF(ClinicalStage!L10="*  ..  ##34###34# ##334###334#","//--- END",ClinicalStage!L10)</f>
        <v>* cN ^comment = ##334#Nx; N0;N1;N2;N2a;N2b;N2c;N3; N3a;N3b;Nx - 4195718
N0 - 4266674
N1 - 4203608
N2 - 4263599
N2a - 4135247
N2b - 4119012
N2c - 4118508
N3 - 4239307
N3a - 4240556
N3b - 4240557##334#</v>
      </c>
    </row>
    <row r="39" spans="3:3" ht="29.5">
      <c r="C39" s="12" t="str">
        <f>IF(ClinicalStage!L11="*  ..  ##34###34# ##334###334#","//--- END",ClinicalStage!L11)</f>
        <v>* radiologicalExtraNodalExtension ^comment = ##334#ENE-; ENE+;ENE- - 36769946
ENE+ - 36770618##334#</v>
      </c>
    </row>
    <row r="40" spans="3:3" ht="29.5">
      <c r="C40" s="12" t="str">
        <f>IF(ClinicalStage!L12="*  ..  ##34###34# ##334###334#","//--- END",ClinicalStage!L12)</f>
        <v>* cM ^comment = ##334#M0; M1;M0 -  4149726
M1 - 4205430##334#</v>
      </c>
    </row>
    <row r="41" spans="3:3" ht="118">
      <c r="C41" s="12" t="str">
        <f>IF(ClinicalStage!L13="*  ..  ##34###34# ##334###334#","//--- END",ClinicalStage!L13)</f>
        <v>* clinicalStaging ^comment = ##334#0;I;II;III;IV;IVA;IVB;IVC;0 - 4127500
I - 4121054
II - 4106768
III - 4121176
IV - 4123017
IVA - 4129915
IVB - 4130412
IVC - 4196439##334#</v>
      </c>
    </row>
    <row r="42" spans="3:3" ht="59">
      <c r="C42" s="12" t="str">
        <f>IF(ClinicalStage!L14="*  ..  ##34###34# ##334###334#","//--- END",ClinicalStage!L14)</f>
        <v>* ajccEdition ^comment = ##334#8th,9th,10th,11th8th - 1634449
9th - 
10th - 
11th - ##334#</v>
      </c>
    </row>
    <row r="43" spans="3:3">
      <c r="C43" s="12" t="str">
        <f>IF(ClinicalStage!L15="*  ..  ##34###34# ##334###334#","//--- END",ClinicalStage!L15)</f>
        <v>* softTissue ^comment = ##334#True; False##334#</v>
      </c>
    </row>
    <row r="44" spans="3:3">
      <c r="C44" s="12" t="str">
        <f>IF(ClinicalStage!L16="*  ..  ##34###34# ##334###334#","//--- END",ClinicalStage!L16)</f>
        <v>* distantLymphNode ^comment = ##334#True; False##334#</v>
      </c>
    </row>
    <row r="45" spans="3:3">
      <c r="C45" s="12" t="str">
        <f>IF(ClinicalStage!L17="*  ..  ##34###34# ##334###334#","//--- END",ClinicalStage!L17)</f>
        <v>* lung ^comment = ##334#True; False##334#</v>
      </c>
    </row>
    <row r="46" spans="3:3">
      <c r="C46" s="12" t="str">
        <f>IF(ClinicalStage!L18="*  ..  ##34###34# ##334###334#","//--- END",ClinicalStage!L18)</f>
        <v>* bone ^comment = ##334#True; False##334#</v>
      </c>
    </row>
    <row r="47" spans="3:3">
      <c r="C47" s="12" t="str">
        <f>IF(ClinicalStage!L19="*  ..  ##34###34# ##334###334#","//--- END",ClinicalStage!L19)</f>
        <v>* liver ^comment = ##334#True; False##334#</v>
      </c>
    </row>
    <row r="48" spans="3:3">
      <c r="C48" s="12" t="str">
        <f>IF(ClinicalStage!L20="*  ..  ##34###34# ##334###334#","//--- END",ClinicalStage!L20)</f>
        <v>* pleura ^comment = ##334#True; False##334#</v>
      </c>
    </row>
    <row r="49" spans="3:3">
      <c r="C49" s="12" t="str">
        <f>IF(ClinicalStage!L21="*  ..  ##34###34# ##334###334#","//--- END",ClinicalStage!L21)</f>
        <v>* peritoneum ^comment = ##334#True; False##334#</v>
      </c>
    </row>
    <row r="50" spans="3:3">
      <c r="C50" s="12" t="str">
        <f>IF(ClinicalStage!L22="*  ..  ##34###34# ##334###334#","//--- END",ClinicalStage!L22)</f>
        <v>* brain ^comment = ##334#True; False##334#</v>
      </c>
    </row>
    <row r="51" spans="3:3">
      <c r="C51" s="12" t="str">
        <f>IF(ClinicalStage!L23="*  ..  ##34###34# ##334###334#","//--- END",ClinicalStage!L23)</f>
        <v>* otherViscera ^comment = ##334#True; False##334#</v>
      </c>
    </row>
    <row r="52" spans="3:3">
      <c r="C52" s="12" t="str">
        <f>IF(ClinicalStage!L24="*  ..  ##34###34# ##334###334#","//--- END",ClinicalStage!L24)</f>
        <v>* unknown ^comment = ##334#True; False##334#</v>
      </c>
    </row>
    <row r="53" spans="3:3">
      <c r="C53" s="12" t="str">
        <f>IF(ClinicalStage!L25="*  ..  ##34###34# ##334###334#","//--- END",ClinicalStage!L25)</f>
        <v>//--- END</v>
      </c>
    </row>
    <row r="54" spans="3:3">
      <c r="C54" s="12" t="str">
        <f>IF(ClinicalStage!L26="*  ..  ##34###34# ##334###334#","//--- END",ClinicalStage!L26)</f>
        <v>//--- END</v>
      </c>
    </row>
    <row r="55" spans="3:3">
      <c r="C55" s="12" t="str">
        <f>IF(ClinicalStage!L27="*  ..  ##34###34# ##334###334#","//--- END",ClinicalStage!L27)</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workbookViewId="0">
      <selection activeCell="G22" sqref="G22"/>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1983</v>
      </c>
      <c r="D3" s="62" t="s">
        <v>1769</v>
      </c>
      <c r="E3" s="117" t="str">
        <f>$C$1&amp;ClinicalStage!B4</f>
        <v>http://hl7.eu/fhir/ig/idea4rc/StructureDefinition/ClinicalStageI4rc</v>
      </c>
    </row>
    <row r="4" spans="1:19">
      <c r="B4" s="62" t="s">
        <v>16</v>
      </c>
      <c r="C4" s="28" t="s">
        <v>1985</v>
      </c>
      <c r="D4" s="62" t="s">
        <v>1770</v>
      </c>
      <c r="E4" s="184" t="s">
        <v>1991</v>
      </c>
      <c r="F4" s="185"/>
      <c r="G4" s="185"/>
    </row>
    <row r="5" spans="1:19">
      <c r="B5" s="62" t="s">
        <v>10</v>
      </c>
      <c r="C5" s="7" t="s">
        <v>1986</v>
      </c>
      <c r="D5" s="62"/>
      <c r="E5" s="7"/>
    </row>
    <row r="6" spans="1:19">
      <c r="B6" s="62" t="s">
        <v>18</v>
      </c>
      <c r="C6" s="56"/>
      <c r="D6" s="62" t="s">
        <v>1771</v>
      </c>
      <c r="E6" s="184" t="str">
        <f>E3</f>
        <v>http://hl7.eu/fhir/ig/idea4rc/StructureDefinition/ClinicalStageI4rc</v>
      </c>
      <c r="F6" s="185"/>
      <c r="G6" s="185"/>
    </row>
    <row r="7" spans="1:19">
      <c r="B7" s="62" t="s">
        <v>15</v>
      </c>
      <c r="C7" s="118"/>
      <c r="D7" s="62" t="s">
        <v>1772</v>
      </c>
      <c r="E7" s="184" t="s">
        <v>1991</v>
      </c>
      <c r="F7" s="185"/>
      <c r="G7" s="185"/>
    </row>
    <row r="8" spans="1:19" ht="44.25">
      <c r="B8" s="62" t="s">
        <v>1773</v>
      </c>
      <c r="C8" s="119" t="s">
        <v>1986</v>
      </c>
      <c r="D8" s="62"/>
      <c r="E8" s="7"/>
      <c r="I8" s="12" t="s">
        <v>1402</v>
      </c>
      <c r="J8" s="12" t="s">
        <v>1403</v>
      </c>
      <c r="K8" s="12" t="s">
        <v>1404</v>
      </c>
      <c r="L8" s="12" t="s">
        <v>1405</v>
      </c>
      <c r="M8" s="11" t="s">
        <v>1406</v>
      </c>
      <c r="P8" s="49" t="s">
        <v>1441</v>
      </c>
      <c r="Q8" s="49">
        <v>6</v>
      </c>
    </row>
    <row r="9" spans="1:19">
      <c r="B9" s="62" t="s">
        <v>1774</v>
      </c>
      <c r="C9" s="12" t="s">
        <v>1987</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1845</v>
      </c>
      <c r="E14" s="6"/>
      <c r="F14" s="64"/>
      <c r="G14" s="64"/>
      <c r="I14" s="12"/>
      <c r="J14" s="11"/>
      <c r="K14" s="11"/>
      <c r="L14" s="11"/>
      <c r="M14" s="63"/>
      <c r="N14" s="66"/>
    </row>
    <row r="15" spans="1:19" ht="73.75" customHeight="1">
      <c r="A15" s="59"/>
      <c r="B15" s="11" t="str">
        <f>ClinicalStage!B8</f>
        <v>episodeEvent</v>
      </c>
      <c r="C15" s="11" t="str">
        <f>ClinicalStage!C8</f>
        <v>Episode Event</v>
      </c>
      <c r="D15" s="12"/>
      <c r="E15" s="12"/>
      <c r="F15" s="64" t="s">
        <v>1407</v>
      </c>
      <c r="G15" s="123" t="s">
        <v>1992</v>
      </c>
      <c r="I15" s="12" t="str">
        <f>"* group[=].element[+].code = #"&amp;$B$14&amp;"."&amp;B15</f>
        <v>* group[=].element[+].code = #ClinicalStage.episodeEvent</v>
      </c>
      <c r="J15" s="12" t="str">
        <f t="shared" ref="J15:J31" si="0">"* group[=].element[=].display = ##34#"&amp;C15&amp;"##34#"</f>
        <v>* group[=].element[=].display = ##34#Episode Event##34#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INDEX('ClinicalStage-ConceptMap-1'!$I$15:$N$124,Q15+1,R15)</f>
        <v>* group[=].element[+].code = #ClinicalStage.episodeEvent</v>
      </c>
    </row>
    <row r="16" spans="1:19" ht="73.75" customHeight="1">
      <c r="A16" s="59"/>
      <c r="B16" s="11" t="str">
        <f>ClinicalStage!B9</f>
        <v>cT</v>
      </c>
      <c r="C16" s="11" t="str">
        <f>ClinicalStage!C9</f>
        <v>cT</v>
      </c>
      <c r="D16" s="12" t="s">
        <v>1993</v>
      </c>
      <c r="E16" s="12"/>
      <c r="F16" s="64" t="s">
        <v>1407</v>
      </c>
      <c r="G16" s="123" t="s">
        <v>2007</v>
      </c>
      <c r="I16" s="12" t="str">
        <f t="shared" ref="I16:I31" si="7">"* group[=].element[+].code = #"&amp;$B$14&amp;"."&amp;B16</f>
        <v>* group[=].element[+].code = #ClinicalStage.cT</v>
      </c>
      <c r="J16" s="12" t="str">
        <f t="shared" si="0"/>
        <v>* group[=].element[=].display = ##34#cT##34#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INDEX('ClinicalStage-ConceptMap-1'!$I$15:$N$124,Q16+1,R16)</f>
        <v>* group[=].element[=].display = ##34#Episode Event##34#</v>
      </c>
    </row>
    <row r="17" spans="1:19" ht="73.75">
      <c r="A17" s="59"/>
      <c r="B17" s="11" t="str">
        <f>ClinicalStage!B10</f>
        <v>cN</v>
      </c>
      <c r="C17" s="11" t="str">
        <f>ClinicalStage!C10</f>
        <v>cN</v>
      </c>
      <c r="D17" s="12" t="s">
        <v>1994</v>
      </c>
      <c r="E17" s="12"/>
      <c r="F17" s="145" t="s">
        <v>1407</v>
      </c>
      <c r="G17" s="123" t="s">
        <v>2007</v>
      </c>
      <c r="H17" s="58"/>
      <c r="I17" s="12" t="str">
        <f t="shared" si="7"/>
        <v>* group[=].element[+].code = #ClinicalStage.cN</v>
      </c>
      <c r="J17" s="12" t="str">
        <f t="shared" si="0"/>
        <v>* group[=].element[=].display = ##34#cN##34#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INDEX('ClinicalStage-ConceptMap-1'!$I$15:$N$124,Q17+1,R17)</f>
        <v>* group[=].element[=].target.code = #Observation.</v>
      </c>
    </row>
    <row r="18" spans="1:19" ht="44.25">
      <c r="A18" s="59"/>
      <c r="B18" s="11" t="str">
        <f>ClinicalStage!B11</f>
        <v>radiologicalExtraNodalExtension</v>
      </c>
      <c r="C18" s="11" t="str">
        <f>ClinicalStage!C11</f>
        <v>Radiological Extra-nodal extension (rENE)</v>
      </c>
      <c r="D18" s="12"/>
      <c r="E18" s="12"/>
      <c r="F18" s="120" t="s">
        <v>1407</v>
      </c>
      <c r="G18" s="122" t="s">
        <v>2002</v>
      </c>
      <c r="H18" s="58"/>
      <c r="I18" s="12" t="str">
        <f t="shared" si="7"/>
        <v>* group[=].element[+].code = #ClinicalStage.radiologicalExtraNodalExtension</v>
      </c>
      <c r="J18" s="12" t="str">
        <f t="shared" si="0"/>
        <v>* group[=].element[=].display = ##34#Radiological Extra-nodal extension (rENE)##34#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INDEX('ClinicalStage-ConceptMap-1'!$I$15:$N$124,Q18+1,R18)</f>
        <v>* group[=].element[=].target.display = ##34###34#</v>
      </c>
    </row>
    <row r="19" spans="1:19" ht="73.75">
      <c r="A19" s="59"/>
      <c r="B19" s="11" t="str">
        <f>ClinicalStage!B12</f>
        <v>cM</v>
      </c>
      <c r="C19" s="11" t="str">
        <f>ClinicalStage!C12</f>
        <v>cM</v>
      </c>
      <c r="D19" s="12" t="s">
        <v>1995</v>
      </c>
      <c r="E19" s="12"/>
      <c r="F19" s="64" t="s">
        <v>1430</v>
      </c>
      <c r="G19" s="123" t="s">
        <v>2007</v>
      </c>
      <c r="H19" s="58"/>
      <c r="I19" s="12" t="str">
        <f t="shared" si="7"/>
        <v>* group[=].element[+].code = #ClinicalStage.cM</v>
      </c>
      <c r="J19" s="12" t="str">
        <f t="shared" si="0"/>
        <v>* group[=].element[=].display = ##34#cM##34#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INDEX('ClinicalStage-ConceptMap-1'!$I$15:$N$124,Q19+1,R19)</f>
        <v>* group[=].element[=].target.equivalence = #relatedto</v>
      </c>
    </row>
    <row r="20" spans="1:19" ht="73.75">
      <c r="A20" s="59"/>
      <c r="B20" s="11" t="str">
        <f>ClinicalStage!B13</f>
        <v>clinicalStaging</v>
      </c>
      <c r="C20" s="11" t="str">
        <f>ClinicalStage!C13</f>
        <v>Clinical staging</v>
      </c>
      <c r="D20" s="12" t="s">
        <v>1996</v>
      </c>
      <c r="E20" s="12"/>
      <c r="F20" s="64" t="s">
        <v>1429</v>
      </c>
      <c r="G20" s="123" t="s">
        <v>2007</v>
      </c>
      <c r="H20" s="58"/>
      <c r="I20" s="12" t="str">
        <f t="shared" si="7"/>
        <v>* group[=].element[+].code = #ClinicalStage.clinicalStaging</v>
      </c>
      <c r="J20" s="12" t="str">
        <f t="shared" si="0"/>
        <v>* group[=].element[=].display = ##34#Clinical staging##34#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INDEX('ClinicalStage-ConceptMap-1'!$I$15:$N$124,Q20+1,R20)</f>
        <v>* group[=].element[=].target.comment = ##34#Condition.stage.assessment##34#</v>
      </c>
    </row>
    <row r="21" spans="1:19" ht="103.25">
      <c r="A21" s="59"/>
      <c r="B21" s="11" t="str">
        <f>ClinicalStage!B14</f>
        <v>ajccEdition</v>
      </c>
      <c r="C21" s="11" t="str">
        <f>ClinicalStage!C14</f>
        <v>Ajcc edition</v>
      </c>
      <c r="D21" s="12" t="s">
        <v>1997</v>
      </c>
      <c r="E21" s="12"/>
      <c r="F21" s="64" t="s">
        <v>1407</v>
      </c>
      <c r="G21" s="123" t="s">
        <v>2008</v>
      </c>
      <c r="H21" s="58"/>
      <c r="I21" s="12" t="str">
        <f t="shared" si="7"/>
        <v>* group[=].element[+].code = #ClinicalStage.ajccEdition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INDEX('ClinicalStage-ConceptMap-1'!$I$15:$N$124,Q21+1,R21)</f>
        <v>* group[=].element[+].code = #ClinicalStage.cT</v>
      </c>
    </row>
    <row r="22" spans="1:19" ht="73.75">
      <c r="A22" s="59"/>
      <c r="B22" s="11" t="str">
        <f>ClinicalStage!B15</f>
        <v>softTissue</v>
      </c>
      <c r="C22" s="11" t="str">
        <f>ClinicalStage!C15</f>
        <v>Soft tissue</v>
      </c>
      <c r="D22" s="27"/>
      <c r="E22" s="12"/>
      <c r="F22" s="64" t="s">
        <v>1407</v>
      </c>
      <c r="G22" s="146" t="s">
        <v>2001</v>
      </c>
      <c r="H22" s="58"/>
      <c r="I22" s="12" t="str">
        <f t="shared" si="7"/>
        <v>* group[=].element[+].code = #ClinicalStage.softTissue</v>
      </c>
      <c r="J22" s="12" t="str">
        <f t="shared" si="0"/>
        <v>* group[=].element[=].display = ##34#Soft tissue##34#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INDEX('ClinicalStage-ConceptMap-1'!$I$15:$N$124,Q22+1,R22)</f>
        <v>* group[=].element[=].display = ##34#cT##34#</v>
      </c>
    </row>
    <row r="23" spans="1:19" ht="73.75">
      <c r="A23" s="59"/>
      <c r="B23" s="11" t="str">
        <f>ClinicalStage!B16</f>
        <v>distantLymphNode</v>
      </c>
      <c r="C23" s="11" t="str">
        <f>ClinicalStage!C16</f>
        <v>distant lymph node</v>
      </c>
      <c r="D23" s="4"/>
      <c r="E23" s="11"/>
      <c r="F23" s="64" t="s">
        <v>1407</v>
      </c>
      <c r="G23" s="122" t="s">
        <v>2001</v>
      </c>
      <c r="H23" s="58"/>
      <c r="I23" s="12" t="str">
        <f t="shared" si="7"/>
        <v>* group[=].element[+].code = #ClinicalStage.distantLymphNode</v>
      </c>
      <c r="J23" s="12" t="str">
        <f t="shared" si="0"/>
        <v>* group[=].element[=].display = ##34#distant lymph node##34#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INDEX('ClinicalStage-ConceptMap-1'!$I$15:$N$124,Q23+1,R23)</f>
        <v>* group[=].element[=].target.code = #Observation.hasMember:tnmPrimaryTumorCategory</v>
      </c>
    </row>
    <row r="24" spans="1:19" ht="29.5" customHeight="1">
      <c r="A24" s="59"/>
      <c r="B24" s="11" t="str">
        <f>ClinicalStage!B17</f>
        <v>lung</v>
      </c>
      <c r="C24" s="11" t="str">
        <f>ClinicalStage!C17</f>
        <v>lung</v>
      </c>
      <c r="D24" s="4"/>
      <c r="E24" s="11"/>
      <c r="F24" s="64" t="s">
        <v>1407</v>
      </c>
      <c r="G24" s="122" t="s">
        <v>2001</v>
      </c>
      <c r="H24" s="58"/>
      <c r="I24" s="12" t="str">
        <f t="shared" si="7"/>
        <v>* group[=].element[+].code = #ClinicalStage.lung</v>
      </c>
      <c r="J24" s="12" t="str">
        <f t="shared" si="0"/>
        <v>* group[=].element[=].display = ##34#lung##34#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INDEX('ClinicalStage-ConceptMap-1'!$I$15:$N$124,Q24+1,R24)</f>
        <v>* group[=].element[=].target.display = ##34###34#</v>
      </c>
    </row>
    <row r="25" spans="1:19" ht="73.75">
      <c r="A25" s="59"/>
      <c r="B25" s="11" t="str">
        <f>ClinicalStage!B18</f>
        <v>bone</v>
      </c>
      <c r="C25" s="11" t="str">
        <f>ClinicalStage!C18</f>
        <v>bone</v>
      </c>
      <c r="D25" s="4"/>
      <c r="E25" s="11"/>
      <c r="F25" s="64" t="s">
        <v>1407</v>
      </c>
      <c r="G25" s="122" t="s">
        <v>2001</v>
      </c>
      <c r="H25" s="58"/>
      <c r="I25" s="12" t="str">
        <f t="shared" si="7"/>
        <v>* group[=].element[+].code = #ClinicalStage.bone</v>
      </c>
      <c r="J25" s="12" t="str">
        <f t="shared" si="0"/>
        <v>* group[=].element[=].display = ##34#bone##34#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INDEX('ClinicalStage-ConceptMap-1'!$I$15:$N$124,Q25+1,R25)</f>
        <v>* group[=].element[=].target.equivalence = #relatedto</v>
      </c>
    </row>
    <row r="26" spans="1:19" ht="73.75">
      <c r="A26" s="59"/>
      <c r="B26" s="11" t="str">
        <f>ClinicalStage!B19</f>
        <v>liver</v>
      </c>
      <c r="C26" s="11" t="str">
        <f>ClinicalStage!C19</f>
        <v>liver</v>
      </c>
      <c r="D26" s="4"/>
      <c r="E26" s="12"/>
      <c r="F26" s="64" t="s">
        <v>1407</v>
      </c>
      <c r="G26" s="122" t="s">
        <v>2001</v>
      </c>
      <c r="H26" s="58"/>
      <c r="I26" s="12" t="str">
        <f t="shared" si="7"/>
        <v>* group[=].element[+].code = #ClinicalStage.liver</v>
      </c>
      <c r="J26" s="12" t="str">
        <f t="shared" si="0"/>
        <v>* group[=].element[=].display = ##34#liver##34#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INDEX('ClinicalStage-ConceptMap-1'!$I$15:$N$124,Q26+1,R26)</f>
        <v>* group[=].element[=].target.comment = ##34#where code = 21908-9 'Stage group.clinical'##34#</v>
      </c>
    </row>
    <row r="27" spans="1:19" ht="73.75">
      <c r="A27" s="59"/>
      <c r="B27" s="11" t="str">
        <f>ClinicalStage!B20</f>
        <v>pleura</v>
      </c>
      <c r="C27" s="11" t="str">
        <f>ClinicalStage!C20</f>
        <v>pleura</v>
      </c>
      <c r="D27" s="4"/>
      <c r="E27" s="12"/>
      <c r="F27" s="64" t="s">
        <v>1407</v>
      </c>
      <c r="G27" s="122" t="s">
        <v>2001</v>
      </c>
      <c r="H27" s="58"/>
      <c r="I27" s="12" t="str">
        <f t="shared" si="7"/>
        <v>* group[=].element[+].code = #ClinicalStage.pleura</v>
      </c>
      <c r="J27" s="12" t="str">
        <f t="shared" si="0"/>
        <v>* group[=].element[=].display = ##34#pleura##34#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INDEX('ClinicalStage-ConceptMap-1'!$I$15:$N$124,Q27+1,R27)</f>
        <v>* group[=].element[+].code = #ClinicalStage.cN</v>
      </c>
    </row>
    <row r="28" spans="1:19" ht="73.75">
      <c r="B28" s="11" t="str">
        <f>ClinicalStage!B21</f>
        <v>peritoneum</v>
      </c>
      <c r="C28" s="11" t="str">
        <f>ClinicalStage!C21</f>
        <v>peritoneum</v>
      </c>
      <c r="D28" s="4"/>
      <c r="E28" s="12"/>
      <c r="F28" s="64" t="s">
        <v>1407</v>
      </c>
      <c r="G28" s="122" t="s">
        <v>2001</v>
      </c>
      <c r="H28" s="58"/>
      <c r="I28" s="12" t="str">
        <f t="shared" si="7"/>
        <v>* group[=].element[+].code = #ClinicalStage.peritoneum</v>
      </c>
      <c r="J28" s="12" t="str">
        <f t="shared" si="0"/>
        <v>* group[=].element[=].display = ##34#peritoneum##34#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INDEX('ClinicalStage-ConceptMap-1'!$I$15:$N$124,Q28+1,R28)</f>
        <v>* group[=].element[=].display = ##34#cN##34#</v>
      </c>
    </row>
    <row r="29" spans="1:19" ht="73.75">
      <c r="B29" s="11" t="str">
        <f>ClinicalStage!B22</f>
        <v>brain</v>
      </c>
      <c r="C29" s="11" t="str">
        <f>ClinicalStage!C22</f>
        <v>brain</v>
      </c>
      <c r="D29" s="4"/>
      <c r="E29" s="12"/>
      <c r="F29" s="64" t="s">
        <v>1407</v>
      </c>
      <c r="G29" s="122" t="s">
        <v>2001</v>
      </c>
      <c r="H29" s="58"/>
      <c r="I29" s="12" t="str">
        <f t="shared" si="7"/>
        <v>* group[=].element[+].code = #ClinicalStage.brain</v>
      </c>
      <c r="J29" s="12" t="str">
        <f t="shared" si="0"/>
        <v>* group[=].element[=].display = ##34#brain##34#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INDEX('ClinicalStage-ConceptMap-1'!$I$15:$N$124,Q29+1,R29)</f>
        <v>* group[=].element[=].target.code = #Observation.hasMember:tnmRegionalNodesCategory</v>
      </c>
    </row>
    <row r="30" spans="1:19" ht="73.75">
      <c r="B30" s="11" t="str">
        <f>ClinicalStage!B23</f>
        <v>otherViscera</v>
      </c>
      <c r="C30" s="11" t="str">
        <f>ClinicalStage!C23</f>
        <v>other viscera</v>
      </c>
      <c r="D30" s="4"/>
      <c r="E30" s="12"/>
      <c r="F30" s="64" t="s">
        <v>1407</v>
      </c>
      <c r="G30" s="122" t="s">
        <v>2001</v>
      </c>
      <c r="H30" s="58"/>
      <c r="I30" s="12" t="str">
        <f t="shared" si="7"/>
        <v>* group[=].element[+].code = #ClinicalStage.otherViscera</v>
      </c>
      <c r="J30" s="12" t="str">
        <f t="shared" si="0"/>
        <v>* group[=].element[=].display = ##34#other viscera##34#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INDEX('ClinicalStage-ConceptMap-1'!$I$15:$N$124,Q30+1,R30)</f>
        <v>* group[=].element[=].target.display = ##34###34#</v>
      </c>
    </row>
    <row r="31" spans="1:19" ht="73.75">
      <c r="B31" s="11" t="str">
        <f>ClinicalStage!B24</f>
        <v>unknown</v>
      </c>
      <c r="C31" s="11" t="str">
        <f>ClinicalStage!C24</f>
        <v>unknown</v>
      </c>
      <c r="D31" s="4"/>
      <c r="E31" s="12"/>
      <c r="F31" s="64" t="s">
        <v>1407</v>
      </c>
      <c r="G31" s="122" t="s">
        <v>2001</v>
      </c>
      <c r="H31" s="58"/>
      <c r="I31" s="12" t="str">
        <f t="shared" si="7"/>
        <v>* group[=].element[+].code = #ClinicalStage.unknown</v>
      </c>
      <c r="J31" s="12" t="str">
        <f t="shared" si="0"/>
        <v>* group[=].element[=].display = ##34#unknown##34#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INDEX('ClinicalStage-ConceptMap-1'!$I$15:$N$124,Q31+1,R31)</f>
        <v>* group[=].element[=].target.equivalence = #relatedto</v>
      </c>
    </row>
    <row r="32" spans="1:19" ht="29.5">
      <c r="B32" s="11"/>
      <c r="C32" s="11"/>
      <c r="D32" s="12"/>
      <c r="E32" s="12"/>
      <c r="F32" s="64"/>
      <c r="G32" s="123"/>
      <c r="H32" s="58"/>
      <c r="I32" s="12"/>
      <c r="J32" s="12"/>
      <c r="K32" s="12"/>
      <c r="L32" s="12"/>
      <c r="M32" s="12"/>
      <c r="N32" s="12"/>
      <c r="P32" s="11">
        <v>18</v>
      </c>
      <c r="Q32" s="11">
        <f t="shared" si="5"/>
        <v>2</v>
      </c>
      <c r="R32" s="11">
        <f t="shared" si="6"/>
        <v>6</v>
      </c>
      <c r="S32" s="12" t="str" cm="1">
        <f t="array" ref="S32">INDEX('ClinicalStage-ConceptMap-1'!$I$15:$N$124,Q32+1,R32)</f>
        <v>* group[=].element[=].target.comment = ##34#where code = 21908-9 'Stage group.clinical'##34#</v>
      </c>
    </row>
    <row r="33" spans="1:19">
      <c r="B33" s="11"/>
      <c r="C33" s="11"/>
      <c r="D33" s="12"/>
      <c r="E33" s="12"/>
      <c r="F33" s="64"/>
      <c r="G33" s="123"/>
      <c r="H33" s="58"/>
      <c r="I33" s="12"/>
      <c r="J33" s="12"/>
      <c r="K33" s="12"/>
      <c r="L33" s="12"/>
      <c r="M33" s="12"/>
      <c r="N33" s="12"/>
      <c r="P33" s="11">
        <v>19</v>
      </c>
      <c r="Q33" s="11">
        <f t="shared" si="5"/>
        <v>3</v>
      </c>
      <c r="R33" s="11">
        <f t="shared" si="6"/>
        <v>1</v>
      </c>
      <c r="S33" s="12" t="str" cm="1">
        <f t="array" ref="S33">INDEX('ClinicalStage-ConceptMap-1'!$I$15:$N$124,Q33+1,R33)</f>
        <v>* group[=].element[+].code = #ClinicalStage.radiologicalExtraNodalExtension</v>
      </c>
    </row>
    <row r="34" spans="1:19">
      <c r="B34" s="11"/>
      <c r="C34" s="11"/>
      <c r="D34" s="12"/>
      <c r="E34" s="12"/>
      <c r="F34" s="64"/>
      <c r="G34" s="123"/>
      <c r="H34" s="58"/>
      <c r="I34" s="12"/>
      <c r="J34" s="12"/>
      <c r="K34" s="12"/>
      <c r="L34" s="12"/>
      <c r="M34" s="12"/>
      <c r="N34" s="12"/>
      <c r="P34" s="11">
        <v>20</v>
      </c>
      <c r="Q34" s="11">
        <f t="shared" si="5"/>
        <v>3</v>
      </c>
      <c r="R34" s="11">
        <f t="shared" si="6"/>
        <v>2</v>
      </c>
      <c r="S34" s="12" t="str" cm="1">
        <f t="array" ref="S34">INDEX('ClinicalStage-ConceptMap-1'!$I$15:$N$124,Q34+1,R34)</f>
        <v>* group[=].element[=].display = ##34#Radiological Extra-nodal extension (rENE)##34#</v>
      </c>
    </row>
    <row r="35" spans="1:19">
      <c r="B35" s="11"/>
      <c r="C35" s="11"/>
      <c r="D35" s="12"/>
      <c r="E35" s="12"/>
      <c r="F35" s="64"/>
      <c r="G35" s="123"/>
      <c r="H35" s="58"/>
      <c r="I35" s="12"/>
      <c r="J35" s="12"/>
      <c r="K35" s="12"/>
      <c r="L35" s="12"/>
      <c r="M35" s="12"/>
      <c r="N35" s="12"/>
      <c r="P35" s="11">
        <v>21</v>
      </c>
      <c r="Q35" s="11">
        <f t="shared" si="5"/>
        <v>3</v>
      </c>
      <c r="R35" s="11">
        <f t="shared" si="6"/>
        <v>3</v>
      </c>
      <c r="S35" s="12" t="str" cm="1">
        <f t="array" ref="S35">INDEX('ClinicalStage-ConceptMap-1'!$I$15:$N$124,Q35+1,R35)</f>
        <v>* group[=].element[=].target.code = #Observation.</v>
      </c>
    </row>
    <row r="36" spans="1:19">
      <c r="B36" s="11"/>
      <c r="C36" s="11"/>
      <c r="D36" s="12"/>
      <c r="E36" s="12"/>
      <c r="F36" s="64"/>
      <c r="G36" s="123"/>
      <c r="H36" s="58"/>
      <c r="I36" s="12"/>
      <c r="J36" s="12"/>
      <c r="K36" s="12"/>
      <c r="L36" s="12"/>
      <c r="M36" s="12"/>
      <c r="N36" s="12"/>
      <c r="P36" s="11">
        <v>22</v>
      </c>
      <c r="Q36" s="11">
        <f t="shared" si="5"/>
        <v>3</v>
      </c>
      <c r="R36" s="11">
        <f t="shared" si="6"/>
        <v>4</v>
      </c>
      <c r="S36" s="12" t="str" cm="1">
        <f t="array" ref="S36">INDEX('ClinicalStage-ConceptMap-1'!$I$15:$N$124,Q36+1,R36)</f>
        <v>* group[=].element[=].target.display = ##34###34#</v>
      </c>
    </row>
    <row r="37" spans="1:19">
      <c r="B37" s="11"/>
      <c r="C37" s="11"/>
      <c r="D37" s="12"/>
      <c r="E37" s="12"/>
      <c r="F37" s="64"/>
      <c r="G37" s="123"/>
      <c r="H37" s="58"/>
      <c r="I37" s="12"/>
      <c r="J37" s="12"/>
      <c r="K37" s="12"/>
      <c r="L37" s="12"/>
      <c r="M37" s="12"/>
      <c r="N37" s="12"/>
      <c r="P37" s="11">
        <v>23</v>
      </c>
      <c r="Q37" s="11">
        <f t="shared" si="5"/>
        <v>3</v>
      </c>
      <c r="R37" s="11">
        <f t="shared" si="6"/>
        <v>5</v>
      </c>
      <c r="S37" s="12" t="str" cm="1">
        <f t="array" ref="S37">INDEX('ClinicalStage-ConceptMap-1'!$I$15:$N$124,Q37+1,R37)</f>
        <v>* group[=].element[=].target.equivalence = #relatedto</v>
      </c>
    </row>
    <row r="38" spans="1:19">
      <c r="B38" s="11"/>
      <c r="C38" s="11"/>
      <c r="D38" s="12"/>
      <c r="E38" s="12"/>
      <c r="F38" s="64"/>
      <c r="G38" s="123"/>
      <c r="H38" s="58"/>
      <c r="K38" s="58"/>
      <c r="L38" s="58"/>
      <c r="M38" s="66"/>
      <c r="N38" s="66"/>
      <c r="P38" s="11">
        <v>24</v>
      </c>
      <c r="Q38" s="11">
        <f t="shared" si="5"/>
        <v>3</v>
      </c>
      <c r="R38" s="11">
        <f t="shared" si="6"/>
        <v>6</v>
      </c>
      <c r="S38" s="12" t="str" cm="1">
        <f t="array" ref="S38">INDEX('ClinicalStage-ConceptMap-1'!$I$15:$N$124,Q38+1,R38)</f>
        <v>* group[=].element[=].target.comment = ##34#TO BE DEFINED##34#</v>
      </c>
    </row>
    <row r="39" spans="1:19">
      <c r="B39" s="11"/>
      <c r="C39" s="11"/>
      <c r="D39" s="12"/>
      <c r="E39" s="12"/>
      <c r="F39" s="64"/>
      <c r="G39" s="123"/>
      <c r="H39" s="58"/>
      <c r="K39" s="58"/>
      <c r="L39" s="58"/>
      <c r="M39" s="66"/>
      <c r="N39" s="66"/>
      <c r="P39" s="11">
        <v>25</v>
      </c>
      <c r="Q39" s="11">
        <f t="shared" si="5"/>
        <v>4</v>
      </c>
      <c r="R39" s="11">
        <f t="shared" si="6"/>
        <v>1</v>
      </c>
      <c r="S39" s="12" t="str" cm="1">
        <f t="array" ref="S39">INDEX('ClinicalStage-ConceptMap-1'!$I$15:$N$124,Q39+1,R39)</f>
        <v>* group[=].element[+].code = #ClinicalStage.cM</v>
      </c>
    </row>
    <row r="40" spans="1:19" s="2" customFormat="1">
      <c r="A40"/>
      <c r="B40" s="11"/>
      <c r="C40" s="11"/>
      <c r="D40" s="12"/>
      <c r="E40" s="12"/>
      <c r="F40" s="64"/>
      <c r="G40" s="123"/>
      <c r="H40" s="58"/>
      <c r="J40"/>
      <c r="K40" s="58"/>
      <c r="L40" s="58"/>
      <c r="M40" s="66"/>
      <c r="N40" s="66"/>
      <c r="P40" s="11">
        <v>26</v>
      </c>
      <c r="Q40" s="11">
        <f t="shared" si="5"/>
        <v>4</v>
      </c>
      <c r="R40" s="11">
        <f t="shared" si="6"/>
        <v>2</v>
      </c>
      <c r="S40" s="12" t="str" cm="1">
        <f t="array" ref="S40">INDEX('ClinicalStage-ConceptMap-1'!$I$15:$N$124,Q40+1,R40)</f>
        <v>* group[=].element[=].display = ##34#cM##34#</v>
      </c>
    </row>
    <row r="41" spans="1:19" s="2" customFormat="1" ht="29.5">
      <c r="A41"/>
      <c r="B41" s="11"/>
      <c r="C41" s="11"/>
      <c r="D41" s="12"/>
      <c r="F41" s="58"/>
      <c r="G41" s="123"/>
      <c r="H41" s="58"/>
      <c r="J41"/>
      <c r="K41" s="58"/>
      <c r="L41" s="58"/>
      <c r="M41" s="66"/>
      <c r="N41" s="66"/>
      <c r="P41" s="11">
        <v>27</v>
      </c>
      <c r="Q41" s="11">
        <f t="shared" si="5"/>
        <v>4</v>
      </c>
      <c r="R41" s="11">
        <f t="shared" si="6"/>
        <v>3</v>
      </c>
      <c r="S41" s="12" t="str" cm="1">
        <f t="array" ref="S41">INDEX('ClinicalStage-ConceptMap-1'!$I$15:$N$124,Q41+1,R41)</f>
        <v>* group[=].element[=].target.code = #Observation.hasMember:tnmDistantMetastasesCategory</v>
      </c>
    </row>
    <row r="42" spans="1:19" s="2" customFormat="1">
      <c r="A42"/>
      <c r="B42" s="11"/>
      <c r="C42" s="11"/>
      <c r="D42" s="12"/>
      <c r="F42" s="58"/>
      <c r="G42" s="123"/>
      <c r="H42" s="58"/>
      <c r="J42"/>
      <c r="K42" s="58"/>
      <c r="L42" s="58"/>
      <c r="M42" s="66"/>
      <c r="N42" s="66"/>
      <c r="P42" s="11">
        <v>28</v>
      </c>
      <c r="Q42" s="11">
        <f t="shared" si="5"/>
        <v>4</v>
      </c>
      <c r="R42" s="11">
        <f t="shared" si="6"/>
        <v>4</v>
      </c>
      <c r="S42" s="12" t="str" cm="1">
        <f t="array" ref="S42">INDEX('ClinicalStage-ConceptMap-1'!$I$15:$N$124,Q42+1,R42)</f>
        <v>* group[=].element[=].target.display = ##34###34#</v>
      </c>
    </row>
    <row r="43" spans="1:19" s="2" customFormat="1">
      <c r="A43"/>
      <c r="B43" s="11"/>
      <c r="C43" s="11"/>
      <c r="D43" s="12"/>
      <c r="F43" s="58"/>
      <c r="G43" s="123"/>
      <c r="H43" s="58"/>
      <c r="J43" s="58"/>
      <c r="K43" s="58"/>
      <c r="L43" s="58"/>
      <c r="M43" s="66"/>
      <c r="N43" s="66"/>
      <c r="P43" s="11">
        <v>29</v>
      </c>
      <c r="Q43" s="11">
        <f t="shared" si="5"/>
        <v>4</v>
      </c>
      <c r="R43" s="11">
        <f t="shared" si="6"/>
        <v>5</v>
      </c>
      <c r="S43" s="12" t="str" cm="1">
        <f t="array" ref="S43">INDEX('ClinicalStage-ConceptMap-1'!$I$15:$N$124,Q43+1,R43)</f>
        <v>* group[=].element[=].target.equivalence = #equal</v>
      </c>
    </row>
    <row r="44" spans="1:19" s="2" customFormat="1" ht="29.5">
      <c r="A44"/>
      <c r="B44" s="11"/>
      <c r="C44" s="11"/>
      <c r="F44" s="58"/>
      <c r="G44" s="123"/>
      <c r="H44" s="58"/>
      <c r="J44" s="58"/>
      <c r="K44" s="58"/>
      <c r="L44" s="58"/>
      <c r="M44" s="66"/>
      <c r="N44" s="66"/>
      <c r="P44" s="11">
        <v>30</v>
      </c>
      <c r="Q44" s="11">
        <f t="shared" si="5"/>
        <v>4</v>
      </c>
      <c r="R44" s="11">
        <f t="shared" si="6"/>
        <v>6</v>
      </c>
      <c r="S44" s="12" t="str" cm="1">
        <f t="array" ref="S44">INDEX('ClinicalStage-ConceptMap-1'!$I$15:$N$124,Q44+1,R44)</f>
        <v>* group[=].element[=].target.comment = ##34#where code = 21908-9 'Stage group.clinical'##34#</v>
      </c>
    </row>
    <row r="45" spans="1:19">
      <c r="B45" s="11"/>
      <c r="C45" s="11"/>
      <c r="G45" s="123"/>
      <c r="P45" s="11">
        <v>31</v>
      </c>
      <c r="Q45" s="11">
        <f t="shared" si="5"/>
        <v>5</v>
      </c>
      <c r="R45" s="11">
        <f t="shared" si="6"/>
        <v>1</v>
      </c>
      <c r="S45" s="12" t="str" cm="1">
        <f t="array" ref="S45">INDEX('ClinicalStage-ConceptMap-1'!$I$15:$N$124,Q45+1,R45)</f>
        <v>* group[=].element[+].code = #ClinicalStage.clinicalStaging</v>
      </c>
    </row>
    <row r="46" spans="1:19">
      <c r="B46" s="11"/>
      <c r="C46" s="11"/>
      <c r="G46" s="123"/>
      <c r="P46" s="11">
        <v>32</v>
      </c>
      <c r="Q46" s="11">
        <f t="shared" si="5"/>
        <v>5</v>
      </c>
      <c r="R46" s="11">
        <f t="shared" si="6"/>
        <v>2</v>
      </c>
      <c r="S46" s="12" t="str" cm="1">
        <f t="array" ref="S46">INDEX('ClinicalStage-ConceptMap-1'!$I$15:$N$124,Q46+1,R46)</f>
        <v>* group[=].element[=].display = ##34#Clinical staging##34#</v>
      </c>
    </row>
    <row r="47" spans="1:19">
      <c r="G47" s="123"/>
      <c r="P47" s="11">
        <v>33</v>
      </c>
      <c r="Q47" s="11">
        <f t="shared" si="5"/>
        <v>5</v>
      </c>
      <c r="R47" s="11">
        <f t="shared" si="6"/>
        <v>3</v>
      </c>
      <c r="S47" s="12" t="str" cm="1">
        <f t="array" ref="S47">INDEX('ClinicalStage-ConceptMap-1'!$I$15:$N$124,Q47+1,R47)</f>
        <v>* group[=].element[=].target.code = #Observation.valueCodeableConcept</v>
      </c>
    </row>
    <row r="48" spans="1:19">
      <c r="G48" s="123"/>
      <c r="P48" s="11">
        <v>34</v>
      </c>
      <c r="Q48" s="11">
        <f t="shared" si="5"/>
        <v>5</v>
      </c>
      <c r="R48" s="11">
        <f t="shared" si="6"/>
        <v>4</v>
      </c>
      <c r="S48" s="12" t="str" cm="1">
        <f t="array" ref="S48">INDEX('ClinicalStage-ConceptMap-1'!$I$15:$N$124,Q48+1,R48)</f>
        <v>* group[=].element[=].target.display = ##34###34#</v>
      </c>
    </row>
    <row r="49" spans="7:19">
      <c r="G49" s="123"/>
      <c r="P49" s="11">
        <v>35</v>
      </c>
      <c r="Q49" s="11">
        <f t="shared" si="5"/>
        <v>5</v>
      </c>
      <c r="R49" s="11">
        <f t="shared" si="6"/>
        <v>5</v>
      </c>
      <c r="S49" s="12" t="str" cm="1">
        <f t="array" ref="S49">INDEX('ClinicalStage-ConceptMap-1'!$I$15:$N$124,Q49+1,R49)</f>
        <v>* group[=].element[=].target.equivalence = #equivalent</v>
      </c>
    </row>
    <row r="50" spans="7:19" ht="29.5">
      <c r="G50" s="123"/>
      <c r="P50" s="11">
        <v>36</v>
      </c>
      <c r="Q50" s="11">
        <f t="shared" si="5"/>
        <v>5</v>
      </c>
      <c r="R50" s="11">
        <f t="shared" si="6"/>
        <v>6</v>
      </c>
      <c r="S50" s="12" t="str" cm="1">
        <f t="array" ref="S50">INDEX('ClinicalStage-ConceptMap-1'!$I$15:$N$124,Q50+1,R50)</f>
        <v>* group[=].element[=].target.comment = ##34#where code = 21908-9 'Stage group.clinical'##34#</v>
      </c>
    </row>
    <row r="51" spans="7:19">
      <c r="G51" s="123"/>
      <c r="P51" s="11">
        <v>37</v>
      </c>
      <c r="Q51" s="11">
        <f t="shared" si="5"/>
        <v>6</v>
      </c>
      <c r="R51" s="11">
        <f t="shared" si="6"/>
        <v>1</v>
      </c>
      <c r="S51" s="12" t="str" cm="1">
        <f t="array" ref="S51">INDEX('ClinicalStage-ConceptMap-1'!$I$15:$N$124,Q51+1,R51)</f>
        <v>* group[=].element[+].code = #ClinicalStage.ajccEdition</v>
      </c>
    </row>
    <row r="52" spans="7:19">
      <c r="G52" s="123"/>
      <c r="P52" s="11">
        <v>38</v>
      </c>
      <c r="Q52" s="11">
        <f t="shared" si="5"/>
        <v>6</v>
      </c>
      <c r="R52" s="11">
        <f t="shared" si="6"/>
        <v>2</v>
      </c>
      <c r="S52" s="12" t="str" cm="1">
        <f t="array" ref="S52">INDEX('ClinicalStage-ConceptMap-1'!$I$15:$N$124,Q52+1,R52)</f>
        <v>* group[=].element[=].display = ##34#Ajcc edition##34#</v>
      </c>
    </row>
    <row r="53" spans="7:19" ht="29.5">
      <c r="G53" s="123"/>
      <c r="P53" s="11">
        <v>39</v>
      </c>
      <c r="Q53" s="11">
        <f t="shared" si="5"/>
        <v>6</v>
      </c>
      <c r="R53" s="11">
        <f t="shared" si="6"/>
        <v>3</v>
      </c>
      <c r="S53" s="12" t="str" cm="1">
        <f t="array" ref="S53">INDEX('ClinicalStage-ConceptMap-1'!$I$15:$N$124,Q53+1,R53)</f>
        <v>* group[=].element[=].target.code = #Observation.valueCodeableConcept.coding.system</v>
      </c>
    </row>
    <row r="54" spans="7:19">
      <c r="G54" s="123"/>
      <c r="P54" s="11">
        <v>40</v>
      </c>
      <c r="Q54" s="11">
        <f t="shared" si="5"/>
        <v>6</v>
      </c>
      <c r="R54" s="11">
        <f t="shared" si="6"/>
        <v>4</v>
      </c>
      <c r="S54" s="12" t="str" cm="1">
        <f t="array" ref="S54">INDEX('ClinicalStage-ConceptMap-1'!$I$15:$N$124,Q54+1,R54)</f>
        <v>* group[=].element[=].target.display = ##34###34#</v>
      </c>
    </row>
    <row r="55" spans="7:19">
      <c r="G55" s="123"/>
      <c r="P55" s="11">
        <v>41</v>
      </c>
      <c r="Q55" s="11">
        <f t="shared" si="5"/>
        <v>6</v>
      </c>
      <c r="R55" s="11">
        <f t="shared" si="6"/>
        <v>5</v>
      </c>
      <c r="S55" s="12" t="str" cm="1">
        <f t="array" ref="S55">INDEX('ClinicalStage-ConceptMap-1'!$I$15:$N$124,Q55+1,R55)</f>
        <v>* group[=].element[=].target.equivalence = #relatedto</v>
      </c>
    </row>
    <row r="56" spans="7:19" ht="44.25">
      <c r="G56" s="123"/>
      <c r="P56" s="11">
        <v>42</v>
      </c>
      <c r="Q56" s="11">
        <f t="shared" si="5"/>
        <v>6</v>
      </c>
      <c r="R56" s="11">
        <f t="shared" si="6"/>
        <v>6</v>
      </c>
      <c r="S56" s="12" t="str" cm="1">
        <f t="array" ref="S56">INDEX('ClinicalStage-ConceptMap-1'!$I$15:$N$124,Q56+1,R56)</f>
        <v>* group[=].element[=].target.comment = ##34#where code = 21908-9 'Stage group.clinical'
a code system version can be specifed as part of the system##34#</v>
      </c>
    </row>
    <row r="57" spans="7:19">
      <c r="G57" s="123"/>
      <c r="P57" s="11">
        <v>43</v>
      </c>
      <c r="Q57" s="11">
        <f t="shared" si="5"/>
        <v>7</v>
      </c>
      <c r="R57" s="11">
        <f t="shared" si="6"/>
        <v>1</v>
      </c>
      <c r="S57" s="12" t="str" cm="1">
        <f t="array" ref="S57">INDEX('ClinicalStage-ConceptMap-1'!$I$15:$N$124,Q57+1,R57)</f>
        <v>* group[=].element[+].code = #ClinicalStage.softTissue</v>
      </c>
    </row>
    <row r="58" spans="7:19">
      <c r="G58" s="123"/>
      <c r="P58" s="11">
        <v>44</v>
      </c>
      <c r="Q58" s="11">
        <f t="shared" si="5"/>
        <v>7</v>
      </c>
      <c r="R58" s="11">
        <f t="shared" si="6"/>
        <v>2</v>
      </c>
      <c r="S58" s="12" t="str" cm="1">
        <f t="array" ref="S58">INDEX('ClinicalStage-ConceptMap-1'!$I$15:$N$124,Q58+1,R58)</f>
        <v>* group[=].element[=].display = ##34#Soft tissue##34#</v>
      </c>
    </row>
    <row r="59" spans="7:19">
      <c r="G59" s="123"/>
      <c r="P59" s="11">
        <v>45</v>
      </c>
      <c r="Q59" s="11">
        <f t="shared" si="5"/>
        <v>7</v>
      </c>
      <c r="R59" s="11">
        <f t="shared" si="6"/>
        <v>3</v>
      </c>
      <c r="S59" s="12" t="str" cm="1">
        <f t="array" ref="S59">INDEX('ClinicalStage-ConceptMap-1'!$I$15:$N$124,Q59+1,R59)</f>
        <v>* group[=].element[=].target.code = #Observation.</v>
      </c>
    </row>
    <row r="60" spans="7:19">
      <c r="G60" s="123"/>
      <c r="P60" s="11">
        <v>46</v>
      </c>
      <c r="Q60" s="11">
        <f t="shared" si="5"/>
        <v>7</v>
      </c>
      <c r="R60" s="11">
        <f t="shared" si="6"/>
        <v>4</v>
      </c>
      <c r="S60" s="12" t="str" cm="1">
        <f t="array" ref="S60">INDEX('ClinicalStage-ConceptMap-1'!$I$15:$N$124,Q60+1,R60)</f>
        <v>* group[=].element[=].target.display = ##34###34#</v>
      </c>
    </row>
    <row r="61" spans="7:19">
      <c r="G61" s="123"/>
      <c r="P61" s="11">
        <v>47</v>
      </c>
      <c r="Q61" s="11">
        <f t="shared" si="5"/>
        <v>7</v>
      </c>
      <c r="R61" s="11">
        <f t="shared" si="6"/>
        <v>5</v>
      </c>
      <c r="S61" s="12" t="str" cm="1">
        <f t="array" ref="S61">INDEX('ClinicalStage-ConceptMap-1'!$I$15:$N$124,Q61+1,R61)</f>
        <v>* group[=].element[=].target.equivalence = #relatedto</v>
      </c>
    </row>
    <row r="62" spans="7:19" ht="29.5">
      <c r="G62" s="123"/>
      <c r="P62" s="11">
        <v>48</v>
      </c>
      <c r="Q62" s="11">
        <f t="shared" si="5"/>
        <v>7</v>
      </c>
      <c r="R62" s="11">
        <f t="shared" si="6"/>
        <v>6</v>
      </c>
      <c r="S62" s="12" t="str" cm="1">
        <f t="array" ref="S62">INDEX('ClinicalStage-ConceptMap-1'!$I$15:$N$124,Q62+1,R62)</f>
        <v>* group[=].element[=].target.comment = ##34#CLARIFY HOW THIS DIFFERS FROM THE EQUIVALENT DATA IN EPISODE EVENT##34#</v>
      </c>
    </row>
    <row r="63" spans="7:19">
      <c r="G63" s="123"/>
      <c r="P63" s="11">
        <v>49</v>
      </c>
      <c r="Q63" s="11">
        <f t="shared" si="5"/>
        <v>8</v>
      </c>
      <c r="R63" s="11">
        <f t="shared" si="6"/>
        <v>1</v>
      </c>
      <c r="S63" s="12" t="str" cm="1">
        <f t="array" ref="S63">INDEX('ClinicalStage-ConceptMap-1'!$I$15:$N$124,Q63+1,R63)</f>
        <v>* group[=].element[+].code = #ClinicalStage.distantLymphNode</v>
      </c>
    </row>
    <row r="64" spans="7:19">
      <c r="G64" s="123"/>
      <c r="P64" s="11">
        <v>50</v>
      </c>
      <c r="Q64" s="11">
        <f t="shared" si="5"/>
        <v>8</v>
      </c>
      <c r="R64" s="11">
        <f t="shared" si="6"/>
        <v>2</v>
      </c>
      <c r="S64" s="12" t="str" cm="1">
        <f t="array" ref="S64">INDEX('ClinicalStage-ConceptMap-1'!$I$15:$N$124,Q64+1,R64)</f>
        <v>* group[=].element[=].display = ##34#distant lymph node##34#</v>
      </c>
    </row>
    <row r="65" spans="7:19">
      <c r="G65" s="123"/>
      <c r="P65" s="11">
        <v>51</v>
      </c>
      <c r="Q65" s="11">
        <f t="shared" si="5"/>
        <v>8</v>
      </c>
      <c r="R65" s="11">
        <f t="shared" si="6"/>
        <v>3</v>
      </c>
      <c r="S65" s="12" t="str" cm="1">
        <f t="array" ref="S65">INDEX('ClinicalStage-ConceptMap-1'!$I$15:$N$124,Q65+1,R65)</f>
        <v>* group[=].element[=].target.code = #Observation.</v>
      </c>
    </row>
    <row r="66" spans="7:19">
      <c r="G66" s="123"/>
      <c r="P66" s="11">
        <v>52</v>
      </c>
      <c r="Q66" s="11">
        <f t="shared" si="5"/>
        <v>8</v>
      </c>
      <c r="R66" s="11">
        <f t="shared" si="6"/>
        <v>4</v>
      </c>
      <c r="S66" s="12" t="str" cm="1">
        <f t="array" ref="S66">INDEX('ClinicalStage-ConceptMap-1'!$I$15:$N$124,Q66+1,R66)</f>
        <v>* group[=].element[=].target.display = ##34###34#</v>
      </c>
    </row>
    <row r="67" spans="7:19">
      <c r="G67" s="123"/>
      <c r="P67" s="11">
        <v>53</v>
      </c>
      <c r="Q67" s="11">
        <f t="shared" si="5"/>
        <v>8</v>
      </c>
      <c r="R67" s="11">
        <f t="shared" si="6"/>
        <v>5</v>
      </c>
      <c r="S67" s="12" t="str" cm="1">
        <f t="array" ref="S67">INDEX('ClinicalStage-ConceptMap-1'!$I$15:$N$124,Q67+1,R67)</f>
        <v>* group[=].element[=].target.equivalence = #relatedto</v>
      </c>
    </row>
    <row r="68" spans="7:19" ht="29.5">
      <c r="G68" s="123"/>
      <c r="P68" s="11">
        <v>54</v>
      </c>
      <c r="Q68" s="11">
        <f t="shared" si="5"/>
        <v>8</v>
      </c>
      <c r="R68" s="11">
        <f t="shared" si="6"/>
        <v>6</v>
      </c>
      <c r="S68" s="12" t="str" cm="1">
        <f t="array" ref="S68">INDEX('ClinicalStage-ConceptMap-1'!$I$15:$N$124,Q68+1,R68)</f>
        <v>* group[=].element[=].target.comment = ##34#CLARIFY HOW THIS DIFFERS FROM THE EQUIVALENT DATA IN EPISODE EVENT##34#</v>
      </c>
    </row>
    <row r="69" spans="7:19">
      <c r="G69" s="123"/>
      <c r="P69" s="11">
        <v>55</v>
      </c>
      <c r="Q69" s="11">
        <f t="shared" si="5"/>
        <v>9</v>
      </c>
      <c r="R69" s="11">
        <f t="shared" si="6"/>
        <v>1</v>
      </c>
      <c r="S69" s="12" t="str" cm="1">
        <f t="array" ref="S69">INDEX('ClinicalStage-ConceptMap-1'!$I$15:$N$124,Q69+1,R69)</f>
        <v>* group[=].element[+].code = #ClinicalStage.lung</v>
      </c>
    </row>
    <row r="70" spans="7:19">
      <c r="G70" s="123"/>
      <c r="P70" s="11">
        <v>56</v>
      </c>
      <c r="Q70" s="11">
        <f t="shared" si="5"/>
        <v>9</v>
      </c>
      <c r="R70" s="11">
        <f t="shared" si="6"/>
        <v>2</v>
      </c>
      <c r="S70" s="12" t="str" cm="1">
        <f t="array" ref="S70">INDEX('ClinicalStage-ConceptMap-1'!$I$15:$N$124,Q70+1,R70)</f>
        <v>* group[=].element[=].display = ##34#lung##34#</v>
      </c>
    </row>
    <row r="71" spans="7:19">
      <c r="G71" s="123"/>
      <c r="P71" s="11">
        <v>57</v>
      </c>
      <c r="Q71" s="11">
        <f t="shared" si="5"/>
        <v>9</v>
      </c>
      <c r="R71" s="11">
        <f t="shared" si="6"/>
        <v>3</v>
      </c>
      <c r="S71" s="12" t="str" cm="1">
        <f t="array" ref="S71">INDEX('ClinicalStage-ConceptMap-1'!$I$15:$N$124,Q71+1,R71)</f>
        <v>* group[=].element[=].target.code = #Observation.</v>
      </c>
    </row>
    <row r="72" spans="7:19">
      <c r="G72" s="123"/>
      <c r="P72" s="11">
        <v>58</v>
      </c>
      <c r="Q72" s="11">
        <f t="shared" si="5"/>
        <v>9</v>
      </c>
      <c r="R72" s="11">
        <f t="shared" si="6"/>
        <v>4</v>
      </c>
      <c r="S72" s="12" t="str" cm="1">
        <f t="array" ref="S72">INDEX('ClinicalStage-ConceptMap-1'!$I$15:$N$124,Q72+1,R72)</f>
        <v>* group[=].element[=].target.display = ##34###34#</v>
      </c>
    </row>
    <row r="73" spans="7:19">
      <c r="G73" s="123"/>
      <c r="P73" s="11">
        <v>59</v>
      </c>
      <c r="Q73" s="11">
        <f t="shared" si="5"/>
        <v>9</v>
      </c>
      <c r="R73" s="11">
        <f t="shared" si="6"/>
        <v>5</v>
      </c>
      <c r="S73" s="12" t="str" cm="1">
        <f t="array" ref="S73">INDEX('ClinicalStage-ConceptMap-1'!$I$15:$N$124,Q73+1,R73)</f>
        <v>* group[=].element[=].target.equivalence = #relatedto</v>
      </c>
    </row>
    <row r="74" spans="7:19" ht="29.5">
      <c r="G74" s="123"/>
      <c r="P74" s="11">
        <v>60</v>
      </c>
      <c r="Q74" s="11">
        <f t="shared" si="5"/>
        <v>9</v>
      </c>
      <c r="R74" s="11">
        <f t="shared" si="6"/>
        <v>6</v>
      </c>
      <c r="S74" s="12" t="str" cm="1">
        <f t="array" ref="S74">INDEX('ClinicalStage-ConceptMap-1'!$I$15:$N$124,Q74+1,R74)</f>
        <v>* group[=].element[=].target.comment = ##34#CLARIFY HOW THIS DIFFERS FROM THE EQUIVALENT DATA IN EPISODE EVENT##34#</v>
      </c>
    </row>
    <row r="75" spans="7:19">
      <c r="G75" s="123"/>
      <c r="P75" s="11">
        <v>61</v>
      </c>
      <c r="Q75" s="11">
        <f t="shared" si="5"/>
        <v>10</v>
      </c>
      <c r="R75" s="11">
        <f t="shared" si="6"/>
        <v>1</v>
      </c>
      <c r="S75" s="12" t="str" cm="1">
        <f t="array" ref="S75">INDEX('ClinicalStage-ConceptMap-1'!$I$15:$N$124,Q75+1,R75)</f>
        <v>* group[=].element[+].code = #ClinicalStage.bone</v>
      </c>
    </row>
    <row r="76" spans="7:19">
      <c r="G76" s="123"/>
      <c r="P76" s="11">
        <v>62</v>
      </c>
      <c r="Q76" s="11">
        <f t="shared" si="5"/>
        <v>10</v>
      </c>
      <c r="R76" s="11">
        <f t="shared" si="6"/>
        <v>2</v>
      </c>
      <c r="S76" s="12" t="str" cm="1">
        <f t="array" ref="S76">INDEX('ClinicalStage-ConceptMap-1'!$I$15:$N$124,Q76+1,R76)</f>
        <v>* group[=].element[=].display = ##34#bone##34#</v>
      </c>
    </row>
    <row r="77" spans="7:19">
      <c r="G77" s="123"/>
      <c r="P77" s="11">
        <v>63</v>
      </c>
      <c r="Q77" s="11">
        <f t="shared" si="5"/>
        <v>10</v>
      </c>
      <c r="R77" s="11">
        <f t="shared" si="6"/>
        <v>3</v>
      </c>
      <c r="S77" s="12" t="str" cm="1">
        <f t="array" ref="S77">INDEX('ClinicalStage-ConceptMap-1'!$I$15:$N$124,Q77+1,R77)</f>
        <v>* group[=].element[=].target.code = #Observation.</v>
      </c>
    </row>
    <row r="78" spans="7:19">
      <c r="G78" s="123"/>
      <c r="P78" s="11">
        <v>64</v>
      </c>
      <c r="Q78" s="11">
        <f t="shared" si="5"/>
        <v>10</v>
      </c>
      <c r="R78" s="11">
        <f t="shared" si="6"/>
        <v>4</v>
      </c>
      <c r="S78" s="12" t="str" cm="1">
        <f t="array" ref="S78">INDEX('ClinicalStage-ConceptMap-1'!$I$15:$N$124,Q78+1,R78)</f>
        <v>* group[=].element[=].target.display = ##34###34#</v>
      </c>
    </row>
    <row r="79" spans="7:19">
      <c r="G79" s="123"/>
      <c r="P79" s="11">
        <v>65</v>
      </c>
      <c r="Q79" s="11">
        <f t="shared" ref="Q79:Q142" si="8">IF(MOD(P79,$Q$8)=0,P79/$Q$8-1,INT(P79/$Q$8))</f>
        <v>10</v>
      </c>
      <c r="R79" s="11">
        <f t="shared" ref="R79:R142" si="9">IF(MOD(P79,$Q$8)=0,$Q$8,MOD(P79,$Q$8))</f>
        <v>5</v>
      </c>
      <c r="S79" s="12" t="str" cm="1">
        <f t="array" ref="S79">INDEX('ClinicalStage-ConceptMap-1'!$I$15:$N$124,Q79+1,R79)</f>
        <v>* group[=].element[=].target.equivalence = #relatedto</v>
      </c>
    </row>
    <row r="80" spans="7:19" ht="29.5">
      <c r="G80" s="123"/>
      <c r="P80" s="11">
        <v>66</v>
      </c>
      <c r="Q80" s="11">
        <f t="shared" si="8"/>
        <v>10</v>
      </c>
      <c r="R80" s="11">
        <f t="shared" si="9"/>
        <v>6</v>
      </c>
      <c r="S80" s="12" t="str" cm="1">
        <f t="array" ref="S80">INDEX('ClinicalStage-ConceptMap-1'!$I$15:$N$124,Q80+1,R80)</f>
        <v>* group[=].element[=].target.comment = ##34#CLARIFY HOW THIS DIFFERS FROM THE EQUIVALENT DATA IN EPISODE EVENT##34#</v>
      </c>
    </row>
    <row r="81" spans="7:19">
      <c r="G81" s="123"/>
      <c r="P81" s="11">
        <v>67</v>
      </c>
      <c r="Q81" s="11">
        <f t="shared" si="8"/>
        <v>11</v>
      </c>
      <c r="R81" s="11">
        <f t="shared" si="9"/>
        <v>1</v>
      </c>
      <c r="S81" s="12" t="str" cm="1">
        <f t="array" ref="S81">INDEX('ClinicalStage-ConceptMap-1'!$I$15:$N$124,Q81+1,R81)</f>
        <v>* group[=].element[+].code = #ClinicalStage.liver</v>
      </c>
    </row>
    <row r="82" spans="7:19">
      <c r="G82" s="123"/>
      <c r="P82" s="11">
        <v>68</v>
      </c>
      <c r="Q82" s="11">
        <f t="shared" si="8"/>
        <v>11</v>
      </c>
      <c r="R82" s="11">
        <f t="shared" si="9"/>
        <v>2</v>
      </c>
      <c r="S82" s="12" t="str" cm="1">
        <f t="array" ref="S82">INDEX('ClinicalStage-ConceptMap-1'!$I$15:$N$124,Q82+1,R82)</f>
        <v>* group[=].element[=].display = ##34#liver##34#</v>
      </c>
    </row>
    <row r="83" spans="7:19">
      <c r="G83" s="123"/>
      <c r="P83" s="11">
        <v>69</v>
      </c>
      <c r="Q83" s="11">
        <f t="shared" si="8"/>
        <v>11</v>
      </c>
      <c r="R83" s="11">
        <f t="shared" si="9"/>
        <v>3</v>
      </c>
      <c r="S83" s="12" t="str" cm="1">
        <f t="array" ref="S83">INDEX('ClinicalStage-ConceptMap-1'!$I$15:$N$124,Q83+1,R83)</f>
        <v>* group[=].element[=].target.code = #Observation.</v>
      </c>
    </row>
    <row r="84" spans="7:19">
      <c r="G84" s="123"/>
      <c r="P84" s="11">
        <v>70</v>
      </c>
      <c r="Q84" s="11">
        <f t="shared" si="8"/>
        <v>11</v>
      </c>
      <c r="R84" s="11">
        <f t="shared" si="9"/>
        <v>4</v>
      </c>
      <c r="S84" s="12" t="str" cm="1">
        <f t="array" ref="S84">INDEX('ClinicalStage-ConceptMap-1'!$I$15:$N$124,Q84+1,R84)</f>
        <v>* group[=].element[=].target.display = ##34###34#</v>
      </c>
    </row>
    <row r="85" spans="7:19">
      <c r="G85" s="123"/>
      <c r="P85" s="11">
        <v>71</v>
      </c>
      <c r="Q85" s="11">
        <f t="shared" si="8"/>
        <v>11</v>
      </c>
      <c r="R85" s="11">
        <f t="shared" si="9"/>
        <v>5</v>
      </c>
      <c r="S85" s="12" t="str" cm="1">
        <f t="array" ref="S85">INDEX('ClinicalStage-ConceptMap-1'!$I$15:$N$124,Q85+1,R85)</f>
        <v>* group[=].element[=].target.equivalence = #relatedto</v>
      </c>
    </row>
    <row r="86" spans="7:19" ht="29.5">
      <c r="G86" s="123"/>
      <c r="P86" s="11">
        <v>72</v>
      </c>
      <c r="Q86" s="11">
        <f t="shared" si="8"/>
        <v>11</v>
      </c>
      <c r="R86" s="11">
        <f t="shared" si="9"/>
        <v>6</v>
      </c>
      <c r="S86" s="12" t="str" cm="1">
        <f t="array" ref="S86">INDEX('ClinicalStage-ConceptMap-1'!$I$15:$N$124,Q86+1,R86)</f>
        <v>* group[=].element[=].target.comment = ##34#CLARIFY HOW THIS DIFFERS FROM THE EQUIVALENT DATA IN EPISODE EVENT##34#</v>
      </c>
    </row>
    <row r="87" spans="7:19">
      <c r="G87" s="123"/>
      <c r="P87" s="11">
        <v>73</v>
      </c>
      <c r="Q87" s="11">
        <f t="shared" si="8"/>
        <v>12</v>
      </c>
      <c r="R87" s="11">
        <f t="shared" si="9"/>
        <v>1</v>
      </c>
      <c r="S87" s="12" t="str" cm="1">
        <f t="array" ref="S87">INDEX('ClinicalStage-ConceptMap-1'!$I$15:$N$124,Q87+1,R87)</f>
        <v>* group[=].element[+].code = #ClinicalStage.pleura</v>
      </c>
    </row>
    <row r="88" spans="7:19">
      <c r="G88" s="123"/>
      <c r="P88" s="11">
        <v>74</v>
      </c>
      <c r="Q88" s="11">
        <f t="shared" si="8"/>
        <v>12</v>
      </c>
      <c r="R88" s="11">
        <f t="shared" si="9"/>
        <v>2</v>
      </c>
      <c r="S88" s="12" t="str" cm="1">
        <f t="array" ref="S88">INDEX('ClinicalStage-ConceptMap-1'!$I$15:$N$124,Q88+1,R88)</f>
        <v>* group[=].element[=].display = ##34#pleura##34#</v>
      </c>
    </row>
    <row r="89" spans="7:19">
      <c r="G89" s="123"/>
      <c r="P89" s="11">
        <v>75</v>
      </c>
      <c r="Q89" s="11">
        <f t="shared" si="8"/>
        <v>12</v>
      </c>
      <c r="R89" s="11">
        <f t="shared" si="9"/>
        <v>3</v>
      </c>
      <c r="S89" s="12" t="str" cm="1">
        <f t="array" ref="S89">INDEX('ClinicalStage-ConceptMap-1'!$I$15:$N$124,Q89+1,R89)</f>
        <v>* group[=].element[=].target.code = #Observation.</v>
      </c>
    </row>
    <row r="90" spans="7:19">
      <c r="G90" s="123"/>
      <c r="P90" s="11">
        <v>76</v>
      </c>
      <c r="Q90" s="11">
        <f t="shared" si="8"/>
        <v>12</v>
      </c>
      <c r="R90" s="11">
        <f t="shared" si="9"/>
        <v>4</v>
      </c>
      <c r="S90" s="12" t="str" cm="1">
        <f t="array" ref="S90">INDEX('ClinicalStage-ConceptMap-1'!$I$15:$N$124,Q90+1,R90)</f>
        <v>* group[=].element[=].target.display = ##34###34#</v>
      </c>
    </row>
    <row r="91" spans="7:19">
      <c r="G91" s="123"/>
      <c r="P91" s="11">
        <v>77</v>
      </c>
      <c r="Q91" s="11">
        <f t="shared" si="8"/>
        <v>12</v>
      </c>
      <c r="R91" s="11">
        <f t="shared" si="9"/>
        <v>5</v>
      </c>
      <c r="S91" s="12" t="str" cm="1">
        <f t="array" ref="S91">INDEX('ClinicalStage-ConceptMap-1'!$I$15:$N$124,Q91+1,R91)</f>
        <v>* group[=].element[=].target.equivalence = #relatedto</v>
      </c>
    </row>
    <row r="92" spans="7:19" ht="29.5">
      <c r="G92" s="123"/>
      <c r="P92" s="11">
        <v>78</v>
      </c>
      <c r="Q92" s="11">
        <f t="shared" si="8"/>
        <v>12</v>
      </c>
      <c r="R92" s="11">
        <f t="shared" si="9"/>
        <v>6</v>
      </c>
      <c r="S92" s="12" t="str" cm="1">
        <f t="array" ref="S92">INDEX('ClinicalStage-ConceptMap-1'!$I$15:$N$124,Q92+1,R92)</f>
        <v>* group[=].element[=].target.comment = ##34#CLARIFY HOW THIS DIFFERS FROM THE EQUIVALENT DATA IN EPISODE EVENT##34#</v>
      </c>
    </row>
    <row r="93" spans="7:19">
      <c r="G93" s="123"/>
      <c r="P93" s="11">
        <v>79</v>
      </c>
      <c r="Q93" s="11">
        <f t="shared" si="8"/>
        <v>13</v>
      </c>
      <c r="R93" s="11">
        <f t="shared" si="9"/>
        <v>1</v>
      </c>
      <c r="S93" s="12" t="str" cm="1">
        <f t="array" ref="S93">INDEX('ClinicalStage-ConceptMap-1'!$I$15:$N$124,Q93+1,R93)</f>
        <v>* group[=].element[+].code = #ClinicalStage.peritoneum</v>
      </c>
    </row>
    <row r="94" spans="7:19">
      <c r="G94" s="123"/>
      <c r="P94" s="11">
        <v>80</v>
      </c>
      <c r="Q94" s="11">
        <f t="shared" si="8"/>
        <v>13</v>
      </c>
      <c r="R94" s="11">
        <f t="shared" si="9"/>
        <v>2</v>
      </c>
      <c r="S94" s="12" t="str" cm="1">
        <f t="array" ref="S94">INDEX('ClinicalStage-ConceptMap-1'!$I$15:$N$124,Q94+1,R94)</f>
        <v>* group[=].element[=].display = ##34#peritoneum##34#</v>
      </c>
    </row>
    <row r="95" spans="7:19">
      <c r="G95" s="123"/>
      <c r="P95" s="11">
        <v>81</v>
      </c>
      <c r="Q95" s="11">
        <f t="shared" si="8"/>
        <v>13</v>
      </c>
      <c r="R95" s="11">
        <f t="shared" si="9"/>
        <v>3</v>
      </c>
      <c r="S95" s="12" t="str" cm="1">
        <f t="array" ref="S95">INDEX('ClinicalStage-ConceptMap-1'!$I$15:$N$124,Q95+1,R95)</f>
        <v>* group[=].element[=].target.code = #Observation.</v>
      </c>
    </row>
    <row r="96" spans="7:19">
      <c r="G96" s="123"/>
      <c r="P96" s="11">
        <v>82</v>
      </c>
      <c r="Q96" s="11">
        <f t="shared" si="8"/>
        <v>13</v>
      </c>
      <c r="R96" s="11">
        <f t="shared" si="9"/>
        <v>4</v>
      </c>
      <c r="S96" s="12" t="str" cm="1">
        <f t="array" ref="S96">INDEX('ClinicalStage-ConceptMap-1'!$I$15:$N$124,Q96+1,R96)</f>
        <v>* group[=].element[=].target.display = ##34###34#</v>
      </c>
    </row>
    <row r="97" spans="7:19">
      <c r="G97" s="123"/>
      <c r="P97" s="11">
        <v>83</v>
      </c>
      <c r="Q97" s="11">
        <f t="shared" si="8"/>
        <v>13</v>
      </c>
      <c r="R97" s="11">
        <f t="shared" si="9"/>
        <v>5</v>
      </c>
      <c r="S97" s="12" t="str" cm="1">
        <f t="array" ref="S97">INDEX('ClinicalStage-ConceptMap-1'!$I$15:$N$124,Q97+1,R97)</f>
        <v>* group[=].element[=].target.equivalence = #relatedto</v>
      </c>
    </row>
    <row r="98" spans="7:19" ht="29.5">
      <c r="G98" s="123"/>
      <c r="P98" s="11">
        <v>84</v>
      </c>
      <c r="Q98" s="11">
        <f t="shared" si="8"/>
        <v>13</v>
      </c>
      <c r="R98" s="11">
        <f t="shared" si="9"/>
        <v>6</v>
      </c>
      <c r="S98" s="12" t="str" cm="1">
        <f t="array" ref="S98">INDEX('ClinicalStage-ConceptMap-1'!$I$15:$N$124,Q98+1,R98)</f>
        <v>* group[=].element[=].target.comment = ##34#CLARIFY HOW THIS DIFFERS FROM THE EQUIVALENT DATA IN EPISODE EVENT##34#</v>
      </c>
    </row>
    <row r="99" spans="7:19">
      <c r="G99" s="123"/>
      <c r="P99" s="11">
        <v>85</v>
      </c>
      <c r="Q99" s="11">
        <f t="shared" si="8"/>
        <v>14</v>
      </c>
      <c r="R99" s="11">
        <f t="shared" si="9"/>
        <v>1</v>
      </c>
      <c r="S99" s="12" t="str" cm="1">
        <f t="array" ref="S99">INDEX('ClinicalStage-ConceptMap-1'!$I$15:$N$124,Q99+1,R99)</f>
        <v>* group[=].element[+].code = #ClinicalStage.brain</v>
      </c>
    </row>
    <row r="100" spans="7:19">
      <c r="G100" s="123"/>
      <c r="P100" s="11">
        <v>86</v>
      </c>
      <c r="Q100" s="11">
        <f t="shared" si="8"/>
        <v>14</v>
      </c>
      <c r="R100" s="11">
        <f t="shared" si="9"/>
        <v>2</v>
      </c>
      <c r="S100" s="12" t="str" cm="1">
        <f t="array" ref="S100">INDEX('ClinicalStage-ConceptMap-1'!$I$15:$N$124,Q100+1,R100)</f>
        <v>* group[=].element[=].display = ##34#brain##34#</v>
      </c>
    </row>
    <row r="101" spans="7:19">
      <c r="G101" s="123"/>
      <c r="P101" s="11">
        <v>87</v>
      </c>
      <c r="Q101" s="11">
        <f t="shared" si="8"/>
        <v>14</v>
      </c>
      <c r="R101" s="11">
        <f t="shared" si="9"/>
        <v>3</v>
      </c>
      <c r="S101" s="12" t="str" cm="1">
        <f t="array" ref="S101">INDEX('ClinicalStage-ConceptMap-1'!$I$15:$N$124,Q101+1,R101)</f>
        <v>* group[=].element[=].target.code = #Observation.</v>
      </c>
    </row>
    <row r="102" spans="7:19">
      <c r="G102" s="123"/>
      <c r="P102" s="11">
        <v>88</v>
      </c>
      <c r="Q102" s="11">
        <f t="shared" si="8"/>
        <v>14</v>
      </c>
      <c r="R102" s="11">
        <f t="shared" si="9"/>
        <v>4</v>
      </c>
      <c r="S102" s="12" t="str" cm="1">
        <f t="array" ref="S102">INDEX('ClinicalStage-ConceptMap-1'!$I$15:$N$124,Q102+1,R102)</f>
        <v>* group[=].element[=].target.display = ##34###34#</v>
      </c>
    </row>
    <row r="103" spans="7:19">
      <c r="G103" s="123"/>
      <c r="P103" s="11">
        <v>89</v>
      </c>
      <c r="Q103" s="11">
        <f t="shared" si="8"/>
        <v>14</v>
      </c>
      <c r="R103" s="11">
        <f t="shared" si="9"/>
        <v>5</v>
      </c>
      <c r="S103" s="12" t="str" cm="1">
        <f t="array" ref="S103">INDEX('ClinicalStage-ConceptMap-1'!$I$15:$N$124,Q103+1,R103)</f>
        <v>* group[=].element[=].target.equivalence = #relatedto</v>
      </c>
    </row>
    <row r="104" spans="7:19" ht="29.5">
      <c r="G104" s="123"/>
      <c r="P104" s="11">
        <v>90</v>
      </c>
      <c r="Q104" s="11">
        <f t="shared" si="8"/>
        <v>14</v>
      </c>
      <c r="R104" s="11">
        <f t="shared" si="9"/>
        <v>6</v>
      </c>
      <c r="S104" s="12" t="str" cm="1">
        <f t="array" ref="S104">INDEX('ClinicalStage-ConceptMap-1'!$I$15:$N$124,Q104+1,R104)</f>
        <v>* group[=].element[=].target.comment = ##34#CLARIFY HOW THIS DIFFERS FROM THE EQUIVALENT DATA IN EPISODE EVENT##34#</v>
      </c>
    </row>
    <row r="105" spans="7:19">
      <c r="G105" s="123"/>
      <c r="P105" s="11">
        <v>91</v>
      </c>
      <c r="Q105" s="11">
        <f t="shared" si="8"/>
        <v>15</v>
      </c>
      <c r="R105" s="11">
        <f t="shared" si="9"/>
        <v>1</v>
      </c>
      <c r="S105" s="12" t="str" cm="1">
        <f t="array" ref="S105">INDEX('ClinicalStage-ConceptMap-1'!$I$15:$N$124,Q105+1,R105)</f>
        <v>* group[=].element[+].code = #ClinicalStage.otherViscera</v>
      </c>
    </row>
    <row r="106" spans="7:19">
      <c r="G106" s="123"/>
      <c r="P106" s="11">
        <v>92</v>
      </c>
      <c r="Q106" s="11">
        <f t="shared" si="8"/>
        <v>15</v>
      </c>
      <c r="R106" s="11">
        <f t="shared" si="9"/>
        <v>2</v>
      </c>
      <c r="S106" s="12" t="str" cm="1">
        <f t="array" ref="S106">INDEX('ClinicalStage-ConceptMap-1'!$I$15:$N$124,Q106+1,R106)</f>
        <v>* group[=].element[=].display = ##34#other viscera##34#</v>
      </c>
    </row>
    <row r="107" spans="7:19">
      <c r="G107" s="123"/>
      <c r="P107" s="11">
        <v>93</v>
      </c>
      <c r="Q107" s="11">
        <f t="shared" si="8"/>
        <v>15</v>
      </c>
      <c r="R107" s="11">
        <f t="shared" si="9"/>
        <v>3</v>
      </c>
      <c r="S107" s="12" t="str" cm="1">
        <f t="array" ref="S107">INDEX('ClinicalStage-ConceptMap-1'!$I$15:$N$124,Q107+1,R107)</f>
        <v>* group[=].element[=].target.code = #Observation.</v>
      </c>
    </row>
    <row r="108" spans="7:19">
      <c r="G108" s="123"/>
      <c r="P108" s="11">
        <v>94</v>
      </c>
      <c r="Q108" s="11">
        <f t="shared" si="8"/>
        <v>15</v>
      </c>
      <c r="R108" s="11">
        <f t="shared" si="9"/>
        <v>4</v>
      </c>
      <c r="S108" s="12" t="str" cm="1">
        <f t="array" ref="S108">INDEX('ClinicalStage-ConceptMap-1'!$I$15:$N$124,Q108+1,R108)</f>
        <v>* group[=].element[=].target.display = ##34###34#</v>
      </c>
    </row>
    <row r="109" spans="7:19">
      <c r="G109" s="123"/>
      <c r="P109" s="11">
        <v>95</v>
      </c>
      <c r="Q109" s="11">
        <f t="shared" si="8"/>
        <v>15</v>
      </c>
      <c r="R109" s="11">
        <f t="shared" si="9"/>
        <v>5</v>
      </c>
      <c r="S109" s="12" t="str" cm="1">
        <f t="array" ref="S109">INDEX('ClinicalStage-ConceptMap-1'!$I$15:$N$124,Q109+1,R109)</f>
        <v>* group[=].element[=].target.equivalence = #relatedto</v>
      </c>
    </row>
    <row r="110" spans="7:19" ht="29.5">
      <c r="G110" s="123"/>
      <c r="P110" s="11">
        <v>96</v>
      </c>
      <c r="Q110" s="11">
        <f t="shared" si="8"/>
        <v>15</v>
      </c>
      <c r="R110" s="11">
        <f t="shared" si="9"/>
        <v>6</v>
      </c>
      <c r="S110" s="12" t="str" cm="1">
        <f t="array" ref="S110">INDEX('ClinicalStage-ConceptMap-1'!$I$15:$N$124,Q110+1,R110)</f>
        <v>* group[=].element[=].target.comment = ##34#CLARIFY HOW THIS DIFFERS FROM THE EQUIVALENT DATA IN EPISODE EVENT##34#</v>
      </c>
    </row>
    <row r="111" spans="7:19">
      <c r="G111" s="123"/>
      <c r="P111" s="11">
        <v>97</v>
      </c>
      <c r="Q111" s="11">
        <f t="shared" si="8"/>
        <v>16</v>
      </c>
      <c r="R111" s="11">
        <f t="shared" si="9"/>
        <v>1</v>
      </c>
      <c r="S111" s="12" t="str" cm="1">
        <f t="array" ref="S111">INDEX('ClinicalStage-ConceptMap-1'!$I$15:$N$124,Q111+1,R111)</f>
        <v>* group[=].element[+].code = #ClinicalStage.unknown</v>
      </c>
    </row>
    <row r="112" spans="7:19">
      <c r="G112" s="123"/>
      <c r="P112" s="11">
        <v>98</v>
      </c>
      <c r="Q112" s="11">
        <f t="shared" si="8"/>
        <v>16</v>
      </c>
      <c r="R112" s="11">
        <f t="shared" si="9"/>
        <v>2</v>
      </c>
      <c r="S112" s="12" t="str" cm="1">
        <f t="array" ref="S112">INDEX('ClinicalStage-ConceptMap-1'!$I$15:$N$124,Q112+1,R112)</f>
        <v>* group[=].element[=].display = ##34#unknown##34#</v>
      </c>
    </row>
    <row r="113" spans="7:19">
      <c r="G113" s="123"/>
      <c r="P113" s="11">
        <v>99</v>
      </c>
      <c r="Q113" s="11">
        <f t="shared" si="8"/>
        <v>16</v>
      </c>
      <c r="R113" s="11">
        <f t="shared" si="9"/>
        <v>3</v>
      </c>
      <c r="S113" s="12" t="str" cm="1">
        <f t="array" ref="S113">INDEX('ClinicalStage-ConceptMap-1'!$I$15:$N$124,Q113+1,R113)</f>
        <v>* group[=].element[=].target.code = #Observation.</v>
      </c>
    </row>
    <row r="114" spans="7:19">
      <c r="G114" s="123"/>
      <c r="P114" s="11">
        <v>100</v>
      </c>
      <c r="Q114" s="11">
        <f t="shared" si="8"/>
        <v>16</v>
      </c>
      <c r="R114" s="11">
        <f t="shared" si="9"/>
        <v>4</v>
      </c>
      <c r="S114" s="12" t="str" cm="1">
        <f t="array" ref="S114">INDEX('ClinicalStage-ConceptMap-1'!$I$15:$N$124,Q114+1,R114)</f>
        <v>* group[=].element[=].target.display = ##34###34#</v>
      </c>
    </row>
    <row r="115" spans="7:19">
      <c r="G115" s="123"/>
      <c r="P115" s="11">
        <v>101</v>
      </c>
      <c r="Q115" s="11">
        <f t="shared" si="8"/>
        <v>16</v>
      </c>
      <c r="R115" s="11">
        <f t="shared" si="9"/>
        <v>5</v>
      </c>
      <c r="S115" s="12" t="str" cm="1">
        <f t="array" ref="S115">INDEX('ClinicalStage-ConceptMap-1'!$I$15:$N$124,Q115+1,R115)</f>
        <v>* group[=].element[=].target.equivalence = #relatedto</v>
      </c>
    </row>
    <row r="116" spans="7:19" ht="29.5">
      <c r="G116" s="123"/>
      <c r="P116" s="11">
        <v>102</v>
      </c>
      <c r="Q116" s="11">
        <f t="shared" si="8"/>
        <v>16</v>
      </c>
      <c r="R116" s="11">
        <f t="shared" si="9"/>
        <v>6</v>
      </c>
      <c r="S116" s="12" t="str" cm="1">
        <f t="array" ref="S116">INDEX('ClinicalStage-ConceptMap-1'!$I$15:$N$124,Q116+1,R116)</f>
        <v>* group[=].element[=].target.comment = ##34#CLARIFY HOW THIS DIFFERS FROM THE EQUIVALENT DATA IN EPISODE EVENT##34#</v>
      </c>
    </row>
    <row r="117" spans="7:19">
      <c r="G117" s="123"/>
      <c r="P117" s="11">
        <v>103</v>
      </c>
      <c r="Q117" s="11">
        <f t="shared" si="8"/>
        <v>17</v>
      </c>
      <c r="R117" s="11">
        <f t="shared" si="9"/>
        <v>1</v>
      </c>
      <c r="S117" s="12" cm="1">
        <f t="array" ref="S117">INDEX('ClinicalStage-ConceptMap-1'!$I$15:$N$124,Q117+1,R117)</f>
        <v>0</v>
      </c>
    </row>
    <row r="118" spans="7:19">
      <c r="P118" s="11">
        <v>104</v>
      </c>
      <c r="Q118" s="11">
        <f t="shared" si="8"/>
        <v>17</v>
      </c>
      <c r="R118" s="11">
        <f t="shared" si="9"/>
        <v>2</v>
      </c>
      <c r="S118" s="12" cm="1">
        <f t="array" ref="S118">INDEX('ClinicalStage-ConceptMap-1'!$I$15:$N$124,Q118+1,R118)</f>
        <v>0</v>
      </c>
    </row>
    <row r="119" spans="7:19">
      <c r="P119" s="11">
        <v>105</v>
      </c>
      <c r="Q119" s="11">
        <f t="shared" si="8"/>
        <v>17</v>
      </c>
      <c r="R119" s="11">
        <f t="shared" si="9"/>
        <v>3</v>
      </c>
      <c r="S119" s="12" cm="1">
        <f t="array" ref="S119">INDEX('ClinicalStage-ConceptMap-1'!$I$15:$N$124,Q119+1,R119)</f>
        <v>0</v>
      </c>
    </row>
    <row r="120" spans="7:19">
      <c r="P120" s="11">
        <v>106</v>
      </c>
      <c r="Q120" s="11">
        <f t="shared" si="8"/>
        <v>17</v>
      </c>
      <c r="R120" s="11">
        <f t="shared" si="9"/>
        <v>4</v>
      </c>
      <c r="S120" s="12" cm="1">
        <f t="array" ref="S120">INDEX('ClinicalStage-ConceptMap-1'!$I$15:$N$124,Q120+1,R120)</f>
        <v>0</v>
      </c>
    </row>
    <row r="121" spans="7:19">
      <c r="P121" s="11">
        <v>107</v>
      </c>
      <c r="Q121" s="11">
        <f t="shared" si="8"/>
        <v>17</v>
      </c>
      <c r="R121" s="11">
        <f t="shared" si="9"/>
        <v>5</v>
      </c>
      <c r="S121" s="12" cm="1">
        <f t="array" ref="S121">INDEX('ClinicalStage-ConceptMap-1'!$I$15:$N$124,Q121+1,R121)</f>
        <v>0</v>
      </c>
    </row>
    <row r="122" spans="7:19">
      <c r="P122" s="11">
        <v>108</v>
      </c>
      <c r="Q122" s="11">
        <f t="shared" si="8"/>
        <v>17</v>
      </c>
      <c r="R122" s="11">
        <f t="shared" si="9"/>
        <v>6</v>
      </c>
      <c r="S122" s="12" cm="1">
        <f t="array" ref="S122">INDEX('ClinicalStage-ConceptMap-1'!$I$15:$N$124,Q122+1,R122)</f>
        <v>0</v>
      </c>
    </row>
    <row r="123" spans="7:19">
      <c r="P123" s="11">
        <v>109</v>
      </c>
      <c r="Q123" s="11">
        <f t="shared" si="8"/>
        <v>18</v>
      </c>
      <c r="R123" s="11">
        <f t="shared" si="9"/>
        <v>1</v>
      </c>
      <c r="S123" s="12" cm="1">
        <f t="array" ref="S123">INDEX('ClinicalStage-ConceptMap-1'!$I$15:$N$124,Q123+1,R123)</f>
        <v>0</v>
      </c>
    </row>
    <row r="124" spans="7:19">
      <c r="P124" s="11">
        <v>110</v>
      </c>
      <c r="Q124" s="11">
        <f t="shared" si="8"/>
        <v>18</v>
      </c>
      <c r="R124" s="11">
        <f t="shared" si="9"/>
        <v>2</v>
      </c>
      <c r="S124" s="12" cm="1">
        <f t="array" ref="S124">INDEX('ClinicalStage-ConceptMap-1'!$I$15:$N$124,Q124+1,R124)</f>
        <v>0</v>
      </c>
    </row>
    <row r="125" spans="7:19">
      <c r="P125" s="11">
        <v>111</v>
      </c>
      <c r="Q125" s="11">
        <f t="shared" si="8"/>
        <v>18</v>
      </c>
      <c r="R125" s="11">
        <f t="shared" si="9"/>
        <v>3</v>
      </c>
      <c r="S125" s="12" cm="1">
        <f t="array" ref="S125">INDEX('ClinicalStage-ConceptMap-1'!$I$15:$N$124,Q125+1,R125)</f>
        <v>0</v>
      </c>
    </row>
    <row r="126" spans="7:19">
      <c r="P126" s="11">
        <v>112</v>
      </c>
      <c r="Q126" s="11">
        <f t="shared" si="8"/>
        <v>18</v>
      </c>
      <c r="R126" s="11">
        <f t="shared" si="9"/>
        <v>4</v>
      </c>
      <c r="S126" s="12" cm="1">
        <f t="array" ref="S126">INDEX('ClinicalStage-ConceptMap-1'!$I$15:$N$124,Q126+1,R126)</f>
        <v>0</v>
      </c>
    </row>
    <row r="127" spans="7:19">
      <c r="P127" s="11">
        <v>113</v>
      </c>
      <c r="Q127" s="11">
        <f t="shared" si="8"/>
        <v>18</v>
      </c>
      <c r="R127" s="11">
        <f t="shared" si="9"/>
        <v>5</v>
      </c>
      <c r="S127" s="12" cm="1">
        <f t="array" ref="S127">INDEX('ClinicalStage-ConceptMap-1'!$I$15:$N$124,Q127+1,R127)</f>
        <v>0</v>
      </c>
    </row>
    <row r="128" spans="7:19">
      <c r="P128" s="11">
        <v>114</v>
      </c>
      <c r="Q128" s="11">
        <f t="shared" si="8"/>
        <v>18</v>
      </c>
      <c r="R128" s="11">
        <f t="shared" si="9"/>
        <v>6</v>
      </c>
      <c r="S128" s="12" cm="1">
        <f t="array" ref="S128">INDEX('ClinicalStage-ConceptMap-1'!$I$15:$N$124,Q128+1,R128)</f>
        <v>0</v>
      </c>
    </row>
    <row r="129" spans="16:19">
      <c r="P129" s="11">
        <v>115</v>
      </c>
      <c r="Q129" s="11">
        <f t="shared" si="8"/>
        <v>19</v>
      </c>
      <c r="R129" s="11">
        <f t="shared" si="9"/>
        <v>1</v>
      </c>
      <c r="S129" s="12" cm="1">
        <f t="array" ref="S129">INDEX('ClinicalStage-ConceptMap-1'!$I$15:$N$124,Q129+1,R129)</f>
        <v>0</v>
      </c>
    </row>
    <row r="130" spans="16:19">
      <c r="P130" s="11">
        <v>116</v>
      </c>
      <c r="Q130" s="11">
        <f t="shared" si="8"/>
        <v>19</v>
      </c>
      <c r="R130" s="11">
        <f t="shared" si="9"/>
        <v>2</v>
      </c>
      <c r="S130" s="12" cm="1">
        <f t="array" ref="S130">INDEX('ClinicalStage-ConceptMap-1'!$I$15:$N$124,Q130+1,R130)</f>
        <v>0</v>
      </c>
    </row>
    <row r="131" spans="16:19">
      <c r="P131" s="11">
        <v>117</v>
      </c>
      <c r="Q131" s="11">
        <f t="shared" si="8"/>
        <v>19</v>
      </c>
      <c r="R131" s="11">
        <f t="shared" si="9"/>
        <v>3</v>
      </c>
      <c r="S131" s="12" cm="1">
        <f t="array" ref="S131">INDEX('ClinicalStage-ConceptMap-1'!$I$15:$N$124,Q131+1,R131)</f>
        <v>0</v>
      </c>
    </row>
    <row r="132" spans="16:19">
      <c r="P132" s="11">
        <v>118</v>
      </c>
      <c r="Q132" s="11">
        <f t="shared" si="8"/>
        <v>19</v>
      </c>
      <c r="R132" s="11">
        <f t="shared" si="9"/>
        <v>4</v>
      </c>
      <c r="S132" s="12" cm="1">
        <f t="array" ref="S132">INDEX('ClinicalStage-ConceptMap-1'!$I$15:$N$124,Q132+1,R132)</f>
        <v>0</v>
      </c>
    </row>
    <row r="133" spans="16:19">
      <c r="P133" s="11">
        <v>119</v>
      </c>
      <c r="Q133" s="11">
        <f t="shared" si="8"/>
        <v>19</v>
      </c>
      <c r="R133" s="11">
        <f t="shared" si="9"/>
        <v>5</v>
      </c>
      <c r="S133" s="12" cm="1">
        <f t="array" ref="S133">INDEX('ClinicalStage-ConceptMap-1'!$I$15:$N$124,Q133+1,R133)</f>
        <v>0</v>
      </c>
    </row>
    <row r="134" spans="16:19">
      <c r="P134" s="11">
        <v>120</v>
      </c>
      <c r="Q134" s="11">
        <f t="shared" si="8"/>
        <v>19</v>
      </c>
      <c r="R134" s="11">
        <f t="shared" si="9"/>
        <v>6</v>
      </c>
      <c r="S134" s="12" cm="1">
        <f t="array" ref="S134">INDEX('ClinicalStage-ConceptMap-1'!$I$15:$N$124,Q134+1,R134)</f>
        <v>0</v>
      </c>
    </row>
    <row r="135" spans="16:19">
      <c r="P135" s="11">
        <v>121</v>
      </c>
      <c r="Q135" s="11">
        <f t="shared" si="8"/>
        <v>20</v>
      </c>
      <c r="R135" s="11">
        <f t="shared" si="9"/>
        <v>1</v>
      </c>
      <c r="S135" s="12" cm="1">
        <f t="array" ref="S135">INDEX('ClinicalStage-ConceptMap-1'!$I$15:$N$124,Q135+1,R135)</f>
        <v>0</v>
      </c>
    </row>
    <row r="136" spans="16:19">
      <c r="P136" s="11">
        <v>122</v>
      </c>
      <c r="Q136" s="11">
        <f t="shared" si="8"/>
        <v>20</v>
      </c>
      <c r="R136" s="11">
        <f t="shared" si="9"/>
        <v>2</v>
      </c>
      <c r="S136" s="12" cm="1">
        <f t="array" ref="S136">INDEX('ClinicalStage-ConceptMap-1'!$I$15:$N$124,Q136+1,R136)</f>
        <v>0</v>
      </c>
    </row>
    <row r="137" spans="16:19">
      <c r="P137" s="11">
        <v>123</v>
      </c>
      <c r="Q137" s="11">
        <f t="shared" si="8"/>
        <v>20</v>
      </c>
      <c r="R137" s="11">
        <f t="shared" si="9"/>
        <v>3</v>
      </c>
      <c r="S137" s="12" cm="1">
        <f t="array" ref="S137">INDEX('ClinicalStage-ConceptMap-1'!$I$15:$N$124,Q137+1,R137)</f>
        <v>0</v>
      </c>
    </row>
    <row r="138" spans="16:19">
      <c r="P138" s="11">
        <v>124</v>
      </c>
      <c r="Q138" s="11">
        <f t="shared" si="8"/>
        <v>20</v>
      </c>
      <c r="R138" s="11">
        <f t="shared" si="9"/>
        <v>4</v>
      </c>
      <c r="S138" s="12" cm="1">
        <f t="array" ref="S138">INDEX('ClinicalStage-ConceptMap-1'!$I$15:$N$124,Q138+1,R138)</f>
        <v>0</v>
      </c>
    </row>
    <row r="139" spans="16:19">
      <c r="P139" s="11">
        <v>125</v>
      </c>
      <c r="Q139" s="11">
        <f t="shared" si="8"/>
        <v>20</v>
      </c>
      <c r="R139" s="11">
        <f t="shared" si="9"/>
        <v>5</v>
      </c>
      <c r="S139" s="12" cm="1">
        <f t="array" ref="S139">INDEX('ClinicalStage-ConceptMap-1'!$I$15:$N$124,Q139+1,R139)</f>
        <v>0</v>
      </c>
    </row>
    <row r="140" spans="16:19">
      <c r="P140" s="11">
        <v>126</v>
      </c>
      <c r="Q140" s="11">
        <f t="shared" si="8"/>
        <v>20</v>
      </c>
      <c r="R140" s="11">
        <f t="shared" si="9"/>
        <v>6</v>
      </c>
      <c r="S140" s="12" cm="1">
        <f t="array" ref="S140">INDEX('ClinicalStage-ConceptMap-1'!$I$15:$N$124,Q140+1,R140)</f>
        <v>0</v>
      </c>
    </row>
    <row r="141" spans="16:19">
      <c r="P141" s="11">
        <v>127</v>
      </c>
      <c r="Q141" s="11">
        <f t="shared" si="8"/>
        <v>21</v>
      </c>
      <c r="R141" s="11">
        <f t="shared" si="9"/>
        <v>1</v>
      </c>
      <c r="S141" s="12" cm="1">
        <f t="array" ref="S141">INDEX('ClinicalStage-ConceptMap-1'!$I$15:$N$124,Q141+1,R141)</f>
        <v>0</v>
      </c>
    </row>
    <row r="142" spans="16:19">
      <c r="P142" s="11">
        <v>128</v>
      </c>
      <c r="Q142" s="11">
        <f t="shared" si="8"/>
        <v>21</v>
      </c>
      <c r="R142" s="11">
        <f t="shared" si="9"/>
        <v>2</v>
      </c>
      <c r="S142" s="12" cm="1">
        <f t="array" ref="S142">INDEX('ClinicalStage-ConceptMap-1'!$I$15:$N$124,Q142+1,R142)</f>
        <v>0</v>
      </c>
    </row>
    <row r="143" spans="16:19">
      <c r="P143" s="11">
        <v>129</v>
      </c>
      <c r="Q143" s="11">
        <f t="shared" ref="Q143:Q163" si="10">IF(MOD(P143,$Q$8)=0,P143/$Q$8-1,INT(P143/$Q$8))</f>
        <v>21</v>
      </c>
      <c r="R143" s="11">
        <f t="shared" ref="R143:R163" si="11">IF(MOD(P143,$Q$8)=0,$Q$8,MOD(P143,$Q$8))</f>
        <v>3</v>
      </c>
      <c r="S143" s="12" cm="1">
        <f t="array" ref="S143">INDEX('ClinicalStage-ConceptMap-1'!$I$15:$N$124,Q143+1,R143)</f>
        <v>0</v>
      </c>
    </row>
    <row r="144" spans="16:19">
      <c r="P144" s="11">
        <v>130</v>
      </c>
      <c r="Q144" s="11">
        <f t="shared" si="10"/>
        <v>21</v>
      </c>
      <c r="R144" s="11">
        <f t="shared" si="11"/>
        <v>4</v>
      </c>
      <c r="S144" s="12" cm="1">
        <f t="array" ref="S144">INDEX('ClinicalStage-ConceptMap-1'!$I$15:$N$124,Q144+1,R144)</f>
        <v>0</v>
      </c>
    </row>
    <row r="145" spans="16:19">
      <c r="P145" s="11">
        <v>131</v>
      </c>
      <c r="Q145" s="11">
        <f t="shared" si="10"/>
        <v>21</v>
      </c>
      <c r="R145" s="11">
        <f t="shared" si="11"/>
        <v>5</v>
      </c>
      <c r="S145" s="12" cm="1">
        <f t="array" ref="S145">INDEX('ClinicalStage-ConceptMap-1'!$I$15:$N$124,Q145+1,R145)</f>
        <v>0</v>
      </c>
    </row>
    <row r="146" spans="16:19">
      <c r="P146" s="11">
        <v>132</v>
      </c>
      <c r="Q146" s="11">
        <f t="shared" si="10"/>
        <v>21</v>
      </c>
      <c r="R146" s="11">
        <f t="shared" si="11"/>
        <v>6</v>
      </c>
      <c r="S146" s="12" cm="1">
        <f t="array" ref="S146">INDEX('ClinicalStage-ConceptMap-1'!$I$15:$N$124,Q146+1,R146)</f>
        <v>0</v>
      </c>
    </row>
    <row r="147" spans="16:19">
      <c r="P147" s="11">
        <v>133</v>
      </c>
      <c r="Q147" s="11">
        <f t="shared" si="10"/>
        <v>22</v>
      </c>
      <c r="R147" s="11">
        <f t="shared" si="11"/>
        <v>1</v>
      </c>
      <c r="S147" s="12" cm="1">
        <f t="array" ref="S147">INDEX('ClinicalStage-ConceptMap-1'!$I$15:$N$124,Q147+1,R147)</f>
        <v>0</v>
      </c>
    </row>
    <row r="148" spans="16:19">
      <c r="P148" s="11">
        <v>134</v>
      </c>
      <c r="Q148" s="11">
        <f t="shared" si="10"/>
        <v>22</v>
      </c>
      <c r="R148" s="11">
        <f t="shared" si="11"/>
        <v>2</v>
      </c>
      <c r="S148" s="12" cm="1">
        <f t="array" ref="S148">INDEX('ClinicalStage-ConceptMap-1'!$I$15:$N$124,Q148+1,R148)</f>
        <v>0</v>
      </c>
    </row>
    <row r="149" spans="16:19">
      <c r="P149" s="11">
        <v>135</v>
      </c>
      <c r="Q149" s="11">
        <f t="shared" si="10"/>
        <v>22</v>
      </c>
      <c r="R149" s="11">
        <f t="shared" si="11"/>
        <v>3</v>
      </c>
      <c r="S149" s="12" cm="1">
        <f t="array" ref="S149">INDEX('ClinicalStage-ConceptMap-1'!$I$15:$N$124,Q149+1,R149)</f>
        <v>0</v>
      </c>
    </row>
    <row r="150" spans="16:19">
      <c r="P150" s="11">
        <v>136</v>
      </c>
      <c r="Q150" s="11">
        <f t="shared" si="10"/>
        <v>22</v>
      </c>
      <c r="R150" s="11">
        <f t="shared" si="11"/>
        <v>4</v>
      </c>
      <c r="S150" s="12" cm="1">
        <f t="array" ref="S150">INDEX('ClinicalStage-ConceptMap-1'!$I$15:$N$124,Q150+1,R150)</f>
        <v>0</v>
      </c>
    </row>
    <row r="151" spans="16:19">
      <c r="P151" s="11">
        <v>137</v>
      </c>
      <c r="Q151" s="11">
        <f t="shared" si="10"/>
        <v>22</v>
      </c>
      <c r="R151" s="11">
        <f t="shared" si="11"/>
        <v>5</v>
      </c>
      <c r="S151" s="12" cm="1">
        <f t="array" ref="S151">INDEX('ClinicalStage-ConceptMap-1'!$I$15:$N$124,Q151+1,R151)</f>
        <v>0</v>
      </c>
    </row>
    <row r="152" spans="16:19">
      <c r="P152" s="11">
        <v>138</v>
      </c>
      <c r="Q152" s="11">
        <f t="shared" si="10"/>
        <v>22</v>
      </c>
      <c r="R152" s="11">
        <f t="shared" si="11"/>
        <v>6</v>
      </c>
      <c r="S152" s="12" cm="1">
        <f t="array" ref="S152">INDEX('ClinicalStage-ConceptMap-1'!$I$15:$N$124,Q152+1,R152)</f>
        <v>0</v>
      </c>
    </row>
    <row r="153" spans="16:19">
      <c r="P153" s="11">
        <v>139</v>
      </c>
      <c r="Q153" s="11">
        <f t="shared" si="10"/>
        <v>23</v>
      </c>
      <c r="R153" s="11">
        <f t="shared" si="11"/>
        <v>1</v>
      </c>
      <c r="S153" s="12" cm="1">
        <f t="array" ref="S153">INDEX('ClinicalStage-ConceptMap-1'!$I$15:$N$124,Q153+1,R153)</f>
        <v>0</v>
      </c>
    </row>
    <row r="154" spans="16:19">
      <c r="P154" s="11">
        <v>140</v>
      </c>
      <c r="Q154" s="11">
        <f t="shared" si="10"/>
        <v>23</v>
      </c>
      <c r="R154" s="11">
        <f t="shared" si="11"/>
        <v>2</v>
      </c>
      <c r="S154" s="12" cm="1">
        <f t="array" ref="S154">INDEX('ClinicalStage-ConceptMap-1'!$I$15:$N$124,Q154+1,R154)</f>
        <v>0</v>
      </c>
    </row>
    <row r="155" spans="16:19">
      <c r="P155" s="11">
        <v>141</v>
      </c>
      <c r="Q155" s="11">
        <f t="shared" si="10"/>
        <v>23</v>
      </c>
      <c r="R155" s="11">
        <f t="shared" si="11"/>
        <v>3</v>
      </c>
      <c r="S155" s="12" cm="1">
        <f t="array" ref="S155">INDEX('ClinicalStage-ConceptMap-1'!$I$15:$N$124,Q155+1,R155)</f>
        <v>0</v>
      </c>
    </row>
    <row r="156" spans="16:19">
      <c r="P156" s="11">
        <v>142</v>
      </c>
      <c r="Q156" s="11">
        <f t="shared" si="10"/>
        <v>23</v>
      </c>
      <c r="R156" s="11">
        <f t="shared" si="11"/>
        <v>4</v>
      </c>
      <c r="S156" s="12" cm="1">
        <f t="array" ref="S156">INDEX('ClinicalStage-ConceptMap-1'!$I$15:$N$124,Q156+1,R156)</f>
        <v>0</v>
      </c>
    </row>
    <row r="157" spans="16:19">
      <c r="P157" s="11">
        <v>143</v>
      </c>
      <c r="Q157" s="11">
        <f t="shared" si="10"/>
        <v>23</v>
      </c>
      <c r="R157" s="11">
        <f t="shared" si="11"/>
        <v>5</v>
      </c>
      <c r="S157" s="12" cm="1">
        <f t="array" ref="S157">INDEX('ClinicalStage-ConceptMap-1'!$I$15:$N$124,Q157+1,R157)</f>
        <v>0</v>
      </c>
    </row>
    <row r="158" spans="16:19">
      <c r="P158" s="11">
        <v>144</v>
      </c>
      <c r="Q158" s="11">
        <f t="shared" si="10"/>
        <v>23</v>
      </c>
      <c r="R158" s="11">
        <f t="shared" si="11"/>
        <v>6</v>
      </c>
      <c r="S158" s="12" cm="1">
        <f t="array" ref="S158">INDEX('ClinicalStage-ConceptMap-1'!$I$15:$N$124,Q158+1,R158)</f>
        <v>0</v>
      </c>
    </row>
    <row r="159" spans="16:19">
      <c r="P159" s="11">
        <v>145</v>
      </c>
      <c r="Q159" s="11">
        <f t="shared" si="10"/>
        <v>24</v>
      </c>
      <c r="R159" s="11">
        <f t="shared" si="11"/>
        <v>1</v>
      </c>
      <c r="S159" s="12" cm="1">
        <f t="array" ref="S159">INDEX('ClinicalStage-ConceptMap-1'!$I$15:$N$124,Q159+1,R159)</f>
        <v>0</v>
      </c>
    </row>
    <row r="160" spans="16:19">
      <c r="P160" s="11">
        <v>146</v>
      </c>
      <c r="Q160" s="11">
        <f t="shared" si="10"/>
        <v>24</v>
      </c>
      <c r="R160" s="11">
        <f t="shared" si="11"/>
        <v>2</v>
      </c>
      <c r="S160" s="12" cm="1">
        <f t="array" ref="S160">INDEX('ClinicalStage-ConceptMap-1'!$I$15:$N$124,Q160+1,R160)</f>
        <v>0</v>
      </c>
    </row>
    <row r="161" spans="16:19">
      <c r="P161" s="11">
        <v>147</v>
      </c>
      <c r="Q161" s="11">
        <f t="shared" si="10"/>
        <v>24</v>
      </c>
      <c r="R161" s="11">
        <f t="shared" si="11"/>
        <v>3</v>
      </c>
      <c r="S161" s="12" cm="1">
        <f t="array" ref="S161">INDEX('ClinicalStage-ConceptMap-1'!$I$15:$N$124,Q161+1,R161)</f>
        <v>0</v>
      </c>
    </row>
    <row r="162" spans="16:19">
      <c r="P162" s="11">
        <v>148</v>
      </c>
      <c r="Q162" s="11">
        <f t="shared" si="10"/>
        <v>24</v>
      </c>
      <c r="R162" s="11">
        <f t="shared" si="11"/>
        <v>4</v>
      </c>
      <c r="S162" s="12" cm="1">
        <f t="array" ref="S162">INDEX('ClinicalStage-ConceptMap-1'!$I$15:$N$124,Q162+1,R162)</f>
        <v>0</v>
      </c>
    </row>
    <row r="163" spans="16:19">
      <c r="P163" s="11">
        <v>149</v>
      </c>
      <c r="Q163" s="11">
        <f t="shared" si="10"/>
        <v>24</v>
      </c>
      <c r="R163" s="11">
        <f t="shared" si="11"/>
        <v>5</v>
      </c>
      <c r="S163" s="12" cm="1">
        <f t="array" ref="S163">INDEX('ClinicalStage-ConceptMap-1'!$I$15:$N$124,Q163+1,R163)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1983</v>
      </c>
      <c r="D3" s="62" t="s">
        <v>1769</v>
      </c>
      <c r="E3" s="117" t="str">
        <f>$C$1&amp;ClinicalStage!B4</f>
        <v>http://hl7.eu/fhir/ig/idea4rc/StructureDefinition/ClinicalStageI4rc</v>
      </c>
    </row>
    <row r="4" spans="1:19">
      <c r="B4" s="62" t="s">
        <v>16</v>
      </c>
      <c r="C4" s="28" t="s">
        <v>1985</v>
      </c>
      <c r="D4" s="62" t="s">
        <v>1770</v>
      </c>
      <c r="E4" s="184" t="s">
        <v>2003</v>
      </c>
      <c r="F4" s="185"/>
      <c r="G4" s="185"/>
    </row>
    <row r="5" spans="1:19">
      <c r="B5" s="62" t="s">
        <v>10</v>
      </c>
      <c r="C5" s="7" t="s">
        <v>1986</v>
      </c>
      <c r="D5" s="62"/>
      <c r="E5" s="7"/>
    </row>
    <row r="6" spans="1:19">
      <c r="B6" s="62" t="s">
        <v>18</v>
      </c>
      <c r="C6" s="56"/>
      <c r="D6" s="62" t="s">
        <v>1771</v>
      </c>
      <c r="E6" s="184" t="str">
        <f>E3</f>
        <v>http://hl7.eu/fhir/ig/idea4rc/StructureDefinition/ClinicalStageI4rc</v>
      </c>
      <c r="F6" s="185"/>
      <c r="G6" s="185"/>
    </row>
    <row r="7" spans="1:19">
      <c r="B7" s="62" t="s">
        <v>15</v>
      </c>
      <c r="C7" s="118"/>
      <c r="D7" s="62" t="s">
        <v>1772</v>
      </c>
      <c r="E7" s="184" t="s">
        <v>2003</v>
      </c>
      <c r="F7" s="185"/>
      <c r="G7" s="185"/>
    </row>
    <row r="8" spans="1:19" ht="44.25">
      <c r="B8" s="62" t="s">
        <v>1773</v>
      </c>
      <c r="C8" s="119" t="s">
        <v>1986</v>
      </c>
      <c r="D8" s="62"/>
      <c r="E8" s="7"/>
      <c r="I8" s="12" t="s">
        <v>1402</v>
      </c>
      <c r="J8" s="12" t="s">
        <v>1403</v>
      </c>
      <c r="K8" s="12" t="s">
        <v>1404</v>
      </c>
      <c r="L8" s="12" t="s">
        <v>1405</v>
      </c>
      <c r="M8" s="11" t="s">
        <v>1406</v>
      </c>
      <c r="P8" s="49" t="s">
        <v>1441</v>
      </c>
      <c r="Q8" s="49">
        <v>6</v>
      </c>
    </row>
    <row r="9" spans="1:19">
      <c r="B9" s="62" t="s">
        <v>1774</v>
      </c>
      <c r="C9" s="12" t="s">
        <v>1987</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1845</v>
      </c>
      <c r="E14" s="6"/>
      <c r="F14" s="64"/>
      <c r="G14" s="64"/>
      <c r="I14" s="12"/>
      <c r="J14" s="11"/>
      <c r="K14" s="11"/>
      <c r="L14" s="11"/>
      <c r="M14" s="63"/>
      <c r="N14" s="66"/>
    </row>
    <row r="15" spans="1:19" ht="73.75" customHeight="1">
      <c r="A15" s="59"/>
      <c r="B15" s="11" t="str">
        <f>ClinicalStage!B9</f>
        <v>cT</v>
      </c>
      <c r="C15" s="11" t="str">
        <f>ClinicalStage!C9</f>
        <v>cT</v>
      </c>
      <c r="D15" s="12" t="s">
        <v>1996</v>
      </c>
      <c r="E15" s="12"/>
      <c r="F15" s="64" t="s">
        <v>1407</v>
      </c>
      <c r="G15" s="123"/>
      <c r="I15" s="12" t="str">
        <f t="shared" ref="I15:I17" si="0">"* group[=].element[+].code = #"&amp;$B$14&amp;"."&amp;B15</f>
        <v>* group[=].element[+].code = #ClinicalStage.cT</v>
      </c>
      <c r="J15" s="12" t="str">
        <f t="shared" ref="J15:J17" si="1">"* group[=].element[=].display = ##34#"&amp;C15&amp;"##34#"</f>
        <v>* group[=].element[=].display = ##34#cT##34#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INDEX('ClinicalStage-ConceptMap-2'!$I$15:$N$39,Q15+1,R15)</f>
        <v>* group[=].element[+].code = #ClinicalStage.cT</v>
      </c>
    </row>
    <row r="16" spans="1:19" ht="44.25">
      <c r="A16" s="59"/>
      <c r="B16" s="11" t="str">
        <f>ClinicalStage!B10</f>
        <v>cN</v>
      </c>
      <c r="C16" s="11" t="str">
        <f>ClinicalStage!C10</f>
        <v>cN</v>
      </c>
      <c r="D16" s="12"/>
      <c r="E16" s="12"/>
      <c r="F16" s="145" t="s">
        <v>1424</v>
      </c>
      <c r="G16" s="123"/>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INDEX('ClinicalStage-ConceptMap-2'!$I$15:$N$39,Q16+1,R16)</f>
        <v>* group[=].element[=].display = ##34#cT##34#</v>
      </c>
    </row>
    <row r="17" spans="1:19" ht="44.25">
      <c r="A17" s="59"/>
      <c r="B17" s="11" t="str">
        <f>ClinicalStage!B11</f>
        <v>radiologicalExtraNodalExtension</v>
      </c>
      <c r="C17" s="11" t="str">
        <f>ClinicalStage!C11</f>
        <v>Radiological Extra-nodal extension (rENE)</v>
      </c>
      <c r="D17" s="12"/>
      <c r="E17" s="12"/>
      <c r="F17" s="145" t="s">
        <v>1424</v>
      </c>
      <c r="G17" s="123"/>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INDEX('ClinicalStage-ConceptMap-2'!$I$15:$N$39,Q17+1,R17)</f>
        <v>* group[=].element[=].target.code = #Observation.valueCodeableConcept</v>
      </c>
    </row>
    <row r="18" spans="1:19">
      <c r="A18" s="59"/>
      <c r="B18" s="11" t="str">
        <f>ClinicalStage!B12</f>
        <v>cM</v>
      </c>
      <c r="C18" s="11" t="str">
        <f>ClinicalStage!C12</f>
        <v>cM</v>
      </c>
      <c r="D18" s="12"/>
      <c r="E18" s="12"/>
      <c r="F18" s="145" t="s">
        <v>1424</v>
      </c>
      <c r="G18" s="123"/>
      <c r="H18" s="58"/>
      <c r="I18" s="12"/>
      <c r="J18" s="12"/>
      <c r="K18" s="12"/>
      <c r="L18" s="12"/>
      <c r="M18" s="12"/>
      <c r="N18" s="12" t="str">
        <f t="shared" si="5"/>
        <v/>
      </c>
      <c r="P18" s="11">
        <v>4</v>
      </c>
      <c r="Q18" s="11">
        <f t="shared" si="6"/>
        <v>0</v>
      </c>
      <c r="R18" s="11">
        <f t="shared" si="7"/>
        <v>4</v>
      </c>
      <c r="S18" s="12" t="str" cm="1">
        <f t="array" ref="S18">INDEX('ClinicalStage-ConceptMap-2'!$I$15:$N$39,Q18+1,R18)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INDEX('ClinicalStage-ConceptMap-2'!$I$15:$N$39,Q19+1,R19)</f>
        <v>* group[=].element[=].target.equivalence = #relatedto</v>
      </c>
    </row>
    <row r="20" spans="1:19">
      <c r="A20" s="59"/>
      <c r="B20" s="11"/>
      <c r="C20" s="11"/>
      <c r="D20" s="12"/>
      <c r="E20" s="12"/>
      <c r="F20" s="64"/>
      <c r="G20" s="123"/>
      <c r="H20" s="58"/>
      <c r="I20" s="12"/>
      <c r="J20" s="12"/>
      <c r="K20" s="12"/>
      <c r="L20" s="12"/>
      <c r="M20" s="12"/>
      <c r="N20" s="12"/>
      <c r="P20" s="11">
        <v>6</v>
      </c>
      <c r="Q20" s="11">
        <f t="shared" si="6"/>
        <v>0</v>
      </c>
      <c r="R20" s="11">
        <f t="shared" si="7"/>
        <v>6</v>
      </c>
      <c r="S20" s="12" t="str" cm="1">
        <f t="array" ref="S20">INDEX('ClinicalStage-ConceptMap-2'!$I$15:$N$39,Q20+1,R20)</f>
        <v/>
      </c>
    </row>
    <row r="21" spans="1:19">
      <c r="A21" s="59"/>
      <c r="B21" s="11"/>
      <c r="C21" s="11"/>
      <c r="D21" s="12"/>
      <c r="E21" s="12"/>
      <c r="F21" s="64"/>
      <c r="G21" s="123"/>
      <c r="H21" s="58"/>
      <c r="I21" s="12"/>
      <c r="J21" s="12"/>
      <c r="K21" s="12"/>
      <c r="L21" s="12"/>
      <c r="M21" s="12"/>
      <c r="N21" s="12"/>
      <c r="P21" s="11">
        <v>7</v>
      </c>
      <c r="Q21" s="11">
        <f t="shared" si="6"/>
        <v>1</v>
      </c>
      <c r="R21" s="11">
        <f t="shared" si="7"/>
        <v>1</v>
      </c>
      <c r="S21" s="12" t="str" cm="1">
        <f t="array" ref="S21">INDEX('ClinicalStage-ConceptMap-2'!$I$15:$N$39,Q21+1,R21)</f>
        <v>* group[=].element[+].code = #ClinicalStage.cN</v>
      </c>
    </row>
    <row r="22" spans="1:19">
      <c r="A22" s="59"/>
      <c r="B22" s="11"/>
      <c r="C22" s="11"/>
      <c r="D22" s="12"/>
      <c r="E22" s="12"/>
      <c r="F22" s="64"/>
      <c r="G22" s="123"/>
      <c r="H22" s="58"/>
      <c r="I22" s="12"/>
      <c r="J22" s="12"/>
      <c r="K22" s="12"/>
      <c r="L22" s="12"/>
      <c r="M22" s="12"/>
      <c r="N22" s="12"/>
      <c r="P22" s="11">
        <v>8</v>
      </c>
      <c r="Q22" s="11">
        <f t="shared" si="6"/>
        <v>1</v>
      </c>
      <c r="R22" s="11">
        <f t="shared" si="7"/>
        <v>2</v>
      </c>
      <c r="S22" s="12" t="str" cm="1">
        <f t="array" ref="S22">INDEX('ClinicalStage-ConceptMap-2'!$I$15:$N$39,Q22+1,R22)</f>
        <v>* group[=].element[=].display = ##34#cN##34#</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t="str" cm="1">
        <f t="array" ref="S23">INDEX('ClinicalStage-ConceptMap-2'!$I$15:$N$39,Q23+1,R23)</f>
        <v>//-- unmatched</v>
      </c>
    </row>
    <row r="24" spans="1:19">
      <c r="A24" s="59"/>
      <c r="B24" s="11"/>
      <c r="C24" s="11"/>
      <c r="D24" s="12"/>
      <c r="E24" s="12"/>
      <c r="F24" s="64"/>
      <c r="G24" s="123"/>
      <c r="H24" s="58"/>
      <c r="I24" s="12"/>
      <c r="J24" s="12"/>
      <c r="K24" s="12"/>
      <c r="L24" s="12"/>
      <c r="M24" s="12"/>
      <c r="N24" s="12"/>
      <c r="P24" s="11">
        <v>10</v>
      </c>
      <c r="Q24" s="11">
        <f t="shared" si="6"/>
        <v>1</v>
      </c>
      <c r="R24" s="11">
        <f t="shared" si="7"/>
        <v>4</v>
      </c>
      <c r="S24" s="12" t="str" cm="1">
        <f t="array" ref="S24">INDEX('ClinicalStage-ConceptMap-2'!$I$15:$N$39,Q24+1,R24)</f>
        <v>//-- unmatched</v>
      </c>
    </row>
    <row r="25" spans="1:19">
      <c r="A25" s="59"/>
      <c r="B25" s="11"/>
      <c r="C25" s="11"/>
      <c r="D25" s="12"/>
      <c r="E25" s="12"/>
      <c r="F25" s="64"/>
      <c r="G25" s="123"/>
      <c r="H25" s="58"/>
      <c r="I25" s="12"/>
      <c r="J25" s="12"/>
      <c r="K25" s="12"/>
      <c r="L25" s="12"/>
      <c r="M25" s="12"/>
      <c r="N25" s="12"/>
      <c r="P25" s="11">
        <v>11</v>
      </c>
      <c r="Q25" s="11">
        <f t="shared" si="6"/>
        <v>1</v>
      </c>
      <c r="R25" s="11">
        <f t="shared" si="7"/>
        <v>5</v>
      </c>
      <c r="S25" s="12" t="str" cm="1">
        <f t="array" ref="S25">INDEX('ClinicalStage-ConceptMap-2'!$I$15:$N$39,Q25+1,R25)</f>
        <v>* group[=].element[=].target.equivalence = #unmatched</v>
      </c>
    </row>
    <row r="26" spans="1:19">
      <c r="A26" s="59"/>
      <c r="B26" s="11"/>
      <c r="C26" s="11"/>
      <c r="D26" s="12"/>
      <c r="E26" s="12"/>
      <c r="F26" s="64"/>
      <c r="G26" s="123"/>
      <c r="H26" s="58"/>
      <c r="I26" s="12"/>
      <c r="J26" s="12"/>
      <c r="K26" s="12"/>
      <c r="L26" s="12"/>
      <c r="M26" s="12"/>
      <c r="N26" s="12"/>
      <c r="P26" s="11">
        <v>12</v>
      </c>
      <c r="Q26" s="11">
        <f t="shared" si="6"/>
        <v>1</v>
      </c>
      <c r="R26" s="11">
        <f t="shared" si="7"/>
        <v>6</v>
      </c>
      <c r="S26" s="12" t="str" cm="1">
        <f t="array" ref="S26">INDEX('ClinicalStage-ConceptMap-2'!$I$15:$N$39,Q26+1,R26)</f>
        <v/>
      </c>
    </row>
    <row r="27" spans="1:19">
      <c r="B27" s="11"/>
      <c r="C27" s="11"/>
      <c r="D27" s="12"/>
      <c r="E27" s="12"/>
      <c r="F27" s="64"/>
      <c r="G27" s="123"/>
      <c r="H27" s="58"/>
      <c r="I27" s="12"/>
      <c r="J27" s="12"/>
      <c r="K27" s="12"/>
      <c r="L27" s="12"/>
      <c r="M27" s="12"/>
      <c r="N27" s="12"/>
      <c r="P27" s="11">
        <v>13</v>
      </c>
      <c r="Q27" s="11">
        <f t="shared" si="6"/>
        <v>2</v>
      </c>
      <c r="R27" s="11">
        <f t="shared" si="7"/>
        <v>1</v>
      </c>
      <c r="S27" s="12" t="str" cm="1">
        <f t="array" ref="S27">INDEX('ClinicalStage-ConceptMap-2'!$I$15:$N$39,Q27+1,R27)</f>
        <v>* group[=].element[+].code = #ClinicalStage.radiologicalExtraNodalExtension</v>
      </c>
    </row>
    <row r="28" spans="1:19">
      <c r="B28" s="11"/>
      <c r="C28" s="11"/>
      <c r="D28" s="12"/>
      <c r="E28" s="12"/>
      <c r="F28" s="64"/>
      <c r="G28" s="123"/>
      <c r="H28" s="58"/>
      <c r="I28" s="12"/>
      <c r="J28" s="12"/>
      <c r="K28" s="12"/>
      <c r="L28" s="12"/>
      <c r="M28" s="12"/>
      <c r="N28" s="12"/>
      <c r="P28" s="11">
        <v>14</v>
      </c>
      <c r="Q28" s="11">
        <f t="shared" si="6"/>
        <v>2</v>
      </c>
      <c r="R28" s="11">
        <f t="shared" si="7"/>
        <v>2</v>
      </c>
      <c r="S28" s="12" t="str" cm="1">
        <f t="array" ref="S28">INDEX('ClinicalStage-ConceptMap-2'!$I$15:$N$39,Q28+1,R28)</f>
        <v>* group[=].element[=].display = ##34#Radiological Extra-nodal extension (rENE)##34#</v>
      </c>
    </row>
    <row r="29" spans="1:19">
      <c r="B29" s="11"/>
      <c r="C29" s="11"/>
      <c r="D29" s="12"/>
      <c r="E29" s="12"/>
      <c r="F29" s="64"/>
      <c r="G29" s="123"/>
      <c r="H29" s="58"/>
      <c r="I29" s="12"/>
      <c r="J29" s="12"/>
      <c r="K29" s="12"/>
      <c r="L29" s="12"/>
      <c r="M29" s="12"/>
      <c r="N29" s="12"/>
      <c r="P29" s="11">
        <v>15</v>
      </c>
      <c r="Q29" s="11">
        <f t="shared" si="6"/>
        <v>2</v>
      </c>
      <c r="R29" s="11">
        <f t="shared" si="7"/>
        <v>3</v>
      </c>
      <c r="S29" s="12" t="str" cm="1">
        <f t="array" ref="S29">INDEX('ClinicalStage-ConceptMap-2'!$I$15:$N$39,Q29+1,R29)</f>
        <v>//-- unmatched</v>
      </c>
    </row>
    <row r="30" spans="1:19">
      <c r="B30" s="11"/>
      <c r="C30" s="11"/>
      <c r="D30" s="12"/>
      <c r="E30" s="12"/>
      <c r="F30" s="64"/>
      <c r="G30" s="123"/>
      <c r="H30" s="58"/>
      <c r="I30" s="12"/>
      <c r="J30" s="12"/>
      <c r="K30" s="12"/>
      <c r="L30" s="12"/>
      <c r="M30" s="12"/>
      <c r="N30" s="12"/>
      <c r="P30" s="11">
        <v>16</v>
      </c>
      <c r="Q30" s="11">
        <f t="shared" si="6"/>
        <v>2</v>
      </c>
      <c r="R30" s="11">
        <f t="shared" si="7"/>
        <v>4</v>
      </c>
      <c r="S30" s="12" t="str" cm="1">
        <f t="array" ref="S30">INDEX('ClinicalStage-ConceptMap-2'!$I$15:$N$39,Q30+1,R30)</f>
        <v>//-- unmatched</v>
      </c>
    </row>
    <row r="31" spans="1:19">
      <c r="B31" s="11"/>
      <c r="C31" s="11"/>
      <c r="D31" s="12"/>
      <c r="E31" s="12"/>
      <c r="F31" s="64"/>
      <c r="G31" s="123"/>
      <c r="H31" s="58"/>
      <c r="I31" s="12"/>
      <c r="J31" s="12"/>
      <c r="K31" s="12"/>
      <c r="L31" s="12"/>
      <c r="M31" s="12"/>
      <c r="N31" s="12"/>
      <c r="P31" s="11">
        <v>17</v>
      </c>
      <c r="Q31" s="11">
        <f t="shared" si="6"/>
        <v>2</v>
      </c>
      <c r="R31" s="11">
        <f t="shared" si="7"/>
        <v>5</v>
      </c>
      <c r="S31" s="12" t="str" cm="1">
        <f t="array" ref="S31">INDEX('ClinicalStage-ConceptMap-2'!$I$15:$N$39,Q31+1,R31)</f>
        <v>* group[=].element[=].target.equivalence = #unmatched</v>
      </c>
    </row>
    <row r="32" spans="1:19">
      <c r="B32" s="11"/>
      <c r="C32" s="11"/>
      <c r="D32" s="12"/>
      <c r="E32" s="12"/>
      <c r="F32" s="64"/>
      <c r="G32" s="123"/>
      <c r="H32" s="58"/>
      <c r="I32" s="12"/>
      <c r="J32" s="12"/>
      <c r="K32" s="12"/>
      <c r="L32" s="12"/>
      <c r="M32" s="12"/>
      <c r="N32" s="12"/>
      <c r="P32" s="11">
        <v>18</v>
      </c>
      <c r="Q32" s="11">
        <f t="shared" si="6"/>
        <v>2</v>
      </c>
      <c r="R32" s="11">
        <f t="shared" si="7"/>
        <v>6</v>
      </c>
      <c r="S32" s="12" t="str" cm="1">
        <f t="array" ref="S32">INDEX('ClinicalStage-ConceptMap-2'!$I$15:$N$39,Q32+1,R32)</f>
        <v/>
      </c>
    </row>
    <row r="33" spans="1:19">
      <c r="B33" s="11"/>
      <c r="C33" s="11"/>
      <c r="D33" s="12"/>
      <c r="E33" s="12"/>
      <c r="F33" s="64"/>
      <c r="G33" s="123"/>
      <c r="H33" s="58"/>
      <c r="I33" s="12"/>
      <c r="J33" s="12"/>
      <c r="K33" s="12"/>
      <c r="L33" s="12"/>
      <c r="M33" s="12"/>
      <c r="N33" s="12"/>
      <c r="P33" s="11">
        <v>19</v>
      </c>
      <c r="Q33" s="11">
        <f t="shared" si="6"/>
        <v>3</v>
      </c>
      <c r="R33" s="11">
        <f t="shared" si="7"/>
        <v>1</v>
      </c>
      <c r="S33" s="12" cm="1">
        <f t="array" ref="S33">INDEX('ClinicalStage-ConceptMap-2'!$I$15:$N$39,Q33+1,R33)</f>
        <v>0</v>
      </c>
    </row>
    <row r="34" spans="1:19">
      <c r="B34" s="11"/>
      <c r="C34" s="11"/>
      <c r="D34" s="12"/>
      <c r="E34" s="12"/>
      <c r="F34" s="64"/>
      <c r="G34" s="123"/>
      <c r="H34" s="58"/>
      <c r="I34" s="12"/>
      <c r="J34" s="12"/>
      <c r="K34" s="12"/>
      <c r="L34" s="12"/>
      <c r="M34" s="12"/>
      <c r="N34" s="12"/>
      <c r="P34" s="11">
        <v>20</v>
      </c>
      <c r="Q34" s="11">
        <f t="shared" si="6"/>
        <v>3</v>
      </c>
      <c r="R34" s="11">
        <f t="shared" si="7"/>
        <v>2</v>
      </c>
      <c r="S34" s="12" cm="1">
        <f t="array" ref="S34">INDEX('ClinicalStage-ConceptMap-2'!$I$15:$N$39,Q34+1,R34)</f>
        <v>0</v>
      </c>
    </row>
    <row r="35" spans="1:19">
      <c r="B35" s="11"/>
      <c r="C35" s="11"/>
      <c r="D35" s="12"/>
      <c r="E35" s="12"/>
      <c r="F35" s="64"/>
      <c r="G35" s="123"/>
      <c r="H35" s="58"/>
      <c r="I35" s="12"/>
      <c r="J35" s="12"/>
      <c r="K35" s="12"/>
      <c r="L35" s="12"/>
      <c r="M35" s="12"/>
      <c r="N35" s="12"/>
      <c r="P35" s="11">
        <v>21</v>
      </c>
      <c r="Q35" s="11">
        <f t="shared" si="6"/>
        <v>3</v>
      </c>
      <c r="R35" s="11">
        <f t="shared" si="7"/>
        <v>3</v>
      </c>
      <c r="S35" s="12" cm="1">
        <f t="array" ref="S35">INDEX('ClinicalStage-ConceptMap-2'!$I$15:$N$39,Q35+1,R35)</f>
        <v>0</v>
      </c>
    </row>
    <row r="36" spans="1:19">
      <c r="B36" s="11"/>
      <c r="C36" s="11"/>
      <c r="D36" s="12"/>
      <c r="E36" s="12"/>
      <c r="F36" s="64"/>
      <c r="G36" s="123"/>
      <c r="H36" s="58"/>
      <c r="I36" s="12"/>
      <c r="J36" s="12"/>
      <c r="K36" s="12"/>
      <c r="L36" s="12"/>
      <c r="M36" s="12"/>
      <c r="N36" s="12"/>
      <c r="P36" s="11">
        <v>22</v>
      </c>
      <c r="Q36" s="11">
        <f t="shared" si="6"/>
        <v>3</v>
      </c>
      <c r="R36" s="11">
        <f t="shared" si="7"/>
        <v>4</v>
      </c>
      <c r="S36" s="12" cm="1">
        <f t="array" ref="S36">INDEX('ClinicalStage-ConceptMap-2'!$I$15:$N$39,Q36+1,R36)</f>
        <v>0</v>
      </c>
    </row>
    <row r="37" spans="1:19">
      <c r="B37" s="11"/>
      <c r="C37" s="11"/>
      <c r="D37" s="12"/>
      <c r="E37" s="12"/>
      <c r="F37" s="64"/>
      <c r="G37" s="123"/>
      <c r="H37" s="58"/>
      <c r="K37" s="58"/>
      <c r="L37" s="58"/>
      <c r="M37" s="66"/>
      <c r="N37" s="66"/>
      <c r="P37" s="11">
        <v>23</v>
      </c>
      <c r="Q37" s="11">
        <f t="shared" si="6"/>
        <v>3</v>
      </c>
      <c r="R37" s="11">
        <f t="shared" si="7"/>
        <v>5</v>
      </c>
      <c r="S37" s="12" cm="1">
        <f t="array" ref="S37">INDEX('ClinicalStage-ConceptMap-2'!$I$15:$N$39,Q37+1,R37)</f>
        <v>0</v>
      </c>
    </row>
    <row r="38" spans="1:19">
      <c r="B38" s="11"/>
      <c r="C38" s="11"/>
      <c r="D38" s="12"/>
      <c r="E38" s="12"/>
      <c r="F38" s="64"/>
      <c r="G38" s="123"/>
      <c r="H38" s="58"/>
      <c r="K38" s="58"/>
      <c r="L38" s="58"/>
      <c r="M38" s="66"/>
      <c r="N38" s="66"/>
      <c r="P38" s="11">
        <v>24</v>
      </c>
      <c r="Q38" s="11">
        <f t="shared" si="6"/>
        <v>3</v>
      </c>
      <c r="R38" s="11">
        <f t="shared" si="7"/>
        <v>6</v>
      </c>
      <c r="S38" s="12" t="str" cm="1">
        <f t="array" ref="S38">INDEX('ClinicalStage-ConceptMap-2'!$I$15:$N$39,Q38+1,R38)</f>
        <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INDEX('ClinicalStage-ConceptMap-2'!$I$15:$N$39,Q39+1,R39)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1983</v>
      </c>
      <c r="D3" s="62" t="s">
        <v>1769</v>
      </c>
      <c r="E3" s="117" t="str">
        <f>$C$1&amp;ClinicalStage!B4</f>
        <v>http://hl7.eu/fhir/ig/idea4rc/StructureDefinition/ClinicalStageI4rc</v>
      </c>
    </row>
    <row r="4" spans="1:19">
      <c r="B4" s="62" t="s">
        <v>16</v>
      </c>
      <c r="C4" s="28" t="s">
        <v>1985</v>
      </c>
      <c r="D4" s="62" t="s">
        <v>1770</v>
      </c>
      <c r="E4" s="184" t="s">
        <v>2004</v>
      </c>
      <c r="F4" s="185"/>
      <c r="G4" s="185"/>
    </row>
    <row r="5" spans="1:19">
      <c r="B5" s="62" t="s">
        <v>10</v>
      </c>
      <c r="C5" s="7" t="s">
        <v>1986</v>
      </c>
      <c r="D5" s="62"/>
      <c r="E5" s="7"/>
    </row>
    <row r="6" spans="1:19">
      <c r="B6" s="62" t="s">
        <v>18</v>
      </c>
      <c r="C6" s="56"/>
      <c r="D6" s="62" t="s">
        <v>1771</v>
      </c>
      <c r="E6" s="184" t="str">
        <f>E3</f>
        <v>http://hl7.eu/fhir/ig/idea4rc/StructureDefinition/ClinicalStageI4rc</v>
      </c>
      <c r="F6" s="185"/>
      <c r="G6" s="185"/>
    </row>
    <row r="7" spans="1:19">
      <c r="B7" s="62" t="s">
        <v>15</v>
      </c>
      <c r="C7" s="118"/>
      <c r="D7" s="62" t="s">
        <v>1772</v>
      </c>
      <c r="E7" s="184" t="s">
        <v>2004</v>
      </c>
      <c r="F7" s="185"/>
      <c r="G7" s="185"/>
    </row>
    <row r="8" spans="1:19" ht="44.25">
      <c r="B8" s="62" t="s">
        <v>1773</v>
      </c>
      <c r="C8" s="119" t="s">
        <v>1986</v>
      </c>
      <c r="D8" s="62"/>
      <c r="E8" s="7"/>
      <c r="I8" s="12" t="s">
        <v>1402</v>
      </c>
      <c r="J8" s="12" t="s">
        <v>1403</v>
      </c>
      <c r="K8" s="12" t="s">
        <v>1404</v>
      </c>
      <c r="L8" s="12" t="s">
        <v>1405</v>
      </c>
      <c r="M8" s="11" t="s">
        <v>1406</v>
      </c>
      <c r="P8" s="49" t="s">
        <v>1441</v>
      </c>
      <c r="Q8" s="49">
        <v>6</v>
      </c>
    </row>
    <row r="9" spans="1:19">
      <c r="B9" s="62" t="s">
        <v>1774</v>
      </c>
      <c r="C9" s="12" t="s">
        <v>1987</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1845</v>
      </c>
      <c r="E14" s="6"/>
      <c r="F14" s="64"/>
      <c r="G14" s="64"/>
      <c r="I14" s="12"/>
      <c r="J14" s="11"/>
      <c r="K14" s="11"/>
      <c r="L14" s="11"/>
      <c r="M14" s="63"/>
      <c r="N14" s="66"/>
    </row>
    <row r="15" spans="1:19" ht="73.75" customHeight="1">
      <c r="A15" s="59"/>
      <c r="B15" s="11" t="str">
        <f>ClinicalStage!B9</f>
        <v>cT</v>
      </c>
      <c r="C15" s="11" t="str">
        <f>ClinicalStage!C9</f>
        <v>cT</v>
      </c>
      <c r="D15" s="12" t="s">
        <v>1996</v>
      </c>
      <c r="E15" s="12"/>
      <c r="F15" s="64" t="s">
        <v>1407</v>
      </c>
      <c r="G15" s="123"/>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INDEX('ClinicalStage-ConceptMap-3'!$I$15:$N$123,Q15+1,R15)</f>
        <v>* group[=].element[+].code = #ClinicalStage.cT</v>
      </c>
    </row>
    <row r="16" spans="1:19" ht="44.25">
      <c r="A16" s="59"/>
      <c r="B16" s="11" t="str">
        <f>ClinicalStage!B10</f>
        <v>cN</v>
      </c>
      <c r="C16" s="11" t="str">
        <f>ClinicalStage!C10</f>
        <v>cN</v>
      </c>
      <c r="D16" s="12"/>
      <c r="E16" s="12"/>
      <c r="F16" s="145" t="s">
        <v>1424</v>
      </c>
      <c r="G16" s="123"/>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INDEX('ClinicalStage-ConceptMap-3'!$I$15:$N$123,Q16+1,R16)</f>
        <v>* group[=].element[=].display = ##34#cT##34#</v>
      </c>
    </row>
    <row r="17" spans="1:19" ht="44.25">
      <c r="A17" s="59"/>
      <c r="B17" s="11" t="str">
        <f>ClinicalStage!B11</f>
        <v>radiologicalExtraNodalExtension</v>
      </c>
      <c r="C17" s="11" t="str">
        <f>ClinicalStage!C11</f>
        <v>Radiological Extra-nodal extension (rENE)</v>
      </c>
      <c r="D17" s="12"/>
      <c r="E17" s="12"/>
      <c r="F17" s="145" t="s">
        <v>1424</v>
      </c>
      <c r="G17" s="123"/>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INDEX('ClinicalStage-ConceptMap-3'!$I$15:$N$123,Q17+1,R17)</f>
        <v>* group[=].element[=].target.code = #Observation.valueCodeableConcept</v>
      </c>
    </row>
    <row r="18" spans="1:19" ht="44.25">
      <c r="A18" s="59"/>
      <c r="B18" s="11" t="str">
        <f>ClinicalStage!B12</f>
        <v>cM</v>
      </c>
      <c r="C18" s="11" t="str">
        <f>ClinicalStage!C12</f>
        <v>cM</v>
      </c>
      <c r="D18" s="12"/>
      <c r="E18" s="12"/>
      <c r="F18" s="145" t="s">
        <v>1424</v>
      </c>
      <c r="G18" s="123"/>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INDEX('ClinicalStage-ConceptMap-3'!$I$15:$N$123,Q18+1,R18)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INDEX('ClinicalStage-ConceptMap-3'!$I$15:$N$123,Q19+1,R19)</f>
        <v>* group[=].element[=].target.equivalence = #relatedto</v>
      </c>
    </row>
    <row r="20" spans="1:19">
      <c r="A20" s="59"/>
      <c r="B20" s="11"/>
      <c r="C20" s="11"/>
      <c r="D20" s="12"/>
      <c r="E20" s="12"/>
      <c r="F20" s="64"/>
      <c r="G20" s="123"/>
      <c r="H20" s="58"/>
      <c r="I20" s="12"/>
      <c r="J20" s="12"/>
      <c r="K20" s="12"/>
      <c r="L20" s="12"/>
      <c r="M20" s="12"/>
      <c r="N20" s="12"/>
      <c r="P20" s="11">
        <v>6</v>
      </c>
      <c r="Q20" s="11">
        <f t="shared" si="6"/>
        <v>0</v>
      </c>
      <c r="R20" s="11">
        <f t="shared" si="7"/>
        <v>6</v>
      </c>
      <c r="S20" s="12" t="str" cm="1">
        <f t="array" ref="S20">INDEX('ClinicalStage-ConceptMap-3'!$I$15:$N$123,Q20+1,R20)</f>
        <v/>
      </c>
    </row>
    <row r="21" spans="1:19">
      <c r="A21" s="59"/>
      <c r="B21" s="11"/>
      <c r="C21" s="11"/>
      <c r="D21" s="12"/>
      <c r="E21" s="12"/>
      <c r="F21" s="64"/>
      <c r="G21" s="123"/>
      <c r="H21" s="58"/>
      <c r="I21" s="12"/>
      <c r="J21" s="12"/>
      <c r="K21" s="12"/>
      <c r="L21" s="12"/>
      <c r="M21" s="12"/>
      <c r="N21" s="12"/>
      <c r="P21" s="11">
        <v>7</v>
      </c>
      <c r="Q21" s="11">
        <f t="shared" si="6"/>
        <v>1</v>
      </c>
      <c r="R21" s="11">
        <f t="shared" si="7"/>
        <v>1</v>
      </c>
      <c r="S21" s="12" t="str" cm="1">
        <f t="array" ref="S21">INDEX('ClinicalStage-ConceptMap-3'!$I$15:$N$123,Q21+1,R21)</f>
        <v>* group[=].element[+].code = #ClinicalStage.cN</v>
      </c>
    </row>
    <row r="22" spans="1:19">
      <c r="A22" s="59"/>
      <c r="B22" s="11"/>
      <c r="C22" s="11"/>
      <c r="D22" s="12"/>
      <c r="E22" s="12"/>
      <c r="F22" s="64"/>
      <c r="G22" s="123"/>
      <c r="H22" s="58"/>
      <c r="I22" s="12"/>
      <c r="J22" s="12"/>
      <c r="K22" s="12"/>
      <c r="L22" s="12"/>
      <c r="M22" s="12"/>
      <c r="N22" s="12"/>
      <c r="P22" s="11">
        <v>8</v>
      </c>
      <c r="Q22" s="11">
        <f t="shared" si="6"/>
        <v>1</v>
      </c>
      <c r="R22" s="11">
        <f t="shared" si="7"/>
        <v>2</v>
      </c>
      <c r="S22" s="12" t="str" cm="1">
        <f t="array" ref="S22">INDEX('ClinicalStage-ConceptMap-3'!$I$15:$N$123,Q22+1,R22)</f>
        <v>* group[=].element[=].display = ##34#cN##34#</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t="str" cm="1">
        <f t="array" ref="S23">INDEX('ClinicalStage-ConceptMap-3'!$I$15:$N$123,Q23+1,R23)</f>
        <v>//-- unmatched</v>
      </c>
    </row>
    <row r="24" spans="1:19">
      <c r="A24" s="59"/>
      <c r="B24" s="11"/>
      <c r="C24" s="11"/>
      <c r="D24" s="12"/>
      <c r="E24" s="12"/>
      <c r="F24" s="64"/>
      <c r="G24" s="123"/>
      <c r="H24" s="58"/>
      <c r="I24" s="12"/>
      <c r="J24" s="12"/>
      <c r="K24" s="12"/>
      <c r="L24" s="12"/>
      <c r="M24" s="12"/>
      <c r="N24" s="12"/>
      <c r="P24" s="11">
        <v>10</v>
      </c>
      <c r="Q24" s="11">
        <f t="shared" si="6"/>
        <v>1</v>
      </c>
      <c r="R24" s="11">
        <f t="shared" si="7"/>
        <v>4</v>
      </c>
      <c r="S24" s="12" t="str" cm="1">
        <f t="array" ref="S24">INDEX('ClinicalStage-ConceptMap-3'!$I$15:$N$123,Q24+1,R24)</f>
        <v>//-- unmatched</v>
      </c>
    </row>
    <row r="25" spans="1:19">
      <c r="A25" s="59"/>
      <c r="B25" s="11"/>
      <c r="C25" s="11"/>
      <c r="D25" s="12"/>
      <c r="E25" s="12"/>
      <c r="F25" s="64"/>
      <c r="G25" s="123"/>
      <c r="H25" s="58"/>
      <c r="I25" s="12"/>
      <c r="J25" s="12"/>
      <c r="K25" s="12"/>
      <c r="L25" s="12"/>
      <c r="M25" s="12"/>
      <c r="N25" s="12"/>
      <c r="P25" s="11">
        <v>11</v>
      </c>
      <c r="Q25" s="11">
        <f t="shared" si="6"/>
        <v>1</v>
      </c>
      <c r="R25" s="11">
        <f t="shared" si="7"/>
        <v>5</v>
      </c>
      <c r="S25" s="12" t="str" cm="1">
        <f t="array" ref="S25">INDEX('ClinicalStage-ConceptMap-3'!$I$15:$N$123,Q25+1,R25)</f>
        <v>* group[=].element[=].target.equivalence = #unmatched</v>
      </c>
    </row>
    <row r="26" spans="1:19">
      <c r="A26" s="59"/>
      <c r="B26" s="11"/>
      <c r="C26" s="11"/>
      <c r="D26" s="12"/>
      <c r="E26" s="12"/>
      <c r="F26" s="64"/>
      <c r="G26" s="123"/>
      <c r="H26" s="58"/>
      <c r="I26" s="12"/>
      <c r="J26" s="12"/>
      <c r="K26" s="12"/>
      <c r="L26" s="12"/>
      <c r="M26" s="12"/>
      <c r="N26" s="12"/>
      <c r="P26" s="11">
        <v>12</v>
      </c>
      <c r="Q26" s="11">
        <f t="shared" si="6"/>
        <v>1</v>
      </c>
      <c r="R26" s="11">
        <f t="shared" si="7"/>
        <v>6</v>
      </c>
      <c r="S26" s="12" t="str" cm="1">
        <f t="array" ref="S26">INDEX('ClinicalStage-ConceptMap-3'!$I$15:$N$123,Q26+1,R26)</f>
        <v/>
      </c>
    </row>
    <row r="27" spans="1:19">
      <c r="B27" s="11"/>
      <c r="C27" s="11"/>
      <c r="D27" s="12"/>
      <c r="E27" s="12"/>
      <c r="F27" s="64"/>
      <c r="G27" s="123"/>
      <c r="H27" s="58"/>
      <c r="I27" s="12"/>
      <c r="J27" s="12"/>
      <c r="K27" s="12"/>
      <c r="L27" s="12"/>
      <c r="M27" s="12"/>
      <c r="N27" s="12"/>
      <c r="P27" s="11">
        <v>13</v>
      </c>
      <c r="Q27" s="11">
        <f t="shared" si="6"/>
        <v>2</v>
      </c>
      <c r="R27" s="11">
        <f t="shared" si="7"/>
        <v>1</v>
      </c>
      <c r="S27" s="12" t="str" cm="1">
        <f t="array" ref="S27">INDEX('ClinicalStage-ConceptMap-3'!$I$15:$N$123,Q27+1,R27)</f>
        <v>* group[=].element[+].code = #ClinicalStage.radiologicalExtraNodalExtension</v>
      </c>
    </row>
    <row r="28" spans="1:19">
      <c r="B28" s="11"/>
      <c r="C28" s="11"/>
      <c r="D28" s="12"/>
      <c r="E28" s="12"/>
      <c r="F28" s="64"/>
      <c r="G28" s="123"/>
      <c r="H28" s="58"/>
      <c r="I28" s="12"/>
      <c r="J28" s="12"/>
      <c r="K28" s="12"/>
      <c r="L28" s="12"/>
      <c r="M28" s="12"/>
      <c r="N28" s="12"/>
      <c r="P28" s="11">
        <v>14</v>
      </c>
      <c r="Q28" s="11">
        <f t="shared" si="6"/>
        <v>2</v>
      </c>
      <c r="R28" s="11">
        <f t="shared" si="7"/>
        <v>2</v>
      </c>
      <c r="S28" s="12" t="str" cm="1">
        <f t="array" ref="S28">INDEX('ClinicalStage-ConceptMap-3'!$I$15:$N$123,Q28+1,R28)</f>
        <v>* group[=].element[=].display = ##34#Radiological Extra-nodal extension (rENE)##34#</v>
      </c>
    </row>
    <row r="29" spans="1:19">
      <c r="B29" s="11"/>
      <c r="C29" s="11"/>
      <c r="D29" s="12"/>
      <c r="E29" s="12"/>
      <c r="F29" s="64"/>
      <c r="G29" s="123"/>
      <c r="H29" s="58"/>
      <c r="I29" s="12"/>
      <c r="J29" s="12"/>
      <c r="K29" s="12"/>
      <c r="L29" s="12"/>
      <c r="M29" s="12"/>
      <c r="N29" s="12"/>
      <c r="P29" s="11">
        <v>15</v>
      </c>
      <c r="Q29" s="11">
        <f t="shared" si="6"/>
        <v>2</v>
      </c>
      <c r="R29" s="11">
        <f t="shared" si="7"/>
        <v>3</v>
      </c>
      <c r="S29" s="12" t="str" cm="1">
        <f t="array" ref="S29">INDEX('ClinicalStage-ConceptMap-3'!$I$15:$N$123,Q29+1,R29)</f>
        <v>//-- unmatched</v>
      </c>
    </row>
    <row r="30" spans="1:19">
      <c r="B30" s="11"/>
      <c r="C30" s="11"/>
      <c r="D30" s="12"/>
      <c r="E30" s="12"/>
      <c r="F30" s="64"/>
      <c r="G30" s="123"/>
      <c r="H30" s="58"/>
      <c r="I30" s="12"/>
      <c r="J30" s="12"/>
      <c r="K30" s="12"/>
      <c r="L30" s="12"/>
      <c r="M30" s="12"/>
      <c r="N30" s="12"/>
      <c r="P30" s="11">
        <v>16</v>
      </c>
      <c r="Q30" s="11">
        <f t="shared" si="6"/>
        <v>2</v>
      </c>
      <c r="R30" s="11">
        <f t="shared" si="7"/>
        <v>4</v>
      </c>
      <c r="S30" s="12" t="str" cm="1">
        <f t="array" ref="S30">INDEX('ClinicalStage-ConceptMap-3'!$I$15:$N$123,Q30+1,R30)</f>
        <v>//-- unmatched</v>
      </c>
    </row>
    <row r="31" spans="1:19">
      <c r="B31" s="11"/>
      <c r="C31" s="11"/>
      <c r="D31" s="12"/>
      <c r="E31" s="12"/>
      <c r="F31" s="64"/>
      <c r="G31" s="123"/>
      <c r="H31" s="58"/>
      <c r="I31" s="12"/>
      <c r="J31" s="12"/>
      <c r="K31" s="12"/>
      <c r="L31" s="12"/>
      <c r="M31" s="12"/>
      <c r="N31" s="12"/>
      <c r="P31" s="11">
        <v>17</v>
      </c>
      <c r="Q31" s="11">
        <f t="shared" si="6"/>
        <v>2</v>
      </c>
      <c r="R31" s="11">
        <f t="shared" si="7"/>
        <v>5</v>
      </c>
      <c r="S31" s="12" t="str" cm="1">
        <f t="array" ref="S31">INDEX('ClinicalStage-ConceptMap-3'!$I$15:$N$123,Q31+1,R31)</f>
        <v>* group[=].element[=].target.equivalence = #unmatched</v>
      </c>
    </row>
    <row r="32" spans="1:19">
      <c r="B32" s="11"/>
      <c r="C32" s="11"/>
      <c r="D32" s="12"/>
      <c r="E32" s="12"/>
      <c r="F32" s="64"/>
      <c r="G32" s="123"/>
      <c r="H32" s="58"/>
      <c r="I32" s="12"/>
      <c r="J32" s="12"/>
      <c r="K32" s="12"/>
      <c r="L32" s="12"/>
      <c r="M32" s="12"/>
      <c r="N32" s="12"/>
      <c r="P32" s="11">
        <v>18</v>
      </c>
      <c r="Q32" s="11">
        <f t="shared" si="6"/>
        <v>2</v>
      </c>
      <c r="R32" s="11">
        <f t="shared" si="7"/>
        <v>6</v>
      </c>
      <c r="S32" s="12" t="str" cm="1">
        <f t="array" ref="S32">INDEX('ClinicalStage-ConceptMap-3'!$I$15:$N$123,Q32+1,R32)</f>
        <v/>
      </c>
    </row>
    <row r="33" spans="1:19">
      <c r="B33" s="11"/>
      <c r="C33" s="11"/>
      <c r="D33" s="12"/>
      <c r="E33" s="12"/>
      <c r="F33" s="64"/>
      <c r="G33" s="123"/>
      <c r="H33" s="58"/>
      <c r="I33" s="12"/>
      <c r="J33" s="12"/>
      <c r="K33" s="12"/>
      <c r="L33" s="12"/>
      <c r="M33" s="12"/>
      <c r="N33" s="12"/>
      <c r="P33" s="11">
        <v>19</v>
      </c>
      <c r="Q33" s="11">
        <f t="shared" si="6"/>
        <v>3</v>
      </c>
      <c r="R33" s="11">
        <f t="shared" si="7"/>
        <v>1</v>
      </c>
      <c r="S33" s="12" t="str" cm="1">
        <f t="array" ref="S33">INDEX('ClinicalStage-ConceptMap-3'!$I$15:$N$123,Q33+1,R33)</f>
        <v>* group[=].element[+].code = #ClinicalStage.cM</v>
      </c>
    </row>
    <row r="34" spans="1:19">
      <c r="B34" s="11"/>
      <c r="C34" s="11"/>
      <c r="D34" s="12"/>
      <c r="E34" s="12"/>
      <c r="F34" s="64"/>
      <c r="G34" s="123"/>
      <c r="H34" s="58"/>
      <c r="I34" s="12"/>
      <c r="J34" s="12"/>
      <c r="K34" s="12"/>
      <c r="L34" s="12"/>
      <c r="M34" s="12"/>
      <c r="N34" s="12"/>
      <c r="P34" s="11">
        <v>20</v>
      </c>
      <c r="Q34" s="11">
        <f t="shared" si="6"/>
        <v>3</v>
      </c>
      <c r="R34" s="11">
        <f t="shared" si="7"/>
        <v>2</v>
      </c>
      <c r="S34" s="12" t="str" cm="1">
        <f t="array" ref="S34">INDEX('ClinicalStage-ConceptMap-3'!$I$15:$N$123,Q34+1,R34)</f>
        <v>* group[=].element[=].display = ##34#cM##34#</v>
      </c>
    </row>
    <row r="35" spans="1:19">
      <c r="B35" s="11"/>
      <c r="C35" s="11"/>
      <c r="D35" s="12"/>
      <c r="E35" s="12"/>
      <c r="F35" s="64"/>
      <c r="G35" s="123"/>
      <c r="H35" s="58"/>
      <c r="I35" s="12"/>
      <c r="J35" s="12"/>
      <c r="K35" s="12"/>
      <c r="L35" s="12"/>
      <c r="M35" s="12"/>
      <c r="N35" s="12"/>
      <c r="P35" s="11">
        <v>21</v>
      </c>
      <c r="Q35" s="11">
        <f t="shared" si="6"/>
        <v>3</v>
      </c>
      <c r="R35" s="11">
        <f t="shared" si="7"/>
        <v>3</v>
      </c>
      <c r="S35" s="12" t="str" cm="1">
        <f t="array" ref="S35">INDEX('ClinicalStage-ConceptMap-3'!$I$15:$N$123,Q35+1,R35)</f>
        <v>//-- unmatched</v>
      </c>
    </row>
    <row r="36" spans="1:19">
      <c r="B36" s="11"/>
      <c r="C36" s="11"/>
      <c r="D36" s="12"/>
      <c r="E36" s="12"/>
      <c r="F36" s="64"/>
      <c r="G36" s="123"/>
      <c r="H36" s="58"/>
      <c r="I36" s="12"/>
      <c r="J36" s="12"/>
      <c r="K36" s="12"/>
      <c r="L36" s="12"/>
      <c r="M36" s="12"/>
      <c r="N36" s="12"/>
      <c r="P36" s="11">
        <v>22</v>
      </c>
      <c r="Q36" s="11">
        <f t="shared" si="6"/>
        <v>3</v>
      </c>
      <c r="R36" s="11">
        <f t="shared" si="7"/>
        <v>4</v>
      </c>
      <c r="S36" s="12" t="str" cm="1">
        <f t="array" ref="S36">INDEX('ClinicalStage-ConceptMap-3'!$I$15:$N$123,Q36+1,R36)</f>
        <v>//-- unmatched</v>
      </c>
    </row>
    <row r="37" spans="1:19">
      <c r="B37" s="11"/>
      <c r="C37" s="11"/>
      <c r="D37" s="12"/>
      <c r="E37" s="12"/>
      <c r="F37" s="64"/>
      <c r="G37" s="123"/>
      <c r="H37" s="58"/>
      <c r="K37" s="58"/>
      <c r="L37" s="58"/>
      <c r="M37" s="66"/>
      <c r="N37" s="66"/>
      <c r="P37" s="11">
        <v>23</v>
      </c>
      <c r="Q37" s="11">
        <f t="shared" si="6"/>
        <v>3</v>
      </c>
      <c r="R37" s="11">
        <f t="shared" si="7"/>
        <v>5</v>
      </c>
      <c r="S37" s="12" t="str" cm="1">
        <f t="array" ref="S37">INDEX('ClinicalStage-ConceptMap-3'!$I$15:$N$123,Q37+1,R37)</f>
        <v>* group[=].element[=].target.equivalence = #unmatched</v>
      </c>
    </row>
    <row r="38" spans="1:19">
      <c r="B38" s="11"/>
      <c r="C38" s="11"/>
      <c r="D38" s="12"/>
      <c r="E38" s="12"/>
      <c r="F38" s="64"/>
      <c r="G38" s="123"/>
      <c r="H38" s="58"/>
      <c r="K38" s="58"/>
      <c r="L38" s="58"/>
      <c r="M38" s="66"/>
      <c r="N38" s="66"/>
      <c r="P38" s="11">
        <v>24</v>
      </c>
      <c r="Q38" s="11">
        <f t="shared" si="6"/>
        <v>3</v>
      </c>
      <c r="R38" s="11">
        <f t="shared" si="7"/>
        <v>6</v>
      </c>
      <c r="S38" s="12" t="str" cm="1">
        <f t="array" ref="S38">INDEX('ClinicalStage-ConceptMap-3'!$I$15:$N$123,Q38+1,R38)</f>
        <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INDEX('ClinicalStage-ConceptMap-3'!$I$15:$N$123,Q39+1,R39)</f>
        <v>0</v>
      </c>
    </row>
    <row r="40" spans="1:19" s="2" customFormat="1">
      <c r="A40"/>
      <c r="B40" s="11"/>
      <c r="C40" s="11"/>
      <c r="D40" s="12"/>
      <c r="F40" s="58"/>
      <c r="G40" s="123"/>
      <c r="H40" s="58"/>
      <c r="J40"/>
      <c r="K40" s="58"/>
      <c r="L40" s="58"/>
      <c r="M40" s="66"/>
      <c r="N40" s="66"/>
      <c r="P40" s="11">
        <v>26</v>
      </c>
      <c r="Q40" s="11">
        <f t="shared" si="6"/>
        <v>4</v>
      </c>
      <c r="R40" s="11">
        <f t="shared" si="7"/>
        <v>2</v>
      </c>
      <c r="S40" s="12" cm="1">
        <f t="array" ref="S40">INDEX('ClinicalStage-ConceptMap-3'!$I$15:$N$123,Q40+1,R40)</f>
        <v>0</v>
      </c>
    </row>
    <row r="41" spans="1:19" s="2" customFormat="1">
      <c r="A41"/>
      <c r="B41" s="11"/>
      <c r="C41" s="11"/>
      <c r="D41" s="12"/>
      <c r="F41" s="58"/>
      <c r="G41" s="123"/>
      <c r="H41" s="58"/>
      <c r="J41"/>
      <c r="K41" s="58"/>
      <c r="L41" s="58"/>
      <c r="M41" s="66"/>
      <c r="N41" s="66"/>
      <c r="P41" s="11">
        <v>27</v>
      </c>
      <c r="Q41" s="11">
        <f t="shared" si="6"/>
        <v>4</v>
      </c>
      <c r="R41" s="11">
        <f t="shared" si="7"/>
        <v>3</v>
      </c>
      <c r="S41" s="12" cm="1">
        <f t="array" ref="S41">INDEX('ClinicalStage-ConceptMap-3'!$I$15:$N$123,Q41+1,R41)</f>
        <v>0</v>
      </c>
    </row>
    <row r="42" spans="1:19" s="2" customFormat="1">
      <c r="A42"/>
      <c r="B42" s="11"/>
      <c r="C42" s="11"/>
      <c r="D42" s="12"/>
      <c r="F42" s="58"/>
      <c r="G42" s="123"/>
      <c r="H42" s="58"/>
      <c r="J42" s="58"/>
      <c r="K42" s="58"/>
      <c r="L42" s="58"/>
      <c r="M42" s="66"/>
      <c r="N42" s="66"/>
      <c r="P42" s="11">
        <v>28</v>
      </c>
      <c r="Q42" s="11">
        <f t="shared" si="6"/>
        <v>4</v>
      </c>
      <c r="R42" s="11">
        <f t="shared" si="7"/>
        <v>4</v>
      </c>
      <c r="S42" s="12" cm="1">
        <f t="array" ref="S42">INDEX('ClinicalStage-ConceptMap-3'!$I$15:$N$123,Q42+1,R42)</f>
        <v>0</v>
      </c>
    </row>
    <row r="43" spans="1:19" s="2" customFormat="1">
      <c r="A43"/>
      <c r="B43" s="11"/>
      <c r="C43" s="11"/>
      <c r="F43" s="58"/>
      <c r="G43" s="123"/>
      <c r="H43" s="58"/>
      <c r="J43" s="58"/>
      <c r="K43" s="58"/>
      <c r="L43" s="58"/>
      <c r="M43" s="66"/>
      <c r="N43" s="66"/>
      <c r="P43" s="11">
        <v>29</v>
      </c>
      <c r="Q43" s="11">
        <f t="shared" si="6"/>
        <v>4</v>
      </c>
      <c r="R43" s="11">
        <f t="shared" si="7"/>
        <v>5</v>
      </c>
      <c r="S43" s="12" cm="1">
        <f t="array" ref="S43">INDEX('ClinicalStage-ConceptMap-3'!$I$15:$N$123,Q43+1,R43)</f>
        <v>0</v>
      </c>
    </row>
    <row r="44" spans="1:19">
      <c r="B44" s="11"/>
      <c r="C44" s="11"/>
      <c r="G44" s="123"/>
      <c r="P44" s="11">
        <v>30</v>
      </c>
      <c r="Q44" s="11">
        <f t="shared" si="6"/>
        <v>4</v>
      </c>
      <c r="R44" s="11">
        <f t="shared" si="7"/>
        <v>6</v>
      </c>
      <c r="S44" s="12" cm="1">
        <f t="array" ref="S44">INDEX('ClinicalStage-ConceptMap-3'!$I$15:$N$123,Q44+1,R44)</f>
        <v>0</v>
      </c>
    </row>
    <row r="45" spans="1:19">
      <c r="B45" s="11"/>
      <c r="C45" s="11"/>
      <c r="G45" s="123"/>
      <c r="P45" s="11">
        <v>31</v>
      </c>
      <c r="Q45" s="11">
        <f t="shared" si="6"/>
        <v>5</v>
      </c>
      <c r="R45" s="11">
        <f t="shared" si="7"/>
        <v>1</v>
      </c>
      <c r="S45" s="12" cm="1">
        <f t="array" ref="S45">INDEX('ClinicalStage-ConceptMap-3'!$I$15:$N$123,Q45+1,R45)</f>
        <v>0</v>
      </c>
    </row>
    <row r="46" spans="1:19">
      <c r="G46" s="123"/>
      <c r="P46" s="11">
        <v>32</v>
      </c>
      <c r="Q46" s="11">
        <f t="shared" si="6"/>
        <v>5</v>
      </c>
      <c r="R46" s="11">
        <f t="shared" si="7"/>
        <v>2</v>
      </c>
      <c r="S46" s="12" cm="1">
        <f t="array" ref="S46">INDEX('ClinicalStage-ConceptMap-3'!$I$15:$N$123,Q46+1,R46)</f>
        <v>0</v>
      </c>
    </row>
    <row r="47" spans="1:19">
      <c r="G47" s="123"/>
      <c r="P47" s="11">
        <v>33</v>
      </c>
      <c r="Q47" s="11">
        <f t="shared" si="6"/>
        <v>5</v>
      </c>
      <c r="R47" s="11">
        <f t="shared" si="7"/>
        <v>3</v>
      </c>
      <c r="S47" s="12" cm="1">
        <f t="array" ref="S47">INDEX('ClinicalStage-ConceptMap-3'!$I$15:$N$123,Q47+1,R47)</f>
        <v>0</v>
      </c>
    </row>
    <row r="48" spans="1:19">
      <c r="G48" s="123"/>
      <c r="P48" s="11">
        <v>34</v>
      </c>
      <c r="Q48" s="11">
        <f t="shared" si="6"/>
        <v>5</v>
      </c>
      <c r="R48" s="11">
        <f t="shared" si="7"/>
        <v>4</v>
      </c>
      <c r="S48" s="12" cm="1">
        <f t="array" ref="S48">INDEX('ClinicalStage-ConceptMap-3'!$I$15:$N$123,Q48+1,R48)</f>
        <v>0</v>
      </c>
    </row>
    <row r="49" spans="7:19">
      <c r="G49" s="123"/>
      <c r="P49" s="11">
        <v>35</v>
      </c>
      <c r="Q49" s="11">
        <f t="shared" si="6"/>
        <v>5</v>
      </c>
      <c r="R49" s="11">
        <f t="shared" si="7"/>
        <v>5</v>
      </c>
      <c r="S49" s="12" cm="1">
        <f t="array" ref="S49">INDEX('ClinicalStage-ConceptMap-3'!$I$15:$N$123,Q49+1,R49)</f>
        <v>0</v>
      </c>
    </row>
    <row r="50" spans="7:19">
      <c r="G50" s="123"/>
      <c r="P50" s="11">
        <v>36</v>
      </c>
      <c r="Q50" s="11">
        <f t="shared" si="6"/>
        <v>5</v>
      </c>
      <c r="R50" s="11">
        <f t="shared" si="7"/>
        <v>6</v>
      </c>
      <c r="S50" s="12" cm="1">
        <f t="array" ref="S50">INDEX('ClinicalStage-ConceptMap-3'!$I$15:$N$123,Q50+1,R50)</f>
        <v>0</v>
      </c>
    </row>
    <row r="51" spans="7:19">
      <c r="G51" s="123"/>
      <c r="P51" s="11">
        <v>37</v>
      </c>
      <c r="Q51" s="11">
        <f t="shared" si="6"/>
        <v>6</v>
      </c>
      <c r="R51" s="11">
        <f t="shared" si="7"/>
        <v>1</v>
      </c>
      <c r="S51" s="12" cm="1">
        <f t="array" ref="S51">INDEX('ClinicalStage-ConceptMap-3'!$I$15:$N$123,Q51+1,R51)</f>
        <v>0</v>
      </c>
    </row>
    <row r="52" spans="7:19">
      <c r="G52" s="123"/>
      <c r="P52" s="11">
        <v>38</v>
      </c>
      <c r="Q52" s="11">
        <f t="shared" si="6"/>
        <v>6</v>
      </c>
      <c r="R52" s="11">
        <f t="shared" si="7"/>
        <v>2</v>
      </c>
      <c r="S52" s="12" cm="1">
        <f t="array" ref="S52">INDEX('ClinicalStage-ConceptMap-3'!$I$15:$N$123,Q52+1,R52)</f>
        <v>0</v>
      </c>
    </row>
    <row r="53" spans="7:19">
      <c r="G53" s="123"/>
      <c r="P53" s="11">
        <v>39</v>
      </c>
      <c r="Q53" s="11">
        <f t="shared" si="6"/>
        <v>6</v>
      </c>
      <c r="R53" s="11">
        <f t="shared" si="7"/>
        <v>3</v>
      </c>
      <c r="S53" s="12" cm="1">
        <f t="array" ref="S53">INDEX('ClinicalStage-ConceptMap-3'!$I$15:$N$123,Q53+1,R53)</f>
        <v>0</v>
      </c>
    </row>
    <row r="54" spans="7:19">
      <c r="G54" s="123"/>
      <c r="P54" s="11">
        <v>40</v>
      </c>
      <c r="Q54" s="11">
        <f t="shared" si="6"/>
        <v>6</v>
      </c>
      <c r="R54" s="11">
        <f t="shared" si="7"/>
        <v>4</v>
      </c>
      <c r="S54" s="12" cm="1">
        <f t="array" ref="S54">INDEX('ClinicalStage-ConceptMap-3'!$I$15:$N$123,Q54+1,R54)</f>
        <v>0</v>
      </c>
    </row>
    <row r="55" spans="7:19">
      <c r="G55" s="123"/>
      <c r="P55" s="11">
        <v>41</v>
      </c>
      <c r="Q55" s="11">
        <f t="shared" si="6"/>
        <v>6</v>
      </c>
      <c r="R55" s="11">
        <f t="shared" si="7"/>
        <v>5</v>
      </c>
      <c r="S55" s="12" cm="1">
        <f t="array" ref="S55">INDEX('ClinicalStage-ConceptMap-3'!$I$15:$N$123,Q55+1,R55)</f>
        <v>0</v>
      </c>
    </row>
    <row r="56" spans="7:19">
      <c r="G56" s="123"/>
      <c r="P56" s="11">
        <v>42</v>
      </c>
      <c r="Q56" s="11">
        <f t="shared" si="6"/>
        <v>6</v>
      </c>
      <c r="R56" s="11">
        <f t="shared" si="7"/>
        <v>6</v>
      </c>
      <c r="S56" s="12" cm="1">
        <f t="array" ref="S56">INDEX('ClinicalStage-ConceptMap-3'!$I$15:$N$123,Q56+1,R56)</f>
        <v>0</v>
      </c>
    </row>
    <row r="57" spans="7:19">
      <c r="G57" s="123"/>
      <c r="P57" s="11">
        <v>43</v>
      </c>
      <c r="Q57" s="11">
        <f t="shared" si="6"/>
        <v>7</v>
      </c>
      <c r="R57" s="11">
        <f t="shared" si="7"/>
        <v>1</v>
      </c>
      <c r="S57" s="12" cm="1">
        <f t="array" ref="S57">INDEX('ClinicalStage-ConceptMap-3'!$I$15:$N$123,Q57+1,R57)</f>
        <v>0</v>
      </c>
    </row>
    <row r="58" spans="7:19">
      <c r="G58" s="123"/>
      <c r="P58" s="11">
        <v>44</v>
      </c>
      <c r="Q58" s="11">
        <f t="shared" si="6"/>
        <v>7</v>
      </c>
      <c r="R58" s="11">
        <f t="shared" si="7"/>
        <v>2</v>
      </c>
      <c r="S58" s="12" cm="1">
        <f t="array" ref="S58">INDEX('ClinicalStage-ConceptMap-3'!$I$15:$N$123,Q58+1,R58)</f>
        <v>0</v>
      </c>
    </row>
    <row r="59" spans="7:19">
      <c r="G59" s="123"/>
      <c r="P59" s="11">
        <v>45</v>
      </c>
      <c r="Q59" s="11">
        <f t="shared" si="6"/>
        <v>7</v>
      </c>
      <c r="R59" s="11">
        <f t="shared" si="7"/>
        <v>3</v>
      </c>
      <c r="S59" s="12" cm="1">
        <f t="array" ref="S59">INDEX('ClinicalStage-ConceptMap-3'!$I$15:$N$123,Q59+1,R59)</f>
        <v>0</v>
      </c>
    </row>
    <row r="60" spans="7:19">
      <c r="G60" s="123"/>
      <c r="P60" s="11">
        <v>46</v>
      </c>
      <c r="Q60" s="11">
        <f t="shared" si="6"/>
        <v>7</v>
      </c>
      <c r="R60" s="11">
        <f t="shared" si="7"/>
        <v>4</v>
      </c>
      <c r="S60" s="12" cm="1">
        <f t="array" ref="S60">INDEX('ClinicalStage-ConceptMap-3'!$I$15:$N$123,Q60+1,R60)</f>
        <v>0</v>
      </c>
    </row>
    <row r="61" spans="7:19">
      <c r="G61" s="123"/>
      <c r="P61" s="11">
        <v>47</v>
      </c>
      <c r="Q61" s="11">
        <f t="shared" si="6"/>
        <v>7</v>
      </c>
      <c r="R61" s="11">
        <f t="shared" si="7"/>
        <v>5</v>
      </c>
      <c r="S61" s="12" cm="1">
        <f t="array" ref="S61">INDEX('ClinicalStage-ConceptMap-3'!$I$15:$N$123,Q61+1,R61)</f>
        <v>0</v>
      </c>
    </row>
    <row r="62" spans="7:19">
      <c r="G62" s="123"/>
      <c r="P62" s="11">
        <v>48</v>
      </c>
      <c r="Q62" s="11">
        <f t="shared" si="6"/>
        <v>7</v>
      </c>
      <c r="R62" s="11">
        <f t="shared" si="7"/>
        <v>6</v>
      </c>
      <c r="S62" s="12" cm="1">
        <f t="array" ref="S62">INDEX('ClinicalStage-ConceptMap-3'!$I$15:$N$123,Q62+1,R62)</f>
        <v>0</v>
      </c>
    </row>
    <row r="63" spans="7:19">
      <c r="G63" s="123"/>
      <c r="P63" s="11">
        <v>49</v>
      </c>
      <c r="Q63" s="11">
        <f t="shared" si="6"/>
        <v>8</v>
      </c>
      <c r="R63" s="11">
        <f t="shared" si="7"/>
        <v>1</v>
      </c>
      <c r="S63" s="12" cm="1">
        <f t="array" ref="S63">INDEX('ClinicalStage-ConceptMap-3'!$I$15:$N$123,Q63+1,R63)</f>
        <v>0</v>
      </c>
    </row>
    <row r="64" spans="7:19">
      <c r="G64" s="123"/>
      <c r="P64" s="11">
        <v>50</v>
      </c>
      <c r="Q64" s="11">
        <f t="shared" si="6"/>
        <v>8</v>
      </c>
      <c r="R64" s="11">
        <f t="shared" si="7"/>
        <v>2</v>
      </c>
      <c r="S64" s="12" cm="1">
        <f t="array" ref="S64">INDEX('ClinicalStage-ConceptMap-3'!$I$15:$N$123,Q64+1,R64)</f>
        <v>0</v>
      </c>
    </row>
    <row r="65" spans="7:19">
      <c r="G65" s="123"/>
      <c r="P65" s="11">
        <v>51</v>
      </c>
      <c r="Q65" s="11">
        <f t="shared" si="6"/>
        <v>8</v>
      </c>
      <c r="R65" s="11">
        <f t="shared" si="7"/>
        <v>3</v>
      </c>
      <c r="S65" s="12" cm="1">
        <f t="array" ref="S65">INDEX('ClinicalStage-ConceptMap-3'!$I$15:$N$123,Q65+1,R65)</f>
        <v>0</v>
      </c>
    </row>
    <row r="66" spans="7:19">
      <c r="G66" s="123"/>
      <c r="P66" s="11">
        <v>52</v>
      </c>
      <c r="Q66" s="11">
        <f t="shared" si="6"/>
        <v>8</v>
      </c>
      <c r="R66" s="11">
        <f t="shared" si="7"/>
        <v>4</v>
      </c>
      <c r="S66" s="12" cm="1">
        <f t="array" ref="S66">INDEX('ClinicalStage-ConceptMap-3'!$I$15:$N$123,Q66+1,R66)</f>
        <v>0</v>
      </c>
    </row>
    <row r="67" spans="7:19">
      <c r="G67" s="123"/>
      <c r="P67" s="11">
        <v>53</v>
      </c>
      <c r="Q67" s="11">
        <f t="shared" si="6"/>
        <v>8</v>
      </c>
      <c r="R67" s="11">
        <f t="shared" si="7"/>
        <v>5</v>
      </c>
      <c r="S67" s="12" cm="1">
        <f t="array" ref="S67">INDEX('ClinicalStage-ConceptMap-3'!$I$15:$N$123,Q67+1,R67)</f>
        <v>0</v>
      </c>
    </row>
    <row r="68" spans="7:19">
      <c r="G68" s="123"/>
      <c r="P68" s="11">
        <v>54</v>
      </c>
      <c r="Q68" s="11">
        <f t="shared" si="6"/>
        <v>8</v>
      </c>
      <c r="R68" s="11">
        <f t="shared" si="7"/>
        <v>6</v>
      </c>
      <c r="S68" s="12" cm="1">
        <f t="array" ref="S68">INDEX('ClinicalStage-ConceptMap-3'!$I$15:$N$123,Q68+1,R68)</f>
        <v>0</v>
      </c>
    </row>
    <row r="69" spans="7:19">
      <c r="G69" s="123"/>
      <c r="P69" s="11">
        <v>55</v>
      </c>
      <c r="Q69" s="11">
        <f t="shared" si="6"/>
        <v>9</v>
      </c>
      <c r="R69" s="11">
        <f t="shared" si="7"/>
        <v>1</v>
      </c>
      <c r="S69" s="12" cm="1">
        <f t="array" ref="S69">INDEX('ClinicalStage-ConceptMap-3'!$I$15:$N$123,Q69+1,R69)</f>
        <v>0</v>
      </c>
    </row>
    <row r="70" spans="7:19">
      <c r="G70" s="123"/>
      <c r="P70" s="11">
        <v>56</v>
      </c>
      <c r="Q70" s="11">
        <f t="shared" si="6"/>
        <v>9</v>
      </c>
      <c r="R70" s="11">
        <f t="shared" si="7"/>
        <v>2</v>
      </c>
      <c r="S70" s="12" cm="1">
        <f t="array" ref="S70">INDEX('ClinicalStage-ConceptMap-3'!$I$15:$N$123,Q70+1,R70)</f>
        <v>0</v>
      </c>
    </row>
    <row r="71" spans="7:19">
      <c r="G71" s="123"/>
      <c r="P71" s="11">
        <v>57</v>
      </c>
      <c r="Q71" s="11">
        <f t="shared" si="6"/>
        <v>9</v>
      </c>
      <c r="R71" s="11">
        <f t="shared" si="7"/>
        <v>3</v>
      </c>
      <c r="S71" s="12" cm="1">
        <f t="array" ref="S71">INDEX('ClinicalStage-ConceptMap-3'!$I$15:$N$123,Q71+1,R71)</f>
        <v>0</v>
      </c>
    </row>
    <row r="72" spans="7:19">
      <c r="G72" s="123"/>
      <c r="P72" s="11">
        <v>58</v>
      </c>
      <c r="Q72" s="11">
        <f t="shared" si="6"/>
        <v>9</v>
      </c>
      <c r="R72" s="11">
        <f t="shared" si="7"/>
        <v>4</v>
      </c>
      <c r="S72" s="12" cm="1">
        <f t="array" ref="S72">INDEX('ClinicalStage-ConceptMap-3'!$I$15:$N$123,Q72+1,R72)</f>
        <v>0</v>
      </c>
    </row>
    <row r="73" spans="7:19">
      <c r="G73" s="123"/>
      <c r="P73" s="11">
        <v>59</v>
      </c>
      <c r="Q73" s="11">
        <f t="shared" si="6"/>
        <v>9</v>
      </c>
      <c r="R73" s="11">
        <f t="shared" si="7"/>
        <v>5</v>
      </c>
      <c r="S73" s="12" cm="1">
        <f t="array" ref="S73">INDEX('ClinicalStage-ConceptMap-3'!$I$15:$N$123,Q73+1,R73)</f>
        <v>0</v>
      </c>
    </row>
    <row r="74" spans="7:19">
      <c r="G74" s="123"/>
      <c r="P74" s="11">
        <v>60</v>
      </c>
      <c r="Q74" s="11">
        <f t="shared" si="6"/>
        <v>9</v>
      </c>
      <c r="R74" s="11">
        <f t="shared" si="7"/>
        <v>6</v>
      </c>
      <c r="S74" s="12" cm="1">
        <f t="array" ref="S74">INDEX('ClinicalStage-ConceptMap-3'!$I$15:$N$123,Q74+1,R74)</f>
        <v>0</v>
      </c>
    </row>
    <row r="75" spans="7:19">
      <c r="G75" s="123"/>
      <c r="P75" s="11">
        <v>61</v>
      </c>
      <c r="Q75" s="11">
        <f t="shared" si="6"/>
        <v>10</v>
      </c>
      <c r="R75" s="11">
        <f t="shared" si="7"/>
        <v>1</v>
      </c>
      <c r="S75" s="12" cm="1">
        <f t="array" ref="S75">INDEX('ClinicalStage-ConceptMap-3'!$I$15:$N$123,Q75+1,R75)</f>
        <v>0</v>
      </c>
    </row>
    <row r="76" spans="7:19">
      <c r="G76" s="123"/>
      <c r="P76" s="11">
        <v>62</v>
      </c>
      <c r="Q76" s="11">
        <f t="shared" si="6"/>
        <v>10</v>
      </c>
      <c r="R76" s="11">
        <f t="shared" si="7"/>
        <v>2</v>
      </c>
      <c r="S76" s="12" cm="1">
        <f t="array" ref="S76">INDEX('ClinicalStage-ConceptMap-3'!$I$15:$N$123,Q76+1,R76)</f>
        <v>0</v>
      </c>
    </row>
    <row r="77" spans="7:19">
      <c r="G77" s="123"/>
      <c r="P77" s="11">
        <v>63</v>
      </c>
      <c r="Q77" s="11">
        <f t="shared" si="6"/>
        <v>10</v>
      </c>
      <c r="R77" s="11">
        <f t="shared" si="7"/>
        <v>3</v>
      </c>
      <c r="S77" s="12" cm="1">
        <f t="array" ref="S77">INDEX('ClinicalStage-ConceptMap-3'!$I$15:$N$123,Q77+1,R77)</f>
        <v>0</v>
      </c>
    </row>
    <row r="78" spans="7:19">
      <c r="G78" s="123"/>
      <c r="P78" s="11">
        <v>64</v>
      </c>
      <c r="Q78" s="11">
        <f t="shared" si="6"/>
        <v>10</v>
      </c>
      <c r="R78" s="11">
        <f t="shared" si="7"/>
        <v>4</v>
      </c>
      <c r="S78" s="12" cm="1">
        <f t="array" ref="S78">INDEX('ClinicalStage-ConceptMap-3'!$I$15:$N$123,Q78+1,R78)</f>
        <v>0</v>
      </c>
    </row>
    <row r="79" spans="7:19">
      <c r="G79" s="123"/>
      <c r="P79" s="11">
        <v>65</v>
      </c>
      <c r="Q79" s="11">
        <f t="shared" ref="Q79:Q142" si="8">IF(MOD(P79,$Q$8)=0,P79/$Q$8-1,INT(P79/$Q$8))</f>
        <v>10</v>
      </c>
      <c r="R79" s="11">
        <f t="shared" ref="R79:R142" si="9">IF(MOD(P79,$Q$8)=0,$Q$8,MOD(P79,$Q$8))</f>
        <v>5</v>
      </c>
      <c r="S79" s="12" cm="1">
        <f t="array" ref="S79">INDEX('ClinicalStage-ConceptMap-3'!$I$15:$N$123,Q79+1,R79)</f>
        <v>0</v>
      </c>
    </row>
    <row r="80" spans="7:19">
      <c r="G80" s="123"/>
      <c r="P80" s="11">
        <v>66</v>
      </c>
      <c r="Q80" s="11">
        <f t="shared" si="8"/>
        <v>10</v>
      </c>
      <c r="R80" s="11">
        <f t="shared" si="9"/>
        <v>6</v>
      </c>
      <c r="S80" s="12" cm="1">
        <f t="array" ref="S80">INDEX('ClinicalStage-ConceptMap-3'!$I$15:$N$123,Q80+1,R80)</f>
        <v>0</v>
      </c>
    </row>
    <row r="81" spans="7:19">
      <c r="G81" s="123"/>
      <c r="P81" s="11">
        <v>67</v>
      </c>
      <c r="Q81" s="11">
        <f t="shared" si="8"/>
        <v>11</v>
      </c>
      <c r="R81" s="11">
        <f t="shared" si="9"/>
        <v>1</v>
      </c>
      <c r="S81" s="12" cm="1">
        <f t="array" ref="S81">INDEX('ClinicalStage-ConceptMap-3'!$I$15:$N$123,Q81+1,R81)</f>
        <v>0</v>
      </c>
    </row>
    <row r="82" spans="7:19">
      <c r="G82" s="123"/>
      <c r="P82" s="11">
        <v>68</v>
      </c>
      <c r="Q82" s="11">
        <f t="shared" si="8"/>
        <v>11</v>
      </c>
      <c r="R82" s="11">
        <f t="shared" si="9"/>
        <v>2</v>
      </c>
      <c r="S82" s="12" cm="1">
        <f t="array" ref="S82">INDEX('ClinicalStage-ConceptMap-3'!$I$15:$N$123,Q82+1,R82)</f>
        <v>0</v>
      </c>
    </row>
    <row r="83" spans="7:19">
      <c r="G83" s="123"/>
      <c r="P83" s="11">
        <v>69</v>
      </c>
      <c r="Q83" s="11">
        <f t="shared" si="8"/>
        <v>11</v>
      </c>
      <c r="R83" s="11">
        <f t="shared" si="9"/>
        <v>3</v>
      </c>
      <c r="S83" s="12" cm="1">
        <f t="array" ref="S83">INDEX('ClinicalStage-ConceptMap-3'!$I$15:$N$123,Q83+1,R83)</f>
        <v>0</v>
      </c>
    </row>
    <row r="84" spans="7:19">
      <c r="G84" s="123"/>
      <c r="P84" s="11">
        <v>70</v>
      </c>
      <c r="Q84" s="11">
        <f t="shared" si="8"/>
        <v>11</v>
      </c>
      <c r="R84" s="11">
        <f t="shared" si="9"/>
        <v>4</v>
      </c>
      <c r="S84" s="12" cm="1">
        <f t="array" ref="S84">INDEX('ClinicalStage-ConceptMap-3'!$I$15:$N$123,Q84+1,R84)</f>
        <v>0</v>
      </c>
    </row>
    <row r="85" spans="7:19">
      <c r="G85" s="123"/>
      <c r="P85" s="11">
        <v>71</v>
      </c>
      <c r="Q85" s="11">
        <f t="shared" si="8"/>
        <v>11</v>
      </c>
      <c r="R85" s="11">
        <f t="shared" si="9"/>
        <v>5</v>
      </c>
      <c r="S85" s="12" cm="1">
        <f t="array" ref="S85">INDEX('ClinicalStage-ConceptMap-3'!$I$15:$N$123,Q85+1,R85)</f>
        <v>0</v>
      </c>
    </row>
    <row r="86" spans="7:19">
      <c r="G86" s="123"/>
      <c r="P86" s="11">
        <v>72</v>
      </c>
      <c r="Q86" s="11">
        <f t="shared" si="8"/>
        <v>11</v>
      </c>
      <c r="R86" s="11">
        <f t="shared" si="9"/>
        <v>6</v>
      </c>
      <c r="S86" s="12" cm="1">
        <f t="array" ref="S86">INDEX('ClinicalStage-ConceptMap-3'!$I$15:$N$123,Q86+1,R86)</f>
        <v>0</v>
      </c>
    </row>
    <row r="87" spans="7:19">
      <c r="G87" s="123"/>
      <c r="P87" s="11">
        <v>73</v>
      </c>
      <c r="Q87" s="11">
        <f t="shared" si="8"/>
        <v>12</v>
      </c>
      <c r="R87" s="11">
        <f t="shared" si="9"/>
        <v>1</v>
      </c>
      <c r="S87" s="12" cm="1">
        <f t="array" ref="S87">INDEX('ClinicalStage-ConceptMap-3'!$I$15:$N$123,Q87+1,R87)</f>
        <v>0</v>
      </c>
    </row>
    <row r="88" spans="7:19">
      <c r="G88" s="123"/>
      <c r="P88" s="11">
        <v>74</v>
      </c>
      <c r="Q88" s="11">
        <f t="shared" si="8"/>
        <v>12</v>
      </c>
      <c r="R88" s="11">
        <f t="shared" si="9"/>
        <v>2</v>
      </c>
      <c r="S88" s="12" cm="1">
        <f t="array" ref="S88">INDEX('ClinicalStage-ConceptMap-3'!$I$15:$N$123,Q88+1,R88)</f>
        <v>0</v>
      </c>
    </row>
    <row r="89" spans="7:19">
      <c r="G89" s="123"/>
      <c r="P89" s="11">
        <v>75</v>
      </c>
      <c r="Q89" s="11">
        <f t="shared" si="8"/>
        <v>12</v>
      </c>
      <c r="R89" s="11">
        <f t="shared" si="9"/>
        <v>3</v>
      </c>
      <c r="S89" s="12" cm="1">
        <f t="array" ref="S89">INDEX('ClinicalStage-ConceptMap-3'!$I$15:$N$123,Q89+1,R89)</f>
        <v>0</v>
      </c>
    </row>
    <row r="90" spans="7:19">
      <c r="G90" s="123"/>
      <c r="P90" s="11">
        <v>76</v>
      </c>
      <c r="Q90" s="11">
        <f t="shared" si="8"/>
        <v>12</v>
      </c>
      <c r="R90" s="11">
        <f t="shared" si="9"/>
        <v>4</v>
      </c>
      <c r="S90" s="12" cm="1">
        <f t="array" ref="S90">INDEX('ClinicalStage-ConceptMap-3'!$I$15:$N$123,Q90+1,R90)</f>
        <v>0</v>
      </c>
    </row>
    <row r="91" spans="7:19">
      <c r="G91" s="123"/>
      <c r="P91" s="11">
        <v>77</v>
      </c>
      <c r="Q91" s="11">
        <f t="shared" si="8"/>
        <v>12</v>
      </c>
      <c r="R91" s="11">
        <f t="shared" si="9"/>
        <v>5</v>
      </c>
      <c r="S91" s="12" cm="1">
        <f t="array" ref="S91">INDEX('ClinicalStage-ConceptMap-3'!$I$15:$N$123,Q91+1,R91)</f>
        <v>0</v>
      </c>
    </row>
    <row r="92" spans="7:19">
      <c r="G92" s="123"/>
      <c r="P92" s="11">
        <v>78</v>
      </c>
      <c r="Q92" s="11">
        <f t="shared" si="8"/>
        <v>12</v>
      </c>
      <c r="R92" s="11">
        <f t="shared" si="9"/>
        <v>6</v>
      </c>
      <c r="S92" s="12" cm="1">
        <f t="array" ref="S92">INDEX('ClinicalStage-ConceptMap-3'!$I$15:$N$123,Q92+1,R92)</f>
        <v>0</v>
      </c>
    </row>
    <row r="93" spans="7:19">
      <c r="G93" s="123"/>
      <c r="P93" s="11">
        <v>79</v>
      </c>
      <c r="Q93" s="11">
        <f t="shared" si="8"/>
        <v>13</v>
      </c>
      <c r="R93" s="11">
        <f t="shared" si="9"/>
        <v>1</v>
      </c>
      <c r="S93" s="12" cm="1">
        <f t="array" ref="S93">INDEX('ClinicalStage-ConceptMap-3'!$I$15:$N$123,Q93+1,R93)</f>
        <v>0</v>
      </c>
    </row>
    <row r="94" spans="7:19">
      <c r="G94" s="123"/>
      <c r="P94" s="11">
        <v>80</v>
      </c>
      <c r="Q94" s="11">
        <f t="shared" si="8"/>
        <v>13</v>
      </c>
      <c r="R94" s="11">
        <f t="shared" si="9"/>
        <v>2</v>
      </c>
      <c r="S94" s="12" cm="1">
        <f t="array" ref="S94">INDEX('ClinicalStage-ConceptMap-3'!$I$15:$N$123,Q94+1,R94)</f>
        <v>0</v>
      </c>
    </row>
    <row r="95" spans="7:19">
      <c r="G95" s="123"/>
      <c r="P95" s="11">
        <v>81</v>
      </c>
      <c r="Q95" s="11">
        <f t="shared" si="8"/>
        <v>13</v>
      </c>
      <c r="R95" s="11">
        <f t="shared" si="9"/>
        <v>3</v>
      </c>
      <c r="S95" s="12" cm="1">
        <f t="array" ref="S95">INDEX('ClinicalStage-ConceptMap-3'!$I$15:$N$123,Q95+1,R95)</f>
        <v>0</v>
      </c>
    </row>
    <row r="96" spans="7:19">
      <c r="G96" s="123"/>
      <c r="P96" s="11">
        <v>82</v>
      </c>
      <c r="Q96" s="11">
        <f t="shared" si="8"/>
        <v>13</v>
      </c>
      <c r="R96" s="11">
        <f t="shared" si="9"/>
        <v>4</v>
      </c>
      <c r="S96" s="12" cm="1">
        <f t="array" ref="S96">INDEX('ClinicalStage-ConceptMap-3'!$I$15:$N$123,Q96+1,R96)</f>
        <v>0</v>
      </c>
    </row>
    <row r="97" spans="7:19">
      <c r="G97" s="123"/>
      <c r="P97" s="11">
        <v>83</v>
      </c>
      <c r="Q97" s="11">
        <f t="shared" si="8"/>
        <v>13</v>
      </c>
      <c r="R97" s="11">
        <f t="shared" si="9"/>
        <v>5</v>
      </c>
      <c r="S97" s="12" cm="1">
        <f t="array" ref="S97">INDEX('ClinicalStage-ConceptMap-3'!$I$15:$N$123,Q97+1,R97)</f>
        <v>0</v>
      </c>
    </row>
    <row r="98" spans="7:19">
      <c r="G98" s="123"/>
      <c r="P98" s="11">
        <v>84</v>
      </c>
      <c r="Q98" s="11">
        <f t="shared" si="8"/>
        <v>13</v>
      </c>
      <c r="R98" s="11">
        <f t="shared" si="9"/>
        <v>6</v>
      </c>
      <c r="S98" s="12" cm="1">
        <f t="array" ref="S98">INDEX('ClinicalStage-ConceptMap-3'!$I$15:$N$123,Q98+1,R98)</f>
        <v>0</v>
      </c>
    </row>
    <row r="99" spans="7:19">
      <c r="G99" s="123"/>
      <c r="P99" s="11">
        <v>85</v>
      </c>
      <c r="Q99" s="11">
        <f t="shared" si="8"/>
        <v>14</v>
      </c>
      <c r="R99" s="11">
        <f t="shared" si="9"/>
        <v>1</v>
      </c>
      <c r="S99" s="12" cm="1">
        <f t="array" ref="S99">INDEX('ClinicalStage-ConceptMap-3'!$I$15:$N$123,Q99+1,R99)</f>
        <v>0</v>
      </c>
    </row>
    <row r="100" spans="7:19">
      <c r="G100" s="123"/>
      <c r="P100" s="11">
        <v>86</v>
      </c>
      <c r="Q100" s="11">
        <f t="shared" si="8"/>
        <v>14</v>
      </c>
      <c r="R100" s="11">
        <f t="shared" si="9"/>
        <v>2</v>
      </c>
      <c r="S100" s="12" cm="1">
        <f t="array" ref="S100">INDEX('ClinicalStage-ConceptMap-3'!$I$15:$N$123,Q100+1,R100)</f>
        <v>0</v>
      </c>
    </row>
    <row r="101" spans="7:19">
      <c r="G101" s="123"/>
      <c r="P101" s="11">
        <v>87</v>
      </c>
      <c r="Q101" s="11">
        <f t="shared" si="8"/>
        <v>14</v>
      </c>
      <c r="R101" s="11">
        <f t="shared" si="9"/>
        <v>3</v>
      </c>
      <c r="S101" s="12" cm="1">
        <f t="array" ref="S101">INDEX('ClinicalStage-ConceptMap-3'!$I$15:$N$123,Q101+1,R101)</f>
        <v>0</v>
      </c>
    </row>
    <row r="102" spans="7:19">
      <c r="G102" s="123"/>
      <c r="P102" s="11">
        <v>88</v>
      </c>
      <c r="Q102" s="11">
        <f t="shared" si="8"/>
        <v>14</v>
      </c>
      <c r="R102" s="11">
        <f t="shared" si="9"/>
        <v>4</v>
      </c>
      <c r="S102" s="12" cm="1">
        <f t="array" ref="S102">INDEX('ClinicalStage-ConceptMap-3'!$I$15:$N$123,Q102+1,R102)</f>
        <v>0</v>
      </c>
    </row>
    <row r="103" spans="7:19">
      <c r="G103" s="123"/>
      <c r="P103" s="11">
        <v>89</v>
      </c>
      <c r="Q103" s="11">
        <f t="shared" si="8"/>
        <v>14</v>
      </c>
      <c r="R103" s="11">
        <f t="shared" si="9"/>
        <v>5</v>
      </c>
      <c r="S103" s="12" cm="1">
        <f t="array" ref="S103">INDEX('ClinicalStage-ConceptMap-3'!$I$15:$N$123,Q103+1,R103)</f>
        <v>0</v>
      </c>
    </row>
    <row r="104" spans="7:19">
      <c r="G104" s="123"/>
      <c r="P104" s="11">
        <v>90</v>
      </c>
      <c r="Q104" s="11">
        <f t="shared" si="8"/>
        <v>14</v>
      </c>
      <c r="R104" s="11">
        <f t="shared" si="9"/>
        <v>6</v>
      </c>
      <c r="S104" s="12" cm="1">
        <f t="array" ref="S104">INDEX('ClinicalStage-ConceptMap-3'!$I$15:$N$123,Q104+1,R104)</f>
        <v>0</v>
      </c>
    </row>
    <row r="105" spans="7:19">
      <c r="G105" s="123"/>
      <c r="P105" s="11">
        <v>91</v>
      </c>
      <c r="Q105" s="11">
        <f t="shared" si="8"/>
        <v>15</v>
      </c>
      <c r="R105" s="11">
        <f t="shared" si="9"/>
        <v>1</v>
      </c>
      <c r="S105" s="12" cm="1">
        <f t="array" ref="S105">INDEX('ClinicalStage-ConceptMap-3'!$I$15:$N$123,Q105+1,R105)</f>
        <v>0</v>
      </c>
    </row>
    <row r="106" spans="7:19">
      <c r="G106" s="123"/>
      <c r="P106" s="11">
        <v>92</v>
      </c>
      <c r="Q106" s="11">
        <f t="shared" si="8"/>
        <v>15</v>
      </c>
      <c r="R106" s="11">
        <f t="shared" si="9"/>
        <v>2</v>
      </c>
      <c r="S106" s="12" cm="1">
        <f t="array" ref="S106">INDEX('ClinicalStage-ConceptMap-3'!$I$15:$N$123,Q106+1,R106)</f>
        <v>0</v>
      </c>
    </row>
    <row r="107" spans="7:19">
      <c r="G107" s="123"/>
      <c r="P107" s="11">
        <v>93</v>
      </c>
      <c r="Q107" s="11">
        <f t="shared" si="8"/>
        <v>15</v>
      </c>
      <c r="R107" s="11">
        <f t="shared" si="9"/>
        <v>3</v>
      </c>
      <c r="S107" s="12" cm="1">
        <f t="array" ref="S107">INDEX('ClinicalStage-ConceptMap-3'!$I$15:$N$123,Q107+1,R107)</f>
        <v>0</v>
      </c>
    </row>
    <row r="108" spans="7:19">
      <c r="G108" s="123"/>
      <c r="P108" s="11">
        <v>94</v>
      </c>
      <c r="Q108" s="11">
        <f t="shared" si="8"/>
        <v>15</v>
      </c>
      <c r="R108" s="11">
        <f t="shared" si="9"/>
        <v>4</v>
      </c>
      <c r="S108" s="12" cm="1">
        <f t="array" ref="S108">INDEX('ClinicalStage-ConceptMap-3'!$I$15:$N$123,Q108+1,R108)</f>
        <v>0</v>
      </c>
    </row>
    <row r="109" spans="7:19">
      <c r="G109" s="123"/>
      <c r="P109" s="11">
        <v>95</v>
      </c>
      <c r="Q109" s="11">
        <f t="shared" si="8"/>
        <v>15</v>
      </c>
      <c r="R109" s="11">
        <f t="shared" si="9"/>
        <v>5</v>
      </c>
      <c r="S109" s="12" cm="1">
        <f t="array" ref="S109">INDEX('ClinicalStage-ConceptMap-3'!$I$15:$N$123,Q109+1,R109)</f>
        <v>0</v>
      </c>
    </row>
    <row r="110" spans="7:19">
      <c r="G110" s="123"/>
      <c r="P110" s="11">
        <v>96</v>
      </c>
      <c r="Q110" s="11">
        <f t="shared" si="8"/>
        <v>15</v>
      </c>
      <c r="R110" s="11">
        <f t="shared" si="9"/>
        <v>6</v>
      </c>
      <c r="S110" s="12" cm="1">
        <f t="array" ref="S110">INDEX('ClinicalStage-ConceptMap-3'!$I$15:$N$123,Q110+1,R110)</f>
        <v>0</v>
      </c>
    </row>
    <row r="111" spans="7:19">
      <c r="G111" s="123"/>
      <c r="P111" s="11">
        <v>97</v>
      </c>
      <c r="Q111" s="11">
        <f t="shared" si="8"/>
        <v>16</v>
      </c>
      <c r="R111" s="11">
        <f t="shared" si="9"/>
        <v>1</v>
      </c>
      <c r="S111" s="12" cm="1">
        <f t="array" ref="S111">INDEX('ClinicalStage-ConceptMap-3'!$I$15:$N$123,Q111+1,R111)</f>
        <v>0</v>
      </c>
    </row>
    <row r="112" spans="7:19">
      <c r="G112" s="123"/>
      <c r="P112" s="11">
        <v>98</v>
      </c>
      <c r="Q112" s="11">
        <f t="shared" si="8"/>
        <v>16</v>
      </c>
      <c r="R112" s="11">
        <f t="shared" si="9"/>
        <v>2</v>
      </c>
      <c r="S112" s="12" cm="1">
        <f t="array" ref="S112">INDEX('ClinicalStage-ConceptMap-3'!$I$15:$N$123,Q112+1,R112)</f>
        <v>0</v>
      </c>
    </row>
    <row r="113" spans="7:19">
      <c r="G113" s="123"/>
      <c r="P113" s="11">
        <v>99</v>
      </c>
      <c r="Q113" s="11">
        <f t="shared" si="8"/>
        <v>16</v>
      </c>
      <c r="R113" s="11">
        <f t="shared" si="9"/>
        <v>3</v>
      </c>
      <c r="S113" s="12" cm="1">
        <f t="array" ref="S113">INDEX('ClinicalStage-ConceptMap-3'!$I$15:$N$123,Q113+1,R113)</f>
        <v>0</v>
      </c>
    </row>
    <row r="114" spans="7:19">
      <c r="G114" s="123"/>
      <c r="P114" s="11">
        <v>100</v>
      </c>
      <c r="Q114" s="11">
        <f t="shared" si="8"/>
        <v>16</v>
      </c>
      <c r="R114" s="11">
        <f t="shared" si="9"/>
        <v>4</v>
      </c>
      <c r="S114" s="12" cm="1">
        <f t="array" ref="S114">INDEX('ClinicalStage-ConceptMap-3'!$I$15:$N$123,Q114+1,R114)</f>
        <v>0</v>
      </c>
    </row>
    <row r="115" spans="7:19">
      <c r="G115" s="123"/>
      <c r="P115" s="11">
        <v>101</v>
      </c>
      <c r="Q115" s="11">
        <f t="shared" si="8"/>
        <v>16</v>
      </c>
      <c r="R115" s="11">
        <f t="shared" si="9"/>
        <v>5</v>
      </c>
      <c r="S115" s="12" cm="1">
        <f t="array" ref="S115">INDEX('ClinicalStage-ConceptMap-3'!$I$15:$N$123,Q115+1,R115)</f>
        <v>0</v>
      </c>
    </row>
    <row r="116" spans="7:19">
      <c r="G116" s="123"/>
      <c r="P116" s="11">
        <v>102</v>
      </c>
      <c r="Q116" s="11">
        <f t="shared" si="8"/>
        <v>16</v>
      </c>
      <c r="R116" s="11">
        <f t="shared" si="9"/>
        <v>6</v>
      </c>
      <c r="S116" s="12" cm="1">
        <f t="array" ref="S116">INDEX('ClinicalStage-ConceptMap-3'!$I$15:$N$123,Q116+1,R116)</f>
        <v>0</v>
      </c>
    </row>
    <row r="117" spans="7:19">
      <c r="P117" s="11">
        <v>103</v>
      </c>
      <c r="Q117" s="11">
        <f t="shared" si="8"/>
        <v>17</v>
      </c>
      <c r="R117" s="11">
        <f t="shared" si="9"/>
        <v>1</v>
      </c>
      <c r="S117" s="12" cm="1">
        <f t="array" ref="S117">INDEX('ClinicalStage-ConceptMap-3'!$I$15:$N$123,Q117+1,R117)</f>
        <v>0</v>
      </c>
    </row>
    <row r="118" spans="7:19">
      <c r="P118" s="11">
        <v>104</v>
      </c>
      <c r="Q118" s="11">
        <f t="shared" si="8"/>
        <v>17</v>
      </c>
      <c r="R118" s="11">
        <f t="shared" si="9"/>
        <v>2</v>
      </c>
      <c r="S118" s="12" cm="1">
        <f t="array" ref="S118">INDEX('ClinicalStage-ConceptMap-3'!$I$15:$N$123,Q118+1,R118)</f>
        <v>0</v>
      </c>
    </row>
    <row r="119" spans="7:19">
      <c r="P119" s="11">
        <v>105</v>
      </c>
      <c r="Q119" s="11">
        <f t="shared" si="8"/>
        <v>17</v>
      </c>
      <c r="R119" s="11">
        <f t="shared" si="9"/>
        <v>3</v>
      </c>
      <c r="S119" s="12" cm="1">
        <f t="array" ref="S119">INDEX('ClinicalStage-ConceptMap-3'!$I$15:$N$123,Q119+1,R119)</f>
        <v>0</v>
      </c>
    </row>
    <row r="120" spans="7:19">
      <c r="P120" s="11">
        <v>106</v>
      </c>
      <c r="Q120" s="11">
        <f t="shared" si="8"/>
        <v>17</v>
      </c>
      <c r="R120" s="11">
        <f t="shared" si="9"/>
        <v>4</v>
      </c>
      <c r="S120" s="12" cm="1">
        <f t="array" ref="S120">INDEX('ClinicalStage-ConceptMap-3'!$I$15:$N$123,Q120+1,R120)</f>
        <v>0</v>
      </c>
    </row>
    <row r="121" spans="7:19">
      <c r="P121" s="11">
        <v>107</v>
      </c>
      <c r="Q121" s="11">
        <f t="shared" si="8"/>
        <v>17</v>
      </c>
      <c r="R121" s="11">
        <f t="shared" si="9"/>
        <v>5</v>
      </c>
      <c r="S121" s="12" cm="1">
        <f t="array" ref="S121">INDEX('ClinicalStage-ConceptMap-3'!$I$15:$N$123,Q121+1,R121)</f>
        <v>0</v>
      </c>
    </row>
    <row r="122" spans="7:19">
      <c r="P122" s="11">
        <v>108</v>
      </c>
      <c r="Q122" s="11">
        <f t="shared" si="8"/>
        <v>17</v>
      </c>
      <c r="R122" s="11">
        <f t="shared" si="9"/>
        <v>6</v>
      </c>
      <c r="S122" s="12" cm="1">
        <f t="array" ref="S122">INDEX('ClinicalStage-ConceptMap-3'!$I$15:$N$123,Q122+1,R122)</f>
        <v>0</v>
      </c>
    </row>
    <row r="123" spans="7:19">
      <c r="P123" s="11">
        <v>109</v>
      </c>
      <c r="Q123" s="11">
        <f t="shared" si="8"/>
        <v>18</v>
      </c>
      <c r="R123" s="11">
        <f t="shared" si="9"/>
        <v>1</v>
      </c>
      <c r="S123" s="12" cm="1">
        <f t="array" ref="S123">INDEX('ClinicalStage-ConceptMap-3'!$I$15:$N$123,Q123+1,R123)</f>
        <v>0</v>
      </c>
    </row>
    <row r="124" spans="7:19">
      <c r="P124" s="11">
        <v>110</v>
      </c>
      <c r="Q124" s="11">
        <f t="shared" si="8"/>
        <v>18</v>
      </c>
      <c r="R124" s="11">
        <f t="shared" si="9"/>
        <v>2</v>
      </c>
      <c r="S124" s="12" cm="1">
        <f t="array" ref="S124">INDEX('ClinicalStage-ConceptMap-3'!$I$15:$N$123,Q124+1,R124)</f>
        <v>0</v>
      </c>
    </row>
    <row r="125" spans="7:19">
      <c r="P125" s="11">
        <v>111</v>
      </c>
      <c r="Q125" s="11">
        <f t="shared" si="8"/>
        <v>18</v>
      </c>
      <c r="R125" s="11">
        <f t="shared" si="9"/>
        <v>3</v>
      </c>
      <c r="S125" s="12" cm="1">
        <f t="array" ref="S125">INDEX('ClinicalStage-ConceptMap-3'!$I$15:$N$123,Q125+1,R125)</f>
        <v>0</v>
      </c>
    </row>
    <row r="126" spans="7:19">
      <c r="P126" s="11">
        <v>112</v>
      </c>
      <c r="Q126" s="11">
        <f t="shared" si="8"/>
        <v>18</v>
      </c>
      <c r="R126" s="11">
        <f t="shared" si="9"/>
        <v>4</v>
      </c>
      <c r="S126" s="12" cm="1">
        <f t="array" ref="S126">INDEX('ClinicalStage-ConceptMap-3'!$I$15:$N$123,Q126+1,R126)</f>
        <v>0</v>
      </c>
    </row>
    <row r="127" spans="7:19">
      <c r="P127" s="11">
        <v>113</v>
      </c>
      <c r="Q127" s="11">
        <f t="shared" si="8"/>
        <v>18</v>
      </c>
      <c r="R127" s="11">
        <f t="shared" si="9"/>
        <v>5</v>
      </c>
      <c r="S127" s="12" cm="1">
        <f t="array" ref="S127">INDEX('ClinicalStage-ConceptMap-3'!$I$15:$N$123,Q127+1,R127)</f>
        <v>0</v>
      </c>
    </row>
    <row r="128" spans="7:19">
      <c r="P128" s="11">
        <v>114</v>
      </c>
      <c r="Q128" s="11">
        <f t="shared" si="8"/>
        <v>18</v>
      </c>
      <c r="R128" s="11">
        <f t="shared" si="9"/>
        <v>6</v>
      </c>
      <c r="S128" s="12" cm="1">
        <f t="array" ref="S128">INDEX('ClinicalStage-ConceptMap-3'!$I$15:$N$123,Q128+1,R128)</f>
        <v>0</v>
      </c>
    </row>
    <row r="129" spans="16:19">
      <c r="P129" s="11">
        <v>115</v>
      </c>
      <c r="Q129" s="11">
        <f t="shared" si="8"/>
        <v>19</v>
      </c>
      <c r="R129" s="11">
        <f t="shared" si="9"/>
        <v>1</v>
      </c>
      <c r="S129" s="12" cm="1">
        <f t="array" ref="S129">INDEX('ClinicalStage-ConceptMap-3'!$I$15:$N$123,Q129+1,R129)</f>
        <v>0</v>
      </c>
    </row>
    <row r="130" spans="16:19">
      <c r="P130" s="11">
        <v>116</v>
      </c>
      <c r="Q130" s="11">
        <f t="shared" si="8"/>
        <v>19</v>
      </c>
      <c r="R130" s="11">
        <f t="shared" si="9"/>
        <v>2</v>
      </c>
      <c r="S130" s="12" cm="1">
        <f t="array" ref="S130">INDEX('ClinicalStage-ConceptMap-3'!$I$15:$N$123,Q130+1,R130)</f>
        <v>0</v>
      </c>
    </row>
    <row r="131" spans="16:19">
      <c r="P131" s="11">
        <v>117</v>
      </c>
      <c r="Q131" s="11">
        <f t="shared" si="8"/>
        <v>19</v>
      </c>
      <c r="R131" s="11">
        <f t="shared" si="9"/>
        <v>3</v>
      </c>
      <c r="S131" s="12" cm="1">
        <f t="array" ref="S131">INDEX('ClinicalStage-ConceptMap-3'!$I$15:$N$123,Q131+1,R131)</f>
        <v>0</v>
      </c>
    </row>
    <row r="132" spans="16:19">
      <c r="P132" s="11">
        <v>118</v>
      </c>
      <c r="Q132" s="11">
        <f t="shared" si="8"/>
        <v>19</v>
      </c>
      <c r="R132" s="11">
        <f t="shared" si="9"/>
        <v>4</v>
      </c>
      <c r="S132" s="12" cm="1">
        <f t="array" ref="S132">INDEX('ClinicalStage-ConceptMap-3'!$I$15:$N$123,Q132+1,R132)</f>
        <v>0</v>
      </c>
    </row>
    <row r="133" spans="16:19">
      <c r="P133" s="11">
        <v>119</v>
      </c>
      <c r="Q133" s="11">
        <f t="shared" si="8"/>
        <v>19</v>
      </c>
      <c r="R133" s="11">
        <f t="shared" si="9"/>
        <v>5</v>
      </c>
      <c r="S133" s="12" cm="1">
        <f t="array" ref="S133">INDEX('ClinicalStage-ConceptMap-3'!$I$15:$N$123,Q133+1,R133)</f>
        <v>0</v>
      </c>
    </row>
    <row r="134" spans="16:19">
      <c r="P134" s="11">
        <v>120</v>
      </c>
      <c r="Q134" s="11">
        <f t="shared" si="8"/>
        <v>19</v>
      </c>
      <c r="R134" s="11">
        <f t="shared" si="9"/>
        <v>6</v>
      </c>
      <c r="S134" s="12" cm="1">
        <f t="array" ref="S134">INDEX('ClinicalStage-ConceptMap-3'!$I$15:$N$123,Q134+1,R134)</f>
        <v>0</v>
      </c>
    </row>
    <row r="135" spans="16:19">
      <c r="P135" s="11">
        <v>121</v>
      </c>
      <c r="Q135" s="11">
        <f t="shared" si="8"/>
        <v>20</v>
      </c>
      <c r="R135" s="11">
        <f t="shared" si="9"/>
        <v>1</v>
      </c>
      <c r="S135" s="12" cm="1">
        <f t="array" ref="S135">INDEX('ClinicalStage-ConceptMap-3'!$I$15:$N$123,Q135+1,R135)</f>
        <v>0</v>
      </c>
    </row>
    <row r="136" spans="16:19">
      <c r="P136" s="11">
        <v>122</v>
      </c>
      <c r="Q136" s="11">
        <f t="shared" si="8"/>
        <v>20</v>
      </c>
      <c r="R136" s="11">
        <f t="shared" si="9"/>
        <v>2</v>
      </c>
      <c r="S136" s="12" cm="1">
        <f t="array" ref="S136">INDEX('ClinicalStage-ConceptMap-3'!$I$15:$N$123,Q136+1,R136)</f>
        <v>0</v>
      </c>
    </row>
    <row r="137" spans="16:19">
      <c r="P137" s="11">
        <v>123</v>
      </c>
      <c r="Q137" s="11">
        <f t="shared" si="8"/>
        <v>20</v>
      </c>
      <c r="R137" s="11">
        <f t="shared" si="9"/>
        <v>3</v>
      </c>
      <c r="S137" s="12" cm="1">
        <f t="array" ref="S137">INDEX('ClinicalStage-ConceptMap-3'!$I$15:$N$123,Q137+1,R137)</f>
        <v>0</v>
      </c>
    </row>
    <row r="138" spans="16:19">
      <c r="P138" s="11">
        <v>124</v>
      </c>
      <c r="Q138" s="11">
        <f t="shared" si="8"/>
        <v>20</v>
      </c>
      <c r="R138" s="11">
        <f t="shared" si="9"/>
        <v>4</v>
      </c>
      <c r="S138" s="12" cm="1">
        <f t="array" ref="S138">INDEX('ClinicalStage-ConceptMap-3'!$I$15:$N$123,Q138+1,R138)</f>
        <v>0</v>
      </c>
    </row>
    <row r="139" spans="16:19">
      <c r="P139" s="11">
        <v>125</v>
      </c>
      <c r="Q139" s="11">
        <f t="shared" si="8"/>
        <v>20</v>
      </c>
      <c r="R139" s="11">
        <f t="shared" si="9"/>
        <v>5</v>
      </c>
      <c r="S139" s="12" cm="1">
        <f t="array" ref="S139">INDEX('ClinicalStage-ConceptMap-3'!$I$15:$N$123,Q139+1,R139)</f>
        <v>0</v>
      </c>
    </row>
    <row r="140" spans="16:19">
      <c r="P140" s="11">
        <v>126</v>
      </c>
      <c r="Q140" s="11">
        <f t="shared" si="8"/>
        <v>20</v>
      </c>
      <c r="R140" s="11">
        <f t="shared" si="9"/>
        <v>6</v>
      </c>
      <c r="S140" s="12" cm="1">
        <f t="array" ref="S140">INDEX('ClinicalStage-ConceptMap-3'!$I$15:$N$123,Q140+1,R140)</f>
        <v>0</v>
      </c>
    </row>
    <row r="141" spans="16:19">
      <c r="P141" s="11">
        <v>127</v>
      </c>
      <c r="Q141" s="11">
        <f t="shared" si="8"/>
        <v>21</v>
      </c>
      <c r="R141" s="11">
        <f t="shared" si="9"/>
        <v>1</v>
      </c>
      <c r="S141" s="12" cm="1">
        <f t="array" ref="S141">INDEX('ClinicalStage-ConceptMap-3'!$I$15:$N$123,Q141+1,R141)</f>
        <v>0</v>
      </c>
    </row>
    <row r="142" spans="16:19">
      <c r="P142" s="11">
        <v>128</v>
      </c>
      <c r="Q142" s="11">
        <f t="shared" si="8"/>
        <v>21</v>
      </c>
      <c r="R142" s="11">
        <f t="shared" si="9"/>
        <v>2</v>
      </c>
      <c r="S142" s="12" cm="1">
        <f t="array" ref="S142">INDEX('ClinicalStage-ConceptMap-3'!$I$15:$N$123,Q142+1,R142)</f>
        <v>0</v>
      </c>
    </row>
    <row r="143" spans="16:19">
      <c r="P143" s="11">
        <v>129</v>
      </c>
      <c r="Q143" s="11">
        <f t="shared" ref="Q143:Q162" si="10">IF(MOD(P143,$Q$8)=0,P143/$Q$8-1,INT(P143/$Q$8))</f>
        <v>21</v>
      </c>
      <c r="R143" s="11">
        <f t="shared" ref="R143:R162" si="11">IF(MOD(P143,$Q$8)=0,$Q$8,MOD(P143,$Q$8))</f>
        <v>3</v>
      </c>
      <c r="S143" s="12" cm="1">
        <f t="array" ref="S143">INDEX('ClinicalStage-ConceptMap-3'!$I$15:$N$123,Q143+1,R143)</f>
        <v>0</v>
      </c>
    </row>
    <row r="144" spans="16:19">
      <c r="P144" s="11">
        <v>130</v>
      </c>
      <c r="Q144" s="11">
        <f t="shared" si="10"/>
        <v>21</v>
      </c>
      <c r="R144" s="11">
        <f t="shared" si="11"/>
        <v>4</v>
      </c>
      <c r="S144" s="12" cm="1">
        <f t="array" ref="S144">INDEX('ClinicalStage-ConceptMap-3'!$I$15:$N$123,Q144+1,R144)</f>
        <v>0</v>
      </c>
    </row>
    <row r="145" spans="16:19">
      <c r="P145" s="11">
        <v>131</v>
      </c>
      <c r="Q145" s="11">
        <f t="shared" si="10"/>
        <v>21</v>
      </c>
      <c r="R145" s="11">
        <f t="shared" si="11"/>
        <v>5</v>
      </c>
      <c r="S145" s="12" cm="1">
        <f t="array" ref="S145">INDEX('ClinicalStage-ConceptMap-3'!$I$15:$N$123,Q145+1,R145)</f>
        <v>0</v>
      </c>
    </row>
    <row r="146" spans="16:19">
      <c r="P146" s="11">
        <v>132</v>
      </c>
      <c r="Q146" s="11">
        <f t="shared" si="10"/>
        <v>21</v>
      </c>
      <c r="R146" s="11">
        <f t="shared" si="11"/>
        <v>6</v>
      </c>
      <c r="S146" s="12" cm="1">
        <f t="array" ref="S146">INDEX('ClinicalStage-ConceptMap-3'!$I$15:$N$123,Q146+1,R146)</f>
        <v>0</v>
      </c>
    </row>
    <row r="147" spans="16:19">
      <c r="P147" s="11">
        <v>133</v>
      </c>
      <c r="Q147" s="11">
        <f t="shared" si="10"/>
        <v>22</v>
      </c>
      <c r="R147" s="11">
        <f t="shared" si="11"/>
        <v>1</v>
      </c>
      <c r="S147" s="12" cm="1">
        <f t="array" ref="S147">INDEX('ClinicalStage-ConceptMap-3'!$I$15:$N$123,Q147+1,R147)</f>
        <v>0</v>
      </c>
    </row>
    <row r="148" spans="16:19">
      <c r="P148" s="11">
        <v>134</v>
      </c>
      <c r="Q148" s="11">
        <f t="shared" si="10"/>
        <v>22</v>
      </c>
      <c r="R148" s="11">
        <f t="shared" si="11"/>
        <v>2</v>
      </c>
      <c r="S148" s="12" cm="1">
        <f t="array" ref="S148">INDEX('ClinicalStage-ConceptMap-3'!$I$15:$N$123,Q148+1,R148)</f>
        <v>0</v>
      </c>
    </row>
    <row r="149" spans="16:19">
      <c r="P149" s="11">
        <v>135</v>
      </c>
      <c r="Q149" s="11">
        <f t="shared" si="10"/>
        <v>22</v>
      </c>
      <c r="R149" s="11">
        <f t="shared" si="11"/>
        <v>3</v>
      </c>
      <c r="S149" s="12" cm="1">
        <f t="array" ref="S149">INDEX('ClinicalStage-ConceptMap-3'!$I$15:$N$123,Q149+1,R149)</f>
        <v>0</v>
      </c>
    </row>
    <row r="150" spans="16:19">
      <c r="P150" s="11">
        <v>136</v>
      </c>
      <c r="Q150" s="11">
        <f t="shared" si="10"/>
        <v>22</v>
      </c>
      <c r="R150" s="11">
        <f t="shared" si="11"/>
        <v>4</v>
      </c>
      <c r="S150" s="12" cm="1">
        <f t="array" ref="S150">INDEX('ClinicalStage-ConceptMap-3'!$I$15:$N$123,Q150+1,R150)</f>
        <v>0</v>
      </c>
    </row>
    <row r="151" spans="16:19">
      <c r="P151" s="11">
        <v>137</v>
      </c>
      <c r="Q151" s="11">
        <f t="shared" si="10"/>
        <v>22</v>
      </c>
      <c r="R151" s="11">
        <f t="shared" si="11"/>
        <v>5</v>
      </c>
      <c r="S151" s="12" cm="1">
        <f t="array" ref="S151">INDEX('ClinicalStage-ConceptMap-3'!$I$15:$N$123,Q151+1,R151)</f>
        <v>0</v>
      </c>
    </row>
    <row r="152" spans="16:19">
      <c r="P152" s="11">
        <v>138</v>
      </c>
      <c r="Q152" s="11">
        <f t="shared" si="10"/>
        <v>22</v>
      </c>
      <c r="R152" s="11">
        <f t="shared" si="11"/>
        <v>6</v>
      </c>
      <c r="S152" s="12" cm="1">
        <f t="array" ref="S152">INDEX('ClinicalStage-ConceptMap-3'!$I$15:$N$123,Q152+1,R152)</f>
        <v>0</v>
      </c>
    </row>
    <row r="153" spans="16:19">
      <c r="P153" s="11">
        <v>139</v>
      </c>
      <c r="Q153" s="11">
        <f t="shared" si="10"/>
        <v>23</v>
      </c>
      <c r="R153" s="11">
        <f t="shared" si="11"/>
        <v>1</v>
      </c>
      <c r="S153" s="12" cm="1">
        <f t="array" ref="S153">INDEX('ClinicalStage-ConceptMap-3'!$I$15:$N$123,Q153+1,R153)</f>
        <v>0</v>
      </c>
    </row>
    <row r="154" spans="16:19">
      <c r="P154" s="11">
        <v>140</v>
      </c>
      <c r="Q154" s="11">
        <f t="shared" si="10"/>
        <v>23</v>
      </c>
      <c r="R154" s="11">
        <f t="shared" si="11"/>
        <v>2</v>
      </c>
      <c r="S154" s="12" cm="1">
        <f t="array" ref="S154">INDEX('ClinicalStage-ConceptMap-3'!$I$15:$N$123,Q154+1,R154)</f>
        <v>0</v>
      </c>
    </row>
    <row r="155" spans="16:19">
      <c r="P155" s="11">
        <v>141</v>
      </c>
      <c r="Q155" s="11">
        <f t="shared" si="10"/>
        <v>23</v>
      </c>
      <c r="R155" s="11">
        <f t="shared" si="11"/>
        <v>3</v>
      </c>
      <c r="S155" s="12" cm="1">
        <f t="array" ref="S155">INDEX('ClinicalStage-ConceptMap-3'!$I$15:$N$123,Q155+1,R155)</f>
        <v>0</v>
      </c>
    </row>
    <row r="156" spans="16:19">
      <c r="P156" s="11">
        <v>142</v>
      </c>
      <c r="Q156" s="11">
        <f t="shared" si="10"/>
        <v>23</v>
      </c>
      <c r="R156" s="11">
        <f t="shared" si="11"/>
        <v>4</v>
      </c>
      <c r="S156" s="12" cm="1">
        <f t="array" ref="S156">INDEX('ClinicalStage-ConceptMap-3'!$I$15:$N$123,Q156+1,R156)</f>
        <v>0</v>
      </c>
    </row>
    <row r="157" spans="16:19">
      <c r="P157" s="11">
        <v>143</v>
      </c>
      <c r="Q157" s="11">
        <f t="shared" si="10"/>
        <v>23</v>
      </c>
      <c r="R157" s="11">
        <f t="shared" si="11"/>
        <v>5</v>
      </c>
      <c r="S157" s="12" cm="1">
        <f t="array" ref="S157">INDEX('ClinicalStage-ConceptMap-3'!$I$15:$N$123,Q157+1,R157)</f>
        <v>0</v>
      </c>
    </row>
    <row r="158" spans="16:19">
      <c r="P158" s="11">
        <v>144</v>
      </c>
      <c r="Q158" s="11">
        <f t="shared" si="10"/>
        <v>23</v>
      </c>
      <c r="R158" s="11">
        <f t="shared" si="11"/>
        <v>6</v>
      </c>
      <c r="S158" s="12" cm="1">
        <f t="array" ref="S158">INDEX('ClinicalStage-ConceptMap-3'!$I$15:$N$123,Q158+1,R158)</f>
        <v>0</v>
      </c>
    </row>
    <row r="159" spans="16:19">
      <c r="P159" s="11">
        <v>145</v>
      </c>
      <c r="Q159" s="11">
        <f t="shared" si="10"/>
        <v>24</v>
      </c>
      <c r="R159" s="11">
        <f t="shared" si="11"/>
        <v>1</v>
      </c>
      <c r="S159" s="12" cm="1">
        <f t="array" ref="S159">INDEX('ClinicalStage-ConceptMap-3'!$I$15:$N$123,Q159+1,R159)</f>
        <v>0</v>
      </c>
    </row>
    <row r="160" spans="16:19">
      <c r="P160" s="11">
        <v>146</v>
      </c>
      <c r="Q160" s="11">
        <f t="shared" si="10"/>
        <v>24</v>
      </c>
      <c r="R160" s="11">
        <f t="shared" si="11"/>
        <v>2</v>
      </c>
      <c r="S160" s="12" cm="1">
        <f t="array" ref="S160">INDEX('ClinicalStage-ConceptMap-3'!$I$15:$N$123,Q160+1,R160)</f>
        <v>0</v>
      </c>
    </row>
    <row r="161" spans="16:19">
      <c r="P161" s="11">
        <v>147</v>
      </c>
      <c r="Q161" s="11">
        <f t="shared" si="10"/>
        <v>24</v>
      </c>
      <c r="R161" s="11">
        <f t="shared" si="11"/>
        <v>3</v>
      </c>
      <c r="S161" s="12" cm="1">
        <f t="array" ref="S161">INDEX('ClinicalStage-ConceptMap-3'!$I$15:$N$123,Q161+1,R161)</f>
        <v>0</v>
      </c>
    </row>
    <row r="162" spans="16:19">
      <c r="P162" s="11">
        <v>148</v>
      </c>
      <c r="Q162" s="11">
        <f t="shared" si="10"/>
        <v>24</v>
      </c>
      <c r="R162" s="11">
        <f t="shared" si="11"/>
        <v>4</v>
      </c>
      <c r="S162" s="12" cm="1">
        <f t="array" ref="S162">INDEX('ClinicalStage-ConceptMap-3'!$I$15:$N$123,Q162+1,R162)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1983</v>
      </c>
      <c r="D3" s="62" t="s">
        <v>1769</v>
      </c>
      <c r="E3" s="117" t="str">
        <f>$C$1&amp;ClinicalStage!B4</f>
        <v>http://hl7.eu/fhir/ig/idea4rc/StructureDefinition/ClinicalStageI4rc</v>
      </c>
    </row>
    <row r="4" spans="1:19">
      <c r="B4" s="62" t="s">
        <v>16</v>
      </c>
      <c r="C4" s="28" t="s">
        <v>1985</v>
      </c>
      <c r="D4" s="62" t="s">
        <v>1770</v>
      </c>
      <c r="E4" s="184" t="s">
        <v>2005</v>
      </c>
      <c r="F4" s="185"/>
      <c r="G4" s="185"/>
    </row>
    <row r="5" spans="1:19">
      <c r="B5" s="62" t="s">
        <v>10</v>
      </c>
      <c r="C5" s="7" t="s">
        <v>1986</v>
      </c>
      <c r="D5" s="62"/>
      <c r="E5" s="7"/>
    </row>
    <row r="6" spans="1:19">
      <c r="B6" s="62" t="s">
        <v>18</v>
      </c>
      <c r="C6" s="56"/>
      <c r="D6" s="62" t="s">
        <v>1771</v>
      </c>
      <c r="E6" s="184" t="str">
        <f>E3</f>
        <v>http://hl7.eu/fhir/ig/idea4rc/StructureDefinition/ClinicalStageI4rc</v>
      </c>
      <c r="F6" s="185"/>
      <c r="G6" s="185"/>
    </row>
    <row r="7" spans="1:19">
      <c r="B7" s="62" t="s">
        <v>15</v>
      </c>
      <c r="C7" s="118"/>
      <c r="D7" s="62" t="s">
        <v>1772</v>
      </c>
      <c r="E7" s="184" t="s">
        <v>2005</v>
      </c>
      <c r="F7" s="185"/>
      <c r="G7" s="185"/>
    </row>
    <row r="8" spans="1:19" ht="44.25">
      <c r="B8" s="62" t="s">
        <v>1773</v>
      </c>
      <c r="C8" s="119" t="s">
        <v>1986</v>
      </c>
      <c r="D8" s="62"/>
      <c r="E8" s="7"/>
      <c r="I8" s="12" t="s">
        <v>1402</v>
      </c>
      <c r="J8" s="12" t="s">
        <v>1403</v>
      </c>
      <c r="K8" s="12" t="s">
        <v>1404</v>
      </c>
      <c r="L8" s="12" t="s">
        <v>1405</v>
      </c>
      <c r="M8" s="11" t="s">
        <v>1406</v>
      </c>
      <c r="P8" s="49" t="s">
        <v>1441</v>
      </c>
      <c r="Q8" s="49">
        <v>6</v>
      </c>
    </row>
    <row r="9" spans="1:19">
      <c r="B9" s="62" t="s">
        <v>1774</v>
      </c>
      <c r="C9" s="12" t="s">
        <v>1987</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1845</v>
      </c>
      <c r="E14" s="6"/>
      <c r="F14" s="64"/>
      <c r="G14" s="64"/>
      <c r="I14" s="12"/>
      <c r="J14" s="11"/>
      <c r="K14" s="11"/>
      <c r="L14" s="11"/>
      <c r="M14" s="63"/>
      <c r="N14" s="66"/>
    </row>
    <row r="15" spans="1:19" ht="73.75" customHeight="1">
      <c r="A15" s="59"/>
      <c r="B15" s="11" t="str">
        <f>ClinicalStage!B9</f>
        <v>cT</v>
      </c>
      <c r="C15" s="11" t="str">
        <f>ClinicalStage!C9</f>
        <v>cT</v>
      </c>
      <c r="D15" s="12" t="s">
        <v>1996</v>
      </c>
      <c r="E15" s="12"/>
      <c r="F15" s="64" t="s">
        <v>1407</v>
      </c>
      <c r="G15" s="123"/>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INDEX('ClinicalStage-ConceptMap-4'!$I$15:$N$43,Q15+1,R15)</f>
        <v>* group[=].element[+].code = #ClinicalStage.cT</v>
      </c>
    </row>
    <row r="16" spans="1:19" ht="44.25">
      <c r="A16" s="59"/>
      <c r="B16" s="11" t="str">
        <f>ClinicalStage!B10</f>
        <v>cN</v>
      </c>
      <c r="C16" s="11" t="str">
        <f>ClinicalStage!C10</f>
        <v>cN</v>
      </c>
      <c r="D16" s="12"/>
      <c r="E16" s="12"/>
      <c r="F16" s="145" t="s">
        <v>1424</v>
      </c>
      <c r="G16" s="123"/>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INDEX('ClinicalStage-ConceptMap-4'!$I$15:$N$43,Q16+1,R16)</f>
        <v>* group[=].element[=].display = ##34#cT##34#</v>
      </c>
    </row>
    <row r="17" spans="1:19" ht="44.25">
      <c r="A17" s="59"/>
      <c r="B17" s="11" t="str">
        <f>ClinicalStage!B11</f>
        <v>radiologicalExtraNodalExtension</v>
      </c>
      <c r="C17" s="11" t="str">
        <f>ClinicalStage!C11</f>
        <v>Radiological Extra-nodal extension (rENE)</v>
      </c>
      <c r="D17" s="12"/>
      <c r="E17" s="12"/>
      <c r="F17" s="145" t="s">
        <v>1424</v>
      </c>
      <c r="G17" s="123"/>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INDEX('ClinicalStage-ConceptMap-4'!$I$15:$N$43,Q17+1,R17)</f>
        <v>* group[=].element[=].target.code = #Observation.valueCodeableConcept</v>
      </c>
    </row>
    <row r="18" spans="1:19" ht="44.25">
      <c r="A18" s="59"/>
      <c r="B18" s="11" t="str">
        <f>ClinicalStage!B12</f>
        <v>cM</v>
      </c>
      <c r="C18" s="11" t="str">
        <f>ClinicalStage!C12</f>
        <v>cM</v>
      </c>
      <c r="D18" s="12"/>
      <c r="E18" s="12"/>
      <c r="F18" s="145" t="s">
        <v>1424</v>
      </c>
      <c r="G18" s="123"/>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INDEX('ClinicalStage-ConceptMap-4'!$I$15:$N$43,Q18+1,R18)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INDEX('ClinicalStage-ConceptMap-4'!$I$15:$N$43,Q19+1,R19)</f>
        <v>* group[=].element[=].target.equivalence = #relatedto</v>
      </c>
    </row>
    <row r="20" spans="1:19">
      <c r="A20" s="59"/>
      <c r="B20" s="11"/>
      <c r="C20" s="11"/>
      <c r="D20" s="12"/>
      <c r="E20" s="12"/>
      <c r="F20" s="64"/>
      <c r="G20" s="123"/>
      <c r="H20" s="58"/>
      <c r="I20" s="12"/>
      <c r="J20" s="12"/>
      <c r="K20" s="12"/>
      <c r="L20" s="12"/>
      <c r="M20" s="12"/>
      <c r="N20" s="12"/>
      <c r="P20" s="11">
        <v>6</v>
      </c>
      <c r="Q20" s="11">
        <f t="shared" si="6"/>
        <v>0</v>
      </c>
      <c r="R20" s="11">
        <f t="shared" si="7"/>
        <v>6</v>
      </c>
      <c r="S20" s="12" t="str" cm="1">
        <f t="array" ref="S20">INDEX('ClinicalStage-ConceptMap-4'!$I$15:$N$43,Q20+1,R20)</f>
        <v/>
      </c>
    </row>
    <row r="21" spans="1:19">
      <c r="A21" s="59"/>
      <c r="B21" s="11"/>
      <c r="C21" s="11"/>
      <c r="D21" s="12"/>
      <c r="E21" s="12"/>
      <c r="F21" s="64"/>
      <c r="G21" s="123"/>
      <c r="H21" s="58"/>
      <c r="I21" s="12"/>
      <c r="J21" s="12"/>
      <c r="K21" s="12"/>
      <c r="L21" s="12"/>
      <c r="M21" s="12"/>
      <c r="N21" s="12"/>
      <c r="P21" s="11">
        <v>7</v>
      </c>
      <c r="Q21" s="11">
        <f t="shared" si="6"/>
        <v>1</v>
      </c>
      <c r="R21" s="11">
        <f t="shared" si="7"/>
        <v>1</v>
      </c>
      <c r="S21" s="12" t="str" cm="1">
        <f t="array" ref="S21">INDEX('ClinicalStage-ConceptMap-4'!$I$15:$N$43,Q21+1,R21)</f>
        <v>* group[=].element[+].code = #ClinicalStage.cN</v>
      </c>
    </row>
    <row r="22" spans="1:19">
      <c r="A22" s="59"/>
      <c r="B22" s="11"/>
      <c r="C22" s="11"/>
      <c r="D22" s="12"/>
      <c r="E22" s="12"/>
      <c r="F22" s="64"/>
      <c r="G22" s="123"/>
      <c r="H22" s="58"/>
      <c r="I22" s="12"/>
      <c r="J22" s="12"/>
      <c r="K22" s="12"/>
      <c r="L22" s="12"/>
      <c r="M22" s="12"/>
      <c r="N22" s="12"/>
      <c r="P22" s="11">
        <v>8</v>
      </c>
      <c r="Q22" s="11">
        <f t="shared" si="6"/>
        <v>1</v>
      </c>
      <c r="R22" s="11">
        <f t="shared" si="7"/>
        <v>2</v>
      </c>
      <c r="S22" s="12" t="str" cm="1">
        <f t="array" ref="S22">INDEX('ClinicalStage-ConceptMap-4'!$I$15:$N$43,Q22+1,R22)</f>
        <v>* group[=].element[=].display = ##34#cN##34#</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t="str" cm="1">
        <f t="array" ref="S23">INDEX('ClinicalStage-ConceptMap-4'!$I$15:$N$43,Q23+1,R23)</f>
        <v>//-- unmatched</v>
      </c>
    </row>
    <row r="24" spans="1:19">
      <c r="A24" s="59"/>
      <c r="B24" s="11"/>
      <c r="C24" s="11"/>
      <c r="D24" s="12"/>
      <c r="E24" s="12"/>
      <c r="F24" s="64"/>
      <c r="G24" s="123"/>
      <c r="H24" s="58"/>
      <c r="I24" s="12"/>
      <c r="J24" s="12"/>
      <c r="K24" s="12"/>
      <c r="L24" s="12"/>
      <c r="M24" s="12"/>
      <c r="N24" s="12"/>
      <c r="P24" s="11">
        <v>10</v>
      </c>
      <c r="Q24" s="11">
        <f t="shared" si="6"/>
        <v>1</v>
      </c>
      <c r="R24" s="11">
        <f t="shared" si="7"/>
        <v>4</v>
      </c>
      <c r="S24" s="12" t="str" cm="1">
        <f t="array" ref="S24">INDEX('ClinicalStage-ConceptMap-4'!$I$15:$N$43,Q24+1,R24)</f>
        <v>//-- unmatched</v>
      </c>
    </row>
    <row r="25" spans="1:19">
      <c r="A25" s="59"/>
      <c r="B25" s="11"/>
      <c r="C25" s="11"/>
      <c r="D25" s="12"/>
      <c r="E25" s="12"/>
      <c r="F25" s="64"/>
      <c r="G25" s="123"/>
      <c r="H25" s="58"/>
      <c r="I25" s="12"/>
      <c r="J25" s="12"/>
      <c r="K25" s="12"/>
      <c r="L25" s="12"/>
      <c r="M25" s="12"/>
      <c r="N25" s="12"/>
      <c r="P25" s="11">
        <v>11</v>
      </c>
      <c r="Q25" s="11">
        <f t="shared" si="6"/>
        <v>1</v>
      </c>
      <c r="R25" s="11">
        <f t="shared" si="7"/>
        <v>5</v>
      </c>
      <c r="S25" s="12" t="str" cm="1">
        <f t="array" ref="S25">INDEX('ClinicalStage-ConceptMap-4'!$I$15:$N$43,Q25+1,R25)</f>
        <v>* group[=].element[=].target.equivalence = #unmatched</v>
      </c>
    </row>
    <row r="26" spans="1:19">
      <c r="A26" s="59"/>
      <c r="B26" s="11"/>
      <c r="C26" s="11"/>
      <c r="D26" s="12"/>
      <c r="E26" s="12"/>
      <c r="F26" s="64"/>
      <c r="G26" s="123"/>
      <c r="H26" s="58"/>
      <c r="I26" s="12"/>
      <c r="J26" s="12"/>
      <c r="K26" s="12"/>
      <c r="L26" s="12"/>
      <c r="M26" s="12"/>
      <c r="N26" s="12"/>
      <c r="P26" s="11">
        <v>12</v>
      </c>
      <c r="Q26" s="11">
        <f t="shared" si="6"/>
        <v>1</v>
      </c>
      <c r="R26" s="11">
        <f t="shared" si="7"/>
        <v>6</v>
      </c>
      <c r="S26" s="12" t="str" cm="1">
        <f t="array" ref="S26">INDEX('ClinicalStage-ConceptMap-4'!$I$15:$N$43,Q26+1,R26)</f>
        <v/>
      </c>
    </row>
    <row r="27" spans="1:19">
      <c r="B27" s="11"/>
      <c r="C27" s="11"/>
      <c r="D27" s="12"/>
      <c r="E27" s="12"/>
      <c r="F27" s="64"/>
      <c r="G27" s="123"/>
      <c r="H27" s="58"/>
      <c r="I27" s="12"/>
      <c r="J27" s="12"/>
      <c r="K27" s="12"/>
      <c r="L27" s="12"/>
      <c r="M27" s="12"/>
      <c r="N27" s="12"/>
      <c r="P27" s="11">
        <v>13</v>
      </c>
      <c r="Q27" s="11">
        <f t="shared" si="6"/>
        <v>2</v>
      </c>
      <c r="R27" s="11">
        <f t="shared" si="7"/>
        <v>1</v>
      </c>
      <c r="S27" s="12" t="str" cm="1">
        <f t="array" ref="S27">INDEX('ClinicalStage-ConceptMap-4'!$I$15:$N$43,Q27+1,R27)</f>
        <v>* group[=].element[+].code = #ClinicalStage.radiologicalExtraNodalExtension</v>
      </c>
    </row>
    <row r="28" spans="1:19">
      <c r="B28" s="11"/>
      <c r="C28" s="11"/>
      <c r="D28" s="12"/>
      <c r="E28" s="12"/>
      <c r="F28" s="64"/>
      <c r="G28" s="123"/>
      <c r="H28" s="58"/>
      <c r="I28" s="12"/>
      <c r="J28" s="12"/>
      <c r="K28" s="12"/>
      <c r="L28" s="12"/>
      <c r="M28" s="12"/>
      <c r="N28" s="12"/>
      <c r="P28" s="11">
        <v>14</v>
      </c>
      <c r="Q28" s="11">
        <f t="shared" si="6"/>
        <v>2</v>
      </c>
      <c r="R28" s="11">
        <f t="shared" si="7"/>
        <v>2</v>
      </c>
      <c r="S28" s="12" t="str" cm="1">
        <f t="array" ref="S28">INDEX('ClinicalStage-ConceptMap-4'!$I$15:$N$43,Q28+1,R28)</f>
        <v>* group[=].element[=].display = ##34#Radiological Extra-nodal extension (rENE)##34#</v>
      </c>
    </row>
    <row r="29" spans="1:19">
      <c r="B29" s="11"/>
      <c r="C29" s="11"/>
      <c r="D29" s="12"/>
      <c r="E29" s="12"/>
      <c r="F29" s="64"/>
      <c r="G29" s="123"/>
      <c r="H29" s="58"/>
      <c r="I29" s="12"/>
      <c r="J29" s="12"/>
      <c r="K29" s="12"/>
      <c r="L29" s="12"/>
      <c r="M29" s="12"/>
      <c r="N29" s="12"/>
      <c r="P29" s="11">
        <v>15</v>
      </c>
      <c r="Q29" s="11">
        <f t="shared" si="6"/>
        <v>2</v>
      </c>
      <c r="R29" s="11">
        <f t="shared" si="7"/>
        <v>3</v>
      </c>
      <c r="S29" s="12" t="str" cm="1">
        <f t="array" ref="S29">INDEX('ClinicalStage-ConceptMap-4'!$I$15:$N$43,Q29+1,R29)</f>
        <v>//-- unmatched</v>
      </c>
    </row>
    <row r="30" spans="1:19">
      <c r="B30" s="11"/>
      <c r="C30" s="11"/>
      <c r="D30" s="12"/>
      <c r="E30" s="12"/>
      <c r="F30" s="64"/>
      <c r="G30" s="123"/>
      <c r="H30" s="58"/>
      <c r="I30" s="12"/>
      <c r="J30" s="12"/>
      <c r="K30" s="12"/>
      <c r="L30" s="12"/>
      <c r="M30" s="12"/>
      <c r="N30" s="12"/>
      <c r="P30" s="11">
        <v>16</v>
      </c>
      <c r="Q30" s="11">
        <f t="shared" si="6"/>
        <v>2</v>
      </c>
      <c r="R30" s="11">
        <f t="shared" si="7"/>
        <v>4</v>
      </c>
      <c r="S30" s="12" t="str" cm="1">
        <f t="array" ref="S30">INDEX('ClinicalStage-ConceptMap-4'!$I$15:$N$43,Q30+1,R30)</f>
        <v>//-- unmatched</v>
      </c>
    </row>
    <row r="31" spans="1:19">
      <c r="B31" s="11"/>
      <c r="C31" s="11"/>
      <c r="D31" s="12"/>
      <c r="E31" s="12"/>
      <c r="F31" s="64"/>
      <c r="G31" s="123"/>
      <c r="H31" s="58"/>
      <c r="I31" s="12"/>
      <c r="J31" s="12"/>
      <c r="K31" s="12"/>
      <c r="L31" s="12"/>
      <c r="M31" s="12"/>
      <c r="N31" s="12"/>
      <c r="P31" s="11">
        <v>17</v>
      </c>
      <c r="Q31" s="11">
        <f t="shared" si="6"/>
        <v>2</v>
      </c>
      <c r="R31" s="11">
        <f t="shared" si="7"/>
        <v>5</v>
      </c>
      <c r="S31" s="12" t="str" cm="1">
        <f t="array" ref="S31">INDEX('ClinicalStage-ConceptMap-4'!$I$15:$N$43,Q31+1,R31)</f>
        <v>* group[=].element[=].target.equivalence = #unmatched</v>
      </c>
    </row>
    <row r="32" spans="1:19">
      <c r="B32" s="11"/>
      <c r="C32" s="11"/>
      <c r="D32" s="12"/>
      <c r="E32" s="12"/>
      <c r="F32" s="64"/>
      <c r="G32" s="123"/>
      <c r="H32" s="58"/>
      <c r="I32" s="12"/>
      <c r="J32" s="12"/>
      <c r="K32" s="12"/>
      <c r="L32" s="12"/>
      <c r="M32" s="12"/>
      <c r="N32" s="12"/>
      <c r="P32" s="11">
        <v>18</v>
      </c>
      <c r="Q32" s="11">
        <f t="shared" si="6"/>
        <v>2</v>
      </c>
      <c r="R32" s="11">
        <f t="shared" si="7"/>
        <v>6</v>
      </c>
      <c r="S32" s="12" t="str" cm="1">
        <f t="array" ref="S32">INDEX('ClinicalStage-ConceptMap-4'!$I$15:$N$43,Q32+1,R32)</f>
        <v/>
      </c>
    </row>
    <row r="33" spans="1:19">
      <c r="B33" s="11"/>
      <c r="C33" s="11"/>
      <c r="D33" s="12"/>
      <c r="E33" s="12"/>
      <c r="F33" s="64"/>
      <c r="G33" s="123"/>
      <c r="H33" s="58"/>
      <c r="I33" s="12"/>
      <c r="J33" s="12"/>
      <c r="K33" s="12"/>
      <c r="L33" s="12"/>
      <c r="M33" s="12"/>
      <c r="N33" s="12"/>
      <c r="P33" s="11">
        <v>19</v>
      </c>
      <c r="Q33" s="11">
        <f t="shared" si="6"/>
        <v>3</v>
      </c>
      <c r="R33" s="11">
        <f t="shared" si="7"/>
        <v>1</v>
      </c>
      <c r="S33" s="12" t="str" cm="1">
        <f t="array" ref="S33">INDEX('ClinicalStage-ConceptMap-4'!$I$15:$N$43,Q33+1,R33)</f>
        <v>* group[=].element[+].code = #ClinicalStage.cM</v>
      </c>
    </row>
    <row r="34" spans="1:19">
      <c r="B34" s="11"/>
      <c r="C34" s="11"/>
      <c r="D34" s="12"/>
      <c r="E34" s="12"/>
      <c r="F34" s="64"/>
      <c r="G34" s="123"/>
      <c r="H34" s="58"/>
      <c r="I34" s="12"/>
      <c r="J34" s="12"/>
      <c r="K34" s="12"/>
      <c r="L34" s="12"/>
      <c r="M34" s="12"/>
      <c r="N34" s="12"/>
      <c r="P34" s="11">
        <v>20</v>
      </c>
      <c r="Q34" s="11">
        <f t="shared" si="6"/>
        <v>3</v>
      </c>
      <c r="R34" s="11">
        <f t="shared" si="7"/>
        <v>2</v>
      </c>
      <c r="S34" s="12" t="str" cm="1">
        <f t="array" ref="S34">INDEX('ClinicalStage-ConceptMap-4'!$I$15:$N$43,Q34+1,R34)</f>
        <v>* group[=].element[=].display = ##34#cM##34#</v>
      </c>
    </row>
    <row r="35" spans="1:19">
      <c r="B35" s="11"/>
      <c r="C35" s="11"/>
      <c r="D35" s="12"/>
      <c r="E35" s="12"/>
      <c r="F35" s="64"/>
      <c r="G35" s="123"/>
      <c r="H35" s="58"/>
      <c r="I35" s="12"/>
      <c r="J35" s="12"/>
      <c r="K35" s="12"/>
      <c r="L35" s="12"/>
      <c r="M35" s="12"/>
      <c r="N35" s="12"/>
      <c r="P35" s="11">
        <v>21</v>
      </c>
      <c r="Q35" s="11">
        <f t="shared" si="6"/>
        <v>3</v>
      </c>
      <c r="R35" s="11">
        <f t="shared" si="7"/>
        <v>3</v>
      </c>
      <c r="S35" s="12" t="str" cm="1">
        <f t="array" ref="S35">INDEX('ClinicalStage-ConceptMap-4'!$I$15:$N$43,Q35+1,R35)</f>
        <v>//-- unmatched</v>
      </c>
    </row>
    <row r="36" spans="1:19">
      <c r="B36" s="11"/>
      <c r="C36" s="11"/>
      <c r="D36" s="12"/>
      <c r="E36" s="12"/>
      <c r="F36" s="64"/>
      <c r="G36" s="123"/>
      <c r="H36" s="58"/>
      <c r="I36" s="12"/>
      <c r="J36" s="12"/>
      <c r="K36" s="12"/>
      <c r="L36" s="12"/>
      <c r="M36" s="12"/>
      <c r="N36" s="12"/>
      <c r="P36" s="11">
        <v>22</v>
      </c>
      <c r="Q36" s="11">
        <f t="shared" si="6"/>
        <v>3</v>
      </c>
      <c r="R36" s="11">
        <f t="shared" si="7"/>
        <v>4</v>
      </c>
      <c r="S36" s="12" t="str" cm="1">
        <f t="array" ref="S36">INDEX('ClinicalStage-ConceptMap-4'!$I$15:$N$43,Q36+1,R36)</f>
        <v>//-- unmatched</v>
      </c>
    </row>
    <row r="37" spans="1:19">
      <c r="B37" s="11"/>
      <c r="C37" s="11"/>
      <c r="D37" s="12"/>
      <c r="E37" s="12"/>
      <c r="F37" s="64"/>
      <c r="G37" s="123"/>
      <c r="H37" s="58"/>
      <c r="K37" s="58"/>
      <c r="L37" s="58"/>
      <c r="M37" s="66"/>
      <c r="N37" s="66"/>
      <c r="P37" s="11">
        <v>23</v>
      </c>
      <c r="Q37" s="11">
        <f t="shared" si="6"/>
        <v>3</v>
      </c>
      <c r="R37" s="11">
        <f t="shared" si="7"/>
        <v>5</v>
      </c>
      <c r="S37" s="12" t="str" cm="1">
        <f t="array" ref="S37">INDEX('ClinicalStage-ConceptMap-4'!$I$15:$N$43,Q37+1,R37)</f>
        <v>* group[=].element[=].target.equivalence = #unmatched</v>
      </c>
    </row>
    <row r="38" spans="1:19">
      <c r="B38" s="11"/>
      <c r="C38" s="11"/>
      <c r="D38" s="12"/>
      <c r="E38" s="12"/>
      <c r="F38" s="64"/>
      <c r="G38" s="123"/>
      <c r="H38" s="58"/>
      <c r="K38" s="58"/>
      <c r="L38" s="58"/>
      <c r="M38" s="66"/>
      <c r="N38" s="66"/>
      <c r="P38" s="11">
        <v>24</v>
      </c>
      <c r="Q38" s="11">
        <f t="shared" si="6"/>
        <v>3</v>
      </c>
      <c r="R38" s="11">
        <f t="shared" si="7"/>
        <v>6</v>
      </c>
      <c r="S38" s="12" t="str" cm="1">
        <f t="array" ref="S38">INDEX('ClinicalStage-ConceptMap-4'!$I$15:$N$43,Q38+1,R38)</f>
        <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INDEX('ClinicalStage-ConceptMap-4'!$I$15:$N$43,Q39+1,R39)</f>
        <v>0</v>
      </c>
    </row>
    <row r="40" spans="1:19" s="2" customFormat="1">
      <c r="A40"/>
      <c r="B40" s="11"/>
      <c r="C40" s="11"/>
      <c r="D40" s="12"/>
      <c r="F40" s="58"/>
      <c r="G40" s="123"/>
      <c r="H40" s="58"/>
      <c r="J40"/>
      <c r="K40" s="58"/>
      <c r="L40" s="58"/>
      <c r="M40" s="66"/>
      <c r="N40" s="66"/>
      <c r="P40" s="11">
        <v>26</v>
      </c>
      <c r="Q40" s="11">
        <f t="shared" si="6"/>
        <v>4</v>
      </c>
      <c r="R40" s="11">
        <f t="shared" si="7"/>
        <v>2</v>
      </c>
      <c r="S40" s="12" cm="1">
        <f t="array" ref="S40">INDEX('ClinicalStage-ConceptMap-4'!$I$15:$N$43,Q40+1,R40)</f>
        <v>0</v>
      </c>
    </row>
    <row r="41" spans="1:19" s="2" customFormat="1">
      <c r="A41"/>
      <c r="B41" s="11"/>
      <c r="C41" s="11"/>
      <c r="D41" s="12"/>
      <c r="F41" s="58"/>
      <c r="G41" s="123"/>
      <c r="H41" s="58"/>
      <c r="J41"/>
      <c r="K41" s="58"/>
      <c r="L41" s="58"/>
      <c r="M41" s="66"/>
      <c r="N41" s="66"/>
      <c r="P41" s="11">
        <v>27</v>
      </c>
      <c r="Q41" s="11">
        <f t="shared" si="6"/>
        <v>4</v>
      </c>
      <c r="R41" s="11">
        <f t="shared" si="7"/>
        <v>3</v>
      </c>
      <c r="S41" s="12" cm="1">
        <f t="array" ref="S41">INDEX('ClinicalStage-ConceptMap-4'!$I$15:$N$43,Q41+1,R41)</f>
        <v>0</v>
      </c>
    </row>
    <row r="42" spans="1:19" s="2" customFormat="1">
      <c r="A42"/>
      <c r="B42" s="11"/>
      <c r="C42" s="11"/>
      <c r="D42" s="12"/>
      <c r="F42" s="58"/>
      <c r="G42" s="123"/>
      <c r="H42" s="58"/>
      <c r="J42" s="58"/>
      <c r="K42" s="58"/>
      <c r="L42" s="58"/>
      <c r="M42" s="66"/>
      <c r="N42" s="66"/>
      <c r="P42" s="11">
        <v>28</v>
      </c>
      <c r="Q42" s="11">
        <f t="shared" si="6"/>
        <v>4</v>
      </c>
      <c r="R42" s="11">
        <f t="shared" si="7"/>
        <v>4</v>
      </c>
      <c r="S42" s="12" cm="1">
        <f t="array" ref="S42">INDEX('ClinicalStage-ConceptMap-4'!$I$15:$N$43,Q42+1,R42)</f>
        <v>0</v>
      </c>
    </row>
    <row r="43" spans="1:19" s="2" customFormat="1">
      <c r="A43"/>
      <c r="B43" s="11"/>
      <c r="C43" s="11"/>
      <c r="F43" s="58"/>
      <c r="G43" s="123"/>
      <c r="H43" s="58"/>
      <c r="J43" s="58"/>
      <c r="K43" s="58"/>
      <c r="L43" s="58"/>
      <c r="M43" s="66"/>
      <c r="N43" s="66"/>
      <c r="P43" s="11">
        <v>29</v>
      </c>
      <c r="Q43" s="11">
        <f t="shared" si="6"/>
        <v>4</v>
      </c>
      <c r="R43" s="11">
        <f t="shared" si="7"/>
        <v>5</v>
      </c>
      <c r="S43" s="12" cm="1">
        <f t="array" ref="S43">INDEX('ClinicalStage-ConceptMap-4'!$I$15:$N$43,Q43+1,R43)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2006</v>
      </c>
    </row>
    <row r="3" spans="2:7">
      <c r="B3" s="24" t="s">
        <v>20</v>
      </c>
    </row>
    <row r="4" spans="2:7">
      <c r="B4" s="65" t="str">
        <f>"Instance: "&amp;'ClinicalStage-ConceptMap-1'!C4</f>
        <v>Instance: clinicalStage2FHIR</v>
      </c>
    </row>
    <row r="5" spans="2:7">
      <c r="B5" s="65" t="s">
        <v>1447</v>
      </c>
    </row>
    <row r="6" spans="2:7">
      <c r="B6" s="65" t="s">
        <v>1438</v>
      </c>
    </row>
    <row r="7" spans="2:7">
      <c r="B7" s="65" t="s">
        <v>1776</v>
      </c>
    </row>
    <row r="8" spans="2:7">
      <c r="B8" s="65" t="str">
        <f>"* name = ##34#"&amp;'ClinicalStage-ConceptMap-1'!C3&amp;"##34#"</f>
        <v>* name = ##34#ClinicalStage2FHIR##34#</v>
      </c>
    </row>
    <row r="9" spans="2:7">
      <c r="B9" s="65" t="str">
        <f>"* title = ##34#"&amp;'ClinicalStage-ConceptMap-1'!C5&amp;"##34#"</f>
        <v>* title = ##34#Clinical Stage Model to this guide Map##34#</v>
      </c>
    </row>
    <row r="10" spans="2:7">
      <c r="B10" s="65" t="s">
        <v>1439</v>
      </c>
    </row>
    <row r="11" spans="2:7">
      <c r="B11" s="65" t="s">
        <v>1440</v>
      </c>
    </row>
    <row r="12" spans="2:7">
      <c r="B12" s="65" t="str">
        <f>"* description = ##34#"&amp;'ClinicalStage-ConceptMap-1'!C8&amp;"##34#"</f>
        <v>* description = ##34#Clinical Stage Model to this guide Map##34#</v>
      </c>
    </row>
    <row r="13" spans="2:7">
      <c r="B13" s="65" t="str">
        <f>"* purpose = ##34#"&amp;'ClinicalStage-ConceptMap-1'!C9&amp;"##34#"</f>
        <v>* purpose = ##34#It shows how the Clinical Stage model is mapped into this guide##34#</v>
      </c>
    </row>
    <row r="14" spans="2:7">
      <c r="B14" s="69" t="str">
        <f>"* sourceUri = ##34#"&amp;'ClinicalStage-ConceptMap-1'!E3&amp;"##34#"</f>
        <v>* sourceUri = ##34#http://hl7.eu/fhir/ig/idea4rc/StructureDefinition/ClinicalStageI4rc##34#</v>
      </c>
    </row>
    <row r="15" spans="2:7">
      <c r="B15" s="69" t="str">
        <f>"* targetUri = ##34#"&amp;'ClinicalStage-ConceptMap-1'!E4&amp;"##34#"</f>
        <v>* targetUri = ##34#http://hl7.eu/fhir/ig/idea4rc/StructureDefinition/mcode-cancer-stage-group##34#</v>
      </c>
    </row>
    <row r="16" spans="2:7">
      <c r="B16" s="68" t="str">
        <f>"* group[+].source = ##34#"&amp;'ClinicalStage-ConceptMap-1'!E6&amp;"##34#"</f>
        <v>* group[+].source = ##34#http://hl7.eu/fhir/ig/idea4rc/StructureDefinition/ClinicalStageI4rc##34#</v>
      </c>
    </row>
    <row r="17" spans="2:7">
      <c r="B17" s="68" t="str">
        <f>"* group[=].target = ##34#"&amp;'ClinicalStage-ConceptMap-1'!E7&amp;"##34#"</f>
        <v>* group[=].target = ##34#http://hl7.eu/fhir/ig/idea4rc/StructureDefinition/mcode-cancer-stage-group##34#</v>
      </c>
    </row>
    <row r="18" spans="2:7">
      <c r="B18" s="121"/>
    </row>
    <row r="19" spans="2:7">
      <c r="B19" s="12" t="str">
        <f>IF('ClinicalStage-ConceptMap-1'!S15=0,"//---END",'ClinicalStage-ConceptMap-1'!S15)</f>
        <v>* group[=].element[+].code = #ClinicalStage.episodeEvent</v>
      </c>
    </row>
    <row r="20" spans="2:7">
      <c r="B20" s="12" t="str">
        <f>IF('ClinicalStage-ConceptMap-1'!S16=0,"//---END",'ClinicalStage-ConceptMap-1'!S16)</f>
        <v>* group[=].element[=].display = ##34#Episode Event##34#</v>
      </c>
    </row>
    <row r="21" spans="2:7">
      <c r="B21" s="12" t="str">
        <f>IF('ClinicalStage-ConceptMap-1'!S17=0,"//---END",'ClinicalStage-ConceptMap-1'!S17)</f>
        <v>* group[=].element[=].target.code = #Observation.</v>
      </c>
    </row>
    <row r="22" spans="2:7">
      <c r="B22" s="12" t="str">
        <f>IF('ClinicalStage-ConceptMap-1'!S18=0,"//---END",'ClinicalStage-ConceptMap-1'!S18)</f>
        <v>* group[=].element[=].target.display = ##34###34#</v>
      </c>
    </row>
    <row r="23" spans="2:7">
      <c r="B23" s="12" t="str">
        <f>IF('ClinicalStage-ConceptMap-1'!S19=0,"//---END",'ClinicalStage-ConceptMap-1'!S19)</f>
        <v>* group[=].element[=].target.equivalence = #relatedto</v>
      </c>
    </row>
    <row r="24" spans="2:7">
      <c r="B24" s="12" t="str">
        <f>IF('ClinicalStage-ConceptMap-1'!S20=0,"//---END",'ClinicalStage-ConceptMap-1'!S20)</f>
        <v>* group[=].element[=].target.comment = ##34#Condition.stage.assessment##34#</v>
      </c>
      <c r="G24" s="7"/>
    </row>
    <row r="25" spans="2:7">
      <c r="B25" s="12" t="str">
        <f>IF('ClinicalStage-ConceptMap-1'!S21=0,"//---END",'ClinicalStage-ConceptMap-1'!S21)</f>
        <v>* group[=].element[+].code = #ClinicalStage.cT</v>
      </c>
    </row>
    <row r="26" spans="2:7">
      <c r="B26" s="12" t="str">
        <f>IF('ClinicalStage-ConceptMap-1'!S22=0,"//---END",'ClinicalStage-ConceptMap-1'!S22)</f>
        <v>* group[=].element[=].display = ##34#cT##34#</v>
      </c>
    </row>
    <row r="27" spans="2:7">
      <c r="B27" s="12" t="str">
        <f>IF('ClinicalStage-ConceptMap-1'!S23=0,"//---END",'ClinicalStage-ConceptMap-1'!S23)</f>
        <v>* group[=].element[=].target.code = #Observation.hasMember:tnmPrimaryTumorCategory</v>
      </c>
    </row>
    <row r="28" spans="2:7">
      <c r="B28" s="12" t="str">
        <f>IF('ClinicalStage-ConceptMap-1'!S24=0,"//---END",'ClinicalStage-ConceptMap-1'!S24)</f>
        <v>* group[=].element[=].target.display = ##34###34#</v>
      </c>
    </row>
    <row r="29" spans="2:7">
      <c r="B29" s="12" t="str">
        <f>IF('ClinicalStage-ConceptMap-1'!S25=0,"//---END",'ClinicalStage-ConceptMap-1'!S25)</f>
        <v>* group[=].element[=].target.equivalence = #relatedto</v>
      </c>
    </row>
    <row r="30" spans="2:7">
      <c r="B30" s="12" t="str">
        <f>IF('ClinicalStage-ConceptMap-1'!S26=0,"//---END",'ClinicalStage-ConceptMap-1'!S26)</f>
        <v>* group[=].element[=].target.comment = ##34#where code = 21908-9 'Stage group.clinical'##34#</v>
      </c>
    </row>
    <row r="31" spans="2:7">
      <c r="B31" s="12" t="str">
        <f>IF('ClinicalStage-ConceptMap-1'!S27=0,"//---END",'ClinicalStage-ConceptMap-1'!S27)</f>
        <v>* group[=].element[+].code = #ClinicalStage.cN</v>
      </c>
    </row>
    <row r="32" spans="2:7">
      <c r="B32" s="12" t="str">
        <f>IF('ClinicalStage-ConceptMap-1'!S28=0,"//---END",'ClinicalStage-ConceptMap-1'!S28)</f>
        <v>* group[=].element[=].display = ##34#cN##34#</v>
      </c>
    </row>
    <row r="33" spans="2:2">
      <c r="B33" s="12" t="str">
        <f>IF('ClinicalStage-ConceptMap-1'!S29=0,"//---END",'ClinicalStage-ConceptMap-1'!S29)</f>
        <v>* group[=].element[=].target.code = #Observation.hasMember:tnmRegionalNodesCategory</v>
      </c>
    </row>
    <row r="34" spans="2:2">
      <c r="B34" s="12" t="str">
        <f>IF('ClinicalStage-ConceptMap-1'!S30=0,"//---END",'ClinicalStage-ConceptMap-1'!S30)</f>
        <v>* group[=].element[=].target.display = ##34###34#</v>
      </c>
    </row>
    <row r="35" spans="2:2">
      <c r="B35" s="12" t="str">
        <f>IF('ClinicalStage-ConceptMap-1'!S31=0,"//---END",'ClinicalStage-ConceptMap-1'!S31)</f>
        <v>* group[=].element[=].target.equivalence = #relatedto</v>
      </c>
    </row>
    <row r="36" spans="2:2">
      <c r="B36" s="12" t="str">
        <f>IF('ClinicalStage-ConceptMap-1'!S32=0,"//---END",'ClinicalStage-ConceptMap-1'!S32)</f>
        <v>* group[=].element[=].target.comment = ##34#where code = 21908-9 'Stage group.clinical'##34#</v>
      </c>
    </row>
    <row r="37" spans="2:2">
      <c r="B37" s="12" t="str">
        <f>IF('ClinicalStage-ConceptMap-1'!S33=0,"//---END",'ClinicalStage-ConceptMap-1'!S33)</f>
        <v>* group[=].element[+].code = #ClinicalStage.radiologicalExtraNodalExtension</v>
      </c>
    </row>
    <row r="38" spans="2:2">
      <c r="B38" s="12" t="str">
        <f>IF('ClinicalStage-ConceptMap-1'!S34=0,"//---END",'ClinicalStage-ConceptMap-1'!S34)</f>
        <v>* group[=].element[=].display = ##34#Radiological Extra-nodal extension (rENE)##34#</v>
      </c>
    </row>
    <row r="39" spans="2:2">
      <c r="B39" s="12" t="str">
        <f>IF('ClinicalStage-ConceptMap-1'!S35=0,"//---END",'ClinicalStage-ConceptMap-1'!S35)</f>
        <v>* group[=].element[=].target.code = #Observation.</v>
      </c>
    </row>
    <row r="40" spans="2:2">
      <c r="B40" s="12" t="str">
        <f>IF('ClinicalStage-ConceptMap-1'!S36=0,"//---END",'ClinicalStage-ConceptMap-1'!S36)</f>
        <v>* group[=].element[=].target.display = ##34###34#</v>
      </c>
    </row>
    <row r="41" spans="2:2">
      <c r="B41" s="12" t="str">
        <f>IF('ClinicalStage-ConceptMap-1'!S37=0,"//---END",'ClinicalStage-ConceptMap-1'!S37)</f>
        <v>* group[=].element[=].target.equivalence = #relatedto</v>
      </c>
    </row>
    <row r="42" spans="2:2">
      <c r="B42" s="12" t="str">
        <f>IF('ClinicalStage-ConceptMap-1'!S38=0,"//---END",'ClinicalStage-ConceptMap-1'!S38)</f>
        <v>* group[=].element[=].target.comment = ##34#TO BE DEFINED##34#</v>
      </c>
    </row>
    <row r="43" spans="2:2">
      <c r="B43" s="12" t="str">
        <f>IF('ClinicalStage-ConceptMap-1'!S39=0,"//---END",'ClinicalStage-ConceptMap-1'!S39)</f>
        <v>* group[=].element[+].code = #ClinicalStage.cM</v>
      </c>
    </row>
    <row r="44" spans="2:2">
      <c r="B44" s="12" t="str">
        <f>IF('ClinicalStage-ConceptMap-1'!S40=0,"//---END",'ClinicalStage-ConceptMap-1'!S40)</f>
        <v>* group[=].element[=].display = ##34#cM##34#</v>
      </c>
    </row>
    <row r="45" spans="2:2">
      <c r="B45" s="12" t="str">
        <f>IF('ClinicalStage-ConceptMap-1'!S41=0,"//---END",'ClinicalStage-ConceptMap-1'!S41)</f>
        <v>* group[=].element[=].target.code = #Observation.hasMember:tnmDistantMetastasesCategory</v>
      </c>
    </row>
    <row r="46" spans="2:2">
      <c r="B46" s="12" t="str">
        <f>IF('ClinicalStage-ConceptMap-1'!S42=0,"//---END",'ClinicalStage-ConceptMap-1'!S42)</f>
        <v>* group[=].element[=].target.display = ##34###34#</v>
      </c>
    </row>
    <row r="47" spans="2:2">
      <c r="B47" s="12" t="str">
        <f>IF('ClinicalStage-ConceptMap-1'!S43=0,"//---END",'ClinicalStage-ConceptMap-1'!S43)</f>
        <v>* group[=].element[=].target.equivalence = #equal</v>
      </c>
    </row>
    <row r="48" spans="2:2">
      <c r="B48" s="12" t="str">
        <f>IF('ClinicalStage-ConceptMap-1'!S44=0,"//---END",'ClinicalStage-ConceptMap-1'!S44)</f>
        <v>* group[=].element[=].target.comment = ##34#where code = 21908-9 'Stage group.clinical'##34#</v>
      </c>
    </row>
    <row r="49" spans="2:2">
      <c r="B49" s="12" t="str">
        <f>IF('ClinicalStage-ConceptMap-1'!S45=0,"//---END",'ClinicalStage-ConceptMap-1'!S45)</f>
        <v>* group[=].element[+].code = #ClinicalStage.clinicalStaging</v>
      </c>
    </row>
    <row r="50" spans="2:2">
      <c r="B50" s="12" t="str">
        <f>IF('ClinicalStage-ConceptMap-1'!S46=0,"//---END",'ClinicalStage-ConceptMap-1'!S46)</f>
        <v>* group[=].element[=].display = ##34#Clinical staging##34#</v>
      </c>
    </row>
    <row r="51" spans="2:2">
      <c r="B51" s="12" t="str">
        <f>IF('ClinicalStage-ConceptMap-1'!S47=0,"//---END",'ClinicalStage-ConceptMap-1'!S47)</f>
        <v>* group[=].element[=].target.code = #Observation.valueCodeableConcept</v>
      </c>
    </row>
    <row r="52" spans="2:2">
      <c r="B52" s="12" t="str">
        <f>IF('ClinicalStage-ConceptMap-1'!S48=0,"//---END",'ClinicalStage-ConceptMap-1'!S48)</f>
        <v>* group[=].element[=].target.display = ##34###34#</v>
      </c>
    </row>
    <row r="53" spans="2:2">
      <c r="B53" s="12" t="str">
        <f>IF('ClinicalStage-ConceptMap-1'!S49=0,"//---END",'ClinicalStage-ConceptMap-1'!S49)</f>
        <v>* group[=].element[=].target.equivalence = #equivalent</v>
      </c>
    </row>
    <row r="54" spans="2:2">
      <c r="B54" s="12" t="str">
        <f>IF('ClinicalStage-ConceptMap-1'!S50=0,"//---END",'ClinicalStage-ConceptMap-1'!S50)</f>
        <v>* group[=].element[=].target.comment = ##34#where code = 21908-9 'Stage group.clinical'##34#</v>
      </c>
    </row>
    <row r="55" spans="2:2">
      <c r="B55" s="12" t="str">
        <f>IF('ClinicalStage-ConceptMap-1'!S51=0,"//---END",'ClinicalStage-ConceptMap-1'!S51)</f>
        <v>* group[=].element[+].code = #ClinicalStage.ajccEdition</v>
      </c>
    </row>
    <row r="56" spans="2:2">
      <c r="B56" s="12" t="str">
        <f>IF('ClinicalStage-ConceptMap-1'!S52=0,"//---END",'ClinicalStage-ConceptMap-1'!S52)</f>
        <v>* group[=].element[=].display = ##34#Ajcc edition##34#</v>
      </c>
    </row>
    <row r="57" spans="2:2">
      <c r="B57" s="12" t="str">
        <f>IF('ClinicalStage-ConceptMap-1'!S53=0,"//---END",'ClinicalStage-ConceptMap-1'!S53)</f>
        <v>* group[=].element[=].target.code = #Observation.valueCodeableConcept.coding.system</v>
      </c>
    </row>
    <row r="58" spans="2:2">
      <c r="B58" s="12" t="str">
        <f>IF('ClinicalStage-ConceptMap-1'!S54=0,"//---END",'ClinicalStage-ConceptMap-1'!S54)</f>
        <v>* group[=].element[=].target.display = ##34###34#</v>
      </c>
    </row>
    <row r="59" spans="2:2">
      <c r="B59" s="12" t="str">
        <f>IF('ClinicalStage-ConceptMap-1'!S55=0,"//---END",'ClinicalStage-ConceptMap-1'!S55)</f>
        <v>* group[=].element[=].target.equivalence = #relatedto</v>
      </c>
    </row>
    <row r="60" spans="2:2" ht="29.5">
      <c r="B60" s="12" t="str">
        <f>IF('ClinicalStage-ConceptMap-1'!S56=0,"//---END",'ClinicalStage-ConceptMap-1'!S56)</f>
        <v>* group[=].element[=].target.comment = ##34#where code = 21908-9 'Stage group.clinical'
a code system version can be specifed as part of the system##34#</v>
      </c>
    </row>
    <row r="61" spans="2:2">
      <c r="B61" s="12" t="str">
        <f>IF('ClinicalStage-ConceptMap-1'!S57=0,"//---END",'ClinicalStage-ConceptMap-1'!S57)</f>
        <v>* group[=].element[+].code = #ClinicalStage.softTissue</v>
      </c>
    </row>
    <row r="62" spans="2:2">
      <c r="B62" s="12" t="str">
        <f>IF('ClinicalStage-ConceptMap-1'!S58=0,"//---END",'ClinicalStage-ConceptMap-1'!S58)</f>
        <v>* group[=].element[=].display = ##34#Soft tissue##34#</v>
      </c>
    </row>
    <row r="63" spans="2:2">
      <c r="B63" s="12" t="str">
        <f>IF('ClinicalStage-ConceptMap-1'!S59=0,"//---END",'ClinicalStage-ConceptMap-1'!S59)</f>
        <v>* group[=].element[=].target.code = #Observation.</v>
      </c>
    </row>
    <row r="64" spans="2:2">
      <c r="B64" s="12" t="str">
        <f>IF('ClinicalStage-ConceptMap-1'!S60=0,"//---END",'ClinicalStage-ConceptMap-1'!S60)</f>
        <v>* group[=].element[=].target.display = ##34###34#</v>
      </c>
    </row>
    <row r="65" spans="2:2">
      <c r="B65" s="12" t="str">
        <f>IF('ClinicalStage-ConceptMap-1'!S61=0,"//---END",'ClinicalStage-ConceptMap-1'!S61)</f>
        <v>* group[=].element[=].target.equivalence = #relatedto</v>
      </c>
    </row>
    <row r="66" spans="2:2">
      <c r="B66" s="12" t="str">
        <f>IF('ClinicalStage-ConceptMap-1'!S62=0,"//---END",'ClinicalStage-ConceptMap-1'!S62)</f>
        <v>* group[=].element[=].target.comment = ##34#CLARIFY HOW THIS DIFFERS FROM THE EQUIVALENT DATA IN EPISODE EVENT##34#</v>
      </c>
    </row>
    <row r="67" spans="2:2">
      <c r="B67" s="12" t="str">
        <f>IF('ClinicalStage-ConceptMap-1'!S63=0,"//---END",'ClinicalStage-ConceptMap-1'!S63)</f>
        <v>* group[=].element[+].code = #ClinicalStage.distantLymphNode</v>
      </c>
    </row>
    <row r="68" spans="2:2">
      <c r="B68" s="12" t="str">
        <f>IF('ClinicalStage-ConceptMap-1'!S64=0,"//---END",'ClinicalStage-ConceptMap-1'!S64)</f>
        <v>* group[=].element[=].display = ##34#distant lymph node##34#</v>
      </c>
    </row>
    <row r="69" spans="2:2">
      <c r="B69" s="12" t="str">
        <f>IF('ClinicalStage-ConceptMap-1'!S65=0,"//---END",'ClinicalStage-ConceptMap-1'!S65)</f>
        <v>* group[=].element[=].target.code = #Observation.</v>
      </c>
    </row>
    <row r="70" spans="2:2">
      <c r="B70" s="12" t="str">
        <f>IF('ClinicalStage-ConceptMap-1'!S66=0,"//---END",'ClinicalStage-ConceptMap-1'!S66)</f>
        <v>* group[=].element[=].target.display = ##34###34#</v>
      </c>
    </row>
    <row r="71" spans="2:2">
      <c r="B71" s="12" t="str">
        <f>IF('ClinicalStage-ConceptMap-1'!S67=0,"//---END",'ClinicalStage-ConceptMap-1'!S67)</f>
        <v>* group[=].element[=].target.equivalence = #relatedto</v>
      </c>
    </row>
    <row r="72" spans="2:2">
      <c r="B72" s="12" t="str">
        <f>IF('ClinicalStage-ConceptMap-1'!S68=0,"//---END",'ClinicalStage-ConceptMap-1'!S68)</f>
        <v>* group[=].element[=].target.comment = ##34#CLARIFY HOW THIS DIFFERS FROM THE EQUIVALENT DATA IN EPISODE EVENT##34#</v>
      </c>
    </row>
    <row r="73" spans="2:2">
      <c r="B73" s="12" t="str">
        <f>IF('ClinicalStage-ConceptMap-1'!S69=0,"//---END",'ClinicalStage-ConceptMap-1'!S69)</f>
        <v>* group[=].element[+].code = #ClinicalStage.lung</v>
      </c>
    </row>
    <row r="74" spans="2:2">
      <c r="B74" s="12" t="str">
        <f>IF('ClinicalStage-ConceptMap-1'!S70=0,"//---END",'ClinicalStage-ConceptMap-1'!S70)</f>
        <v>* group[=].element[=].display = ##34#lung##34#</v>
      </c>
    </row>
    <row r="75" spans="2:2">
      <c r="B75" s="12" t="str">
        <f>IF('ClinicalStage-ConceptMap-1'!S71=0,"//---END",'ClinicalStage-ConceptMap-1'!S71)</f>
        <v>* group[=].element[=].target.code = #Observation.</v>
      </c>
    </row>
    <row r="76" spans="2:2">
      <c r="B76" s="12" t="str">
        <f>IF('ClinicalStage-ConceptMap-1'!S72=0,"//---END",'ClinicalStage-ConceptMap-1'!S72)</f>
        <v>* group[=].element[=].target.display = ##34###34#</v>
      </c>
    </row>
    <row r="77" spans="2:2">
      <c r="B77" s="12" t="str">
        <f>IF('ClinicalStage-ConceptMap-1'!S73=0,"//---END",'ClinicalStage-ConceptMap-1'!S73)</f>
        <v>* group[=].element[=].target.equivalence = #relatedto</v>
      </c>
    </row>
    <row r="78" spans="2:2">
      <c r="B78" s="12" t="str">
        <f>IF('ClinicalStage-ConceptMap-1'!S74=0,"//---END",'ClinicalStage-ConceptMap-1'!S74)</f>
        <v>* group[=].element[=].target.comment = ##34#CLARIFY HOW THIS DIFFERS FROM THE EQUIVALENT DATA IN EPISODE EVENT##34#</v>
      </c>
    </row>
    <row r="79" spans="2:2">
      <c r="B79" s="12" t="str">
        <f>IF('ClinicalStage-ConceptMap-1'!S75=0,"//---END",'ClinicalStage-ConceptMap-1'!S75)</f>
        <v>* group[=].element[+].code = #ClinicalStage.bone</v>
      </c>
    </row>
    <row r="80" spans="2:2">
      <c r="B80" s="12" t="str">
        <f>IF('ClinicalStage-ConceptMap-1'!S76=0,"//---END",'ClinicalStage-ConceptMap-1'!S76)</f>
        <v>* group[=].element[=].display = ##34#bone##34#</v>
      </c>
    </row>
    <row r="81" spans="2:2">
      <c r="B81" s="12" t="str">
        <f>IF('ClinicalStage-ConceptMap-1'!S77=0,"//---END",'ClinicalStage-ConceptMap-1'!S77)</f>
        <v>* group[=].element[=].target.code = #Observation.</v>
      </c>
    </row>
    <row r="82" spans="2:2">
      <c r="B82" s="12" t="str">
        <f>IF('ClinicalStage-ConceptMap-1'!S78=0,"//---END",'ClinicalStage-ConceptMap-1'!S78)</f>
        <v>* group[=].element[=].target.display = ##34###34#</v>
      </c>
    </row>
    <row r="83" spans="2:2">
      <c r="B83" s="12" t="str">
        <f>IF('ClinicalStage-ConceptMap-1'!S79=0,"//---END",'ClinicalStage-ConceptMap-1'!S79)</f>
        <v>* group[=].element[=].target.equivalence = #relatedto</v>
      </c>
    </row>
    <row r="84" spans="2:2">
      <c r="B84" s="12" t="str">
        <f>IF('ClinicalStage-ConceptMap-1'!S80=0,"//---END",'ClinicalStage-ConceptMap-1'!S80)</f>
        <v>* group[=].element[=].target.comment = ##34#CLARIFY HOW THIS DIFFERS FROM THE EQUIVALENT DATA IN EPISODE EVENT##34#</v>
      </c>
    </row>
    <row r="85" spans="2:2">
      <c r="B85" s="12" t="str">
        <f>IF('ClinicalStage-ConceptMap-1'!S81=0,"//---END",'ClinicalStage-ConceptMap-1'!S81)</f>
        <v>* group[=].element[+].code = #ClinicalStage.liver</v>
      </c>
    </row>
    <row r="86" spans="2:2">
      <c r="B86" s="12" t="str">
        <f>IF('ClinicalStage-ConceptMap-1'!S82=0,"//---END",'ClinicalStage-ConceptMap-1'!S82)</f>
        <v>* group[=].element[=].display = ##34#liver##34#</v>
      </c>
    </row>
    <row r="87" spans="2:2">
      <c r="B87" s="12" t="str">
        <f>IF('ClinicalStage-ConceptMap-1'!S83=0,"//---END",'ClinicalStage-ConceptMap-1'!S83)</f>
        <v>* group[=].element[=].target.code = #Observation.</v>
      </c>
    </row>
    <row r="88" spans="2:2">
      <c r="B88" s="12" t="str">
        <f>IF('ClinicalStage-ConceptMap-1'!S84=0,"//---END",'ClinicalStage-ConceptMap-1'!S84)</f>
        <v>* group[=].element[=].target.display = ##34###34#</v>
      </c>
    </row>
    <row r="89" spans="2:2">
      <c r="B89" s="12" t="str">
        <f>IF('ClinicalStage-ConceptMap-1'!S85=0,"//---END",'ClinicalStage-ConceptMap-1'!S85)</f>
        <v>* group[=].element[=].target.equivalence = #relatedto</v>
      </c>
    </row>
    <row r="90" spans="2:2">
      <c r="B90" s="12" t="str">
        <f>IF('ClinicalStage-ConceptMap-1'!S86=0,"//---END",'ClinicalStage-ConceptMap-1'!S86)</f>
        <v>* group[=].element[=].target.comment = ##34#CLARIFY HOW THIS DIFFERS FROM THE EQUIVALENT DATA IN EPISODE EVENT##34#</v>
      </c>
    </row>
    <row r="91" spans="2:2">
      <c r="B91" s="12" t="str">
        <f>IF('ClinicalStage-ConceptMap-1'!S87=0,"//---END",'ClinicalStage-ConceptMap-1'!S87)</f>
        <v>* group[=].element[+].code = #ClinicalStage.pleura</v>
      </c>
    </row>
    <row r="92" spans="2:2">
      <c r="B92" s="12" t="str">
        <f>IF('ClinicalStage-ConceptMap-1'!S88=0,"//---END",'ClinicalStage-ConceptMap-1'!S88)</f>
        <v>* group[=].element[=].display = ##34#pleura##34#</v>
      </c>
    </row>
    <row r="93" spans="2:2">
      <c r="B93" s="12" t="str">
        <f>IF('ClinicalStage-ConceptMap-1'!S89=0,"//---END",'ClinicalStage-ConceptMap-1'!S89)</f>
        <v>* group[=].element[=].target.code = #Observation.</v>
      </c>
    </row>
    <row r="94" spans="2:2">
      <c r="B94" s="12" t="str">
        <f>IF('ClinicalStage-ConceptMap-1'!S90=0,"//---END",'ClinicalStage-ConceptMap-1'!S90)</f>
        <v>* group[=].element[=].target.display = ##34###34#</v>
      </c>
    </row>
    <row r="95" spans="2:2">
      <c r="B95" s="12" t="str">
        <f>IF('ClinicalStage-ConceptMap-1'!S91=0,"//---END",'ClinicalStage-ConceptMap-1'!S91)</f>
        <v>* group[=].element[=].target.equivalence = #relatedto</v>
      </c>
    </row>
    <row r="96" spans="2:2">
      <c r="B96" s="12" t="str">
        <f>IF('ClinicalStage-ConceptMap-1'!S92=0,"//---END",'ClinicalStage-ConceptMap-1'!S92)</f>
        <v>* group[=].element[=].target.comment = ##34#CLARIFY HOW THIS DIFFERS FROM THE EQUIVALENT DATA IN EPISODE EVENT##34#</v>
      </c>
    </row>
    <row r="97" spans="2:2">
      <c r="B97" s="12" t="str">
        <f>IF('ClinicalStage-ConceptMap-1'!S93=0,"//---END",'ClinicalStage-ConceptMap-1'!S93)</f>
        <v>* group[=].element[+].code = #ClinicalStage.peritoneum</v>
      </c>
    </row>
    <row r="98" spans="2:2">
      <c r="B98" s="12" t="str">
        <f>IF('ClinicalStage-ConceptMap-1'!S94=0,"//---END",'ClinicalStage-ConceptMap-1'!S94)</f>
        <v>* group[=].element[=].display = ##34#peritoneum##34#</v>
      </c>
    </row>
    <row r="99" spans="2:2">
      <c r="B99" s="12" t="str">
        <f>IF('ClinicalStage-ConceptMap-1'!S95=0,"//---END",'ClinicalStage-ConceptMap-1'!S95)</f>
        <v>* group[=].element[=].target.code = #Observation.</v>
      </c>
    </row>
    <row r="100" spans="2:2">
      <c r="B100" s="12" t="str">
        <f>IF('ClinicalStage-ConceptMap-1'!S96=0,"//---END",'ClinicalStage-ConceptMap-1'!S96)</f>
        <v>* group[=].element[=].target.display = ##34###34#</v>
      </c>
    </row>
    <row r="101" spans="2:2">
      <c r="B101" s="12" t="str">
        <f>IF('ClinicalStage-ConceptMap-1'!S97=0,"//---END",'ClinicalStage-ConceptMap-1'!S97)</f>
        <v>* group[=].element[=].target.equivalence = #relatedto</v>
      </c>
    </row>
    <row r="102" spans="2:2">
      <c r="B102" s="12" t="str">
        <f>IF('ClinicalStage-ConceptMap-1'!S98=0,"//---END",'ClinicalStage-ConceptMap-1'!S98)</f>
        <v>* group[=].element[=].target.comment = ##34#CLARIFY HOW THIS DIFFERS FROM THE EQUIVALENT DATA IN EPISODE EVENT##34#</v>
      </c>
    </row>
    <row r="103" spans="2:2">
      <c r="B103" s="12" t="str">
        <f>IF('ClinicalStage-ConceptMap-1'!S99=0,"//---END",'ClinicalStage-ConceptMap-1'!S99)</f>
        <v>* group[=].element[+].code = #ClinicalStage.brain</v>
      </c>
    </row>
    <row r="104" spans="2:2">
      <c r="B104" s="12" t="str">
        <f>IF('ClinicalStage-ConceptMap-1'!S100=0,"//---END",'ClinicalStage-ConceptMap-1'!S100)</f>
        <v>* group[=].element[=].display = ##34#brain##34#</v>
      </c>
    </row>
    <row r="105" spans="2:2">
      <c r="B105" s="12" t="str">
        <f>IF('ClinicalStage-ConceptMap-1'!S101=0,"//---END",'ClinicalStage-ConceptMap-1'!S101)</f>
        <v>* group[=].element[=].target.code = #Observation.</v>
      </c>
    </row>
    <row r="106" spans="2:2">
      <c r="B106" s="12" t="str">
        <f>IF('ClinicalStage-ConceptMap-1'!S102=0,"//---END",'ClinicalStage-ConceptMap-1'!S102)</f>
        <v>* group[=].element[=].target.display = ##34###34#</v>
      </c>
    </row>
    <row r="107" spans="2:2">
      <c r="B107" s="12" t="str">
        <f>IF('ClinicalStage-ConceptMap-1'!S103=0,"//---END",'ClinicalStage-ConceptMap-1'!S103)</f>
        <v>* group[=].element[=].target.equivalence = #relatedto</v>
      </c>
    </row>
    <row r="108" spans="2:2">
      <c r="B108" s="12" t="str">
        <f>IF('ClinicalStage-ConceptMap-1'!S104=0,"//---END",'ClinicalStage-ConceptMap-1'!S104)</f>
        <v>* group[=].element[=].target.comment = ##34#CLARIFY HOW THIS DIFFERS FROM THE EQUIVALENT DATA IN EPISODE EVENT##34#</v>
      </c>
    </row>
    <row r="109" spans="2:2">
      <c r="B109" s="12" t="str">
        <f>IF('ClinicalStage-ConceptMap-1'!S105=0,"//---END",'ClinicalStage-ConceptMap-1'!S105)</f>
        <v>* group[=].element[+].code = #ClinicalStage.otherViscera</v>
      </c>
    </row>
    <row r="110" spans="2:2">
      <c r="B110" s="12" t="str">
        <f>IF('ClinicalStage-ConceptMap-1'!S106=0,"//---END",'ClinicalStage-ConceptMap-1'!S106)</f>
        <v>* group[=].element[=].display = ##34#other viscera##34#</v>
      </c>
    </row>
    <row r="111" spans="2:2">
      <c r="B111" s="12" t="str">
        <f>IF('ClinicalStage-ConceptMap-1'!S107=0,"//---END",'ClinicalStage-ConceptMap-1'!S107)</f>
        <v>* group[=].element[=].target.code = #Observation.</v>
      </c>
    </row>
    <row r="112" spans="2:2">
      <c r="B112" s="12" t="str">
        <f>IF('ClinicalStage-ConceptMap-1'!S108=0,"//---END",'ClinicalStage-ConceptMap-1'!S108)</f>
        <v>* group[=].element[=].target.display = ##34###34#</v>
      </c>
    </row>
    <row r="113" spans="2:2">
      <c r="B113" s="12" t="str">
        <f>IF('ClinicalStage-ConceptMap-1'!S109=0,"//---END",'ClinicalStage-ConceptMap-1'!S109)</f>
        <v>* group[=].element[=].target.equivalence = #relatedto</v>
      </c>
    </row>
    <row r="114" spans="2:2">
      <c r="B114" s="12" t="str">
        <f>IF('ClinicalStage-ConceptMap-1'!S110=0,"//---END",'ClinicalStage-ConceptMap-1'!S110)</f>
        <v>* group[=].element[=].target.comment = ##34#CLARIFY HOW THIS DIFFERS FROM THE EQUIVALENT DATA IN EPISODE EVENT##34#</v>
      </c>
    </row>
    <row r="115" spans="2:2">
      <c r="B115" s="12" t="str">
        <f>IF('ClinicalStage-ConceptMap-1'!S111=0,"//---END",'ClinicalStage-ConceptMap-1'!S111)</f>
        <v>* group[=].element[+].code = #ClinicalStage.unknown</v>
      </c>
    </row>
    <row r="116" spans="2:2">
      <c r="B116" s="12" t="str">
        <f>IF('ClinicalStage-ConceptMap-1'!S112=0,"//---END",'ClinicalStage-ConceptMap-1'!S112)</f>
        <v>* group[=].element[=].display = ##34#unknown##34#</v>
      </c>
    </row>
    <row r="117" spans="2:2">
      <c r="B117" s="12" t="str">
        <f>IF('ClinicalStage-ConceptMap-1'!S113=0,"//---END",'ClinicalStage-ConceptMap-1'!S113)</f>
        <v>* group[=].element[=].target.code = #Observation.</v>
      </c>
    </row>
    <row r="118" spans="2:2">
      <c r="B118" s="12" t="str">
        <f>IF('ClinicalStage-ConceptMap-1'!S114=0,"//---END",'ClinicalStage-ConceptMap-1'!S114)</f>
        <v>* group[=].element[=].target.display = ##34###34#</v>
      </c>
    </row>
    <row r="119" spans="2:2">
      <c r="B119" s="12" t="str">
        <f>IF('ClinicalStage-ConceptMap-1'!S115=0,"//---END",'ClinicalStage-ConceptMap-1'!S115)</f>
        <v>* group[=].element[=].target.equivalence = #relatedto</v>
      </c>
    </row>
    <row r="120" spans="2:2">
      <c r="B120" s="12" t="str">
        <f>IF('ClinicalStage-ConceptMap-1'!S116=0,"//---END",'ClinicalStage-ConceptMap-1'!S116)</f>
        <v>* group[=].element[=].target.comment = ##34#CLARIFY HOW THIS DIFFERS FROM THE EQUIVALENT DATA IN EPISODE EVENT##34#</v>
      </c>
    </row>
    <row r="121" spans="2:2">
      <c r="B121" s="12" t="str">
        <f>IF('ClinicalStage-ConceptMap-1'!S117=0,"//---END",'ClinicalStage-ConceptMap-1'!S117)</f>
        <v>//---END</v>
      </c>
    </row>
    <row r="122" spans="2:2">
      <c r="B122" s="12" t="str">
        <f>IF('ClinicalStage-ConceptMap-1'!S118=0,"//---END",'ClinicalStage-ConceptMap-1'!S118)</f>
        <v>//---END</v>
      </c>
    </row>
    <row r="123" spans="2:2">
      <c r="B123" s="12" t="str">
        <f>IF('ClinicalStage-ConceptMap-1'!S119=0,"//---END",'ClinicalStage-ConceptMap-1'!S119)</f>
        <v>//---END</v>
      </c>
    </row>
    <row r="124" spans="2:2">
      <c r="B124" s="12" t="str">
        <f>IF('ClinicalStage-ConceptMap-1'!S120=0,"//---END",'ClinicalStage-ConceptMap-1'!S120)</f>
        <v>//---END</v>
      </c>
    </row>
    <row r="125" spans="2:2">
      <c r="B125" s="12" t="str">
        <f>IF('ClinicalStage-ConceptMap-1'!S121=0,"//---END",'ClinicalStage-ConceptMap-1'!S121)</f>
        <v>//---END</v>
      </c>
    </row>
    <row r="126" spans="2:2">
      <c r="B126" s="12" t="str">
        <f>IF('ClinicalStage-ConceptMap-1'!S122=0,"//---END",'ClinicalStage-ConceptMap-1'!S122)</f>
        <v>//---END</v>
      </c>
    </row>
    <row r="127" spans="2:2">
      <c r="B127" s="12" t="str">
        <f>IF('ClinicalStage-ConceptMap-1'!S123=0,"//---END",'ClinicalStage-ConceptMap-1'!S123)</f>
        <v>//---END</v>
      </c>
    </row>
    <row r="128" spans="2:2">
      <c r="B128" s="12" t="str">
        <f>IF('ClinicalStage-ConceptMap-1'!S124=0,"//---END",'ClinicalStage-ConceptMap-1'!S124)</f>
        <v>//---END</v>
      </c>
    </row>
    <row r="129" spans="2:2">
      <c r="B129" s="12" t="str">
        <f>IF('ClinicalStage-ConceptMap-1'!S125=0,"//---END",'ClinicalStage-ConceptMap-1'!S125)</f>
        <v>//---END</v>
      </c>
    </row>
    <row r="130" spans="2:2">
      <c r="B130" s="12" t="str">
        <f>IF('ClinicalStage-ConceptMap-1'!S126=0,"//---END",'ClinicalStage-ConceptMap-1'!S126)</f>
        <v>//---END</v>
      </c>
    </row>
    <row r="131" spans="2:2">
      <c r="B131" s="12" t="str">
        <f>IF('ClinicalStage-ConceptMap-1'!S127=0,"//---END",'ClinicalStage-ConceptMap-1'!S127)</f>
        <v>//---END</v>
      </c>
    </row>
    <row r="132" spans="2:2">
      <c r="B132" s="12" t="str">
        <f>IF('ClinicalStage-ConceptMap-1'!S128=0,"//---END",'ClinicalStage-ConceptMap-1'!S128)</f>
        <v>//---END</v>
      </c>
    </row>
    <row r="133" spans="2:2">
      <c r="B133" s="12" t="str">
        <f>IF('ClinicalStage-ConceptMap-1'!S129=0,"//---END",'ClinicalStage-ConceptMap-1'!S129)</f>
        <v>//---END</v>
      </c>
    </row>
    <row r="134" spans="2:2">
      <c r="B134" s="12" t="str">
        <f>IF('ClinicalStage-ConceptMap-1'!S130=0,"//---END",'ClinicalStage-ConceptMap-1'!S130)</f>
        <v>//---END</v>
      </c>
    </row>
    <row r="135" spans="2:2">
      <c r="B135" s="12" t="str">
        <f>IF('ClinicalStage-ConceptMap-1'!S131=0,"//---END",'ClinicalStage-ConceptMap-1'!S131)</f>
        <v>//---END</v>
      </c>
    </row>
    <row r="136" spans="2:2">
      <c r="B136" s="12" t="str">
        <f>IF('ClinicalStage-ConceptMap-1'!S132=0,"//---END",'ClinicalStage-ConceptMap-1'!S132)</f>
        <v>//---END</v>
      </c>
    </row>
    <row r="137" spans="2:2">
      <c r="B137" s="12" t="str">
        <f>IF('ClinicalStage-ConceptMap-1'!S133=0,"//---END",'ClinicalStage-ConceptMap-1'!S133)</f>
        <v>//---END</v>
      </c>
    </row>
    <row r="138" spans="2:2">
      <c r="B138" s="12" t="str">
        <f>IF('ClinicalStage-ConceptMap-1'!S134=0,"//---END",'ClinicalStage-ConceptMap-1'!S134)</f>
        <v>//---END</v>
      </c>
    </row>
    <row r="139" spans="2:2">
      <c r="B139" s="12" t="str">
        <f>IF('ClinicalStage-ConceptMap-1'!S135=0,"//---END",'ClinicalStage-ConceptMap-1'!S135)</f>
        <v>//---END</v>
      </c>
    </row>
    <row r="140" spans="2:2">
      <c r="B140" s="12" t="str">
        <f>IF('ClinicalStage-ConceptMap-1'!S136=0,"//---END",'ClinicalStage-ConceptMap-1'!S136)</f>
        <v>//---END</v>
      </c>
    </row>
    <row r="141" spans="2:2">
      <c r="B141" s="12" t="str">
        <f>IF('ClinicalStage-ConceptMap-1'!S137=0,"//---END",'ClinicalStage-ConceptMap-1'!S137)</f>
        <v>//---END</v>
      </c>
    </row>
    <row r="142" spans="2:2">
      <c r="B142" s="12" t="str">
        <f>IF('ClinicalStage-ConceptMap-1'!S138=0,"//---END",'ClinicalStage-ConceptMap-1'!S138)</f>
        <v>//---END</v>
      </c>
    </row>
    <row r="143" spans="2:2">
      <c r="B143" s="12" t="str">
        <f>IF('ClinicalStage-ConceptMap-1'!S139=0,"//---END",'ClinicalStage-ConceptMap-1'!S139)</f>
        <v>//---END</v>
      </c>
    </row>
    <row r="144" spans="2:2">
      <c r="B144" s="12" t="str">
        <f>IF('ClinicalStage-ConceptMap-1'!S140=0,"//---END",'ClinicalStage-ConceptMap-1'!S140)</f>
        <v>//---END</v>
      </c>
    </row>
    <row r="145" spans="2:2">
      <c r="B145" s="12" t="str">
        <f>IF('ClinicalStage-ConceptMap-1'!S141=0,"//---END",'ClinicalStage-ConceptMap-1'!S141)</f>
        <v>//---END</v>
      </c>
    </row>
    <row r="146" spans="2:2">
      <c r="B146" s="12" t="str">
        <f>IF('ClinicalStage-ConceptMap-1'!S142=0,"//---END",'ClinicalStage-ConceptMap-1'!S142)</f>
        <v>//---END</v>
      </c>
    </row>
    <row r="147" spans="2:2">
      <c r="B147" s="12" t="str">
        <f>IF('ClinicalStage-ConceptMap-1'!S143=0,"//---END",'ClinicalStage-ConceptMap-1'!S143)</f>
        <v>//---END</v>
      </c>
    </row>
    <row r="148" spans="2:2">
      <c r="B148" s="12" t="str">
        <f>IF('ClinicalStage-ConceptMap-1'!S144=0,"//---END",'ClinicalStage-ConceptMap-1'!S144)</f>
        <v>//---END</v>
      </c>
    </row>
    <row r="149" spans="2:2">
      <c r="B149" s="12" t="str">
        <f>IF('ClinicalStage-ConceptMap-1'!S145=0,"//---END",'ClinicalStage-ConceptMap-1'!S145)</f>
        <v>//---END</v>
      </c>
    </row>
    <row r="150" spans="2:2">
      <c r="B150" s="12" t="str">
        <f>IF('ClinicalStage-ConceptMap-1'!S146=0,"//---END",'ClinicalStage-ConceptMap-1'!S146)</f>
        <v>//---END</v>
      </c>
    </row>
    <row r="151" spans="2:2">
      <c r="B151" s="12" t="str">
        <f>IF('ClinicalStage-ConceptMap-1'!S147=0,"//---END",'ClinicalStage-ConceptMap-1'!S147)</f>
        <v>//---END</v>
      </c>
    </row>
    <row r="152" spans="2:2">
      <c r="B152" s="12" t="str">
        <f>IF('ClinicalStage-ConceptMap-1'!S148=0,"//---END",'ClinicalStage-ConceptMap-1'!S148)</f>
        <v>//---END</v>
      </c>
    </row>
    <row r="153" spans="2:2">
      <c r="B153" s="12" t="str">
        <f>IF('ClinicalStage-ConceptMap-1'!S149=0,"//---END",'ClinicalStage-ConceptMap-1'!S149)</f>
        <v>//---END</v>
      </c>
    </row>
    <row r="154" spans="2:2">
      <c r="B154" s="12" t="str">
        <f>IF('ClinicalStage-ConceptMap-1'!S150=0,"//---END",'ClinicalStage-ConceptMap-1'!S150)</f>
        <v>//---END</v>
      </c>
    </row>
    <row r="155" spans="2:2">
      <c r="B155" s="12" t="str">
        <f>IF('ClinicalStage-ConceptMap-1'!S151=0,"//---END",'ClinicalStage-ConceptMap-1'!S151)</f>
        <v>//---END</v>
      </c>
    </row>
    <row r="156" spans="2:2">
      <c r="B156" s="12" t="str">
        <f>IF('ClinicalStage-ConceptMap-1'!S152=0,"//---END",'ClinicalStage-ConceptMap-1'!S152)</f>
        <v>//---END</v>
      </c>
    </row>
    <row r="157" spans="2:2">
      <c r="B157" s="12" t="str">
        <f>IF('ClinicalStage-ConceptMap-1'!S153=0,"//---END",'ClinicalStage-ConceptMap-1'!S153)</f>
        <v>//---END</v>
      </c>
    </row>
    <row r="158" spans="2:2">
      <c r="B158" s="12" t="str">
        <f>IF('ClinicalStage-ConceptMap-1'!S154=0,"//---END",'ClinicalStage-ConceptMap-1'!S154)</f>
        <v>//---END</v>
      </c>
    </row>
    <row r="159" spans="2:2">
      <c r="B159" s="12" t="str">
        <f>IF('ClinicalStage-ConceptMap-1'!S155=0,"//---END",'ClinicalStage-ConceptMap-1'!S155)</f>
        <v>//---END</v>
      </c>
    </row>
    <row r="160" spans="2:2">
      <c r="B160" s="12" t="str">
        <f>IF('ClinicalStage-ConceptMap-1'!S156=0,"//---END",'ClinicalStage-ConceptMap-1'!S156)</f>
        <v>//---END</v>
      </c>
    </row>
    <row r="161" spans="2:2">
      <c r="B161" s="12"/>
    </row>
    <row r="162" spans="2:2">
      <c r="B162" s="12"/>
    </row>
    <row r="164" spans="2:2">
      <c r="B164" s="130"/>
    </row>
    <row r="165" spans="2:2">
      <c r="B165" s="68" t="str">
        <f>"* group[+].source = ##34#"&amp;'ClinicalStage-ConceptMap-2'!E6&amp;"##34#"</f>
        <v>* group[+].source = ##34#http://hl7.eu/fhir/ig/idea4rc/StructureDefinition/ClinicalStageI4rc##34#</v>
      </c>
    </row>
    <row r="166" spans="2:2">
      <c r="B166" s="131" t="str">
        <f>"* group[=].target = ##34#"&amp;'ClinicalStage-ConceptMap-2'!E7&amp;"##34#"</f>
        <v>* group[=].target = ##34#http://hl7.eu/fhir/ig/idea4rc/StructureDefinition/mcode-tnm-primary-tumor-category##34#</v>
      </c>
    </row>
    <row r="167" spans="2:2">
      <c r="B167" s="132"/>
    </row>
    <row r="168" spans="2:2">
      <c r="B168" s="11" t="str">
        <f>IF('ClinicalStage-ConceptMap-2'!S15=0,"//---END",'ClinicalStage-ConceptMap-2'!S15)</f>
        <v>* group[=].element[+].code = #ClinicalStage.cT</v>
      </c>
    </row>
    <row r="169" spans="2:2">
      <c r="B169" s="11" t="str">
        <f>IF('ClinicalStage-ConceptMap-2'!S16=0,"//---END",'ClinicalStage-ConceptMap-2'!S16)</f>
        <v>* group[=].element[=].display = ##34#cT##34#</v>
      </c>
    </row>
    <row r="170" spans="2:2">
      <c r="B170" s="11" t="str">
        <f>IF('ClinicalStage-ConceptMap-2'!S17=0,"//---END",'ClinicalStage-ConceptMap-2'!S17)</f>
        <v>* group[=].element[=].target.code = #Observation.valueCodeableConcept</v>
      </c>
    </row>
    <row r="171" spans="2:2">
      <c r="B171" s="11" t="str">
        <f>IF('ClinicalStage-ConceptMap-2'!S18=0,"//---END",'ClinicalStage-ConceptMap-2'!S18)</f>
        <v>* group[=].element[=].target.display = ##34###34#</v>
      </c>
    </row>
    <row r="172" spans="2:2">
      <c r="B172" s="11" t="str">
        <f>IF('ClinicalStage-ConceptMap-2'!S19=0,"//---END",'ClinicalStage-ConceptMap-2'!S19)</f>
        <v>* group[=].element[=].target.equivalence = #relatedto</v>
      </c>
    </row>
    <row r="173" spans="2:2">
      <c r="B173" s="11" t="str">
        <f>IF('ClinicalStage-ConceptMap-2'!S20=0,"//---END",'ClinicalStage-ConceptMap-2'!S20)</f>
        <v/>
      </c>
    </row>
    <row r="174" spans="2:2">
      <c r="B174" s="11" t="str">
        <f>IF('ClinicalStage-ConceptMap-2'!S21=0,"//---END",'ClinicalStage-ConceptMap-2'!S21)</f>
        <v>* group[=].element[+].code = #ClinicalStage.cN</v>
      </c>
    </row>
    <row r="175" spans="2:2">
      <c r="B175" s="11" t="str">
        <f>IF('ClinicalStage-ConceptMap-2'!S22=0,"//---END",'ClinicalStage-ConceptMap-2'!S22)</f>
        <v>* group[=].element[=].display = ##34#cN##34#</v>
      </c>
    </row>
    <row r="176" spans="2:2">
      <c r="B176" s="11" t="str">
        <f>IF('ClinicalStage-ConceptMap-2'!S23=0,"//---END",'ClinicalStage-ConceptMap-2'!S23)</f>
        <v>//-- unmatched</v>
      </c>
    </row>
    <row r="177" spans="2:7">
      <c r="B177" s="11" t="str">
        <f>IF('ClinicalStage-ConceptMap-2'!S24=0,"//---END",'ClinicalStage-ConceptMap-2'!S24)</f>
        <v>//-- unmatched</v>
      </c>
    </row>
    <row r="178" spans="2:7">
      <c r="B178" s="11" t="str">
        <f>IF('ClinicalStage-ConceptMap-2'!S25=0,"//---END",'ClinicalStage-ConceptMap-2'!S25)</f>
        <v>* group[=].element[=].target.equivalence = #unmatched</v>
      </c>
    </row>
    <row r="179" spans="2:7">
      <c r="B179" s="11" t="str">
        <f>IF('ClinicalStage-ConceptMap-2'!S26=0,"//---END",'ClinicalStage-ConceptMap-2'!S26)</f>
        <v/>
      </c>
    </row>
    <row r="180" spans="2:7">
      <c r="B180" s="11" t="str">
        <f>IF('ClinicalStage-ConceptMap-2'!S27=0,"//---END",'ClinicalStage-ConceptMap-2'!S27)</f>
        <v>* group[=].element[+].code = #ClinicalStage.radiologicalExtraNodalExtension</v>
      </c>
    </row>
    <row r="181" spans="2:7">
      <c r="B181" s="11" t="str">
        <f>IF('ClinicalStage-ConceptMap-2'!S28=0,"//---END",'ClinicalStage-ConceptMap-2'!S28)</f>
        <v>* group[=].element[=].display = ##34#Radiological Extra-nodal extension (rENE)##34#</v>
      </c>
    </row>
    <row r="182" spans="2:7">
      <c r="B182" s="11" t="str">
        <f>IF('ClinicalStage-ConceptMap-2'!S29=0,"//---END",'ClinicalStage-ConceptMap-2'!S29)</f>
        <v>//-- unmatched</v>
      </c>
    </row>
    <row r="183" spans="2:7">
      <c r="B183" s="11" t="str">
        <f>IF('ClinicalStage-ConceptMap-2'!S30=0,"//---END",'ClinicalStage-ConceptMap-2'!S30)</f>
        <v>//-- unmatched</v>
      </c>
    </row>
    <row r="184" spans="2:7">
      <c r="B184" s="11" t="str">
        <f>IF('ClinicalStage-ConceptMap-2'!S31=0,"//---END",'ClinicalStage-ConceptMap-2'!S31)</f>
        <v>* group[=].element[=].target.equivalence = #unmatched</v>
      </c>
    </row>
    <row r="185" spans="2:7">
      <c r="B185" s="11" t="str">
        <f>IF('ClinicalStage-ConceptMap-2'!S32=0,"//---END",'ClinicalStage-ConceptMap-2'!S32)</f>
        <v/>
      </c>
    </row>
    <row r="186" spans="2:7">
      <c r="B186" s="11" t="str">
        <f>IF('ClinicalStage-ConceptMap-2'!S33=0,"//---END",'ClinicalStage-ConceptMap-2'!S33)</f>
        <v>//---END</v>
      </c>
    </row>
    <row r="187" spans="2:7">
      <c r="B187" s="11" t="str">
        <f>IF('ClinicalStage-ConceptMap-2'!S34=0,"//---END",'ClinicalStage-ConceptMap-2'!S34)</f>
        <v>//---END</v>
      </c>
    </row>
    <row r="188" spans="2:7">
      <c r="B188" s="11" t="str">
        <f>IF('ClinicalStage-ConceptMap-2'!S35=0,"//---END",'ClinicalStage-ConceptMap-2'!S35)</f>
        <v>//---END</v>
      </c>
    </row>
    <row r="189" spans="2:7">
      <c r="B189" s="11" t="str">
        <f>IF('ClinicalStage-ConceptMap-2'!S36=0,"//---END",'ClinicalStage-ConceptMap-2'!S36)</f>
        <v>//---END</v>
      </c>
    </row>
    <row r="190" spans="2:7">
      <c r="B190" s="119"/>
      <c r="C190" s="7"/>
      <c r="D190" s="7"/>
      <c r="E190" s="7"/>
      <c r="F190" s="7"/>
      <c r="G190" s="7"/>
    </row>
    <row r="191" spans="2:7">
      <c r="B191" s="130"/>
      <c r="C191" s="7"/>
      <c r="D191" s="7"/>
      <c r="E191" s="7"/>
      <c r="F191" s="7"/>
      <c r="G191" s="7"/>
    </row>
    <row r="192" spans="2:7">
      <c r="B192" s="68" t="str">
        <f>"* group[+].source = ##34#"&amp;'ClinicalStage-ConceptMap-3'!E6&amp;"##34#"</f>
        <v>* group[+].source = ##34#http://hl7.eu/fhir/ig/idea4rc/StructureDefinition/ClinicalStageI4rc##34#</v>
      </c>
      <c r="C192" s="7"/>
      <c r="D192" s="7"/>
      <c r="E192" s="7"/>
      <c r="F192" s="7"/>
      <c r="G192" s="7"/>
    </row>
    <row r="193" spans="2:7">
      <c r="B193" s="131" t="str">
        <f>"* group[=].target = ##34#"&amp;'ClinicalStage-ConceptMap-3'!E7&amp;"##34#"</f>
        <v>* group[=].target = ##34#http://hl7.eu/fhir/ig/idea4rc/StructureDefinition/mcode-tnm-regional-nodes-category##34#</v>
      </c>
      <c r="C193" s="7"/>
      <c r="D193" s="7"/>
      <c r="E193" s="7"/>
      <c r="F193" s="7"/>
      <c r="G193" s="7"/>
    </row>
    <row r="194" spans="2:7">
      <c r="B194" s="132"/>
      <c r="C194" s="7"/>
      <c r="D194" s="7"/>
      <c r="E194" s="7"/>
      <c r="F194" s="7"/>
      <c r="G194" s="7"/>
    </row>
    <row r="195" spans="2:7">
      <c r="B195" s="119" t="str">
        <f>IF('ClinicalStage-ConceptMap-3'!S15=0,"//---END",'ClinicalStage-ConceptMap-3'!S15)</f>
        <v>* group[=].element[+].code = #ClinicalStage.cT</v>
      </c>
      <c r="C195" s="7"/>
      <c r="D195" s="7"/>
      <c r="E195" s="7"/>
      <c r="F195" s="7"/>
      <c r="G195" s="7"/>
    </row>
    <row r="196" spans="2:7">
      <c r="B196" s="119" t="str">
        <f>IF('ClinicalStage-ConceptMap-3'!S16=0,"//---END",'ClinicalStage-ConceptMap-3'!S16)</f>
        <v>* group[=].element[=].display = ##34#cT##34#</v>
      </c>
      <c r="C196" s="7"/>
      <c r="D196" s="7"/>
      <c r="E196" s="7"/>
      <c r="F196" s="7"/>
      <c r="G196" s="7"/>
    </row>
    <row r="197" spans="2:7">
      <c r="B197" s="119" t="str">
        <f>IF('ClinicalStage-ConceptMap-3'!S17=0,"//---END",'ClinicalStage-ConceptMap-3'!S17)</f>
        <v>* group[=].element[=].target.code = #Observation.valueCodeableConcept</v>
      </c>
      <c r="C197" s="7"/>
      <c r="D197" s="7"/>
      <c r="E197" s="7"/>
      <c r="F197" s="7"/>
      <c r="G197" s="7"/>
    </row>
    <row r="198" spans="2:7">
      <c r="B198" s="119" t="str">
        <f>IF('ClinicalStage-ConceptMap-3'!S18=0,"//---END",'ClinicalStage-ConceptMap-3'!S18)</f>
        <v>* group[=].element[=].target.display = ##34###34#</v>
      </c>
      <c r="C198" s="7"/>
      <c r="D198" s="7"/>
      <c r="E198" s="7"/>
      <c r="F198" s="7"/>
      <c r="G198" s="7"/>
    </row>
    <row r="199" spans="2:7">
      <c r="B199" s="119" t="str">
        <f>IF('ClinicalStage-ConceptMap-3'!S19=0,"//---END",'ClinicalStage-ConceptMap-3'!S19)</f>
        <v>* group[=].element[=].target.equivalence = #relatedto</v>
      </c>
      <c r="C199" s="7"/>
      <c r="D199" s="7"/>
      <c r="E199" s="7"/>
      <c r="F199" s="7"/>
      <c r="G199" s="7"/>
    </row>
    <row r="200" spans="2:7">
      <c r="B200" s="119" t="str">
        <f>IF('ClinicalStage-ConceptMap-3'!S20=0,"//---END",'ClinicalStage-ConceptMap-3'!S20)</f>
        <v/>
      </c>
      <c r="C200" s="7"/>
      <c r="D200" s="7"/>
      <c r="E200" s="7"/>
      <c r="F200" s="7"/>
      <c r="G200" s="7"/>
    </row>
    <row r="201" spans="2:7">
      <c r="B201" s="119" t="str">
        <f>IF('ClinicalStage-ConceptMap-3'!S21=0,"//---END",'ClinicalStage-ConceptMap-3'!S21)</f>
        <v>* group[=].element[+].code = #ClinicalStage.cN</v>
      </c>
      <c r="C201" s="7"/>
      <c r="D201" s="7"/>
      <c r="E201" s="7"/>
      <c r="F201" s="7"/>
      <c r="G201" s="7"/>
    </row>
    <row r="202" spans="2:7">
      <c r="B202" s="119" t="str">
        <f>IF('ClinicalStage-ConceptMap-3'!S22=0,"//---END",'ClinicalStage-ConceptMap-3'!S22)</f>
        <v>* group[=].element[=].display = ##34#cN##34#</v>
      </c>
      <c r="C202" s="7"/>
      <c r="D202" s="7"/>
      <c r="E202" s="7"/>
      <c r="F202" s="7"/>
      <c r="G202" s="7"/>
    </row>
    <row r="203" spans="2:7">
      <c r="B203" s="119" t="str">
        <f>IF('ClinicalStage-ConceptMap-3'!S23=0,"//---END",'ClinicalStage-ConceptMap-3'!S23)</f>
        <v>//-- unmatched</v>
      </c>
      <c r="C203" s="7"/>
      <c r="D203" s="7"/>
      <c r="E203" s="7"/>
      <c r="F203" s="7"/>
      <c r="G203" s="7"/>
    </row>
    <row r="204" spans="2:7">
      <c r="B204" s="119" t="str">
        <f>IF('ClinicalStage-ConceptMap-3'!S24=0,"//---END",'ClinicalStage-ConceptMap-3'!S24)</f>
        <v>//-- unmatched</v>
      </c>
      <c r="C204" s="7"/>
      <c r="D204" s="7"/>
      <c r="E204" s="7"/>
      <c r="F204" s="7"/>
      <c r="G204" s="7"/>
    </row>
    <row r="205" spans="2:7">
      <c r="B205" s="119" t="str">
        <f>IF('ClinicalStage-ConceptMap-3'!S25=0,"//---END",'ClinicalStage-ConceptMap-3'!S25)</f>
        <v>* group[=].element[=].target.equivalence = #unmatched</v>
      </c>
      <c r="C205" s="7"/>
      <c r="D205" s="7"/>
      <c r="E205" s="7"/>
      <c r="F205" s="7"/>
      <c r="G205" s="7"/>
    </row>
    <row r="206" spans="2:7">
      <c r="B206" s="119" t="str">
        <f>IF('ClinicalStage-ConceptMap-3'!S26=0,"//---END",'ClinicalStage-ConceptMap-3'!S26)</f>
        <v/>
      </c>
      <c r="C206" s="7"/>
      <c r="D206" s="7"/>
      <c r="E206" s="7"/>
      <c r="F206" s="7"/>
      <c r="G206" s="7"/>
    </row>
    <row r="207" spans="2:7">
      <c r="B207" s="119" t="str">
        <f>IF('ClinicalStage-ConceptMap-3'!S27=0,"//---END",'ClinicalStage-ConceptMap-3'!S27)</f>
        <v>* group[=].element[+].code = #ClinicalStage.radiologicalExtraNodalExtension</v>
      </c>
      <c r="C207" s="7"/>
      <c r="D207" s="7"/>
      <c r="E207" s="7"/>
      <c r="F207" s="7"/>
      <c r="G207" s="7"/>
    </row>
    <row r="208" spans="2:7">
      <c r="B208" s="119" t="str">
        <f>IF('ClinicalStage-ConceptMap-3'!S28=0,"//---END",'ClinicalStage-ConceptMap-3'!S28)</f>
        <v>* group[=].element[=].display = ##34#Radiological Extra-nodal extension (rENE)##34#</v>
      </c>
      <c r="C208" s="7"/>
      <c r="D208" s="7"/>
      <c r="E208" s="7"/>
      <c r="F208" s="7"/>
      <c r="G208" s="7"/>
    </row>
    <row r="209" spans="2:7">
      <c r="B209" s="119" t="str">
        <f>IF('ClinicalStage-ConceptMap-3'!S29=0,"//---END",'ClinicalStage-ConceptMap-3'!S29)</f>
        <v>//-- unmatched</v>
      </c>
      <c r="C209" s="7"/>
      <c r="D209" s="7"/>
      <c r="E209" s="7"/>
      <c r="F209" s="7"/>
      <c r="G209" s="7"/>
    </row>
    <row r="210" spans="2:7">
      <c r="B210" s="119" t="str">
        <f>IF('ClinicalStage-ConceptMap-3'!S30=0,"//---END",'ClinicalStage-ConceptMap-3'!S30)</f>
        <v>//-- unmatched</v>
      </c>
      <c r="C210" s="7"/>
      <c r="D210" s="7"/>
      <c r="E210" s="7"/>
      <c r="F210" s="7"/>
      <c r="G210" s="7"/>
    </row>
    <row r="211" spans="2:7">
      <c r="B211" s="119" t="str">
        <f>IF('ClinicalStage-ConceptMap-3'!S31=0,"//---END",'ClinicalStage-ConceptMap-3'!S31)</f>
        <v>* group[=].element[=].target.equivalence = #unmatched</v>
      </c>
      <c r="C211" s="7"/>
      <c r="D211" s="7"/>
      <c r="E211" s="7"/>
      <c r="F211" s="7"/>
      <c r="G211" s="7"/>
    </row>
    <row r="212" spans="2:7">
      <c r="B212" s="119" t="str">
        <f>IF('ClinicalStage-ConceptMap-3'!S32=0,"//---END",'ClinicalStage-ConceptMap-3'!S32)</f>
        <v/>
      </c>
      <c r="C212" s="7"/>
      <c r="D212" s="7"/>
      <c r="E212" s="7"/>
      <c r="F212" s="7"/>
      <c r="G212" s="7"/>
    </row>
    <row r="213" spans="2:7">
      <c r="B213" s="119" t="str">
        <f>IF('ClinicalStage-ConceptMap-3'!S33=0,"//---END",'ClinicalStage-ConceptMap-3'!S33)</f>
        <v>* group[=].element[+].code = #ClinicalStage.cM</v>
      </c>
      <c r="C213" s="7"/>
      <c r="D213" s="7"/>
      <c r="E213" s="7"/>
      <c r="F213" s="7"/>
      <c r="G213" s="7"/>
    </row>
    <row r="214" spans="2:7">
      <c r="B214" s="119" t="str">
        <f>IF('ClinicalStage-ConceptMap-3'!S34=0,"//---END",'ClinicalStage-ConceptMap-3'!S34)</f>
        <v>* group[=].element[=].display = ##34#cM##34#</v>
      </c>
      <c r="C214" s="7"/>
      <c r="D214" s="7"/>
      <c r="E214" s="7"/>
      <c r="F214" s="7"/>
      <c r="G214" s="7"/>
    </row>
    <row r="215" spans="2:7">
      <c r="B215" s="119" t="str">
        <f>IF('ClinicalStage-ConceptMap-3'!S35=0,"//---END",'ClinicalStage-ConceptMap-3'!S35)</f>
        <v>//-- unmatched</v>
      </c>
      <c r="C215" s="7"/>
      <c r="D215" s="7"/>
      <c r="E215" s="7"/>
      <c r="F215" s="7"/>
      <c r="G215" s="7"/>
    </row>
    <row r="216" spans="2:7">
      <c r="B216" s="119" t="str">
        <f>IF('ClinicalStage-ConceptMap-3'!S36=0,"//---END",'ClinicalStage-ConceptMap-3'!S36)</f>
        <v>//-- unmatched</v>
      </c>
      <c r="C216" s="7"/>
      <c r="D216" s="7"/>
      <c r="E216" s="7"/>
      <c r="F216" s="7"/>
      <c r="G216" s="7"/>
    </row>
    <row r="217" spans="2:7">
      <c r="B217" s="119" t="str">
        <f>IF('ClinicalStage-ConceptMap-3'!S37=0,"//---END",'ClinicalStage-ConceptMap-3'!S37)</f>
        <v>* group[=].element[=].target.equivalence = #unmatched</v>
      </c>
      <c r="C217" s="7"/>
      <c r="D217" s="7"/>
      <c r="E217" s="7"/>
      <c r="F217" s="7"/>
      <c r="G217" s="7"/>
    </row>
    <row r="218" spans="2:7">
      <c r="B218" s="119" t="str">
        <f>IF('ClinicalStage-ConceptMap-3'!S38=0,"//---END",'ClinicalStage-ConceptMap-3'!S38)</f>
        <v/>
      </c>
      <c r="C218" s="7"/>
      <c r="D218" s="7"/>
      <c r="E218" s="7"/>
      <c r="F218" s="7"/>
      <c r="G218" s="7"/>
    </row>
    <row r="219" spans="2:7">
      <c r="B219" s="119" t="str">
        <f>IF('ClinicalStage-ConceptMap-3'!S39=0,"//---END",'ClinicalStage-ConceptMap-3'!S39)</f>
        <v>//---END</v>
      </c>
      <c r="C219" s="7"/>
      <c r="D219" s="7"/>
      <c r="E219" s="7"/>
      <c r="F219" s="7"/>
      <c r="G219" s="7"/>
    </row>
    <row r="220" spans="2:7">
      <c r="B220" s="119" t="str">
        <f>IF('ClinicalStage-ConceptMap-3'!S40=0,"//---END",'ClinicalStage-ConceptMap-3'!S40)</f>
        <v>//---END</v>
      </c>
      <c r="C220" s="7"/>
      <c r="D220" s="7"/>
      <c r="E220" s="7"/>
      <c r="F220" s="7"/>
      <c r="G220" s="7"/>
    </row>
    <row r="221" spans="2:7">
      <c r="B221" s="119" t="str">
        <f>IF('ClinicalStage-ConceptMap-3'!S41=0,"//---END",'ClinicalStage-ConceptMap-3'!S41)</f>
        <v>//---END</v>
      </c>
      <c r="C221" s="7"/>
      <c r="D221" s="7"/>
      <c r="E221" s="7"/>
      <c r="F221" s="7"/>
      <c r="G221" s="7"/>
    </row>
    <row r="222" spans="2:7">
      <c r="B222" s="119" t="str">
        <f>IF('ClinicalStage-ConceptMap-3'!S42=0,"//---END",'ClinicalStage-ConceptMap-3'!S42)</f>
        <v>//---END</v>
      </c>
      <c r="C222" s="7"/>
      <c r="D222" s="7"/>
      <c r="E222" s="7"/>
      <c r="F222" s="7"/>
      <c r="G222" s="7"/>
    </row>
    <row r="223" spans="2:7">
      <c r="B223" s="7"/>
      <c r="C223" s="7"/>
      <c r="D223" s="7"/>
      <c r="E223" s="7"/>
      <c r="F223" s="7"/>
      <c r="G223" s="7"/>
    </row>
    <row r="224" spans="2:7">
      <c r="B224" s="130"/>
      <c r="C224" s="7"/>
      <c r="D224" s="7"/>
      <c r="E224" s="7"/>
      <c r="F224" s="7"/>
      <c r="G224" s="7"/>
    </row>
    <row r="225" spans="2:7">
      <c r="B225" s="68" t="str">
        <f>"* group[+].source = ##34#"&amp;'ClinicalStage-ConceptMap-4'!E6&amp;"##34#"</f>
        <v>* group[+].source = ##34#http://hl7.eu/fhir/ig/idea4rc/StructureDefinition/ClinicalStageI4rc##34#</v>
      </c>
      <c r="C225" s="7"/>
      <c r="D225" s="7"/>
      <c r="E225" s="7"/>
      <c r="F225" s="7"/>
      <c r="G225" s="7"/>
    </row>
    <row r="226" spans="2:7">
      <c r="B226" s="131" t="str">
        <f>"* group[=].target = ##34#"&amp;'ClinicalStage-ConceptMap-4'!E7&amp;"##34#"</f>
        <v>* group[=].target = ##34#http://hl7.eu/fhir/ig/idea4rc/StructureDefinition/mcode-tnm-distant-metastases-category##34#</v>
      </c>
      <c r="C226" s="7"/>
      <c r="D226" s="7"/>
      <c r="E226" s="7"/>
      <c r="F226" s="7"/>
      <c r="G226" s="7"/>
    </row>
    <row r="227" spans="2:7">
      <c r="B227" s="132"/>
      <c r="C227" s="7"/>
      <c r="D227" s="7"/>
      <c r="E227" s="7"/>
      <c r="F227" s="7"/>
      <c r="G227" s="7"/>
    </row>
    <row r="228" spans="2:7">
      <c r="B228" s="7" t="str">
        <f>IF('ClinicalStage-ConceptMap-4'!S15=0,"//---END",'ClinicalStage-ConceptMap-4'!S15)</f>
        <v>* group[=].element[+].code = #ClinicalStage.cT</v>
      </c>
      <c r="C228" s="7"/>
      <c r="D228" s="7"/>
      <c r="E228" s="7"/>
      <c r="F228" s="7"/>
      <c r="G228" s="7"/>
    </row>
    <row r="229" spans="2:7">
      <c r="B229" s="7" t="str">
        <f>IF('ClinicalStage-ConceptMap-4'!S16=0,"//---END",'ClinicalStage-ConceptMap-4'!S16)</f>
        <v>* group[=].element[=].display = ##34#cT##34#</v>
      </c>
      <c r="C229" s="7"/>
      <c r="D229" s="7"/>
      <c r="E229" s="7"/>
      <c r="F229" s="7"/>
      <c r="G229" s="7"/>
    </row>
    <row r="230" spans="2:7">
      <c r="B230" s="7" t="str">
        <f>IF('ClinicalStage-ConceptMap-4'!S17=0,"//---END",'ClinicalStage-ConceptMap-4'!S17)</f>
        <v>* group[=].element[=].target.code = #Observation.valueCodeableConcept</v>
      </c>
      <c r="C230" s="7"/>
      <c r="D230" s="7"/>
      <c r="E230" s="7"/>
      <c r="F230" s="7"/>
      <c r="G230" s="7"/>
    </row>
    <row r="231" spans="2:7">
      <c r="B231" s="7" t="str">
        <f>IF('ClinicalStage-ConceptMap-4'!S18=0,"//---END",'ClinicalStage-ConceptMap-4'!S18)</f>
        <v>* group[=].element[=].target.display = ##34###34#</v>
      </c>
      <c r="C231" s="7"/>
      <c r="D231" s="7"/>
      <c r="E231" s="7"/>
      <c r="F231" s="7"/>
      <c r="G231" s="7"/>
    </row>
    <row r="232" spans="2:7">
      <c r="B232" s="7" t="str">
        <f>IF('ClinicalStage-ConceptMap-4'!S19=0,"//---END",'ClinicalStage-ConceptMap-4'!S19)</f>
        <v>* group[=].element[=].target.equivalence = #relatedto</v>
      </c>
      <c r="C232" s="7"/>
      <c r="D232" s="7"/>
      <c r="E232" s="7"/>
      <c r="F232" s="7"/>
      <c r="G232" s="7"/>
    </row>
    <row r="233" spans="2:7">
      <c r="B233" s="7" t="str">
        <f>IF('ClinicalStage-ConceptMap-4'!S20=0,"//---END",'ClinicalStage-ConceptMap-4'!S20)</f>
        <v/>
      </c>
      <c r="C233" s="7"/>
      <c r="D233" s="7"/>
      <c r="E233" s="7"/>
      <c r="F233" s="7"/>
      <c r="G233" s="7"/>
    </row>
    <row r="234" spans="2:7">
      <c r="B234" s="7" t="str">
        <f>IF('ClinicalStage-ConceptMap-4'!S21=0,"//---END",'ClinicalStage-ConceptMap-4'!S21)</f>
        <v>* group[=].element[+].code = #ClinicalStage.cN</v>
      </c>
      <c r="C234" s="7"/>
      <c r="D234" s="7"/>
      <c r="E234" s="7"/>
      <c r="F234" s="7"/>
      <c r="G234" s="7"/>
    </row>
    <row r="235" spans="2:7">
      <c r="B235" s="7" t="str">
        <f>IF('ClinicalStage-ConceptMap-4'!S22=0,"//---END",'ClinicalStage-ConceptMap-4'!S22)</f>
        <v>* group[=].element[=].display = ##34#cN##34#</v>
      </c>
      <c r="C235" s="7"/>
      <c r="D235" s="7"/>
      <c r="E235" s="7"/>
      <c r="F235" s="7"/>
      <c r="G235" s="7"/>
    </row>
    <row r="236" spans="2:7">
      <c r="B236" s="7" t="str">
        <f>IF('ClinicalStage-ConceptMap-4'!S23=0,"//---END",'ClinicalStage-ConceptMap-4'!S23)</f>
        <v>//-- unmatched</v>
      </c>
      <c r="C236" s="7"/>
      <c r="D236" s="7"/>
      <c r="E236" s="7"/>
      <c r="F236" s="7"/>
      <c r="G236" s="7"/>
    </row>
    <row r="237" spans="2:7">
      <c r="B237" s="7" t="str">
        <f>IF('ClinicalStage-ConceptMap-4'!S24=0,"//---END",'ClinicalStage-ConceptMap-4'!S24)</f>
        <v>//-- unmatched</v>
      </c>
      <c r="C237" s="7"/>
      <c r="D237" s="7"/>
      <c r="E237" s="7"/>
      <c r="F237" s="7"/>
      <c r="G237" s="7"/>
    </row>
    <row r="238" spans="2:7">
      <c r="B238" s="7" t="str">
        <f>IF('ClinicalStage-ConceptMap-4'!S25=0,"//---END",'ClinicalStage-ConceptMap-4'!S25)</f>
        <v>* group[=].element[=].target.equivalence = #unmatched</v>
      </c>
    </row>
    <row r="239" spans="2:7">
      <c r="B239" s="7" t="str">
        <f>IF('ClinicalStage-ConceptMap-4'!S26=0,"//---END",'ClinicalStage-ConceptMap-4'!S26)</f>
        <v/>
      </c>
    </row>
    <row r="240" spans="2:7">
      <c r="B240" s="7" t="str">
        <f>IF('ClinicalStage-ConceptMap-4'!S27=0,"//---END",'ClinicalStage-ConceptMap-4'!S27)</f>
        <v>* group[=].element[+].code = #ClinicalStage.radiologicalExtraNodalExtension</v>
      </c>
    </row>
    <row r="241" spans="2:2">
      <c r="B241" s="7" t="str">
        <f>IF('ClinicalStage-ConceptMap-4'!S28=0,"//---END",'ClinicalStage-ConceptMap-4'!S28)</f>
        <v>* group[=].element[=].display = ##34#Radiological Extra-nodal extension (rENE)##34#</v>
      </c>
    </row>
    <row r="242" spans="2:2">
      <c r="B242" s="7" t="str">
        <f>IF('ClinicalStage-ConceptMap-4'!S29=0,"//---END",'ClinicalStage-ConceptMap-4'!S29)</f>
        <v>//-- unmatched</v>
      </c>
    </row>
    <row r="243" spans="2:2">
      <c r="B243" s="7" t="str">
        <f>IF('ClinicalStage-ConceptMap-4'!S30=0,"//---END",'ClinicalStage-ConceptMap-4'!S30)</f>
        <v>//-- unmatched</v>
      </c>
    </row>
    <row r="244" spans="2:2">
      <c r="B244" s="7" t="str">
        <f>IF('ClinicalStage-ConceptMap-4'!S31=0,"//---END",'ClinicalStage-ConceptMap-4'!S31)</f>
        <v>* group[=].element[=].target.equivalence = #unmatched</v>
      </c>
    </row>
    <row r="245" spans="2:2">
      <c r="B245" s="7" t="str">
        <f>IF('ClinicalStage-ConceptMap-4'!S32=0,"//---END",'ClinicalStage-ConceptMap-4'!S32)</f>
        <v/>
      </c>
    </row>
    <row r="246" spans="2:2">
      <c r="B246" s="7" t="str">
        <f>IF('ClinicalStage-ConceptMap-4'!S33=0,"//---END",'ClinicalStage-ConceptMap-4'!S33)</f>
        <v>* group[=].element[+].code = #ClinicalStage.cM</v>
      </c>
    </row>
    <row r="247" spans="2:2">
      <c r="B247" s="7" t="str">
        <f>IF('ClinicalStage-ConceptMap-4'!S34=0,"//---END",'ClinicalStage-ConceptMap-4'!S34)</f>
        <v>* group[=].element[=].display = ##34#cM##34#</v>
      </c>
    </row>
    <row r="248" spans="2:2">
      <c r="B248" s="7" t="str">
        <f>IF('ClinicalStage-ConceptMap-4'!S35=0,"//---END",'ClinicalStage-ConceptMap-4'!S35)</f>
        <v>//-- unmatched</v>
      </c>
    </row>
    <row r="249" spans="2:2">
      <c r="B249" s="7" t="str">
        <f>IF('ClinicalStage-ConceptMap-4'!S36=0,"//---END",'ClinicalStage-ConceptMap-4'!S36)</f>
        <v>//-- unmatched</v>
      </c>
    </row>
    <row r="250" spans="2:2">
      <c r="B250" s="7" t="str">
        <f>IF('ClinicalStage-ConceptMap-4'!S37=0,"//---END",'ClinicalStage-ConceptMap-4'!S37)</f>
        <v>* group[=].element[=].target.equivalence = #unmatched</v>
      </c>
    </row>
    <row r="251" spans="2:2">
      <c r="B251" s="7" t="str">
        <f>IF('ClinicalStage-ConceptMap-4'!S38=0,"//---END",'ClinicalStage-ConceptMap-4'!S38)</f>
        <v/>
      </c>
    </row>
    <row r="252" spans="2:2">
      <c r="B252" s="7" t="str">
        <f>IF('ClinicalStage-ConceptMap-4'!S39=0,"//---END",'ClinicalStage-ConceptMap-4'!S39)</f>
        <v>//---END</v>
      </c>
    </row>
    <row r="253" spans="2:2">
      <c r="B253" s="7" t="str">
        <f>IF('ClinicalStage-ConceptMap-4'!S40=0,"//---END",'ClinicalStage-ConceptMap-4'!S40)</f>
        <v>//---END</v>
      </c>
    </row>
    <row r="254" spans="2:2">
      <c r="B254" s="7" t="str">
        <f>IF('ClinicalStage-ConceptMap-4'!S41=0,"//---END",'ClinicalStage-ConceptMap-4'!S41)</f>
        <v>//---END</v>
      </c>
    </row>
    <row r="255" spans="2:2">
      <c r="B255" s="7" t="str">
        <f>IF('ClinicalStage-ConceptMap-4'!S42=0,"//---END",'ClinicalStage-ConceptMap-4'!S42)</f>
        <v>//---END</v>
      </c>
    </row>
    <row r="256" spans="2:2">
      <c r="B256" s="7" t="str">
        <f>IF('ClinicalStage-ConceptMap-4'!S43=0,"//---END",'ClinicalStage-ConceptMap-4'!S43)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theme="7" tint="0.39997558519241921"/>
  </sheetPr>
  <dimension ref="A1:M33"/>
  <sheetViews>
    <sheetView zoomScale="130" zoomScaleNormal="130" workbookViewId="0">
      <selection activeCell="B5" sqref="B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2352</v>
      </c>
      <c r="J4" s="16" t="str">
        <f>CONCATENATE("Logical: ",B4)</f>
        <v>Logical: PathologicalStageI4rc</v>
      </c>
    </row>
    <row r="5" spans="1:12" ht="19.899999999999999" customHeight="1">
      <c r="A5" s="14" t="s">
        <v>16</v>
      </c>
      <c r="B5" s="46" t="s">
        <v>1911</v>
      </c>
      <c r="J5" s="16" t="str">
        <f>CONCATENATE("Id: ",B5)</f>
        <v>Id: PathologicalStage</v>
      </c>
    </row>
    <row r="6" spans="1:12" ht="19.899999999999999" customHeight="1">
      <c r="A6" s="14" t="s">
        <v>10</v>
      </c>
      <c r="B6" s="47" t="s">
        <v>1912</v>
      </c>
      <c r="J6" s="17" t="str">
        <f>CONCATENATE("Title: ##34#",B6,"##34#")</f>
        <v>Title: ##34#Pathological Stage##34#</v>
      </c>
    </row>
    <row r="7" spans="1:12" ht="19.899999999999999" customHeight="1">
      <c r="A7" s="26" t="s">
        <v>2</v>
      </c>
      <c r="B7" s="104" t="s">
        <v>1911</v>
      </c>
      <c r="C7" s="9" t="s">
        <v>3</v>
      </c>
      <c r="D7" s="1" t="s">
        <v>4</v>
      </c>
      <c r="E7" s="3" t="s">
        <v>5</v>
      </c>
      <c r="F7" s="3" t="s">
        <v>6</v>
      </c>
      <c r="G7" s="3" t="s">
        <v>7</v>
      </c>
      <c r="H7" s="105" t="s">
        <v>1610</v>
      </c>
      <c r="J7" s="17" t="str">
        <f>CONCATENATE("Description: "," ##334#",B7,"##334#",)</f>
        <v>Description:  ##334#PathologicalStage##334#</v>
      </c>
    </row>
    <row r="8" spans="1:12" ht="20.25" customHeight="1">
      <c r="A8" s="100">
        <v>0</v>
      </c>
      <c r="B8" s="57" t="s">
        <v>1913</v>
      </c>
      <c r="C8" s="11" t="s">
        <v>1871</v>
      </c>
      <c r="D8" s="11" t="s">
        <v>1872</v>
      </c>
      <c r="E8" s="11">
        <v>1</v>
      </c>
      <c r="F8" s="11">
        <v>1</v>
      </c>
      <c r="G8" s="57" t="s">
        <v>1969</v>
      </c>
      <c r="H8" s="12" t="s">
        <v>184</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c r="A9" s="100">
        <v>1</v>
      </c>
      <c r="B9" s="11" t="s">
        <v>1889</v>
      </c>
      <c r="C9" s="11" t="s">
        <v>1889</v>
      </c>
      <c r="D9" s="11" t="s">
        <v>1890</v>
      </c>
      <c r="E9" s="11">
        <v>0</v>
      </c>
      <c r="F9" s="11">
        <v>1</v>
      </c>
      <c r="G9" s="57" t="s">
        <v>1764</v>
      </c>
      <c r="H9" s="12" t="s">
        <v>1904</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c r="A10" s="100">
        <v>2</v>
      </c>
      <c r="B10" s="11" t="s">
        <v>1891</v>
      </c>
      <c r="C10" s="11" t="s">
        <v>1891</v>
      </c>
      <c r="D10" s="11" t="s">
        <v>1892</v>
      </c>
      <c r="E10" s="11">
        <v>0</v>
      </c>
      <c r="F10" s="11">
        <v>1</v>
      </c>
      <c r="G10" s="57" t="s">
        <v>1764</v>
      </c>
      <c r="H10" s="12" t="s">
        <v>1905</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c r="A11" s="101">
        <v>3</v>
      </c>
      <c r="B11" s="11" t="s">
        <v>1893</v>
      </c>
      <c r="C11" s="11" t="s">
        <v>1893</v>
      </c>
      <c r="D11" s="11" t="s">
        <v>1894</v>
      </c>
      <c r="E11" s="11">
        <v>0</v>
      </c>
      <c r="F11" s="11">
        <v>1</v>
      </c>
      <c r="G11" s="57" t="s">
        <v>1764</v>
      </c>
      <c r="H11" s="12" t="s">
        <v>1906</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c r="A12" s="101">
        <v>4</v>
      </c>
      <c r="B12" s="57" t="s">
        <v>1917</v>
      </c>
      <c r="C12" s="11" t="s">
        <v>1895</v>
      </c>
      <c r="D12" s="11" t="s">
        <v>1896</v>
      </c>
      <c r="E12" s="11">
        <v>0</v>
      </c>
      <c r="F12" s="11">
        <v>1</v>
      </c>
      <c r="G12" s="57" t="s">
        <v>1764</v>
      </c>
      <c r="H12" s="12" t="s">
        <v>1907</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c r="A13" s="101">
        <v>5</v>
      </c>
      <c r="B13" s="57" t="s">
        <v>1914</v>
      </c>
      <c r="C13" s="11" t="s">
        <v>1897</v>
      </c>
      <c r="D13" s="12" t="s">
        <v>1898</v>
      </c>
      <c r="E13" s="11">
        <v>0</v>
      </c>
      <c r="F13" s="11">
        <v>1</v>
      </c>
      <c r="G13" s="57" t="s">
        <v>1764</v>
      </c>
      <c r="H13" s="12" t="s">
        <v>1908</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c r="A14" s="101">
        <v>6</v>
      </c>
      <c r="B14" s="57" t="s">
        <v>1915</v>
      </c>
      <c r="C14" s="11" t="s">
        <v>1899</v>
      </c>
      <c r="D14" s="12" t="s">
        <v>1646</v>
      </c>
      <c r="E14" s="11">
        <v>1</v>
      </c>
      <c r="F14" s="11">
        <v>1</v>
      </c>
      <c r="G14" s="57" t="s">
        <v>1764</v>
      </c>
      <c r="H14" s="12" t="s">
        <v>1909</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c r="A15" s="101">
        <v>7</v>
      </c>
      <c r="B15" s="57" t="s">
        <v>1644</v>
      </c>
      <c r="C15" s="11" t="s">
        <v>1645</v>
      </c>
      <c r="D15" s="12" t="s">
        <v>1900</v>
      </c>
      <c r="E15" s="11">
        <v>0</v>
      </c>
      <c r="F15" s="11">
        <v>1</v>
      </c>
      <c r="G15" s="57" t="s">
        <v>1764</v>
      </c>
      <c r="H15" s="12" t="s">
        <v>1909</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c r="A16" s="101">
        <v>8</v>
      </c>
      <c r="B16" s="57" t="s">
        <v>1916</v>
      </c>
      <c r="C16" s="11" t="s">
        <v>1901</v>
      </c>
      <c r="D16" s="12" t="s">
        <v>1902</v>
      </c>
      <c r="E16" s="11">
        <v>1</v>
      </c>
      <c r="F16" s="11">
        <v>1</v>
      </c>
      <c r="G16" s="57" t="s">
        <v>1764</v>
      </c>
      <c r="H16" s="12" t="s">
        <v>1910</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c r="A17" s="100">
        <v>9</v>
      </c>
      <c r="B17" s="57" t="s">
        <v>1647</v>
      </c>
      <c r="C17" s="11" t="s">
        <v>1622</v>
      </c>
      <c r="D17" s="12" t="s">
        <v>1623</v>
      </c>
      <c r="E17" s="11">
        <v>1</v>
      </c>
      <c r="F17" s="11">
        <v>1</v>
      </c>
      <c r="G17" s="57" t="s">
        <v>1764</v>
      </c>
      <c r="H17" s="12" t="s">
        <v>1875</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c r="A18" s="101">
        <v>10</v>
      </c>
      <c r="B18" s="57" t="s">
        <v>1648</v>
      </c>
      <c r="C18" s="11" t="s">
        <v>1903</v>
      </c>
      <c r="D18" s="11" t="s">
        <v>1625</v>
      </c>
      <c r="E18" s="11">
        <v>0</v>
      </c>
      <c r="F18" s="11">
        <v>1</v>
      </c>
      <c r="G18" s="57" t="s">
        <v>157</v>
      </c>
      <c r="H18" s="12" t="s">
        <v>1876</v>
      </c>
      <c r="J18" s="12" t="str">
        <f t="shared" si="0"/>
        <v>* softTissue 0..1 boolean ##34#Soft Tissue##34# ##334#Describes if site of metastasic disease  is soft tissue##334#</v>
      </c>
      <c r="L18" s="12" t="str">
        <f t="shared" si="1"/>
        <v>* softTissue ^comment = ##334#True; False##334#</v>
      </c>
    </row>
    <row r="19" spans="1:13" ht="19.899999999999999" customHeight="1">
      <c r="A19" s="101">
        <v>11</v>
      </c>
      <c r="B19" s="57" t="s">
        <v>1649</v>
      </c>
      <c r="C19" s="11" t="s">
        <v>1626</v>
      </c>
      <c r="D19" s="11" t="s">
        <v>1627</v>
      </c>
      <c r="E19" s="11">
        <v>0</v>
      </c>
      <c r="F19" s="11">
        <v>1</v>
      </c>
      <c r="G19" s="57" t="s">
        <v>157</v>
      </c>
      <c r="H19" s="12" t="s">
        <v>1876</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c r="A20" s="101">
        <v>12</v>
      </c>
      <c r="B20" s="11" t="s">
        <v>1628</v>
      </c>
      <c r="C20" s="11" t="s">
        <v>1628</v>
      </c>
      <c r="D20" s="11" t="s">
        <v>1629</v>
      </c>
      <c r="E20" s="133">
        <v>0</v>
      </c>
      <c r="F20" s="11">
        <v>1</v>
      </c>
      <c r="G20" s="57" t="s">
        <v>157</v>
      </c>
      <c r="H20" s="12" t="s">
        <v>1876</v>
      </c>
      <c r="J20" s="12" t="str">
        <f t="shared" si="0"/>
        <v>* lung 0..1 boolean ##34#lung##34# ##334#Describes if site of metastasic disease  is lung##334#</v>
      </c>
      <c r="L20" s="12" t="str">
        <f t="shared" si="1"/>
        <v>* lung ^comment = ##334#True; False##334#</v>
      </c>
    </row>
    <row r="21" spans="1:13" ht="19.899999999999999" customHeight="1">
      <c r="A21" s="101">
        <v>13</v>
      </c>
      <c r="B21" s="11" t="s">
        <v>1630</v>
      </c>
      <c r="C21" s="11" t="s">
        <v>1630</v>
      </c>
      <c r="D21" s="11" t="s">
        <v>1631</v>
      </c>
      <c r="E21" s="133">
        <v>0</v>
      </c>
      <c r="F21" s="11">
        <v>1</v>
      </c>
      <c r="G21" s="57" t="s">
        <v>157</v>
      </c>
      <c r="H21" s="12" t="s">
        <v>1876</v>
      </c>
      <c r="J21" s="12" t="str">
        <f t="shared" si="0"/>
        <v>* bone 0..1 boolean ##34#bone##34# ##334#Describes if site of metastasic disease  is bone##334#</v>
      </c>
      <c r="L21" s="12" t="str">
        <f t="shared" si="1"/>
        <v>* bone ^comment = ##334#True; False##334#</v>
      </c>
      <c r="M21"/>
    </row>
    <row r="22" spans="1:13" ht="19.899999999999999" customHeight="1">
      <c r="A22" s="101">
        <v>14</v>
      </c>
      <c r="B22" s="11" t="s">
        <v>1632</v>
      </c>
      <c r="C22" s="11" t="s">
        <v>1632</v>
      </c>
      <c r="D22" s="11" t="s">
        <v>1633</v>
      </c>
      <c r="E22" s="133">
        <v>0</v>
      </c>
      <c r="F22" s="11">
        <v>1</v>
      </c>
      <c r="G22" s="57" t="s">
        <v>157</v>
      </c>
      <c r="H22" s="12" t="s">
        <v>1876</v>
      </c>
      <c r="J22" s="12" t="str">
        <f t="shared" si="0"/>
        <v>* liver 0..1 boolean ##34#liver##34# ##334#Describes if site of metastasic disease  is liver##334#</v>
      </c>
      <c r="L22" s="12" t="str">
        <f t="shared" si="1"/>
        <v>* liver ^comment = ##334#True; False##334#</v>
      </c>
      <c r="M22"/>
    </row>
    <row r="23" spans="1:13" ht="19.899999999999999" customHeight="1">
      <c r="A23" s="101">
        <v>15</v>
      </c>
      <c r="B23" s="11" t="s">
        <v>1634</v>
      </c>
      <c r="C23" s="11" t="s">
        <v>1634</v>
      </c>
      <c r="D23" s="12" t="s">
        <v>1635</v>
      </c>
      <c r="E23" s="133">
        <v>0</v>
      </c>
      <c r="F23" s="11">
        <v>1</v>
      </c>
      <c r="G23" s="57" t="s">
        <v>157</v>
      </c>
      <c r="H23" s="12" t="s">
        <v>1876</v>
      </c>
      <c r="J23" s="12" t="str">
        <f t="shared" si="0"/>
        <v>* pleura 0..1 boolean ##34#pleura##34# ##334#Describes if site of metastasic disease  is pleura##334#</v>
      </c>
      <c r="L23" s="12" t="str">
        <f t="shared" si="1"/>
        <v>* pleura ^comment = ##334#True; False##334#</v>
      </c>
      <c r="M23"/>
    </row>
    <row r="24" spans="1:13" ht="19.899999999999999" customHeight="1">
      <c r="A24" s="101">
        <v>16</v>
      </c>
      <c r="B24" s="11" t="s">
        <v>1636</v>
      </c>
      <c r="C24" s="11" t="s">
        <v>1636</v>
      </c>
      <c r="D24" s="12" t="s">
        <v>1637</v>
      </c>
      <c r="E24" s="133">
        <v>0</v>
      </c>
      <c r="F24" s="11">
        <v>1</v>
      </c>
      <c r="G24" s="57" t="s">
        <v>157</v>
      </c>
      <c r="H24" s="12" t="s">
        <v>1876</v>
      </c>
      <c r="J24" s="12" t="str">
        <f t="shared" si="0"/>
        <v>* peritoneum 0..1 boolean ##34#peritoneum##34# ##334#Describes if site of metastasic disease  is peritoneum##334#</v>
      </c>
      <c r="L24" s="12" t="str">
        <f t="shared" si="1"/>
        <v>* peritoneum ^comment = ##334#True; False##334#</v>
      </c>
      <c r="M24"/>
    </row>
    <row r="25" spans="1:13" ht="19.899999999999999" customHeight="1">
      <c r="A25" s="101">
        <v>17</v>
      </c>
      <c r="B25" s="11" t="s">
        <v>1638</v>
      </c>
      <c r="C25" s="11" t="s">
        <v>1638</v>
      </c>
      <c r="D25" s="12" t="s">
        <v>1639</v>
      </c>
      <c r="E25">
        <v>0</v>
      </c>
      <c r="F25">
        <v>1</v>
      </c>
      <c r="G25" s="57" t="s">
        <v>157</v>
      </c>
      <c r="H25" s="2" t="s">
        <v>1876</v>
      </c>
      <c r="J25" s="12" t="str">
        <f t="shared" si="0"/>
        <v>* brain 0..1 boolean ##34#brain##34# ##334#Describes if site of metastasic disease  is brain##334#</v>
      </c>
      <c r="L25" s="12" t="str">
        <f t="shared" si="1"/>
        <v>* brain ^comment = ##334#True; False##334#</v>
      </c>
      <c r="M25"/>
    </row>
    <row r="26" spans="1:13" ht="19.899999999999999" customHeight="1">
      <c r="A26" s="101">
        <v>18</v>
      </c>
      <c r="B26" s="11" t="s">
        <v>1650</v>
      </c>
      <c r="C26" s="11" t="s">
        <v>1640</v>
      </c>
      <c r="D26" s="12" t="s">
        <v>1641</v>
      </c>
      <c r="E26">
        <v>0</v>
      </c>
      <c r="F26">
        <v>1</v>
      </c>
      <c r="G26" s="57" t="s">
        <v>157</v>
      </c>
      <c r="H26" s="2" t="s">
        <v>1876</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c r="A27" s="101">
        <v>19</v>
      </c>
      <c r="B27" s="12" t="s">
        <v>1642</v>
      </c>
      <c r="C27" s="12" t="s">
        <v>1642</v>
      </c>
      <c r="D27" s="11" t="s">
        <v>1643</v>
      </c>
      <c r="E27">
        <v>0</v>
      </c>
      <c r="F27">
        <v>1</v>
      </c>
      <c r="G27" s="57" t="s">
        <v>157</v>
      </c>
      <c r="H27" s="2" t="s">
        <v>1876</v>
      </c>
      <c r="J27" s="12" t="str">
        <f t="shared" si="0"/>
        <v>* unknown 0..1 boolean ##34#unknown##34# ##334#Describes if site of metastasic disease  is unknown##334#</v>
      </c>
      <c r="L27" s="12" t="str">
        <f t="shared" si="1"/>
        <v>* unknown ^comment = ##334#True; False##334#</v>
      </c>
    </row>
    <row r="28" spans="1:13" ht="19.899999999999999" customHeight="1">
      <c r="J28" s="12" t="str">
        <f t="shared" si="0"/>
        <v>*  ..  ##34###34# ##334###334#</v>
      </c>
      <c r="L28" s="12" t="str">
        <f t="shared" si="1"/>
        <v>*  ..  ##34###34# ##334###334#</v>
      </c>
    </row>
    <row r="29" spans="1:13" ht="19.899999999999999" customHeight="1">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c r="J30" s="12" t="str">
        <f t="shared" si="2"/>
        <v>*  ..  ##34###34# ##334###334#</v>
      </c>
      <c r="L30" s="12" t="str">
        <f t="shared" si="3"/>
        <v>*  ..  ##34###34# ##334###334#</v>
      </c>
    </row>
    <row r="31" spans="1:13" ht="19.899999999999999" customHeight="1">
      <c r="J31" s="12" t="str">
        <f t="shared" si="2"/>
        <v>*  ..  ##34###34# ##334###334#</v>
      </c>
      <c r="L31" s="12" t="str">
        <f t="shared" si="3"/>
        <v>*  ..  ##34###34# ##334###334#</v>
      </c>
    </row>
    <row r="32" spans="1:13" ht="19.899999999999999" customHeight="1" thickBot="1">
      <c r="F32" s="7"/>
    </row>
    <row r="33" spans="2:2" ht="19.899999999999999" customHeight="1" thickBot="1">
      <c r="B33" s="144" t="s">
        <v>2000</v>
      </c>
    </row>
  </sheetData>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theme="8" tint="-0.249977111117893"/>
  </sheetPr>
  <dimension ref="C1:G307"/>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PathologicalStage!J1</f>
        <v>//===================================================</v>
      </c>
    </row>
    <row r="2" spans="3:7" ht="16.75" thickBot="1">
      <c r="C2" s="24" t="str">
        <f>PathologicalStage!J2</f>
        <v>//  Logical Model</v>
      </c>
      <c r="G2" s="29" t="s">
        <v>1919</v>
      </c>
    </row>
    <row r="3" spans="3:7">
      <c r="C3" s="24" t="str">
        <f>PathologicalStage!J3</f>
        <v>//===================================================</v>
      </c>
    </row>
    <row r="4" spans="3:7">
      <c r="C4" s="16" t="str">
        <f>PathologicalStage!J4</f>
        <v>Logical: PathologicalStageI4rc</v>
      </c>
    </row>
    <row r="5" spans="3:7">
      <c r="C5" s="16" t="str">
        <f>PathologicalStage!J5</f>
        <v>Id: PathologicalStage</v>
      </c>
    </row>
    <row r="6" spans="3:7">
      <c r="C6" s="16" t="str">
        <f>PathologicalStage!J6</f>
        <v>Title: ##34#Pathological Stage##34#</v>
      </c>
    </row>
    <row r="7" spans="3:7">
      <c r="C7" s="16" t="str">
        <f>PathologicalStage!J7</f>
        <v>Description:  ##334#PathologicalStage##334#</v>
      </c>
    </row>
    <row r="8" spans="3:7" ht="29.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c r="C9" s="12" t="str">
        <f>IF(PathologicalStage!J9="*  ..  ##34###34# ##334###334#","//--- END",PathologicalStage!J9)</f>
        <v>* pT 0..1 CodeableConcept ##34#pT##34# ##334#Specifies the pathological T##334#</v>
      </c>
    </row>
    <row r="10" spans="3:7">
      <c r="C10" s="12" t="str">
        <f>IF(PathologicalStage!J10="*  ..  ##34###34# ##334###334#","//--- END",PathologicalStage!J10)</f>
        <v>* pN 0..1 CodeableConcept ##34#pN##34# ##334#Specifies the pathological N##334#</v>
      </c>
    </row>
    <row r="11" spans="3:7" ht="29.5">
      <c r="C11" s="12" t="str">
        <f>IF(PathologicalStage!J11="*  ..  ##34###34# ##334###334#","//--- END",PathologicalStage!J11)</f>
        <v>* pM 0..1 CodeableConcept ##34#pM##34# ##334#Describes whether capsular extension is present by histopathologic examination or not##334#</v>
      </c>
    </row>
    <row r="12" spans="3:7" ht="29.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c r="C14" s="12" t="str">
        <f>IF(PathologicalStage!J14="*  ..  ##34###34# ##334###334#","//--- END",PathologicalStage!J14)</f>
        <v>* sentinelNode 1..1 CodeableConcept ##34#Sentinel node##34# ##334#Describes whether a protocoled and standardized en block resection of lymphatic tissue is performed or not##334#</v>
      </c>
    </row>
    <row r="15" spans="3:7">
      <c r="C15" s="12" t="str">
        <f>IF(PathologicalStage!J15="*  ..  ##34###34# ##334###334#","//--- END",PathologicalStage!J15)</f>
        <v>* neckDissection 0..1 CodeableConcept ##34#Neck dissection##34# ##334#Specifies the pathological M##334#</v>
      </c>
    </row>
    <row r="16" spans="3:7">
      <c r="C16" s="12" t="str">
        <f>IF(PathologicalStage!J16="*  ..  ##34###34# ##334###334#","//--- END",PathologicalStage!J16)</f>
        <v>* pathologicalStaging 1..1 CodeableConcept ##34#Pathological staging##34# ##334#Specifies the pathological staging##334#</v>
      </c>
    </row>
    <row r="17" spans="3:3">
      <c r="C17" s="12" t="str">
        <f>IF(PathologicalStage!J17="*  ..  ##34###34# ##334###334#","//--- END",PathologicalStage!J17)</f>
        <v>* ajccEdition 1..1 CodeableConcept ##34#Ajcc edition##34# ##334#Describe the edition of the AJCC used for staging##334#</v>
      </c>
    </row>
    <row r="18" spans="3:3">
      <c r="C18" s="12" t="str">
        <f>IF(PathologicalStage!J18="*  ..  ##34###34# ##334###334#","//--- END",PathologicalStage!J18)</f>
        <v>* softTissue 0..1 boolean ##34#Soft Tissue##34# ##334#Describes if site of metastasic disease  is soft tissue##334#</v>
      </c>
    </row>
    <row r="19" spans="3:3" ht="29.5">
      <c r="C19" s="12" t="str">
        <f>IF(PathologicalStage!J19="*  ..  ##34###34# ##334###334#","//--- END",PathologicalStage!J19)</f>
        <v>* distantLymphNode 0..1 boolean ##34#distant lymph node##34# ##334#Describes if site of metastasic disease  is dystan lymph node##334#</v>
      </c>
    </row>
    <row r="20" spans="3:3">
      <c r="C20" s="12" t="str">
        <f>IF(PathologicalStage!J20="*  ..  ##34###34# ##334###334#","//--- END",PathologicalStage!J20)</f>
        <v>* lung 0..1 boolean ##34#lung##34# ##334#Describes if site of metastasic disease  is lung##334#</v>
      </c>
    </row>
    <row r="21" spans="3:3">
      <c r="C21" s="12" t="str">
        <f>IF(PathologicalStage!J21="*  ..  ##34###34# ##334###334#","//--- END",PathologicalStage!J21)</f>
        <v>* bone 0..1 boolean ##34#bone##34# ##334#Describes if site of metastasic disease  is bone##334#</v>
      </c>
    </row>
    <row r="22" spans="3:3">
      <c r="C22" s="12" t="str">
        <f>IF(PathologicalStage!J22="*  ..  ##34###34# ##334###334#","//--- END",PathologicalStage!J22)</f>
        <v>* liver 0..1 boolean ##34#liver##34# ##334#Describes if site of metastasic disease  is liver##334#</v>
      </c>
    </row>
    <row r="23" spans="3:3">
      <c r="C23" s="12" t="str">
        <f>IF(PathologicalStage!J23="*  ..  ##34###34# ##334###334#","//--- END",PathologicalStage!J23)</f>
        <v>* pleura 0..1 boolean ##34#pleura##34# ##334#Describes if site of metastasic disease  is pleura##334#</v>
      </c>
    </row>
    <row r="24" spans="3:3">
      <c r="C24" s="12" t="str">
        <f>IF(PathologicalStage!J24="*  ..  ##34###34# ##334###334#","//--- END",PathologicalStage!J24)</f>
        <v>* peritoneum 0..1 boolean ##34#peritoneum##34# ##334#Describes if site of metastasic disease  is peritoneum##334#</v>
      </c>
    </row>
    <row r="25" spans="3:3">
      <c r="C25" s="12" t="str">
        <f>IF(PathologicalStage!J25="*  ..  ##34###34# ##334###334#","//--- END",PathologicalStage!J25)</f>
        <v>* brain 0..1 boolean ##34#brain##34# ##334#Describes if site of metastasic disease  is brain##334#</v>
      </c>
    </row>
    <row r="26" spans="3:3">
      <c r="C26" s="12" t="str">
        <f>IF(PathologicalStage!J26="*  ..  ##34###34# ##334###334#","//--- END",PathologicalStage!J26)</f>
        <v>* otherViscera 0..1 boolean ##34#other viscera##34# ##334#Describes if site of metastasic disease  is other viscera##334#</v>
      </c>
    </row>
    <row r="27" spans="3:3">
      <c r="C27" s="12" t="str">
        <f>IF(PathologicalStage!J27="*  ..  ##34###34# ##334###334#","//--- END",PathologicalStage!J27)</f>
        <v>* unknown 0..1 boolean ##34#unknown##34# ##334#Describes if site of metastasic disease  is unknown##334#</v>
      </c>
    </row>
    <row r="28" spans="3:3">
      <c r="C28" s="12" t="str">
        <f>IF(PathologicalStage!J28="*  ..  ##34###34# ##334###334#","//--- END",PathologicalStage!J28)</f>
        <v>//--- END</v>
      </c>
    </row>
    <row r="29" spans="3:3">
      <c r="C29" s="12" t="str">
        <f>IF(PathologicalStage!J29="*  ..  ##34###34# ##334###334#","//--- END",PathologicalStage!J29)</f>
        <v>//--- END</v>
      </c>
    </row>
    <row r="30" spans="3:3">
      <c r="C30" s="12" t="str">
        <f>IF(PathologicalStage!J30="*  ..  ##34###34# ##334###334#","//--- END",PathologicalStage!J30)</f>
        <v>//--- END</v>
      </c>
    </row>
    <row r="33" spans="3:3">
      <c r="C33" s="23" t="s">
        <v>1613</v>
      </c>
    </row>
    <row r="34" spans="3:3">
      <c r="C34" s="24" t="s">
        <v>1701</v>
      </c>
    </row>
    <row r="35" spans="3:3">
      <c r="C35" s="24" t="s">
        <v>1613</v>
      </c>
    </row>
    <row r="36" spans="3:3">
      <c r="C36" s="12" t="str">
        <f>IF(PathologicalStage!L8="*  ..  ##34###34# ##334###334#","//--- END",PathologicalStage!L8)</f>
        <v/>
      </c>
    </row>
    <row r="37" spans="3:3" ht="14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c r="C39" s="12" t="str">
        <f>IF(PathologicalStage!L11="*  ..  ##34###34# ##334###334#","//--- END",PathologicalStage!L11)</f>
        <v>* pM ^comment = ##334#M0; M1; unknownM0 -  4149726
M1 - 4205430
Unknown - 4129922##334#</v>
      </c>
    </row>
    <row r="40" spans="3:3" ht="44.25">
      <c r="C40" s="12" t="str">
        <f>IF(PathologicalStage!L12="*  ..  ##34###34# ##334###334#","//--- END",PathologicalStage!L12)</f>
        <v>* extranodalExtension ^comment = ##334#ENE-; ENE+;  unknown.ENE- - 36769946
ENE+ - 36770618
Unknown - 4129922##334#</v>
      </c>
    </row>
    <row r="41" spans="3:3">
      <c r="C41" s="12" t="str">
        <f>IF(PathologicalStage!L13="*  ..  ##34###34# ##334###334#","//--- END",PathologicalStage!L13)</f>
        <v>* extranodalExtent ^comment = ##334#&lt; 2mm;  &gt;=2mm; unknownCustom##334#</v>
      </c>
    </row>
    <row r="42" spans="3:3" ht="44.25">
      <c r="C42" s="12" t="str">
        <f>IF(PathologicalStage!L14="*  ..  ##34###34# ##334###334#","//--- END",PathologicalStage!L14)</f>
        <v>* sentinelNode ^comment = ##334#Yes; No; Unknown.Yes - 4188539
No -  4188540
Unknown - 4129922##334#</v>
      </c>
    </row>
    <row r="43" spans="3:3" ht="44.25">
      <c r="C43" s="12" t="str">
        <f>IF(PathologicalStage!L15="*  ..  ##34###34# ##334###334#","//--- END",PathologicalStage!L15)</f>
        <v>* neckDissection ^comment = ##334#Yes; No; Unknown.Yes - 4188539
No -  4188540
Unknown - 4129922##334#</v>
      </c>
    </row>
    <row r="44" spans="3:3">
      <c r="C44" s="12" t="str">
        <f>IF(PathologicalStage!L16="*  ..  ##34###34# ##334###334#","//--- END",PathologicalStage!L16)</f>
        <v>* pathologicalStaging ^comment = ##334#0;I;II;III;IV;IVA;IVB;IVC;UnknownUnknown - 4129922##334#</v>
      </c>
    </row>
    <row r="45" spans="3:3">
      <c r="C45" s="12" t="str">
        <f>IF(PathologicalStage!L17="*  ..  ##34###34# ##334###334#","//--- END",PathologicalStage!L17)</f>
        <v>* ajccEdition ^comment = ##334#8th,9th,10th,11th##334#</v>
      </c>
    </row>
    <row r="46" spans="3:3">
      <c r="C46" s="12" t="str">
        <f>IF(PathologicalStage!L18="*  ..  ##34###34# ##334###334#","//--- END",PathologicalStage!L18)</f>
        <v>* softTissue ^comment = ##334#True; False##334#</v>
      </c>
    </row>
    <row r="47" spans="3:3">
      <c r="C47" s="12" t="str">
        <f>IF(PathologicalStage!L19="*  ..  ##34###34# ##334###334#","//--- END",PathologicalStage!L19)</f>
        <v>* distantLymphNode ^comment = ##334#True; False##334#</v>
      </c>
    </row>
    <row r="48" spans="3:3">
      <c r="C48" s="12" t="str">
        <f>IF(PathologicalStage!L20="*  ..  ##34###34# ##334###334#","//--- END",PathologicalStage!L20)</f>
        <v>* lung ^comment = ##334#True; False##334#</v>
      </c>
    </row>
    <row r="49" spans="3:3">
      <c r="C49" s="12" t="str">
        <f>IF(PathologicalStage!L21="*  ..  ##34###34# ##334###334#","//--- END",PathologicalStage!L21)</f>
        <v>* bone ^comment = ##334#True; False##334#</v>
      </c>
    </row>
    <row r="50" spans="3:3">
      <c r="C50" s="12" t="str">
        <f>IF(PathologicalStage!L22="*  ..  ##34###34# ##334###334#","//--- END",PathologicalStage!L22)</f>
        <v>* liver ^comment = ##334#True; False##334#</v>
      </c>
    </row>
    <row r="51" spans="3:3">
      <c r="C51" s="12" t="str">
        <f>IF(PathologicalStage!L23="*  ..  ##34###34# ##334###334#","//--- END",PathologicalStage!L23)</f>
        <v>* pleura ^comment = ##334#True; False##334#</v>
      </c>
    </row>
    <row r="52" spans="3:3">
      <c r="C52" s="12" t="str">
        <f>IF(PathologicalStage!L24="*  ..  ##34###34# ##334###334#","//--- END",PathologicalStage!L24)</f>
        <v>* peritoneum ^comment = ##334#True; False##334#</v>
      </c>
    </row>
    <row r="53" spans="3:3">
      <c r="C53" s="12" t="str">
        <f>IF(PathologicalStage!L25="*  ..  ##34###34# ##334###334#","//--- END",PathologicalStage!L25)</f>
        <v>* brain ^comment = ##334#True; False##334#</v>
      </c>
    </row>
    <row r="54" spans="3:3">
      <c r="C54" s="12" t="str">
        <f>IF(PathologicalStage!L26="*  ..  ##34###34# ##334###334#","//--- END",PathologicalStage!L26)</f>
        <v>* otherViscera ^comment = ##334#True; False##334#</v>
      </c>
    </row>
    <row r="55" spans="3:3">
      <c r="C55" s="12" t="str">
        <f>IF(PathologicalStage!L27="*  ..  ##34###34# ##334###334#","//--- END",PathologicalStage!L27)</f>
        <v>* unknown ^comment = ##334#True; False##334#</v>
      </c>
    </row>
    <row r="56" spans="3:3">
      <c r="C56" s="12" t="str">
        <f>IF(PathologicalStage!L28="*  ..  ##34###34# ##334###334#","//--- END",PathologicalStage!L28)</f>
        <v>//--- END</v>
      </c>
    </row>
    <row r="57" spans="3:3">
      <c r="C57" s="12" t="str">
        <f>IF(PathologicalStage!L29="*  ..  ##34###34# ##334###334#","//--- END",PathologicalStage!L29)</f>
        <v>//--- END</v>
      </c>
    </row>
    <row r="58" spans="3:3">
      <c r="C58" s="12" t="str">
        <f>IF(PathologicalStage!L30="*  ..  ##34###34# ##334###334#","//--- END",PathologicalStage!L30)</f>
        <v>//--- END</v>
      </c>
    </row>
    <row r="59" spans="3:3">
      <c r="C59" s="12" t="str">
        <f>IF(PathologicalStage!L31="*  ..  ##34###34# ##334###334#","//--- END",PathologicalStage!L31)</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theme="0" tint="-0.499984740745262"/>
  </sheetPr>
  <dimension ref="A1:S163"/>
  <sheetViews>
    <sheetView topLeftCell="A6" workbookViewId="0">
      <selection activeCell="G16" sqref="G16"/>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2009</v>
      </c>
      <c r="D3" s="62" t="s">
        <v>1769</v>
      </c>
      <c r="E3" s="117" t="str">
        <f>$C$1&amp;ClinicalStage!B4</f>
        <v>http://hl7.eu/fhir/ig/idea4rc/StructureDefinition/ClinicalStageI4rc</v>
      </c>
    </row>
    <row r="4" spans="1:19">
      <c r="B4" s="62" t="s">
        <v>16</v>
      </c>
      <c r="C4" s="28" t="s">
        <v>2012</v>
      </c>
      <c r="D4" s="62" t="s">
        <v>1770</v>
      </c>
      <c r="E4" s="184" t="s">
        <v>1991</v>
      </c>
      <c r="F4" s="185"/>
      <c r="G4" s="185"/>
    </row>
    <row r="5" spans="1:19">
      <c r="B5" s="62" t="s">
        <v>10</v>
      </c>
      <c r="C5" s="7" t="s">
        <v>2010</v>
      </c>
      <c r="D5" s="62"/>
      <c r="E5" s="7"/>
    </row>
    <row r="6" spans="1:19">
      <c r="B6" s="62" t="s">
        <v>18</v>
      </c>
      <c r="C6" s="56"/>
      <c r="D6" s="62" t="s">
        <v>1771</v>
      </c>
      <c r="E6" s="184" t="str">
        <f>E3</f>
        <v>http://hl7.eu/fhir/ig/idea4rc/StructureDefinition/ClinicalStageI4rc</v>
      </c>
      <c r="F6" s="185"/>
      <c r="G6" s="185"/>
    </row>
    <row r="7" spans="1:19">
      <c r="B7" s="62" t="s">
        <v>15</v>
      </c>
      <c r="C7" s="118"/>
      <c r="D7" s="62" t="s">
        <v>1772</v>
      </c>
      <c r="E7" s="184" t="s">
        <v>1991</v>
      </c>
      <c r="F7" s="185"/>
      <c r="G7" s="185"/>
    </row>
    <row r="8" spans="1:19" ht="44.25">
      <c r="B8" s="62" t="s">
        <v>1773</v>
      </c>
      <c r="C8" s="119" t="s">
        <v>2010</v>
      </c>
      <c r="D8" s="62"/>
      <c r="E8" s="7"/>
      <c r="I8" s="12" t="s">
        <v>1402</v>
      </c>
      <c r="J8" s="12" t="s">
        <v>1403</v>
      </c>
      <c r="K8" s="12" t="s">
        <v>1404</v>
      </c>
      <c r="L8" s="12" t="s">
        <v>1405</v>
      </c>
      <c r="M8" s="11" t="s">
        <v>1406</v>
      </c>
      <c r="P8" s="49" t="s">
        <v>1441</v>
      </c>
      <c r="Q8" s="49">
        <v>6</v>
      </c>
    </row>
    <row r="9" spans="1:19" ht="29.5">
      <c r="B9" s="62" t="s">
        <v>1774</v>
      </c>
      <c r="C9" s="12" t="s">
        <v>2011</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1845</v>
      </c>
      <c r="E14" s="6"/>
      <c r="F14" s="64"/>
      <c r="G14" s="64"/>
      <c r="I14" s="12"/>
      <c r="J14" s="11"/>
      <c r="K14" s="11"/>
      <c r="L14" s="11"/>
      <c r="M14" s="63"/>
      <c r="N14" s="66"/>
    </row>
    <row r="15" spans="1:19" ht="73.75" customHeight="1">
      <c r="A15" s="59"/>
      <c r="B15" s="11" t="str">
        <f>PathologicalStage!B8</f>
        <v>episodeEventReference</v>
      </c>
      <c r="C15" s="11" t="str">
        <f>PathologicalStage!C8</f>
        <v>Episode Event Reference</v>
      </c>
      <c r="D15" s="12"/>
      <c r="E15" s="12"/>
      <c r="F15" s="64" t="s">
        <v>1407</v>
      </c>
      <c r="G15" s="123" t="s">
        <v>1992</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c r="A16" s="59"/>
      <c r="B16" s="11" t="str">
        <f>PathologicalStage!B9</f>
        <v>pT</v>
      </c>
      <c r="C16" s="11" t="str">
        <f>PathologicalStage!C9</f>
        <v>pT</v>
      </c>
      <c r="D16" s="12" t="s">
        <v>1993</v>
      </c>
      <c r="E16" s="12"/>
      <c r="F16" s="64" t="s">
        <v>1407</v>
      </c>
      <c r="G16" s="123" t="s">
        <v>1998</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c r="A17" s="59"/>
      <c r="B17" s="11" t="str">
        <f>PathologicalStage!B10</f>
        <v>pN</v>
      </c>
      <c r="C17" s="11" t="str">
        <f>PathologicalStage!C10</f>
        <v>pN</v>
      </c>
      <c r="D17" s="12" t="s">
        <v>1994</v>
      </c>
      <c r="E17" s="12"/>
      <c r="F17" s="145" t="s">
        <v>1407</v>
      </c>
      <c r="G17" s="123" t="s">
        <v>1998</v>
      </c>
      <c r="H17" s="58"/>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c r="A18" s="59"/>
      <c r="B18" s="11" t="str">
        <f>PathologicalStage!B11</f>
        <v>pM</v>
      </c>
      <c r="C18" s="11" t="str">
        <f>PathologicalStage!C11</f>
        <v>pM</v>
      </c>
      <c r="D18" s="12" t="s">
        <v>1995</v>
      </c>
      <c r="E18" s="12"/>
      <c r="F18" s="64" t="s">
        <v>1430</v>
      </c>
      <c r="G18" s="123" t="s">
        <v>1998</v>
      </c>
      <c r="H18" s="58"/>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c r="A19" s="59"/>
      <c r="B19" s="11" t="str">
        <f>PathologicalStage!B12</f>
        <v>extranodalExtension</v>
      </c>
      <c r="C19" s="11" t="str">
        <f>PathologicalStage!C12</f>
        <v>Extranodal extension (ENE)</v>
      </c>
      <c r="D19" s="12"/>
      <c r="E19" s="12"/>
      <c r="F19" s="64" t="s">
        <v>1407</v>
      </c>
      <c r="G19" s="122" t="s">
        <v>2202</v>
      </c>
      <c r="H19" s="58"/>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c r="A20" s="59"/>
      <c r="B20" s="11" t="str">
        <f>PathologicalStage!B13</f>
        <v>extranodalExtent</v>
      </c>
      <c r="C20" s="11" t="str">
        <f>PathologicalStage!C13</f>
        <v>Extranodal Extent</v>
      </c>
      <c r="D20" s="12"/>
      <c r="E20" s="12"/>
      <c r="F20" s="64" t="s">
        <v>1407</v>
      </c>
      <c r="G20" s="122" t="s">
        <v>2202</v>
      </c>
      <c r="H20" s="58"/>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c r="A21" s="59"/>
      <c r="B21" s="11" t="str">
        <f>PathologicalStage!B14</f>
        <v>sentinelNode</v>
      </c>
      <c r="C21" s="11" t="str">
        <f>PathologicalStage!C14</f>
        <v>Sentinel node</v>
      </c>
      <c r="D21" s="12"/>
      <c r="E21" s="12"/>
      <c r="F21" s="64" t="s">
        <v>1407</v>
      </c>
      <c r="G21" s="122" t="s">
        <v>2202</v>
      </c>
      <c r="H21" s="58"/>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c r="A22" s="59"/>
      <c r="B22" s="11" t="str">
        <f>PathologicalStage!B15</f>
        <v>neckDissection</v>
      </c>
      <c r="C22" s="11" t="str">
        <f>PathologicalStage!C15</f>
        <v>Neck dissection</v>
      </c>
      <c r="D22" s="12"/>
      <c r="E22" s="12"/>
      <c r="F22" s="64" t="s">
        <v>1407</v>
      </c>
      <c r="G22" s="122" t="s">
        <v>2202</v>
      </c>
      <c r="H22" s="58"/>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c r="A23" s="59"/>
      <c r="B23" s="11" t="str">
        <f>PathologicalStage!B16</f>
        <v>pathologicalStaging</v>
      </c>
      <c r="C23" s="11" t="str">
        <f>PathologicalStage!C16</f>
        <v>Pathological staging</v>
      </c>
      <c r="D23" s="12" t="s">
        <v>1996</v>
      </c>
      <c r="E23" s="12"/>
      <c r="F23" s="64" t="s">
        <v>1407</v>
      </c>
      <c r="G23" s="123" t="s">
        <v>1998</v>
      </c>
      <c r="H23" s="58"/>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c r="A24" s="59"/>
      <c r="B24" s="11" t="str">
        <f>PathologicalStage!B17</f>
        <v>ajccEdition</v>
      </c>
      <c r="C24" s="11" t="str">
        <f>PathologicalStage!C17</f>
        <v>Ajcc edition</v>
      </c>
      <c r="D24" s="12" t="s">
        <v>1997</v>
      </c>
      <c r="E24" s="12"/>
      <c r="F24" s="64" t="s">
        <v>1407</v>
      </c>
      <c r="G24" s="123" t="s">
        <v>1999</v>
      </c>
      <c r="H24" s="58"/>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c r="A25" s="59"/>
      <c r="B25" s="11" t="str">
        <f>PathologicalStage!B18</f>
        <v>softTissue</v>
      </c>
      <c r="C25" s="11" t="str">
        <f>PathologicalStage!C18</f>
        <v>Soft Tissue</v>
      </c>
      <c r="D25" s="27"/>
      <c r="E25" s="12"/>
      <c r="F25" s="64" t="s">
        <v>1407</v>
      </c>
      <c r="G25" s="122" t="s">
        <v>2001</v>
      </c>
      <c r="H25" s="58"/>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c r="A26" s="59"/>
      <c r="B26" s="11" t="str">
        <f>PathologicalStage!B19</f>
        <v>distantLymphNode</v>
      </c>
      <c r="C26" s="11" t="str">
        <f>PathologicalStage!C19</f>
        <v>distant lymph node</v>
      </c>
      <c r="D26" s="4"/>
      <c r="E26" s="11"/>
      <c r="F26" s="64" t="s">
        <v>1407</v>
      </c>
      <c r="G26" s="122" t="s">
        <v>2001</v>
      </c>
      <c r="H26" s="58"/>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c r="A27" s="59"/>
      <c r="B27" s="11" t="str">
        <f>PathologicalStage!B20</f>
        <v>lung</v>
      </c>
      <c r="C27" s="11" t="str">
        <f>PathologicalStage!C20</f>
        <v>lung</v>
      </c>
      <c r="D27" s="4"/>
      <c r="E27" s="11"/>
      <c r="F27" s="64" t="s">
        <v>1407</v>
      </c>
      <c r="G27" s="122" t="s">
        <v>2001</v>
      </c>
      <c r="H27" s="58"/>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c r="B28" s="11" t="str">
        <f>PathologicalStage!B21</f>
        <v>bone</v>
      </c>
      <c r="C28" s="11" t="str">
        <f>PathologicalStage!C21</f>
        <v>bone</v>
      </c>
      <c r="D28" s="4"/>
      <c r="E28" s="11"/>
      <c r="F28" s="64" t="s">
        <v>1407</v>
      </c>
      <c r="G28" s="122" t="s">
        <v>2001</v>
      </c>
      <c r="H28" s="58"/>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c r="B29" s="11" t="str">
        <f>PathologicalStage!B22</f>
        <v>liver</v>
      </c>
      <c r="C29" s="11" t="str">
        <f>PathologicalStage!C22</f>
        <v>liver</v>
      </c>
      <c r="D29" s="4"/>
      <c r="E29" s="12"/>
      <c r="F29" s="64" t="s">
        <v>1407</v>
      </c>
      <c r="G29" s="122" t="s">
        <v>2001</v>
      </c>
      <c r="H29" s="58"/>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c r="B30" s="11" t="str">
        <f>PathologicalStage!B23</f>
        <v>pleura</v>
      </c>
      <c r="C30" s="11" t="str">
        <f>PathologicalStage!C23</f>
        <v>pleura</v>
      </c>
      <c r="D30" s="4"/>
      <c r="E30" s="12"/>
      <c r="F30" s="64" t="s">
        <v>1407</v>
      </c>
      <c r="G30" s="122" t="s">
        <v>2001</v>
      </c>
      <c r="H30" s="58"/>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c r="B31" s="11" t="str">
        <f>PathologicalStage!B24</f>
        <v>peritoneum</v>
      </c>
      <c r="C31" s="11" t="str">
        <f>PathologicalStage!C24</f>
        <v>peritoneum</v>
      </c>
      <c r="D31" s="4"/>
      <c r="E31" s="12"/>
      <c r="F31" s="64" t="s">
        <v>1407</v>
      </c>
      <c r="G31" s="122" t="s">
        <v>2001</v>
      </c>
      <c r="H31" s="58"/>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c r="B32" s="11" t="str">
        <f>PathologicalStage!B25</f>
        <v>brain</v>
      </c>
      <c r="C32" s="11" t="str">
        <f>PathologicalStage!C25</f>
        <v>brain</v>
      </c>
      <c r="D32" s="4"/>
      <c r="E32" s="12"/>
      <c r="F32" s="64" t="s">
        <v>1407</v>
      </c>
      <c r="G32" s="122" t="s">
        <v>2001</v>
      </c>
      <c r="H32" s="58"/>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c r="B33" s="11" t="str">
        <f>PathologicalStage!B26</f>
        <v>otherViscera</v>
      </c>
      <c r="C33" s="11" t="str">
        <f>PathologicalStage!C26</f>
        <v>other viscera</v>
      </c>
      <c r="D33" s="4"/>
      <c r="E33" s="12"/>
      <c r="F33" s="64" t="s">
        <v>1407</v>
      </c>
      <c r="G33" s="122" t="s">
        <v>2001</v>
      </c>
      <c r="H33" s="58"/>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c r="B34" s="11" t="str">
        <f>PathologicalStage!B27</f>
        <v>unknown</v>
      </c>
      <c r="C34" s="11" t="str">
        <f>PathologicalStage!C27</f>
        <v>unknown</v>
      </c>
      <c r="D34" s="4"/>
      <c r="E34" s="12"/>
      <c r="F34" s="64" t="s">
        <v>1407</v>
      </c>
      <c r="G34" s="122" t="s">
        <v>2001</v>
      </c>
      <c r="H34" s="58"/>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c r="B35" s="11"/>
      <c r="C35" s="11"/>
      <c r="D35" s="12"/>
      <c r="E35" s="12"/>
      <c r="F35" s="64"/>
      <c r="G35" s="123"/>
      <c r="H35" s="58"/>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c r="B36" s="11"/>
      <c r="C36" s="11"/>
      <c r="D36" s="12"/>
      <c r="E36" s="12"/>
      <c r="F36" s="64"/>
      <c r="G36" s="123"/>
      <c r="H36" s="58"/>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c r="B37" s="11"/>
      <c r="C37" s="11"/>
      <c r="D37" s="12"/>
      <c r="E37" s="12"/>
      <c r="F37" s="64"/>
      <c r="G37" s="123"/>
      <c r="H37" s="58"/>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c r="B38" s="11"/>
      <c r="C38" s="11"/>
      <c r="D38" s="12"/>
      <c r="E38" s="12"/>
      <c r="F38" s="64"/>
      <c r="G38" s="123"/>
      <c r="H38" s="58"/>
      <c r="K38" s="58"/>
      <c r="L38" s="58"/>
      <c r="M38" s="66"/>
      <c r="N38" s="66"/>
      <c r="P38" s="11">
        <v>24</v>
      </c>
      <c r="Q38" s="11">
        <f t="shared" si="13"/>
        <v>3</v>
      </c>
      <c r="R38" s="11">
        <f t="shared" si="14"/>
        <v>6</v>
      </c>
      <c r="S38" s="12" t="str" cm="1">
        <f t="array" ref="S38">INDEX('PathStage-ConceptMap-1'!$I$15:$N$124,Q38+1,R38)</f>
        <v>* group[=].element[=].target.comment = ##34#where code = 21902-2	 'Stage group.pathology'##34#</v>
      </c>
    </row>
    <row r="39" spans="1:19">
      <c r="B39" s="11"/>
      <c r="C39" s="11"/>
      <c r="D39" s="12"/>
      <c r="E39" s="12"/>
      <c r="F39" s="64"/>
      <c r="G39" s="123"/>
      <c r="H39" s="58"/>
      <c r="K39" s="58"/>
      <c r="L39" s="58"/>
      <c r="M39" s="66"/>
      <c r="N39" s="66"/>
      <c r="P39" s="11">
        <v>25</v>
      </c>
      <c r="Q39" s="11">
        <f t="shared" si="13"/>
        <v>4</v>
      </c>
      <c r="R39" s="11">
        <f t="shared" si="14"/>
        <v>1</v>
      </c>
      <c r="S39" s="12" t="str" cm="1">
        <f t="array" ref="S39">INDEX('PathStage-ConceptMap-1'!$I$15:$N$124,Q39+1,R39)</f>
        <v>* group[=].element[+].code = #PathologicalStage.extranodalExtension</v>
      </c>
    </row>
    <row r="40" spans="1:19" s="2" customFormat="1">
      <c r="A40"/>
      <c r="B40" s="11"/>
      <c r="C40" s="11"/>
      <c r="D40" s="12"/>
      <c r="E40" s="12"/>
      <c r="F40" s="64"/>
      <c r="G40" s="123"/>
      <c r="H40" s="58"/>
      <c r="J40"/>
      <c r="K40" s="58"/>
      <c r="L40" s="58"/>
      <c r="M40" s="66"/>
      <c r="N40" s="66"/>
      <c r="P40" s="11">
        <v>26</v>
      </c>
      <c r="Q40" s="11">
        <f t="shared" si="13"/>
        <v>4</v>
      </c>
      <c r="R40" s="11">
        <f t="shared" si="14"/>
        <v>2</v>
      </c>
      <c r="S40" s="12" t="str" cm="1">
        <f t="array" ref="S40">INDEX('PathStage-ConceptMap-1'!$I$15:$N$124,Q40+1,R40)</f>
        <v>* group[=].element[=].display = ##34#Extranodal extension (ENE)##34#</v>
      </c>
    </row>
    <row r="41" spans="1:19" s="2" customFormat="1">
      <c r="A41"/>
      <c r="B41" s="11"/>
      <c r="C41" s="11"/>
      <c r="D41" s="12"/>
      <c r="F41" s="58"/>
      <c r="G41" s="123"/>
      <c r="H41" s="58"/>
      <c r="J41"/>
      <c r="K41" s="58"/>
      <c r="L41" s="58"/>
      <c r="M41" s="66"/>
      <c r="N41" s="66"/>
      <c r="P41" s="11">
        <v>27</v>
      </c>
      <c r="Q41" s="11">
        <f t="shared" si="13"/>
        <v>4</v>
      </c>
      <c r="R41" s="11">
        <f t="shared" si="14"/>
        <v>3</v>
      </c>
      <c r="S41" s="12" t="str" cm="1">
        <f t="array" ref="S41">INDEX('PathStage-ConceptMap-1'!$I$15:$N$124,Q41+1,R41)</f>
        <v>* group[=].element[=].target.code = #Observation.</v>
      </c>
    </row>
    <row r="42" spans="1:19" s="2" customFormat="1">
      <c r="A42"/>
      <c r="B42" s="11"/>
      <c r="C42" s="11"/>
      <c r="D42" s="12"/>
      <c r="F42" s="58"/>
      <c r="G42" s="123"/>
      <c r="H42" s="58"/>
      <c r="J42"/>
      <c r="K42" s="58"/>
      <c r="L42" s="58"/>
      <c r="M42" s="66"/>
      <c r="N42" s="66"/>
      <c r="P42" s="11">
        <v>28</v>
      </c>
      <c r="Q42" s="11">
        <f t="shared" si="13"/>
        <v>4</v>
      </c>
      <c r="R42" s="11">
        <f t="shared" si="14"/>
        <v>4</v>
      </c>
      <c r="S42" s="12" t="str" cm="1">
        <f t="array" ref="S42">INDEX('PathStage-ConceptMap-1'!$I$15:$N$124,Q42+1,R42)</f>
        <v>* group[=].element[=].target.display = ##34###34#</v>
      </c>
    </row>
    <row r="43" spans="1:19" s="2" customFormat="1">
      <c r="A43"/>
      <c r="B43" s="11"/>
      <c r="C43" s="11"/>
      <c r="D43" s="12"/>
      <c r="F43" s="58"/>
      <c r="G43" s="123"/>
      <c r="H43" s="58"/>
      <c r="J43" s="58"/>
      <c r="K43" s="58"/>
      <c r="L43" s="58"/>
      <c r="M43" s="66"/>
      <c r="N43" s="66"/>
      <c r="P43" s="11">
        <v>29</v>
      </c>
      <c r="Q43" s="11">
        <f t="shared" si="13"/>
        <v>4</v>
      </c>
      <c r="R43" s="11">
        <f t="shared" si="14"/>
        <v>5</v>
      </c>
      <c r="S43" s="12" t="str" cm="1">
        <f t="array" ref="S43">INDEX('PathStage-ConceptMap-1'!$I$15:$N$124,Q43+1,R43)</f>
        <v>* group[=].element[=].target.equivalence = #relatedto</v>
      </c>
    </row>
    <row r="44" spans="1:19" s="2" customFormat="1">
      <c r="A44"/>
      <c r="B44" s="11"/>
      <c r="C44" s="11"/>
      <c r="F44" s="58"/>
      <c r="G44" s="123"/>
      <c r="H44" s="58"/>
      <c r="J44" s="58"/>
      <c r="K44" s="58"/>
      <c r="L44" s="58"/>
      <c r="M44" s="66"/>
      <c r="N44" s="66"/>
      <c r="P44" s="11">
        <v>30</v>
      </c>
      <c r="Q44" s="11">
        <f t="shared" si="13"/>
        <v>4</v>
      </c>
      <c r="R44" s="11">
        <f t="shared" si="14"/>
        <v>6</v>
      </c>
      <c r="S44" s="12" t="str" cm="1">
        <f t="array" ref="S44">INDEX('PathStage-ConceptMap-1'!$I$15:$N$124,Q44+1,R44)</f>
        <v>* group[=].element[=].target.comment = ##34#CLARIFY MAPPING##34#</v>
      </c>
    </row>
    <row r="45" spans="1:19">
      <c r="B45" s="11"/>
      <c r="C45" s="11"/>
      <c r="G45" s="123"/>
      <c r="P45" s="11">
        <v>31</v>
      </c>
      <c r="Q45" s="11">
        <f t="shared" si="13"/>
        <v>5</v>
      </c>
      <c r="R45" s="11">
        <f t="shared" si="14"/>
        <v>1</v>
      </c>
      <c r="S45" s="12" t="str" cm="1">
        <f t="array" ref="S45">INDEX('PathStage-ConceptMap-1'!$I$15:$N$124,Q45+1,R45)</f>
        <v>* group[=].element[+].code = #PathologicalStage.extranodalExtent</v>
      </c>
    </row>
    <row r="46" spans="1:19">
      <c r="B46" s="11"/>
      <c r="C46" s="11"/>
      <c r="G46" s="123"/>
      <c r="P46" s="11">
        <v>32</v>
      </c>
      <c r="Q46" s="11">
        <f t="shared" si="13"/>
        <v>5</v>
      </c>
      <c r="R46" s="11">
        <f t="shared" si="14"/>
        <v>2</v>
      </c>
      <c r="S46" s="12" t="str" cm="1">
        <f t="array" ref="S46">INDEX('PathStage-ConceptMap-1'!$I$15:$N$124,Q46+1,R46)</f>
        <v>* group[=].element[=].display = ##34#Extranodal Extent##34#</v>
      </c>
    </row>
    <row r="47" spans="1:19">
      <c r="G47" s="123"/>
      <c r="P47" s="11">
        <v>33</v>
      </c>
      <c r="Q47" s="11">
        <f t="shared" si="13"/>
        <v>5</v>
      </c>
      <c r="R47" s="11">
        <f t="shared" si="14"/>
        <v>3</v>
      </c>
      <c r="S47" s="12" t="str" cm="1">
        <f t="array" ref="S47">INDEX('PathStage-ConceptMap-1'!$I$15:$N$124,Q47+1,R47)</f>
        <v>* group[=].element[=].target.code = #Observation.</v>
      </c>
    </row>
    <row r="48" spans="1:19">
      <c r="G48" s="123"/>
      <c r="P48" s="11">
        <v>34</v>
      </c>
      <c r="Q48" s="11">
        <f t="shared" si="13"/>
        <v>5</v>
      </c>
      <c r="R48" s="11">
        <f t="shared" si="14"/>
        <v>4</v>
      </c>
      <c r="S48" s="12" t="str" cm="1">
        <f t="array" ref="S48">INDEX('PathStage-ConceptMap-1'!$I$15:$N$124,Q48+1,R48)</f>
        <v>* group[=].element[=].target.display = ##34###34#</v>
      </c>
    </row>
    <row r="49" spans="7:19">
      <c r="G49" s="123"/>
      <c r="P49" s="11">
        <v>35</v>
      </c>
      <c r="Q49" s="11">
        <f t="shared" si="13"/>
        <v>5</v>
      </c>
      <c r="R49" s="11">
        <f t="shared" si="14"/>
        <v>5</v>
      </c>
      <c r="S49" s="12" t="str" cm="1">
        <f t="array" ref="S49">INDEX('PathStage-ConceptMap-1'!$I$15:$N$124,Q49+1,R49)</f>
        <v>* group[=].element[=].target.equivalence = #relatedto</v>
      </c>
    </row>
    <row r="50" spans="7:19">
      <c r="G50" s="123"/>
      <c r="P50" s="11">
        <v>36</v>
      </c>
      <c r="Q50" s="11">
        <f t="shared" si="13"/>
        <v>5</v>
      </c>
      <c r="R50" s="11">
        <f t="shared" si="14"/>
        <v>6</v>
      </c>
      <c r="S50" s="12" t="str" cm="1">
        <f t="array" ref="S50">INDEX('PathStage-ConceptMap-1'!$I$15:$N$124,Q50+1,R50)</f>
        <v>* group[=].element[=].target.comment = ##34#CLARIFY MAPPING##34#</v>
      </c>
    </row>
    <row r="51" spans="7:19">
      <c r="G51" s="123"/>
      <c r="P51" s="11">
        <v>37</v>
      </c>
      <c r="Q51" s="11">
        <f t="shared" si="13"/>
        <v>6</v>
      </c>
      <c r="R51" s="11">
        <f t="shared" si="14"/>
        <v>1</v>
      </c>
      <c r="S51" s="12" t="str" cm="1">
        <f t="array" ref="S51">INDEX('PathStage-ConceptMap-1'!$I$15:$N$124,Q51+1,R51)</f>
        <v>* group[=].element[+].code = #PathologicalStage.sentinelNode</v>
      </c>
    </row>
    <row r="52" spans="7:19">
      <c r="G52" s="123"/>
      <c r="P52" s="11">
        <v>38</v>
      </c>
      <c r="Q52" s="11">
        <f t="shared" si="13"/>
        <v>6</v>
      </c>
      <c r="R52" s="11">
        <f t="shared" si="14"/>
        <v>2</v>
      </c>
      <c r="S52" s="12" t="str" cm="1">
        <f t="array" ref="S52">INDEX('PathStage-ConceptMap-1'!$I$15:$N$124,Q52+1,R52)</f>
        <v>* group[=].element[=].display = ##34#Sentinel node##34#</v>
      </c>
    </row>
    <row r="53" spans="7:19">
      <c r="G53" s="123"/>
      <c r="P53" s="11">
        <v>39</v>
      </c>
      <c r="Q53" s="11">
        <f t="shared" si="13"/>
        <v>6</v>
      </c>
      <c r="R53" s="11">
        <f t="shared" si="14"/>
        <v>3</v>
      </c>
      <c r="S53" s="12" t="str" cm="1">
        <f t="array" ref="S53">INDEX('PathStage-ConceptMap-1'!$I$15:$N$124,Q53+1,R53)</f>
        <v>* group[=].element[=].target.code = #Observation.</v>
      </c>
    </row>
    <row r="54" spans="7:19">
      <c r="G54" s="123"/>
      <c r="P54" s="11">
        <v>40</v>
      </c>
      <c r="Q54" s="11">
        <f t="shared" si="13"/>
        <v>6</v>
      </c>
      <c r="R54" s="11">
        <f t="shared" si="14"/>
        <v>4</v>
      </c>
      <c r="S54" s="12" t="str" cm="1">
        <f t="array" ref="S54">INDEX('PathStage-ConceptMap-1'!$I$15:$N$124,Q54+1,R54)</f>
        <v>* group[=].element[=].target.display = ##34###34#</v>
      </c>
    </row>
    <row r="55" spans="7:19">
      <c r="G55" s="123"/>
      <c r="P55" s="11">
        <v>41</v>
      </c>
      <c r="Q55" s="11">
        <f t="shared" si="13"/>
        <v>6</v>
      </c>
      <c r="R55" s="11">
        <f t="shared" si="14"/>
        <v>5</v>
      </c>
      <c r="S55" s="12" t="str" cm="1">
        <f t="array" ref="S55">INDEX('PathStage-ConceptMap-1'!$I$15:$N$124,Q55+1,R55)</f>
        <v>* group[=].element[=].target.equivalence = #relatedto</v>
      </c>
    </row>
    <row r="56" spans="7:19">
      <c r="G56" s="123"/>
      <c r="P56" s="11">
        <v>42</v>
      </c>
      <c r="Q56" s="11">
        <f t="shared" si="13"/>
        <v>6</v>
      </c>
      <c r="R56" s="11">
        <f t="shared" si="14"/>
        <v>6</v>
      </c>
      <c r="S56" s="12" t="str" cm="1">
        <f t="array" ref="S56">INDEX('PathStage-ConceptMap-1'!$I$15:$N$124,Q56+1,R56)</f>
        <v>* group[=].element[=].target.comment = ##34#CLARIFY MAPPING##34#</v>
      </c>
    </row>
    <row r="57" spans="7:19">
      <c r="G57" s="123"/>
      <c r="P57" s="11">
        <v>43</v>
      </c>
      <c r="Q57" s="11">
        <f t="shared" si="13"/>
        <v>7</v>
      </c>
      <c r="R57" s="11">
        <f t="shared" si="14"/>
        <v>1</v>
      </c>
      <c r="S57" s="12" t="str" cm="1">
        <f t="array" ref="S57">INDEX('PathStage-ConceptMap-1'!$I$15:$N$124,Q57+1,R57)</f>
        <v>* group[=].element[+].code = #PathologicalStage.neckDissection</v>
      </c>
    </row>
    <row r="58" spans="7:19">
      <c r="G58" s="123"/>
      <c r="P58" s="11">
        <v>44</v>
      </c>
      <c r="Q58" s="11">
        <f t="shared" si="13"/>
        <v>7</v>
      </c>
      <c r="R58" s="11">
        <f t="shared" si="14"/>
        <v>2</v>
      </c>
      <c r="S58" s="12" t="str" cm="1">
        <f t="array" ref="S58">INDEX('PathStage-ConceptMap-1'!$I$15:$N$124,Q58+1,R58)</f>
        <v>* group[=].element[=].display = ##34#Neck dissection##34#</v>
      </c>
    </row>
    <row r="59" spans="7:19">
      <c r="G59" s="123"/>
      <c r="P59" s="11">
        <v>45</v>
      </c>
      <c r="Q59" s="11">
        <f t="shared" si="13"/>
        <v>7</v>
      </c>
      <c r="R59" s="11">
        <f t="shared" si="14"/>
        <v>3</v>
      </c>
      <c r="S59" s="12" t="str" cm="1">
        <f t="array" ref="S59">INDEX('PathStage-ConceptMap-1'!$I$15:$N$124,Q59+1,R59)</f>
        <v>* group[=].element[=].target.code = #Observation.</v>
      </c>
    </row>
    <row r="60" spans="7:19">
      <c r="G60" s="123"/>
      <c r="P60" s="11">
        <v>46</v>
      </c>
      <c r="Q60" s="11">
        <f t="shared" si="13"/>
        <v>7</v>
      </c>
      <c r="R60" s="11">
        <f t="shared" si="14"/>
        <v>4</v>
      </c>
      <c r="S60" s="12" t="str" cm="1">
        <f t="array" ref="S60">INDEX('PathStage-ConceptMap-1'!$I$15:$N$124,Q60+1,R60)</f>
        <v>* group[=].element[=].target.display = ##34###34#</v>
      </c>
    </row>
    <row r="61" spans="7:19">
      <c r="G61" s="123"/>
      <c r="P61" s="11">
        <v>47</v>
      </c>
      <c r="Q61" s="11">
        <f t="shared" si="13"/>
        <v>7</v>
      </c>
      <c r="R61" s="11">
        <f t="shared" si="14"/>
        <v>5</v>
      </c>
      <c r="S61" s="12" t="str" cm="1">
        <f t="array" ref="S61">INDEX('PathStage-ConceptMap-1'!$I$15:$N$124,Q61+1,R61)</f>
        <v>* group[=].element[=].target.equivalence = #relatedto</v>
      </c>
    </row>
    <row r="62" spans="7:19">
      <c r="G62" s="123"/>
      <c r="P62" s="11">
        <v>48</v>
      </c>
      <c r="Q62" s="11">
        <f t="shared" si="13"/>
        <v>7</v>
      </c>
      <c r="R62" s="11">
        <f t="shared" si="14"/>
        <v>6</v>
      </c>
      <c r="S62" s="12" t="str" cm="1">
        <f t="array" ref="S62">INDEX('PathStage-ConceptMap-1'!$I$15:$N$124,Q62+1,R62)</f>
        <v>* group[=].element[=].target.comment = ##34#CLARIFY MAPPING##34#</v>
      </c>
    </row>
    <row r="63" spans="7:19">
      <c r="G63" s="123"/>
      <c r="P63" s="11">
        <v>49</v>
      </c>
      <c r="Q63" s="11">
        <f t="shared" si="13"/>
        <v>8</v>
      </c>
      <c r="R63" s="11">
        <f t="shared" si="14"/>
        <v>1</v>
      </c>
      <c r="S63" s="12" t="str" cm="1">
        <f t="array" ref="S63">INDEX('PathStage-ConceptMap-1'!$I$15:$N$124,Q63+1,R63)</f>
        <v>* group[=].element[+].code = #PathologicalStage.pathologicalStaging</v>
      </c>
    </row>
    <row r="64" spans="7:19">
      <c r="G64" s="123"/>
      <c r="P64" s="11">
        <v>50</v>
      </c>
      <c r="Q64" s="11">
        <f t="shared" si="13"/>
        <v>8</v>
      </c>
      <c r="R64" s="11">
        <f t="shared" si="14"/>
        <v>2</v>
      </c>
      <c r="S64" s="12" t="str" cm="1">
        <f t="array" ref="S64">INDEX('PathStage-ConceptMap-1'!$I$15:$N$124,Q64+1,R64)</f>
        <v>* group[=].element[=].display = ##34#Pathological staging##34#</v>
      </c>
    </row>
    <row r="65" spans="7:19">
      <c r="G65" s="123"/>
      <c r="P65" s="11">
        <v>51</v>
      </c>
      <c r="Q65" s="11">
        <f t="shared" si="13"/>
        <v>8</v>
      </c>
      <c r="R65" s="11">
        <f t="shared" si="14"/>
        <v>3</v>
      </c>
      <c r="S65" s="12" t="str" cm="1">
        <f t="array" ref="S65">INDEX('PathStage-ConceptMap-1'!$I$15:$N$124,Q65+1,R65)</f>
        <v>* group[=].element[=].target.code = #Observation.valueCodeableConcept</v>
      </c>
    </row>
    <row r="66" spans="7:19">
      <c r="G66" s="123"/>
      <c r="P66" s="11">
        <v>52</v>
      </c>
      <c r="Q66" s="11">
        <f t="shared" si="13"/>
        <v>8</v>
      </c>
      <c r="R66" s="11">
        <f t="shared" si="14"/>
        <v>4</v>
      </c>
      <c r="S66" s="12" t="str" cm="1">
        <f t="array" ref="S66">INDEX('PathStage-ConceptMap-1'!$I$15:$N$124,Q66+1,R66)</f>
        <v>* group[=].element[=].target.display = ##34###34#</v>
      </c>
    </row>
    <row r="67" spans="7:19">
      <c r="G67" s="123"/>
      <c r="P67" s="11">
        <v>53</v>
      </c>
      <c r="Q67" s="11">
        <f t="shared" si="13"/>
        <v>8</v>
      </c>
      <c r="R67" s="11">
        <f t="shared" si="14"/>
        <v>5</v>
      </c>
      <c r="S67" s="12" t="str" cm="1">
        <f t="array" ref="S67">INDEX('PathStage-ConceptMap-1'!$I$15:$N$124,Q67+1,R67)</f>
        <v>* group[=].element[=].target.equivalence = #relatedto</v>
      </c>
    </row>
    <row r="68" spans="7:19" ht="29.5">
      <c r="G68" s="123"/>
      <c r="P68" s="11">
        <v>54</v>
      </c>
      <c r="Q68" s="11">
        <f t="shared" si="13"/>
        <v>8</v>
      </c>
      <c r="R68" s="11">
        <f t="shared" si="14"/>
        <v>6</v>
      </c>
      <c r="S68" s="12" t="str" cm="1">
        <f t="array" ref="S68">INDEX('PathStage-ConceptMap-1'!$I$15:$N$124,Q68+1,R68)</f>
        <v>* group[=].element[=].target.comment = ##34#where code = 21902-2	 'Stage group.pathology'##34#</v>
      </c>
    </row>
    <row r="69" spans="7:19">
      <c r="G69" s="123"/>
      <c r="P69" s="11">
        <v>55</v>
      </c>
      <c r="Q69" s="11">
        <f t="shared" si="13"/>
        <v>9</v>
      </c>
      <c r="R69" s="11">
        <f t="shared" si="14"/>
        <v>1</v>
      </c>
      <c r="S69" s="12" t="str" cm="1">
        <f t="array" ref="S69">INDEX('PathStage-ConceptMap-1'!$I$15:$N$124,Q69+1,R69)</f>
        <v>* group[=].element[+].code = #PathologicalStage.ajccEdition</v>
      </c>
    </row>
    <row r="70" spans="7:19">
      <c r="G70" s="123"/>
      <c r="P70" s="11">
        <v>56</v>
      </c>
      <c r="Q70" s="11">
        <f t="shared" si="13"/>
        <v>9</v>
      </c>
      <c r="R70" s="11">
        <f t="shared" si="14"/>
        <v>2</v>
      </c>
      <c r="S70" s="12" t="str" cm="1">
        <f t="array" ref="S70">INDEX('PathStage-ConceptMap-1'!$I$15:$N$124,Q70+1,R70)</f>
        <v>* group[=].element[=].display = ##34#Ajcc edition##34#</v>
      </c>
    </row>
    <row r="71" spans="7:19" ht="29.5">
      <c r="G71" s="123"/>
      <c r="P71" s="11">
        <v>57</v>
      </c>
      <c r="Q71" s="11">
        <f t="shared" si="13"/>
        <v>9</v>
      </c>
      <c r="R71" s="11">
        <f t="shared" si="14"/>
        <v>3</v>
      </c>
      <c r="S71" s="12" t="str" cm="1">
        <f t="array" ref="S71">INDEX('PathStage-ConceptMap-1'!$I$15:$N$124,Q71+1,R71)</f>
        <v>* group[=].element[=].target.code = #Observation.valueCodeableConcept.coding.system</v>
      </c>
    </row>
    <row r="72" spans="7:19">
      <c r="G72" s="123"/>
      <c r="P72" s="11">
        <v>58</v>
      </c>
      <c r="Q72" s="11">
        <f t="shared" si="13"/>
        <v>9</v>
      </c>
      <c r="R72" s="11">
        <f t="shared" si="14"/>
        <v>4</v>
      </c>
      <c r="S72" s="12" t="str" cm="1">
        <f t="array" ref="S72">INDEX('PathStage-ConceptMap-1'!$I$15:$N$124,Q72+1,R72)</f>
        <v>* group[=].element[=].target.display = ##34###34#</v>
      </c>
    </row>
    <row r="73" spans="7:19">
      <c r="G73" s="123"/>
      <c r="P73" s="11">
        <v>59</v>
      </c>
      <c r="Q73" s="11">
        <f t="shared" si="13"/>
        <v>9</v>
      </c>
      <c r="R73" s="11">
        <f t="shared" si="14"/>
        <v>5</v>
      </c>
      <c r="S73" s="12" t="str" cm="1">
        <f t="array" ref="S73">INDEX('PathStage-ConceptMap-1'!$I$15:$N$124,Q73+1,R73)</f>
        <v>* group[=].element[=].target.equivalence = #relatedto</v>
      </c>
    </row>
    <row r="74" spans="7:19" ht="44.25">
      <c r="G74" s="123"/>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c r="G75" s="123"/>
      <c r="P75" s="11">
        <v>61</v>
      </c>
      <c r="Q75" s="11">
        <f t="shared" si="13"/>
        <v>10</v>
      </c>
      <c r="R75" s="11">
        <f t="shared" si="14"/>
        <v>1</v>
      </c>
      <c r="S75" s="12" t="str" cm="1">
        <f t="array" ref="S75">INDEX('PathStage-ConceptMap-1'!$I$15:$N$124,Q75+1,R75)</f>
        <v>* group[=].element[+].code = #PathologicalStage.softTissue</v>
      </c>
    </row>
    <row r="76" spans="7:19">
      <c r="G76" s="123"/>
      <c r="P76" s="11">
        <v>62</v>
      </c>
      <c r="Q76" s="11">
        <f t="shared" si="13"/>
        <v>10</v>
      </c>
      <c r="R76" s="11">
        <f t="shared" si="14"/>
        <v>2</v>
      </c>
      <c r="S76" s="12" t="str" cm="1">
        <f t="array" ref="S76">INDEX('PathStage-ConceptMap-1'!$I$15:$N$124,Q76+1,R76)</f>
        <v>* group[=].element[=].display = ##34#Soft Tissue##34#</v>
      </c>
    </row>
    <row r="77" spans="7:19">
      <c r="G77" s="123"/>
      <c r="P77" s="11">
        <v>63</v>
      </c>
      <c r="Q77" s="11">
        <f t="shared" si="13"/>
        <v>10</v>
      </c>
      <c r="R77" s="11">
        <f t="shared" si="14"/>
        <v>3</v>
      </c>
      <c r="S77" s="12" t="str" cm="1">
        <f t="array" ref="S77">INDEX('PathStage-ConceptMap-1'!$I$15:$N$124,Q77+1,R77)</f>
        <v>* group[=].element[=].target.code = #Observation.</v>
      </c>
    </row>
    <row r="78" spans="7:19">
      <c r="G78" s="123"/>
      <c r="P78" s="11">
        <v>64</v>
      </c>
      <c r="Q78" s="11">
        <f t="shared" si="13"/>
        <v>10</v>
      </c>
      <c r="R78" s="11">
        <f t="shared" si="14"/>
        <v>4</v>
      </c>
      <c r="S78" s="12" t="str" cm="1">
        <f t="array" ref="S78">INDEX('PathStage-ConceptMap-1'!$I$15:$N$124,Q78+1,R78)</f>
        <v>* group[=].element[=].target.display = ##34###34#</v>
      </c>
    </row>
    <row r="79" spans="7:19">
      <c r="G79" s="123"/>
      <c r="P79" s="11">
        <v>65</v>
      </c>
      <c r="Q79" s="11">
        <f t="shared" si="13"/>
        <v>10</v>
      </c>
      <c r="R79" s="11">
        <f t="shared" si="14"/>
        <v>5</v>
      </c>
      <c r="S79" s="12" t="str" cm="1">
        <f t="array" ref="S79">INDEX('PathStage-ConceptMap-1'!$I$15:$N$124,Q79+1,R79)</f>
        <v>* group[=].element[=].target.equivalence = #relatedto</v>
      </c>
    </row>
    <row r="80" spans="7:19" ht="29.5">
      <c r="G80" s="123"/>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c r="G81" s="123"/>
      <c r="P81" s="11">
        <v>67</v>
      </c>
      <c r="Q81" s="11">
        <f t="shared" si="21"/>
        <v>11</v>
      </c>
      <c r="R81" s="11">
        <f t="shared" si="22"/>
        <v>1</v>
      </c>
      <c r="S81" s="12" t="str" cm="1">
        <f t="array" ref="S81">INDEX('PathStage-ConceptMap-1'!$I$15:$N$124,Q81+1,R81)</f>
        <v>* group[=].element[+].code = #PathologicalStage.distantLymphNode</v>
      </c>
    </row>
    <row r="82" spans="7:19">
      <c r="G82" s="123"/>
      <c r="P82" s="11">
        <v>68</v>
      </c>
      <c r="Q82" s="11">
        <f t="shared" si="21"/>
        <v>11</v>
      </c>
      <c r="R82" s="11">
        <f t="shared" si="22"/>
        <v>2</v>
      </c>
      <c r="S82" s="12" t="str" cm="1">
        <f t="array" ref="S82">INDEX('PathStage-ConceptMap-1'!$I$15:$N$124,Q82+1,R82)</f>
        <v>* group[=].element[=].display = ##34#distant lymph node##34#</v>
      </c>
    </row>
    <row r="83" spans="7:19">
      <c r="G83" s="123"/>
      <c r="P83" s="11">
        <v>69</v>
      </c>
      <c r="Q83" s="11">
        <f t="shared" si="21"/>
        <v>11</v>
      </c>
      <c r="R83" s="11">
        <f t="shared" si="22"/>
        <v>3</v>
      </c>
      <c r="S83" s="12" t="str" cm="1">
        <f t="array" ref="S83">INDEX('PathStage-ConceptMap-1'!$I$15:$N$124,Q83+1,R83)</f>
        <v>* group[=].element[=].target.code = #Observation.</v>
      </c>
    </row>
    <row r="84" spans="7:19">
      <c r="G84" s="123"/>
      <c r="P84" s="11">
        <v>70</v>
      </c>
      <c r="Q84" s="11">
        <f t="shared" si="21"/>
        <v>11</v>
      </c>
      <c r="R84" s="11">
        <f t="shared" si="22"/>
        <v>4</v>
      </c>
      <c r="S84" s="12" t="str" cm="1">
        <f t="array" ref="S84">INDEX('PathStage-ConceptMap-1'!$I$15:$N$124,Q84+1,R84)</f>
        <v>* group[=].element[=].target.display = ##34###34#</v>
      </c>
    </row>
    <row r="85" spans="7:19">
      <c r="G85" s="123"/>
      <c r="P85" s="11">
        <v>71</v>
      </c>
      <c r="Q85" s="11">
        <f t="shared" si="21"/>
        <v>11</v>
      </c>
      <c r="R85" s="11">
        <f t="shared" si="22"/>
        <v>5</v>
      </c>
      <c r="S85" s="12" t="str" cm="1">
        <f t="array" ref="S85">INDEX('PathStage-ConceptMap-1'!$I$15:$N$124,Q85+1,R85)</f>
        <v>* group[=].element[=].target.equivalence = #relatedto</v>
      </c>
    </row>
    <row r="86" spans="7:19" ht="29.5">
      <c r="G86" s="123"/>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c r="G87" s="123"/>
      <c r="P87" s="11">
        <v>73</v>
      </c>
      <c r="Q87" s="11">
        <f t="shared" si="21"/>
        <v>12</v>
      </c>
      <c r="R87" s="11">
        <f t="shared" si="22"/>
        <v>1</v>
      </c>
      <c r="S87" s="12" t="str" cm="1">
        <f t="array" ref="S87">INDEX('PathStage-ConceptMap-1'!$I$15:$N$124,Q87+1,R87)</f>
        <v>* group[=].element[+].code = #PathologicalStage.lung</v>
      </c>
    </row>
    <row r="88" spans="7:19">
      <c r="G88" s="123"/>
      <c r="P88" s="11">
        <v>74</v>
      </c>
      <c r="Q88" s="11">
        <f t="shared" si="21"/>
        <v>12</v>
      </c>
      <c r="R88" s="11">
        <f t="shared" si="22"/>
        <v>2</v>
      </c>
      <c r="S88" s="12" t="str" cm="1">
        <f t="array" ref="S88">INDEX('PathStage-ConceptMap-1'!$I$15:$N$124,Q88+1,R88)</f>
        <v>* group[=].element[=].display = ##34#lung##34#</v>
      </c>
    </row>
    <row r="89" spans="7:19">
      <c r="G89" s="123"/>
      <c r="P89" s="11">
        <v>75</v>
      </c>
      <c r="Q89" s="11">
        <f t="shared" si="21"/>
        <v>12</v>
      </c>
      <c r="R89" s="11">
        <f t="shared" si="22"/>
        <v>3</v>
      </c>
      <c r="S89" s="12" t="str" cm="1">
        <f t="array" ref="S89">INDEX('PathStage-ConceptMap-1'!$I$15:$N$124,Q89+1,R89)</f>
        <v>* group[=].element[=].target.code = #Observation.</v>
      </c>
    </row>
    <row r="90" spans="7:19">
      <c r="G90" s="123"/>
      <c r="P90" s="11">
        <v>76</v>
      </c>
      <c r="Q90" s="11">
        <f t="shared" si="21"/>
        <v>12</v>
      </c>
      <c r="R90" s="11">
        <f t="shared" si="22"/>
        <v>4</v>
      </c>
      <c r="S90" s="12" t="str" cm="1">
        <f t="array" ref="S90">INDEX('PathStage-ConceptMap-1'!$I$15:$N$124,Q90+1,R90)</f>
        <v>* group[=].element[=].target.display = ##34###34#</v>
      </c>
    </row>
    <row r="91" spans="7:19">
      <c r="G91" s="123"/>
      <c r="P91" s="11">
        <v>77</v>
      </c>
      <c r="Q91" s="11">
        <f t="shared" si="21"/>
        <v>12</v>
      </c>
      <c r="R91" s="11">
        <f t="shared" si="22"/>
        <v>5</v>
      </c>
      <c r="S91" s="12" t="str" cm="1">
        <f t="array" ref="S91">INDEX('PathStage-ConceptMap-1'!$I$15:$N$124,Q91+1,R91)</f>
        <v>* group[=].element[=].target.equivalence = #relatedto</v>
      </c>
    </row>
    <row r="92" spans="7:19" ht="29.5">
      <c r="G92" s="123"/>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c r="G93" s="123"/>
      <c r="P93" s="11">
        <v>79</v>
      </c>
      <c r="Q93" s="11">
        <f t="shared" si="21"/>
        <v>13</v>
      </c>
      <c r="R93" s="11">
        <f t="shared" si="22"/>
        <v>1</v>
      </c>
      <c r="S93" s="12" t="str" cm="1">
        <f t="array" ref="S93">INDEX('PathStage-ConceptMap-1'!$I$15:$N$124,Q93+1,R93)</f>
        <v>* group[=].element[+].code = #PathologicalStage.bone</v>
      </c>
    </row>
    <row r="94" spans="7:19">
      <c r="G94" s="123"/>
      <c r="P94" s="11">
        <v>80</v>
      </c>
      <c r="Q94" s="11">
        <f t="shared" si="21"/>
        <v>13</v>
      </c>
      <c r="R94" s="11">
        <f t="shared" si="22"/>
        <v>2</v>
      </c>
      <c r="S94" s="12" t="str" cm="1">
        <f t="array" ref="S94">INDEX('PathStage-ConceptMap-1'!$I$15:$N$124,Q94+1,R94)</f>
        <v>* group[=].element[=].display = ##34#bone##34#</v>
      </c>
    </row>
    <row r="95" spans="7:19">
      <c r="G95" s="123"/>
      <c r="P95" s="11">
        <v>81</v>
      </c>
      <c r="Q95" s="11">
        <f t="shared" si="21"/>
        <v>13</v>
      </c>
      <c r="R95" s="11">
        <f t="shared" si="22"/>
        <v>3</v>
      </c>
      <c r="S95" s="12" t="str" cm="1">
        <f t="array" ref="S95">INDEX('PathStage-ConceptMap-1'!$I$15:$N$124,Q95+1,R95)</f>
        <v>* group[=].element[=].target.code = #Observation.</v>
      </c>
    </row>
    <row r="96" spans="7:19">
      <c r="G96" s="123"/>
      <c r="P96" s="11">
        <v>82</v>
      </c>
      <c r="Q96" s="11">
        <f t="shared" si="21"/>
        <v>13</v>
      </c>
      <c r="R96" s="11">
        <f t="shared" si="22"/>
        <v>4</v>
      </c>
      <c r="S96" s="12" t="str" cm="1">
        <f t="array" ref="S96">INDEX('PathStage-ConceptMap-1'!$I$15:$N$124,Q96+1,R96)</f>
        <v>* group[=].element[=].target.display = ##34###34#</v>
      </c>
    </row>
    <row r="97" spans="7:19">
      <c r="G97" s="123"/>
      <c r="P97" s="11">
        <v>83</v>
      </c>
      <c r="Q97" s="11">
        <f t="shared" si="21"/>
        <v>13</v>
      </c>
      <c r="R97" s="11">
        <f t="shared" si="22"/>
        <v>5</v>
      </c>
      <c r="S97" s="12" t="str" cm="1">
        <f t="array" ref="S97">INDEX('PathStage-ConceptMap-1'!$I$15:$N$124,Q97+1,R97)</f>
        <v>* group[=].element[=].target.equivalence = #relatedto</v>
      </c>
    </row>
    <row r="98" spans="7:19" ht="29.5">
      <c r="G98" s="123"/>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c r="G99" s="123"/>
      <c r="P99" s="11">
        <v>85</v>
      </c>
      <c r="Q99" s="11">
        <f t="shared" si="21"/>
        <v>14</v>
      </c>
      <c r="R99" s="11">
        <f t="shared" si="22"/>
        <v>1</v>
      </c>
      <c r="S99" s="12" t="str" cm="1">
        <f t="array" ref="S99">INDEX('PathStage-ConceptMap-1'!$I$15:$N$124,Q99+1,R99)</f>
        <v>* group[=].element[+].code = #PathologicalStage.liver</v>
      </c>
    </row>
    <row r="100" spans="7:19">
      <c r="G100" s="123"/>
      <c r="P100" s="11">
        <v>86</v>
      </c>
      <c r="Q100" s="11">
        <f t="shared" si="21"/>
        <v>14</v>
      </c>
      <c r="R100" s="11">
        <f t="shared" si="22"/>
        <v>2</v>
      </c>
      <c r="S100" s="12" t="str" cm="1">
        <f t="array" ref="S100">INDEX('PathStage-ConceptMap-1'!$I$15:$N$124,Q100+1,R100)</f>
        <v>* group[=].element[=].display = ##34#liver##34#</v>
      </c>
    </row>
    <row r="101" spans="7:19">
      <c r="G101" s="123"/>
      <c r="P101" s="11">
        <v>87</v>
      </c>
      <c r="Q101" s="11">
        <f t="shared" si="21"/>
        <v>14</v>
      </c>
      <c r="R101" s="11">
        <f t="shared" si="22"/>
        <v>3</v>
      </c>
      <c r="S101" s="12" t="str" cm="1">
        <f t="array" ref="S101">INDEX('PathStage-ConceptMap-1'!$I$15:$N$124,Q101+1,R101)</f>
        <v>* group[=].element[=].target.code = #Observation.</v>
      </c>
    </row>
    <row r="102" spans="7:19">
      <c r="G102" s="123"/>
      <c r="P102" s="11">
        <v>88</v>
      </c>
      <c r="Q102" s="11">
        <f t="shared" si="21"/>
        <v>14</v>
      </c>
      <c r="R102" s="11">
        <f t="shared" si="22"/>
        <v>4</v>
      </c>
      <c r="S102" s="12" t="str" cm="1">
        <f t="array" ref="S102">INDEX('PathStage-ConceptMap-1'!$I$15:$N$124,Q102+1,R102)</f>
        <v>* group[=].element[=].target.display = ##34###34#</v>
      </c>
    </row>
    <row r="103" spans="7:19">
      <c r="G103" s="123"/>
      <c r="P103" s="11">
        <v>89</v>
      </c>
      <c r="Q103" s="11">
        <f t="shared" si="21"/>
        <v>14</v>
      </c>
      <c r="R103" s="11">
        <f t="shared" si="22"/>
        <v>5</v>
      </c>
      <c r="S103" s="12" t="str" cm="1">
        <f t="array" ref="S103">INDEX('PathStage-ConceptMap-1'!$I$15:$N$124,Q103+1,R103)</f>
        <v>* group[=].element[=].target.equivalence = #relatedto</v>
      </c>
    </row>
    <row r="104" spans="7:19" ht="29.5">
      <c r="G104" s="123"/>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c r="G105" s="123"/>
      <c r="P105" s="11">
        <v>91</v>
      </c>
      <c r="Q105" s="11">
        <f t="shared" si="21"/>
        <v>15</v>
      </c>
      <c r="R105" s="11">
        <f t="shared" si="22"/>
        <v>1</v>
      </c>
      <c r="S105" s="12" t="str" cm="1">
        <f t="array" ref="S105">INDEX('PathStage-ConceptMap-1'!$I$15:$N$124,Q105+1,R105)</f>
        <v>* group[=].element[+].code = #PathologicalStage.pleura</v>
      </c>
    </row>
    <row r="106" spans="7:19">
      <c r="G106" s="123"/>
      <c r="P106" s="11">
        <v>92</v>
      </c>
      <c r="Q106" s="11">
        <f t="shared" si="21"/>
        <v>15</v>
      </c>
      <c r="R106" s="11">
        <f t="shared" si="22"/>
        <v>2</v>
      </c>
      <c r="S106" s="12" t="str" cm="1">
        <f t="array" ref="S106">INDEX('PathStage-ConceptMap-1'!$I$15:$N$124,Q106+1,R106)</f>
        <v>* group[=].element[=].display = ##34#pleura##34#</v>
      </c>
    </row>
    <row r="107" spans="7:19">
      <c r="G107" s="123"/>
      <c r="P107" s="11">
        <v>93</v>
      </c>
      <c r="Q107" s="11">
        <f t="shared" si="21"/>
        <v>15</v>
      </c>
      <c r="R107" s="11">
        <f t="shared" si="22"/>
        <v>3</v>
      </c>
      <c r="S107" s="12" t="str" cm="1">
        <f t="array" ref="S107">INDEX('PathStage-ConceptMap-1'!$I$15:$N$124,Q107+1,R107)</f>
        <v>* group[=].element[=].target.code = #Observation.</v>
      </c>
    </row>
    <row r="108" spans="7:19">
      <c r="G108" s="123"/>
      <c r="P108" s="11">
        <v>94</v>
      </c>
      <c r="Q108" s="11">
        <f t="shared" si="21"/>
        <v>15</v>
      </c>
      <c r="R108" s="11">
        <f t="shared" si="22"/>
        <v>4</v>
      </c>
      <c r="S108" s="12" t="str" cm="1">
        <f t="array" ref="S108">INDEX('PathStage-ConceptMap-1'!$I$15:$N$124,Q108+1,R108)</f>
        <v>* group[=].element[=].target.display = ##34###34#</v>
      </c>
    </row>
    <row r="109" spans="7:19">
      <c r="G109" s="123"/>
      <c r="P109" s="11">
        <v>95</v>
      </c>
      <c r="Q109" s="11">
        <f t="shared" si="21"/>
        <v>15</v>
      </c>
      <c r="R109" s="11">
        <f t="shared" si="22"/>
        <v>5</v>
      </c>
      <c r="S109" s="12" t="str" cm="1">
        <f t="array" ref="S109">INDEX('PathStage-ConceptMap-1'!$I$15:$N$124,Q109+1,R109)</f>
        <v>* group[=].element[=].target.equivalence = #relatedto</v>
      </c>
    </row>
    <row r="110" spans="7:19" ht="29.5">
      <c r="G110" s="123"/>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c r="G111" s="123"/>
      <c r="P111" s="11">
        <v>97</v>
      </c>
      <c r="Q111" s="11">
        <f t="shared" si="21"/>
        <v>16</v>
      </c>
      <c r="R111" s="11">
        <f t="shared" si="22"/>
        <v>1</v>
      </c>
      <c r="S111" s="12" t="str" cm="1">
        <f t="array" ref="S111">INDEX('PathStage-ConceptMap-1'!$I$15:$N$124,Q111+1,R111)</f>
        <v>* group[=].element[+].code = #PathologicalStage.peritoneum</v>
      </c>
    </row>
    <row r="112" spans="7:19">
      <c r="G112" s="123"/>
      <c r="P112" s="11">
        <v>98</v>
      </c>
      <c r="Q112" s="11">
        <f t="shared" si="21"/>
        <v>16</v>
      </c>
      <c r="R112" s="11">
        <f t="shared" si="22"/>
        <v>2</v>
      </c>
      <c r="S112" s="12" t="str" cm="1">
        <f t="array" ref="S112">INDEX('PathStage-ConceptMap-1'!$I$15:$N$124,Q112+1,R112)</f>
        <v>* group[=].element[=].display = ##34#peritoneum##34#</v>
      </c>
    </row>
    <row r="113" spans="7:19">
      <c r="G113" s="123"/>
      <c r="P113" s="11">
        <v>99</v>
      </c>
      <c r="Q113" s="11">
        <f t="shared" si="21"/>
        <v>16</v>
      </c>
      <c r="R113" s="11">
        <f t="shared" si="22"/>
        <v>3</v>
      </c>
      <c r="S113" s="12" t="str" cm="1">
        <f t="array" ref="S113">INDEX('PathStage-ConceptMap-1'!$I$15:$N$124,Q113+1,R113)</f>
        <v>* group[=].element[=].target.code = #Observation.</v>
      </c>
    </row>
    <row r="114" spans="7:19">
      <c r="G114" s="123"/>
      <c r="P114" s="11">
        <v>100</v>
      </c>
      <c r="Q114" s="11">
        <f t="shared" si="21"/>
        <v>16</v>
      </c>
      <c r="R114" s="11">
        <f t="shared" si="22"/>
        <v>4</v>
      </c>
      <c r="S114" s="12" t="str" cm="1">
        <f t="array" ref="S114">INDEX('PathStage-ConceptMap-1'!$I$15:$N$124,Q114+1,R114)</f>
        <v>* group[=].element[=].target.display = ##34###34#</v>
      </c>
    </row>
    <row r="115" spans="7:19">
      <c r="G115" s="123"/>
      <c r="P115" s="11">
        <v>101</v>
      </c>
      <c r="Q115" s="11">
        <f t="shared" si="21"/>
        <v>16</v>
      </c>
      <c r="R115" s="11">
        <f t="shared" si="22"/>
        <v>5</v>
      </c>
      <c r="S115" s="12" t="str" cm="1">
        <f t="array" ref="S115">INDEX('PathStage-ConceptMap-1'!$I$15:$N$124,Q115+1,R115)</f>
        <v>* group[=].element[=].target.equivalence = #relatedto</v>
      </c>
    </row>
    <row r="116" spans="7:19" ht="29.5">
      <c r="G116" s="123"/>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c r="G117" s="123"/>
      <c r="P117" s="11">
        <v>103</v>
      </c>
      <c r="Q117" s="11">
        <f t="shared" si="21"/>
        <v>17</v>
      </c>
      <c r="R117" s="11">
        <f t="shared" si="22"/>
        <v>1</v>
      </c>
      <c r="S117" s="12" t="str" cm="1">
        <f t="array" ref="S117">INDEX('PathStage-ConceptMap-1'!$I$15:$N$124,Q117+1,R117)</f>
        <v>* group[=].element[+].code = #PathologicalStage.brain</v>
      </c>
    </row>
    <row r="118" spans="7:19">
      <c r="P118" s="11">
        <v>104</v>
      </c>
      <c r="Q118" s="11">
        <f t="shared" si="21"/>
        <v>17</v>
      </c>
      <c r="R118" s="11">
        <f t="shared" si="22"/>
        <v>2</v>
      </c>
      <c r="S118" s="12" t="str" cm="1">
        <f t="array" ref="S118">INDEX('PathStage-ConceptMap-1'!$I$15:$N$124,Q118+1,R118)</f>
        <v>* group[=].element[=].display = ##34#brain##34#</v>
      </c>
    </row>
    <row r="119" spans="7:19">
      <c r="P119" s="11">
        <v>105</v>
      </c>
      <c r="Q119" s="11">
        <f t="shared" si="21"/>
        <v>17</v>
      </c>
      <c r="R119" s="11">
        <f t="shared" si="22"/>
        <v>3</v>
      </c>
      <c r="S119" s="12" t="str" cm="1">
        <f t="array" ref="S119">INDEX('PathStage-ConceptMap-1'!$I$15:$N$124,Q119+1,R119)</f>
        <v>* group[=].element[=].target.code = #Observation.</v>
      </c>
    </row>
    <row r="120" spans="7:19">
      <c r="P120" s="11">
        <v>106</v>
      </c>
      <c r="Q120" s="11">
        <f t="shared" si="21"/>
        <v>17</v>
      </c>
      <c r="R120" s="11">
        <f t="shared" si="22"/>
        <v>4</v>
      </c>
      <c r="S120" s="12" t="str" cm="1">
        <f t="array" ref="S120">INDEX('PathStage-ConceptMap-1'!$I$15:$N$124,Q120+1,R120)</f>
        <v>* group[=].element[=].target.display = ##34###34#</v>
      </c>
    </row>
    <row r="121" spans="7:19">
      <c r="P121" s="11">
        <v>107</v>
      </c>
      <c r="Q121" s="11">
        <f t="shared" si="21"/>
        <v>17</v>
      </c>
      <c r="R121" s="11">
        <f t="shared" si="22"/>
        <v>5</v>
      </c>
      <c r="S121" s="12" t="str" cm="1">
        <f t="array" ref="S121">INDEX('PathStage-ConceptMap-1'!$I$15:$N$124,Q121+1,R121)</f>
        <v>* group[=].element[=].target.equivalence = #relatedto</v>
      </c>
    </row>
    <row r="122" spans="7:19" ht="29.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c r="P123" s="11">
        <v>109</v>
      </c>
      <c r="Q123" s="11">
        <f t="shared" si="21"/>
        <v>18</v>
      </c>
      <c r="R123" s="11">
        <f t="shared" si="22"/>
        <v>1</v>
      </c>
      <c r="S123" s="12" t="str" cm="1">
        <f t="array" ref="S123">INDEX('PathStage-ConceptMap-1'!$I$15:$N$124,Q123+1,R123)</f>
        <v>* group[=].element[+].code = #PathologicalStage.otherViscera</v>
      </c>
    </row>
    <row r="124" spans="7:19">
      <c r="P124" s="11">
        <v>110</v>
      </c>
      <c r="Q124" s="11">
        <f t="shared" si="21"/>
        <v>18</v>
      </c>
      <c r="R124" s="11">
        <f t="shared" si="22"/>
        <v>2</v>
      </c>
      <c r="S124" s="12" t="str" cm="1">
        <f t="array" ref="S124">INDEX('PathStage-ConceptMap-1'!$I$15:$N$124,Q124+1,R124)</f>
        <v>* group[=].element[=].display = ##34#other viscera##34#</v>
      </c>
    </row>
    <row r="125" spans="7:19">
      <c r="P125" s="11">
        <v>111</v>
      </c>
      <c r="Q125" s="11">
        <f t="shared" si="21"/>
        <v>18</v>
      </c>
      <c r="R125" s="11">
        <f t="shared" si="22"/>
        <v>3</v>
      </c>
      <c r="S125" s="12" t="str" cm="1">
        <f t="array" ref="S125">INDEX('PathStage-ConceptMap-1'!$I$15:$N$124,Q125+1,R125)</f>
        <v>* group[=].element[=].target.code = #Observation.</v>
      </c>
    </row>
    <row r="126" spans="7:19">
      <c r="P126" s="11">
        <v>112</v>
      </c>
      <c r="Q126" s="11">
        <f t="shared" si="21"/>
        <v>18</v>
      </c>
      <c r="R126" s="11">
        <f t="shared" si="22"/>
        <v>4</v>
      </c>
      <c r="S126" s="12" t="str" cm="1">
        <f t="array" ref="S126">INDEX('PathStage-ConceptMap-1'!$I$15:$N$124,Q126+1,R126)</f>
        <v>* group[=].element[=].target.display = ##34###34#</v>
      </c>
    </row>
    <row r="127" spans="7:19">
      <c r="P127" s="11">
        <v>113</v>
      </c>
      <c r="Q127" s="11">
        <f t="shared" si="21"/>
        <v>18</v>
      </c>
      <c r="R127" s="11">
        <f t="shared" si="22"/>
        <v>5</v>
      </c>
      <c r="S127" s="12" t="str" cm="1">
        <f t="array" ref="S127">INDEX('PathStage-ConceptMap-1'!$I$15:$N$124,Q127+1,R127)</f>
        <v>* group[=].element[=].target.equivalence = #relatedto</v>
      </c>
    </row>
    <row r="128" spans="7:19" ht="29.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c r="P129" s="11">
        <v>115</v>
      </c>
      <c r="Q129" s="11">
        <f t="shared" si="21"/>
        <v>19</v>
      </c>
      <c r="R129" s="11">
        <f t="shared" si="22"/>
        <v>1</v>
      </c>
      <c r="S129" s="12" t="str" cm="1">
        <f t="array" ref="S129">INDEX('PathStage-ConceptMap-1'!$I$15:$N$124,Q129+1,R129)</f>
        <v>* group[=].element[+].code = #PathologicalStage.unknown</v>
      </c>
    </row>
    <row r="130" spans="16:19">
      <c r="P130" s="11">
        <v>116</v>
      </c>
      <c r="Q130" s="11">
        <f t="shared" si="21"/>
        <v>19</v>
      </c>
      <c r="R130" s="11">
        <f t="shared" si="22"/>
        <v>2</v>
      </c>
      <c r="S130" s="12" t="str" cm="1">
        <f t="array" ref="S130">INDEX('PathStage-ConceptMap-1'!$I$15:$N$124,Q130+1,R130)</f>
        <v>* group[=].element[=].display = ##34#unknown##34#</v>
      </c>
    </row>
    <row r="131" spans="16:19">
      <c r="P131" s="11">
        <v>117</v>
      </c>
      <c r="Q131" s="11">
        <f t="shared" si="21"/>
        <v>19</v>
      </c>
      <c r="R131" s="11">
        <f t="shared" si="22"/>
        <v>3</v>
      </c>
      <c r="S131" s="12" t="str" cm="1">
        <f t="array" ref="S131">INDEX('PathStage-ConceptMap-1'!$I$15:$N$124,Q131+1,R131)</f>
        <v>* group[=].element[=].target.code = #Observation.</v>
      </c>
    </row>
    <row r="132" spans="16:19">
      <c r="P132" s="11">
        <v>118</v>
      </c>
      <c r="Q132" s="11">
        <f t="shared" si="21"/>
        <v>19</v>
      </c>
      <c r="R132" s="11">
        <f t="shared" si="22"/>
        <v>4</v>
      </c>
      <c r="S132" s="12" t="str" cm="1">
        <f t="array" ref="S132">INDEX('PathStage-ConceptMap-1'!$I$15:$N$124,Q132+1,R132)</f>
        <v>* group[=].element[=].target.display = ##34###34#</v>
      </c>
    </row>
    <row r="133" spans="16:19">
      <c r="P133" s="11">
        <v>119</v>
      </c>
      <c r="Q133" s="11">
        <f t="shared" si="21"/>
        <v>19</v>
      </c>
      <c r="R133" s="11">
        <f t="shared" si="22"/>
        <v>5</v>
      </c>
      <c r="S133" s="12" t="str" cm="1">
        <f t="array" ref="S133">INDEX('PathStage-ConceptMap-1'!$I$15:$N$124,Q133+1,R133)</f>
        <v>* group[=].element[=].target.equivalence = #relatedto</v>
      </c>
    </row>
    <row r="134" spans="16:19" ht="29.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c r="P135" s="11">
        <v>121</v>
      </c>
      <c r="Q135" s="11">
        <f t="shared" si="21"/>
        <v>20</v>
      </c>
      <c r="R135" s="11">
        <f t="shared" si="22"/>
        <v>1</v>
      </c>
      <c r="S135" s="12" cm="1">
        <f t="array" ref="S135">INDEX('PathStage-ConceptMap-1'!$I$15:$N$124,Q135+1,R135)</f>
        <v>0</v>
      </c>
    </row>
    <row r="136" spans="16:19">
      <c r="P136" s="11">
        <v>122</v>
      </c>
      <c r="Q136" s="11">
        <f t="shared" si="21"/>
        <v>20</v>
      </c>
      <c r="R136" s="11">
        <f t="shared" si="22"/>
        <v>2</v>
      </c>
      <c r="S136" s="12" cm="1">
        <f t="array" ref="S136">INDEX('PathStage-ConceptMap-1'!$I$15:$N$124,Q136+1,R136)</f>
        <v>0</v>
      </c>
    </row>
    <row r="137" spans="16:19">
      <c r="P137" s="11">
        <v>123</v>
      </c>
      <c r="Q137" s="11">
        <f t="shared" si="21"/>
        <v>20</v>
      </c>
      <c r="R137" s="11">
        <f t="shared" si="22"/>
        <v>3</v>
      </c>
      <c r="S137" s="12" cm="1">
        <f t="array" ref="S137">INDEX('PathStage-ConceptMap-1'!$I$15:$N$124,Q137+1,R137)</f>
        <v>0</v>
      </c>
    </row>
    <row r="138" spans="16:19">
      <c r="P138" s="11">
        <v>124</v>
      </c>
      <c r="Q138" s="11">
        <f t="shared" si="21"/>
        <v>20</v>
      </c>
      <c r="R138" s="11">
        <f t="shared" si="22"/>
        <v>4</v>
      </c>
      <c r="S138" s="12" cm="1">
        <f t="array" ref="S138">INDEX('PathStage-ConceptMap-1'!$I$15:$N$124,Q138+1,R138)</f>
        <v>0</v>
      </c>
    </row>
    <row r="139" spans="16:19">
      <c r="P139" s="11">
        <v>125</v>
      </c>
      <c r="Q139" s="11">
        <f t="shared" si="21"/>
        <v>20</v>
      </c>
      <c r="R139" s="11">
        <f t="shared" si="22"/>
        <v>5</v>
      </c>
      <c r="S139" s="12" cm="1">
        <f t="array" ref="S139">INDEX('PathStage-ConceptMap-1'!$I$15:$N$124,Q139+1,R139)</f>
        <v>0</v>
      </c>
    </row>
    <row r="140" spans="16:19">
      <c r="P140" s="11">
        <v>126</v>
      </c>
      <c r="Q140" s="11">
        <f t="shared" si="21"/>
        <v>20</v>
      </c>
      <c r="R140" s="11">
        <f t="shared" si="22"/>
        <v>6</v>
      </c>
      <c r="S140" s="12" cm="1">
        <f t="array" ref="S140">INDEX('PathStage-ConceptMap-1'!$I$15:$N$124,Q140+1,R140)</f>
        <v>0</v>
      </c>
    </row>
    <row r="141" spans="16:19">
      <c r="P141" s="11">
        <v>127</v>
      </c>
      <c r="Q141" s="11">
        <f t="shared" si="21"/>
        <v>21</v>
      </c>
      <c r="R141" s="11">
        <f t="shared" si="22"/>
        <v>1</v>
      </c>
      <c r="S141" s="12" cm="1">
        <f t="array" ref="S141">INDEX('PathStage-ConceptMap-1'!$I$15:$N$124,Q141+1,R141)</f>
        <v>0</v>
      </c>
    </row>
    <row r="142" spans="16:19">
      <c r="P142" s="11">
        <v>128</v>
      </c>
      <c r="Q142" s="11">
        <f t="shared" si="21"/>
        <v>21</v>
      </c>
      <c r="R142" s="11">
        <f t="shared" si="22"/>
        <v>2</v>
      </c>
      <c r="S142" s="12" cm="1">
        <f t="array" ref="S142">INDEX('PathStage-ConceptMap-1'!$I$15:$N$124,Q142+1,R142)</f>
        <v>0</v>
      </c>
    </row>
    <row r="143" spans="16:19">
      <c r="P143" s="11">
        <v>129</v>
      </c>
      <c r="Q143" s="11">
        <f t="shared" si="21"/>
        <v>21</v>
      </c>
      <c r="R143" s="11">
        <f t="shared" si="22"/>
        <v>3</v>
      </c>
      <c r="S143" s="12" cm="1">
        <f t="array" ref="S143">INDEX('PathStage-ConceptMap-1'!$I$15:$N$124,Q143+1,R143)</f>
        <v>0</v>
      </c>
    </row>
    <row r="144" spans="16:19">
      <c r="P144" s="11">
        <v>130</v>
      </c>
      <c r="Q144" s="11">
        <f t="shared" ref="Q144:Q163" si="23">IF(MOD(P144,$Q$8)=0,P144/$Q$8-1,INT(P144/$Q$8))</f>
        <v>21</v>
      </c>
      <c r="R144" s="11">
        <f t="shared" ref="R144:R163" si="24">IF(MOD(P144,$Q$8)=0,$Q$8,MOD(P144,$Q$8))</f>
        <v>4</v>
      </c>
      <c r="S144" s="12" cm="1">
        <f t="array" ref="S144">INDEX('PathStage-ConceptMap-1'!$I$15:$N$124,Q144+1,R144)</f>
        <v>0</v>
      </c>
    </row>
    <row r="145" spans="16:19">
      <c r="P145" s="11">
        <v>131</v>
      </c>
      <c r="Q145" s="11">
        <f t="shared" si="23"/>
        <v>21</v>
      </c>
      <c r="R145" s="11">
        <f t="shared" si="24"/>
        <v>5</v>
      </c>
      <c r="S145" s="12" cm="1">
        <f t="array" ref="S145">INDEX('PathStage-ConceptMap-1'!$I$15:$N$124,Q145+1,R145)</f>
        <v>0</v>
      </c>
    </row>
    <row r="146" spans="16:19">
      <c r="P146" s="11">
        <v>132</v>
      </c>
      <c r="Q146" s="11">
        <f t="shared" si="23"/>
        <v>21</v>
      </c>
      <c r="R146" s="11">
        <f t="shared" si="24"/>
        <v>6</v>
      </c>
      <c r="S146" s="12" cm="1">
        <f t="array" ref="S146">INDEX('PathStage-ConceptMap-1'!$I$15:$N$124,Q146+1,R146)</f>
        <v>0</v>
      </c>
    </row>
    <row r="147" spans="16:19">
      <c r="P147" s="11">
        <v>133</v>
      </c>
      <c r="Q147" s="11">
        <f t="shared" si="23"/>
        <v>22</v>
      </c>
      <c r="R147" s="11">
        <f t="shared" si="24"/>
        <v>1</v>
      </c>
      <c r="S147" s="12" cm="1">
        <f t="array" ref="S147">INDEX('PathStage-ConceptMap-1'!$I$15:$N$124,Q147+1,R147)</f>
        <v>0</v>
      </c>
    </row>
    <row r="148" spans="16:19">
      <c r="P148" s="11">
        <v>134</v>
      </c>
      <c r="Q148" s="11">
        <f t="shared" si="23"/>
        <v>22</v>
      </c>
      <c r="R148" s="11">
        <f t="shared" si="24"/>
        <v>2</v>
      </c>
      <c r="S148" s="12" cm="1">
        <f t="array" ref="S148">INDEX('PathStage-ConceptMap-1'!$I$15:$N$124,Q148+1,R148)</f>
        <v>0</v>
      </c>
    </row>
    <row r="149" spans="16:19">
      <c r="P149" s="11">
        <v>135</v>
      </c>
      <c r="Q149" s="11">
        <f t="shared" si="23"/>
        <v>22</v>
      </c>
      <c r="R149" s="11">
        <f t="shared" si="24"/>
        <v>3</v>
      </c>
      <c r="S149" s="12" cm="1">
        <f t="array" ref="S149">INDEX('PathStage-ConceptMap-1'!$I$15:$N$124,Q149+1,R149)</f>
        <v>0</v>
      </c>
    </row>
    <row r="150" spans="16:19">
      <c r="P150" s="11">
        <v>136</v>
      </c>
      <c r="Q150" s="11">
        <f t="shared" si="23"/>
        <v>22</v>
      </c>
      <c r="R150" s="11">
        <f t="shared" si="24"/>
        <v>4</v>
      </c>
      <c r="S150" s="12" cm="1">
        <f t="array" ref="S150">INDEX('PathStage-ConceptMap-1'!$I$15:$N$124,Q150+1,R150)</f>
        <v>0</v>
      </c>
    </row>
    <row r="151" spans="16:19">
      <c r="P151" s="11">
        <v>137</v>
      </c>
      <c r="Q151" s="11">
        <f t="shared" si="23"/>
        <v>22</v>
      </c>
      <c r="R151" s="11">
        <f t="shared" si="24"/>
        <v>5</v>
      </c>
      <c r="S151" s="12" cm="1">
        <f t="array" ref="S151">INDEX('PathStage-ConceptMap-1'!$I$15:$N$124,Q151+1,R151)</f>
        <v>0</v>
      </c>
    </row>
    <row r="152" spans="16:19">
      <c r="P152" s="11">
        <v>138</v>
      </c>
      <c r="Q152" s="11">
        <f t="shared" si="23"/>
        <v>22</v>
      </c>
      <c r="R152" s="11">
        <f t="shared" si="24"/>
        <v>6</v>
      </c>
      <c r="S152" s="12" cm="1">
        <f t="array" ref="S152">INDEX('PathStage-ConceptMap-1'!$I$15:$N$124,Q152+1,R152)</f>
        <v>0</v>
      </c>
    </row>
    <row r="153" spans="16:19">
      <c r="P153" s="11">
        <v>139</v>
      </c>
      <c r="Q153" s="11">
        <f t="shared" si="23"/>
        <v>23</v>
      </c>
      <c r="R153" s="11">
        <f t="shared" si="24"/>
        <v>1</v>
      </c>
      <c r="S153" s="12" cm="1">
        <f t="array" ref="S153">INDEX('PathStage-ConceptMap-1'!$I$15:$N$124,Q153+1,R153)</f>
        <v>0</v>
      </c>
    </row>
    <row r="154" spans="16:19">
      <c r="P154" s="11">
        <v>140</v>
      </c>
      <c r="Q154" s="11">
        <f t="shared" si="23"/>
        <v>23</v>
      </c>
      <c r="R154" s="11">
        <f t="shared" si="24"/>
        <v>2</v>
      </c>
      <c r="S154" s="12" cm="1">
        <f t="array" ref="S154">INDEX('PathStage-ConceptMap-1'!$I$15:$N$124,Q154+1,R154)</f>
        <v>0</v>
      </c>
    </row>
    <row r="155" spans="16:19">
      <c r="P155" s="11">
        <v>141</v>
      </c>
      <c r="Q155" s="11">
        <f t="shared" si="23"/>
        <v>23</v>
      </c>
      <c r="R155" s="11">
        <f t="shared" si="24"/>
        <v>3</v>
      </c>
      <c r="S155" s="12" cm="1">
        <f t="array" ref="S155">INDEX('PathStage-ConceptMap-1'!$I$15:$N$124,Q155+1,R155)</f>
        <v>0</v>
      </c>
    </row>
    <row r="156" spans="16:19">
      <c r="P156" s="11">
        <v>142</v>
      </c>
      <c r="Q156" s="11">
        <f t="shared" si="23"/>
        <v>23</v>
      </c>
      <c r="R156" s="11">
        <f t="shared" si="24"/>
        <v>4</v>
      </c>
      <c r="S156" s="12" cm="1">
        <f t="array" ref="S156">INDEX('PathStage-ConceptMap-1'!$I$15:$N$124,Q156+1,R156)</f>
        <v>0</v>
      </c>
    </row>
    <row r="157" spans="16:19">
      <c r="P157" s="11">
        <v>143</v>
      </c>
      <c r="Q157" s="11">
        <f t="shared" si="23"/>
        <v>23</v>
      </c>
      <c r="R157" s="11">
        <f t="shared" si="24"/>
        <v>5</v>
      </c>
      <c r="S157" s="12" cm="1">
        <f t="array" ref="S157">INDEX('PathStage-ConceptMap-1'!$I$15:$N$124,Q157+1,R157)</f>
        <v>0</v>
      </c>
    </row>
    <row r="158" spans="16:19">
      <c r="P158" s="11">
        <v>144</v>
      </c>
      <c r="Q158" s="11">
        <f t="shared" si="23"/>
        <v>23</v>
      </c>
      <c r="R158" s="11">
        <f t="shared" si="24"/>
        <v>6</v>
      </c>
      <c r="S158" s="12" cm="1">
        <f t="array" ref="S158">INDEX('PathStage-ConceptMap-1'!$I$15:$N$124,Q158+1,R158)</f>
        <v>0</v>
      </c>
    </row>
    <row r="159" spans="16:19">
      <c r="P159" s="11">
        <v>145</v>
      </c>
      <c r="Q159" s="11">
        <f t="shared" si="23"/>
        <v>24</v>
      </c>
      <c r="R159" s="11">
        <f t="shared" si="24"/>
        <v>1</v>
      </c>
      <c r="S159" s="12" cm="1">
        <f t="array" ref="S159">INDEX('PathStage-ConceptMap-1'!$I$15:$N$124,Q159+1,R159)</f>
        <v>0</v>
      </c>
    </row>
    <row r="160" spans="16:19">
      <c r="P160" s="11">
        <v>146</v>
      </c>
      <c r="Q160" s="11">
        <f t="shared" si="23"/>
        <v>24</v>
      </c>
      <c r="R160" s="11">
        <f t="shared" si="24"/>
        <v>2</v>
      </c>
      <c r="S160" s="12" cm="1">
        <f t="array" ref="S160">INDEX('PathStage-ConceptMap-1'!$I$15:$N$124,Q160+1,R160)</f>
        <v>0</v>
      </c>
    </row>
    <row r="161" spans="16:19">
      <c r="P161" s="11">
        <v>147</v>
      </c>
      <c r="Q161" s="11">
        <f t="shared" si="23"/>
        <v>24</v>
      </c>
      <c r="R161" s="11">
        <f t="shared" si="24"/>
        <v>3</v>
      </c>
      <c r="S161" s="12" cm="1">
        <f t="array" ref="S161">INDEX('PathStage-ConceptMap-1'!$I$15:$N$124,Q161+1,R161)</f>
        <v>0</v>
      </c>
    </row>
    <row r="162" spans="16:19">
      <c r="P162" s="11">
        <v>148</v>
      </c>
      <c r="Q162" s="11">
        <f t="shared" si="23"/>
        <v>24</v>
      </c>
      <c r="R162" s="11">
        <f t="shared" si="24"/>
        <v>4</v>
      </c>
      <c r="S162" s="12" cm="1">
        <f t="array" ref="S162">INDEX('PathStage-ConceptMap-1'!$I$15:$N$124,Q162+1,R162)</f>
        <v>0</v>
      </c>
    </row>
    <row r="163" spans="16:19">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theme="0" tint="-0.499984740745262"/>
  </sheetPr>
  <dimension ref="A1:S39"/>
  <sheetViews>
    <sheetView workbookViewId="0">
      <selection activeCell="G15" sqref="G15"/>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2009</v>
      </c>
      <c r="D3" s="62" t="s">
        <v>1769</v>
      </c>
      <c r="E3" s="117" t="str">
        <f>$C$1&amp;ClinicalStage!B4</f>
        <v>http://hl7.eu/fhir/ig/idea4rc/StructureDefinition/ClinicalStageI4rc</v>
      </c>
    </row>
    <row r="4" spans="1:19">
      <c r="B4" s="62" t="s">
        <v>16</v>
      </c>
      <c r="C4" s="28" t="s">
        <v>2009</v>
      </c>
      <c r="D4" s="62" t="s">
        <v>1770</v>
      </c>
      <c r="E4" s="184" t="s">
        <v>2003</v>
      </c>
      <c r="F4" s="185"/>
      <c r="G4" s="185"/>
    </row>
    <row r="5" spans="1:19">
      <c r="B5" s="62" t="s">
        <v>10</v>
      </c>
      <c r="C5" s="7" t="s">
        <v>1986</v>
      </c>
      <c r="D5" s="62"/>
      <c r="E5" s="7"/>
    </row>
    <row r="6" spans="1:19">
      <c r="B6" s="62" t="s">
        <v>18</v>
      </c>
      <c r="C6" s="56"/>
      <c r="D6" s="62" t="s">
        <v>1771</v>
      </c>
      <c r="E6" s="184" t="str">
        <f>E3</f>
        <v>http://hl7.eu/fhir/ig/idea4rc/StructureDefinition/ClinicalStageI4rc</v>
      </c>
      <c r="F6" s="185"/>
      <c r="G6" s="185"/>
    </row>
    <row r="7" spans="1:19">
      <c r="B7" s="62" t="s">
        <v>15</v>
      </c>
      <c r="C7" s="118"/>
      <c r="D7" s="62" t="s">
        <v>1772</v>
      </c>
      <c r="E7" s="184" t="s">
        <v>2003</v>
      </c>
      <c r="F7" s="185"/>
      <c r="G7" s="185"/>
    </row>
    <row r="8" spans="1:19" ht="44.25">
      <c r="B8" s="62" t="s">
        <v>1773</v>
      </c>
      <c r="C8" s="119" t="s">
        <v>1986</v>
      </c>
      <c r="D8" s="62"/>
      <c r="E8" s="7"/>
      <c r="I8" s="12" t="s">
        <v>1402</v>
      </c>
      <c r="J8" s="12" t="s">
        <v>1403</v>
      </c>
      <c r="K8" s="12" t="s">
        <v>1404</v>
      </c>
      <c r="L8" s="12" t="s">
        <v>1405</v>
      </c>
      <c r="M8" s="11" t="s">
        <v>1406</v>
      </c>
      <c r="P8" s="49" t="s">
        <v>1441</v>
      </c>
      <c r="Q8" s="49">
        <v>6</v>
      </c>
    </row>
    <row r="9" spans="1:19">
      <c r="B9" s="62" t="s">
        <v>1774</v>
      </c>
      <c r="C9" s="12" t="s">
        <v>1987</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1845</v>
      </c>
      <c r="E14" s="6"/>
      <c r="F14" s="64"/>
      <c r="G14" s="64"/>
      <c r="I14" s="12"/>
      <c r="J14" s="11"/>
      <c r="K14" s="11"/>
      <c r="L14" s="11"/>
      <c r="M14" s="63"/>
      <c r="N14" s="66"/>
    </row>
    <row r="15" spans="1:19" ht="73.75" customHeight="1">
      <c r="A15" s="59"/>
      <c r="B15" s="11" t="str">
        <f>ClinicalStage!B9</f>
        <v>cT</v>
      </c>
      <c r="C15" s="11" t="str">
        <f>ClinicalStage!C9</f>
        <v>cT</v>
      </c>
      <c r="D15" s="12" t="s">
        <v>1996</v>
      </c>
      <c r="E15" s="12"/>
      <c r="F15" s="64" t="s">
        <v>1407</v>
      </c>
      <c r="G15" s="123" t="s">
        <v>1998</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#PathologicalStage.cT</v>
      </c>
    </row>
    <row r="16" spans="1:19">
      <c r="A16" s="59"/>
      <c r="B16" s="11"/>
      <c r="C16" s="11"/>
      <c r="D16" s="12"/>
      <c r="E16" s="12"/>
      <c r="F16" s="145"/>
      <c r="G16" s="123"/>
      <c r="H16" s="58"/>
      <c r="I16" s="12"/>
      <c r="J16" s="12"/>
      <c r="K16" s="12"/>
      <c r="L16" s="12"/>
      <c r="M16" s="12"/>
      <c r="N16" s="12" t="str">
        <f t="shared" si="5"/>
        <v/>
      </c>
      <c r="P16" s="11">
        <v>2</v>
      </c>
      <c r="Q16" s="11">
        <f t="shared" si="6"/>
        <v>0</v>
      </c>
      <c r="R16" s="11">
        <f t="shared" si="7"/>
        <v>2</v>
      </c>
      <c r="S16" s="12" t="str" cm="1">
        <f t="array" ref="S16">INDEX('PathStage-ConceptMap-2'!$I$15:$N$39,Q16+1,R16)</f>
        <v>* group[=].element[=].display = ##34#cT##34#</v>
      </c>
    </row>
    <row r="17" spans="1:19">
      <c r="A17" s="59"/>
      <c r="B17" s="11"/>
      <c r="C17" s="11"/>
      <c r="D17" s="12"/>
      <c r="E17" s="12"/>
      <c r="F17" s="145"/>
      <c r="G17" s="123"/>
      <c r="H17" s="58"/>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c r="A18" s="59"/>
      <c r="B18" s="11"/>
      <c r="C18" s="11"/>
      <c r="D18" s="12"/>
      <c r="E18" s="12"/>
      <c r="F18" s="145"/>
      <c r="G18" s="123"/>
      <c r="H18" s="58"/>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c r="A20" s="59"/>
      <c r="B20" s="11"/>
      <c r="C20" s="11"/>
      <c r="D20" s="12"/>
      <c r="E20" s="12"/>
      <c r="F20" s="64"/>
      <c r="G20" s="123"/>
      <c r="H20" s="58"/>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c r="A21" s="59"/>
      <c r="B21" s="11"/>
      <c r="C21" s="11"/>
      <c r="D21" s="12"/>
      <c r="E21" s="12"/>
      <c r="F21" s="64"/>
      <c r="G21" s="123"/>
      <c r="H21" s="58"/>
      <c r="I21" s="12"/>
      <c r="J21" s="12"/>
      <c r="K21" s="12"/>
      <c r="L21" s="12"/>
      <c r="M21" s="12"/>
      <c r="N21" s="12"/>
      <c r="P21" s="11">
        <v>7</v>
      </c>
      <c r="Q21" s="11">
        <f t="shared" si="6"/>
        <v>1</v>
      </c>
      <c r="R21" s="11">
        <f t="shared" si="7"/>
        <v>1</v>
      </c>
      <c r="S21" s="12" cm="1">
        <f t="array" ref="S21">INDEX('PathStage-ConceptMap-2'!$I$15:$N$39,Q21+1,R21)</f>
        <v>0</v>
      </c>
    </row>
    <row r="22" spans="1:19">
      <c r="A22" s="59"/>
      <c r="B22" s="11"/>
      <c r="C22" s="11"/>
      <c r="D22" s="12"/>
      <c r="E22" s="12"/>
      <c r="F22" s="64"/>
      <c r="G22" s="123"/>
      <c r="H22" s="58"/>
      <c r="I22" s="12"/>
      <c r="J22" s="12"/>
      <c r="K22" s="12"/>
      <c r="L22" s="12"/>
      <c r="M22" s="12"/>
      <c r="N22" s="12"/>
      <c r="P22" s="11">
        <v>8</v>
      </c>
      <c r="Q22" s="11">
        <f t="shared" si="6"/>
        <v>1</v>
      </c>
      <c r="R22" s="11">
        <f t="shared" si="7"/>
        <v>2</v>
      </c>
      <c r="S22" s="12" cm="1">
        <f t="array" ref="S22">INDEX('PathStage-ConceptMap-2'!$I$15:$N$39,Q22+1,R22)</f>
        <v>0</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cm="1">
        <f t="array" ref="S23">INDEX('PathStage-ConceptMap-2'!$I$15:$N$39,Q23+1,R23)</f>
        <v>0</v>
      </c>
    </row>
    <row r="24" spans="1:19">
      <c r="A24" s="59"/>
      <c r="B24" s="11"/>
      <c r="C24" s="11"/>
      <c r="D24" s="12"/>
      <c r="E24" s="12"/>
      <c r="F24" s="64"/>
      <c r="G24" s="123"/>
      <c r="H24" s="58"/>
      <c r="I24" s="12"/>
      <c r="J24" s="12"/>
      <c r="K24" s="12"/>
      <c r="L24" s="12"/>
      <c r="M24" s="12"/>
      <c r="N24" s="12"/>
      <c r="P24" s="11">
        <v>10</v>
      </c>
      <c r="Q24" s="11">
        <f t="shared" si="6"/>
        <v>1</v>
      </c>
      <c r="R24" s="11">
        <f t="shared" si="7"/>
        <v>4</v>
      </c>
      <c r="S24" s="12" cm="1">
        <f t="array" ref="S24">INDEX('PathStage-ConceptMap-2'!$I$15:$N$39,Q24+1,R24)</f>
        <v>0</v>
      </c>
    </row>
    <row r="25" spans="1:19">
      <c r="A25" s="59"/>
      <c r="B25" s="11"/>
      <c r="C25" s="11"/>
      <c r="D25" s="12"/>
      <c r="E25" s="12"/>
      <c r="F25" s="64"/>
      <c r="G25" s="123"/>
      <c r="H25" s="58"/>
      <c r="I25" s="12"/>
      <c r="J25" s="12"/>
      <c r="K25" s="12"/>
      <c r="L25" s="12"/>
      <c r="M25" s="12"/>
      <c r="N25" s="12"/>
      <c r="P25" s="11">
        <v>11</v>
      </c>
      <c r="Q25" s="11">
        <f t="shared" si="6"/>
        <v>1</v>
      </c>
      <c r="R25" s="11">
        <f t="shared" si="7"/>
        <v>5</v>
      </c>
      <c r="S25" s="12" cm="1">
        <f t="array" ref="S25">INDEX('PathStage-ConceptMap-2'!$I$15:$N$39,Q25+1,R25)</f>
        <v>0</v>
      </c>
    </row>
    <row r="26" spans="1:19">
      <c r="A26" s="59"/>
      <c r="B26" s="11"/>
      <c r="C26" s="11"/>
      <c r="D26" s="12"/>
      <c r="E26" s="12"/>
      <c r="F26" s="64"/>
      <c r="G26" s="123"/>
      <c r="H26" s="58"/>
      <c r="I26" s="12"/>
      <c r="J26" s="12"/>
      <c r="K26" s="12"/>
      <c r="L26" s="12"/>
      <c r="M26" s="12"/>
      <c r="N26" s="12"/>
      <c r="P26" s="11">
        <v>12</v>
      </c>
      <c r="Q26" s="11">
        <f t="shared" si="6"/>
        <v>1</v>
      </c>
      <c r="R26" s="11">
        <f t="shared" si="7"/>
        <v>6</v>
      </c>
      <c r="S26" s="12" t="str" cm="1">
        <f t="array" ref="S26">INDEX('PathStage-ConceptMap-2'!$I$15:$N$39,Q26+1,R26)</f>
        <v/>
      </c>
    </row>
    <row r="27" spans="1:19">
      <c r="B27" s="11"/>
      <c r="C27" s="11"/>
      <c r="D27" s="12"/>
      <c r="E27" s="12"/>
      <c r="F27" s="64"/>
      <c r="G27" s="123"/>
      <c r="H27" s="58"/>
      <c r="I27" s="12"/>
      <c r="J27" s="12"/>
      <c r="K27" s="12"/>
      <c r="L27" s="12"/>
      <c r="M27" s="12"/>
      <c r="N27" s="12"/>
      <c r="P27" s="11">
        <v>13</v>
      </c>
      <c r="Q27" s="11">
        <f t="shared" si="6"/>
        <v>2</v>
      </c>
      <c r="R27" s="11">
        <f t="shared" si="7"/>
        <v>1</v>
      </c>
      <c r="S27" s="12" cm="1">
        <f t="array" ref="S27">INDEX('PathStage-ConceptMap-2'!$I$15:$N$39,Q27+1,R27)</f>
        <v>0</v>
      </c>
    </row>
    <row r="28" spans="1:19">
      <c r="B28" s="11"/>
      <c r="C28" s="11"/>
      <c r="D28" s="12"/>
      <c r="E28" s="12"/>
      <c r="F28" s="64"/>
      <c r="G28" s="123"/>
      <c r="H28" s="58"/>
      <c r="I28" s="12"/>
      <c r="J28" s="12"/>
      <c r="K28" s="12"/>
      <c r="L28" s="12"/>
      <c r="M28" s="12"/>
      <c r="N28" s="12"/>
      <c r="P28" s="11">
        <v>14</v>
      </c>
      <c r="Q28" s="11">
        <f t="shared" si="6"/>
        <v>2</v>
      </c>
      <c r="R28" s="11">
        <f t="shared" si="7"/>
        <v>2</v>
      </c>
      <c r="S28" s="12" cm="1">
        <f t="array" ref="S28">INDEX('PathStage-ConceptMap-2'!$I$15:$N$39,Q28+1,R28)</f>
        <v>0</v>
      </c>
    </row>
    <row r="29" spans="1:19">
      <c r="B29" s="11"/>
      <c r="C29" s="11"/>
      <c r="D29" s="12"/>
      <c r="E29" s="12"/>
      <c r="F29" s="64"/>
      <c r="G29" s="123"/>
      <c r="H29" s="58"/>
      <c r="I29" s="12"/>
      <c r="J29" s="12"/>
      <c r="K29" s="12"/>
      <c r="L29" s="12"/>
      <c r="M29" s="12"/>
      <c r="N29" s="12"/>
      <c r="P29" s="11">
        <v>15</v>
      </c>
      <c r="Q29" s="11">
        <f t="shared" si="6"/>
        <v>2</v>
      </c>
      <c r="R29" s="11">
        <f t="shared" si="7"/>
        <v>3</v>
      </c>
      <c r="S29" s="12" cm="1">
        <f t="array" ref="S29">INDEX('PathStage-ConceptMap-2'!$I$15:$N$39,Q29+1,R29)</f>
        <v>0</v>
      </c>
    </row>
    <row r="30" spans="1:19">
      <c r="B30" s="11"/>
      <c r="C30" s="11"/>
      <c r="D30" s="12"/>
      <c r="E30" s="12"/>
      <c r="F30" s="64"/>
      <c r="G30" s="123"/>
      <c r="H30" s="58"/>
      <c r="I30" s="12"/>
      <c r="J30" s="12"/>
      <c r="K30" s="12"/>
      <c r="L30" s="12"/>
      <c r="M30" s="12"/>
      <c r="N30" s="12"/>
      <c r="P30" s="11">
        <v>16</v>
      </c>
      <c r="Q30" s="11">
        <f t="shared" si="6"/>
        <v>2</v>
      </c>
      <c r="R30" s="11">
        <f t="shared" si="7"/>
        <v>4</v>
      </c>
      <c r="S30" s="12" cm="1">
        <f t="array" ref="S30">INDEX('PathStage-ConceptMap-2'!$I$15:$N$39,Q30+1,R30)</f>
        <v>0</v>
      </c>
    </row>
    <row r="31" spans="1:19">
      <c r="B31" s="11"/>
      <c r="C31" s="11"/>
      <c r="D31" s="12"/>
      <c r="E31" s="12"/>
      <c r="F31" s="64"/>
      <c r="G31" s="123"/>
      <c r="H31" s="58"/>
      <c r="I31" s="12"/>
      <c r="J31" s="12"/>
      <c r="K31" s="12"/>
      <c r="L31" s="12"/>
      <c r="M31" s="12"/>
      <c r="N31" s="12"/>
      <c r="P31" s="11">
        <v>17</v>
      </c>
      <c r="Q31" s="11">
        <f t="shared" si="6"/>
        <v>2</v>
      </c>
      <c r="R31" s="11">
        <f t="shared" si="7"/>
        <v>5</v>
      </c>
      <c r="S31" s="12" cm="1">
        <f t="array" ref="S31">INDEX('PathStage-ConceptMap-2'!$I$15:$N$39,Q31+1,R31)</f>
        <v>0</v>
      </c>
    </row>
    <row r="32" spans="1:19">
      <c r="B32" s="11"/>
      <c r="C32" s="11"/>
      <c r="D32" s="12"/>
      <c r="E32" s="12"/>
      <c r="F32" s="64"/>
      <c r="G32" s="123"/>
      <c r="H32" s="58"/>
      <c r="I32" s="12"/>
      <c r="J32" s="12"/>
      <c r="K32" s="12"/>
      <c r="L32" s="12"/>
      <c r="M32" s="12"/>
      <c r="N32" s="12"/>
      <c r="P32" s="11">
        <v>18</v>
      </c>
      <c r="Q32" s="11">
        <f t="shared" si="6"/>
        <v>2</v>
      </c>
      <c r="R32" s="11">
        <f t="shared" si="7"/>
        <v>6</v>
      </c>
      <c r="S32" s="12" t="str" cm="1">
        <f t="array" ref="S32">INDEX('PathStage-ConceptMap-2'!$I$15:$N$39,Q32+1,R32)</f>
        <v/>
      </c>
    </row>
    <row r="33" spans="1:19">
      <c r="B33" s="11"/>
      <c r="C33" s="11"/>
      <c r="D33" s="12"/>
      <c r="E33" s="12"/>
      <c r="F33" s="64"/>
      <c r="G33" s="123"/>
      <c r="H33" s="58"/>
      <c r="I33" s="12"/>
      <c r="J33" s="12"/>
      <c r="K33" s="12"/>
      <c r="L33" s="12"/>
      <c r="M33" s="12"/>
      <c r="N33" s="12"/>
      <c r="P33" s="11">
        <v>19</v>
      </c>
      <c r="Q33" s="11">
        <f t="shared" si="6"/>
        <v>3</v>
      </c>
      <c r="R33" s="11">
        <f t="shared" si="7"/>
        <v>1</v>
      </c>
      <c r="S33" s="12" cm="1">
        <f t="array" ref="S33">INDEX('PathStage-ConceptMap-2'!$I$15:$N$39,Q33+1,R33)</f>
        <v>0</v>
      </c>
    </row>
    <row r="34" spans="1:19">
      <c r="B34" s="11"/>
      <c r="C34" s="11"/>
      <c r="D34" s="12"/>
      <c r="E34" s="12"/>
      <c r="F34" s="64"/>
      <c r="G34" s="123"/>
      <c r="H34" s="58"/>
      <c r="I34" s="12"/>
      <c r="J34" s="12"/>
      <c r="K34" s="12"/>
      <c r="L34" s="12"/>
      <c r="M34" s="12"/>
      <c r="N34" s="12"/>
      <c r="P34" s="11">
        <v>20</v>
      </c>
      <c r="Q34" s="11">
        <f t="shared" si="6"/>
        <v>3</v>
      </c>
      <c r="R34" s="11">
        <f t="shared" si="7"/>
        <v>2</v>
      </c>
      <c r="S34" s="12" cm="1">
        <f t="array" ref="S34">INDEX('PathStage-ConceptMap-2'!$I$15:$N$39,Q34+1,R34)</f>
        <v>0</v>
      </c>
    </row>
    <row r="35" spans="1:19">
      <c r="B35" s="11"/>
      <c r="C35" s="11"/>
      <c r="D35" s="12"/>
      <c r="E35" s="12"/>
      <c r="F35" s="64"/>
      <c r="G35" s="123"/>
      <c r="H35" s="58"/>
      <c r="I35" s="12"/>
      <c r="J35" s="12"/>
      <c r="K35" s="12"/>
      <c r="L35" s="12"/>
      <c r="M35" s="12"/>
      <c r="N35" s="12"/>
      <c r="P35" s="11">
        <v>21</v>
      </c>
      <c r="Q35" s="11">
        <f t="shared" si="6"/>
        <v>3</v>
      </c>
      <c r="R35" s="11">
        <f t="shared" si="7"/>
        <v>3</v>
      </c>
      <c r="S35" s="12" cm="1">
        <f t="array" ref="S35">INDEX('PathStage-ConceptMap-2'!$I$15:$N$39,Q35+1,R35)</f>
        <v>0</v>
      </c>
    </row>
    <row r="36" spans="1:19">
      <c r="B36" s="11"/>
      <c r="C36" s="11"/>
      <c r="D36" s="12"/>
      <c r="E36" s="12"/>
      <c r="F36" s="64"/>
      <c r="G36" s="123"/>
      <c r="H36" s="58"/>
      <c r="I36" s="12"/>
      <c r="J36" s="12"/>
      <c r="K36" s="12"/>
      <c r="L36" s="12"/>
      <c r="M36" s="12"/>
      <c r="N36" s="12"/>
      <c r="P36" s="11">
        <v>22</v>
      </c>
      <c r="Q36" s="11">
        <f t="shared" si="6"/>
        <v>3</v>
      </c>
      <c r="R36" s="11">
        <f t="shared" si="7"/>
        <v>4</v>
      </c>
      <c r="S36" s="12" cm="1">
        <f t="array" ref="S36">INDEX('PathStage-ConceptMap-2'!$I$15:$N$39,Q36+1,R36)</f>
        <v>0</v>
      </c>
    </row>
    <row r="37" spans="1:19">
      <c r="B37" s="11"/>
      <c r="C37" s="11"/>
      <c r="D37" s="12"/>
      <c r="E37" s="12"/>
      <c r="F37" s="64"/>
      <c r="G37" s="123"/>
      <c r="H37" s="58"/>
      <c r="K37" s="58"/>
      <c r="L37" s="58"/>
      <c r="M37" s="66"/>
      <c r="N37" s="66"/>
      <c r="P37" s="11">
        <v>23</v>
      </c>
      <c r="Q37" s="11">
        <f t="shared" si="6"/>
        <v>3</v>
      </c>
      <c r="R37" s="11">
        <f t="shared" si="7"/>
        <v>5</v>
      </c>
      <c r="S37" s="12" cm="1">
        <f t="array" ref="S37">INDEX('PathStage-ConceptMap-2'!$I$15:$N$39,Q37+1,R37)</f>
        <v>0</v>
      </c>
    </row>
    <row r="38" spans="1:19">
      <c r="B38" s="11"/>
      <c r="C38" s="11"/>
      <c r="D38" s="12"/>
      <c r="E38" s="12"/>
      <c r="F38" s="64"/>
      <c r="G38" s="123"/>
      <c r="H38" s="58"/>
      <c r="K38" s="58"/>
      <c r="L38" s="58"/>
      <c r="M38" s="66"/>
      <c r="N38" s="66"/>
      <c r="P38" s="11">
        <v>24</v>
      </c>
      <c r="Q38" s="11">
        <f t="shared" si="6"/>
        <v>3</v>
      </c>
      <c r="R38" s="11">
        <f t="shared" si="7"/>
        <v>6</v>
      </c>
      <c r="S38" s="12" t="str" cm="1">
        <f t="array" ref="S38">INDEX('PathStage-ConceptMap-2'!$I$15:$N$39,Q38+1,R38)</f>
        <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theme="0" tint="-0.499984740745262"/>
  </sheetPr>
  <dimension ref="A1:S162"/>
  <sheetViews>
    <sheetView workbookViewId="0">
      <selection activeCell="B14" sqref="B14"/>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1983</v>
      </c>
      <c r="D3" s="62" t="s">
        <v>1769</v>
      </c>
      <c r="E3" s="117" t="str">
        <f>$C$1&amp;ClinicalStage!B4</f>
        <v>http://hl7.eu/fhir/ig/idea4rc/StructureDefinition/ClinicalStageI4rc</v>
      </c>
    </row>
    <row r="4" spans="1:19">
      <c r="B4" s="62" t="s">
        <v>16</v>
      </c>
      <c r="C4" s="28" t="s">
        <v>1985</v>
      </c>
      <c r="D4" s="62" t="s">
        <v>1770</v>
      </c>
      <c r="E4" s="184" t="s">
        <v>2004</v>
      </c>
      <c r="F4" s="185"/>
      <c r="G4" s="185"/>
    </row>
    <row r="5" spans="1:19">
      <c r="B5" s="62" t="s">
        <v>10</v>
      </c>
      <c r="C5" s="7" t="s">
        <v>1986</v>
      </c>
      <c r="D5" s="62"/>
      <c r="E5" s="7"/>
    </row>
    <row r="6" spans="1:19">
      <c r="B6" s="62" t="s">
        <v>18</v>
      </c>
      <c r="C6" s="56"/>
      <c r="D6" s="62" t="s">
        <v>1771</v>
      </c>
      <c r="E6" s="184" t="str">
        <f>E3</f>
        <v>http://hl7.eu/fhir/ig/idea4rc/StructureDefinition/ClinicalStageI4rc</v>
      </c>
      <c r="F6" s="185"/>
      <c r="G6" s="185"/>
    </row>
    <row r="7" spans="1:19">
      <c r="B7" s="62" t="s">
        <v>15</v>
      </c>
      <c r="C7" s="118"/>
      <c r="D7" s="62" t="s">
        <v>1772</v>
      </c>
      <c r="E7" s="184" t="s">
        <v>2004</v>
      </c>
      <c r="F7" s="185"/>
      <c r="G7" s="185"/>
    </row>
    <row r="8" spans="1:19" ht="44.25">
      <c r="B8" s="62" t="s">
        <v>1773</v>
      </c>
      <c r="C8" s="119" t="s">
        <v>1986</v>
      </c>
      <c r="D8" s="62"/>
      <c r="E8" s="7"/>
      <c r="I8" s="12" t="s">
        <v>1402</v>
      </c>
      <c r="J8" s="12" t="s">
        <v>1403</v>
      </c>
      <c r="K8" s="12" t="s">
        <v>1404</v>
      </c>
      <c r="L8" s="12" t="s">
        <v>1405</v>
      </c>
      <c r="M8" s="11" t="s">
        <v>1406</v>
      </c>
      <c r="P8" s="49" t="s">
        <v>1441</v>
      </c>
      <c r="Q8" s="49">
        <v>6</v>
      </c>
    </row>
    <row r="9" spans="1:19">
      <c r="B9" s="62" t="s">
        <v>1774</v>
      </c>
      <c r="C9" s="12" t="s">
        <v>1987</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1845</v>
      </c>
      <c r="E14" s="6"/>
      <c r="F14" s="64"/>
      <c r="G14" s="64"/>
      <c r="I14" s="12"/>
      <c r="J14" s="11"/>
      <c r="K14" s="11"/>
      <c r="L14" s="11"/>
      <c r="M14" s="63"/>
      <c r="N14" s="66"/>
    </row>
    <row r="15" spans="1:19" ht="73.75" customHeight="1">
      <c r="A15" s="59"/>
      <c r="B15" s="11" t="str">
        <f>ClinicalStage!B10</f>
        <v>cN</v>
      </c>
      <c r="C15" s="11" t="str">
        <f>ClinicalStage!C10</f>
        <v>cN</v>
      </c>
      <c r="D15" s="12" t="s">
        <v>1996</v>
      </c>
      <c r="E15" s="12"/>
      <c r="F15" s="64" t="s">
        <v>1407</v>
      </c>
      <c r="G15" s="123" t="s">
        <v>1998</v>
      </c>
      <c r="I15" s="12" t="str">
        <f t="shared" ref="I15" si="0">"* group[=].element[+].code = #"&amp;$B$14&amp;"."&amp;B15</f>
        <v>* group[=].element[+].code = #PathologicalStage.cN</v>
      </c>
      <c r="J15" s="12" t="str">
        <f t="shared" ref="J15" si="1">"* group[=].element[=].display = ##34#"&amp;C15&amp;"##34#"</f>
        <v>* group[=].element[=].display = ##34#cN##34#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#PathologicalStage.cN</v>
      </c>
    </row>
    <row r="16" spans="1:19">
      <c r="A16" s="59"/>
      <c r="B16" s="11"/>
      <c r="C16" s="11"/>
      <c r="D16" s="12"/>
      <c r="E16" s="12"/>
      <c r="F16" s="64"/>
      <c r="G16" s="123"/>
      <c r="H16" s="58"/>
      <c r="I16" s="12"/>
      <c r="J16" s="12"/>
      <c r="K16" s="12"/>
      <c r="L16" s="12"/>
      <c r="M16" s="12"/>
      <c r="N16" s="12"/>
      <c r="P16" s="11">
        <v>2</v>
      </c>
      <c r="Q16" s="11">
        <f t="shared" si="6"/>
        <v>0</v>
      </c>
      <c r="R16" s="11">
        <f t="shared" si="7"/>
        <v>2</v>
      </c>
      <c r="S16" s="12" t="str" cm="1">
        <f t="array" ref="S16">INDEX('PathStage-ConceptMap-3'!$I$15:$N$123,Q16+1,R16)</f>
        <v>* group[=].element[=].display = ##34#cN##34#</v>
      </c>
    </row>
    <row r="17" spans="1:19">
      <c r="A17" s="59"/>
      <c r="B17" s="11"/>
      <c r="C17" s="11"/>
      <c r="D17" s="12"/>
      <c r="E17" s="12"/>
      <c r="F17" s="145"/>
      <c r="G17" s="123"/>
      <c r="H17" s="58"/>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c r="A18" s="59"/>
      <c r="B18" s="11"/>
      <c r="C18" s="11"/>
      <c r="D18" s="12"/>
      <c r="E18" s="12"/>
      <c r="F18" s="145"/>
      <c r="G18" s="123"/>
      <c r="H18" s="58"/>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c r="A20" s="59"/>
      <c r="B20" s="11"/>
      <c r="C20" s="11"/>
      <c r="D20" s="12"/>
      <c r="E20" s="12"/>
      <c r="F20" s="64"/>
      <c r="G20" s="123"/>
      <c r="H20" s="58"/>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c r="A21" s="59"/>
      <c r="B21" s="11"/>
      <c r="C21" s="11"/>
      <c r="D21" s="12"/>
      <c r="E21" s="12"/>
      <c r="F21" s="64"/>
      <c r="G21" s="123"/>
      <c r="H21" s="58"/>
      <c r="I21" s="12"/>
      <c r="J21" s="12"/>
      <c r="K21" s="12"/>
      <c r="L21" s="12"/>
      <c r="M21" s="12"/>
      <c r="N21" s="12"/>
      <c r="P21" s="11">
        <v>7</v>
      </c>
      <c r="Q21" s="11">
        <f t="shared" si="6"/>
        <v>1</v>
      </c>
      <c r="R21" s="11">
        <f t="shared" si="7"/>
        <v>1</v>
      </c>
      <c r="S21" s="12" cm="1">
        <f t="array" ref="S21">INDEX('PathStage-ConceptMap-3'!$I$15:$N$123,Q21+1,R21)</f>
        <v>0</v>
      </c>
    </row>
    <row r="22" spans="1:19">
      <c r="A22" s="59"/>
      <c r="B22" s="11"/>
      <c r="C22" s="11"/>
      <c r="D22" s="12"/>
      <c r="E22" s="12"/>
      <c r="F22" s="64"/>
      <c r="G22" s="123"/>
      <c r="H22" s="58"/>
      <c r="I22" s="12"/>
      <c r="J22" s="12"/>
      <c r="K22" s="12"/>
      <c r="L22" s="12"/>
      <c r="M22" s="12"/>
      <c r="N22" s="12"/>
      <c r="P22" s="11">
        <v>8</v>
      </c>
      <c r="Q22" s="11">
        <f t="shared" si="6"/>
        <v>1</v>
      </c>
      <c r="R22" s="11">
        <f t="shared" si="7"/>
        <v>2</v>
      </c>
      <c r="S22" s="12" cm="1">
        <f t="array" ref="S22">INDEX('PathStage-ConceptMap-3'!$I$15:$N$123,Q22+1,R22)</f>
        <v>0</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cm="1">
        <f t="array" ref="S23">INDEX('PathStage-ConceptMap-3'!$I$15:$N$123,Q23+1,R23)</f>
        <v>0</v>
      </c>
    </row>
    <row r="24" spans="1:19">
      <c r="A24" s="59"/>
      <c r="B24" s="11"/>
      <c r="C24" s="11"/>
      <c r="D24" s="12"/>
      <c r="E24" s="12"/>
      <c r="F24" s="64"/>
      <c r="G24" s="123"/>
      <c r="H24" s="58"/>
      <c r="I24" s="12"/>
      <c r="J24" s="12"/>
      <c r="K24" s="12"/>
      <c r="L24" s="12"/>
      <c r="M24" s="12"/>
      <c r="N24" s="12"/>
      <c r="P24" s="11">
        <v>10</v>
      </c>
      <c r="Q24" s="11">
        <f t="shared" si="6"/>
        <v>1</v>
      </c>
      <c r="R24" s="11">
        <f t="shared" si="7"/>
        <v>4</v>
      </c>
      <c r="S24" s="12" cm="1">
        <f t="array" ref="S24">INDEX('PathStage-ConceptMap-3'!$I$15:$N$123,Q24+1,R24)</f>
        <v>0</v>
      </c>
    </row>
    <row r="25" spans="1:19">
      <c r="A25" s="59"/>
      <c r="B25" s="11"/>
      <c r="C25" s="11"/>
      <c r="D25" s="12"/>
      <c r="E25" s="12"/>
      <c r="F25" s="64"/>
      <c r="G25" s="123"/>
      <c r="H25" s="58"/>
      <c r="I25" s="12"/>
      <c r="J25" s="12"/>
      <c r="K25" s="12"/>
      <c r="L25" s="12"/>
      <c r="M25" s="12"/>
      <c r="N25" s="12"/>
      <c r="P25" s="11">
        <v>11</v>
      </c>
      <c r="Q25" s="11">
        <f t="shared" si="6"/>
        <v>1</v>
      </c>
      <c r="R25" s="11">
        <f t="shared" si="7"/>
        <v>5</v>
      </c>
      <c r="S25" s="12" cm="1">
        <f t="array" ref="S25">INDEX('PathStage-ConceptMap-3'!$I$15:$N$123,Q25+1,R25)</f>
        <v>0</v>
      </c>
    </row>
    <row r="26" spans="1:19">
      <c r="A26" s="59"/>
      <c r="B26" s="11"/>
      <c r="C26" s="11"/>
      <c r="D26" s="12"/>
      <c r="E26" s="12"/>
      <c r="F26" s="64"/>
      <c r="G26" s="123"/>
      <c r="H26" s="58"/>
      <c r="I26" s="12"/>
      <c r="J26" s="12"/>
      <c r="K26" s="12"/>
      <c r="L26" s="12"/>
      <c r="M26" s="12"/>
      <c r="N26" s="12"/>
      <c r="P26" s="11">
        <v>12</v>
      </c>
      <c r="Q26" s="11">
        <f t="shared" si="6"/>
        <v>1</v>
      </c>
      <c r="R26" s="11">
        <f t="shared" si="7"/>
        <v>6</v>
      </c>
      <c r="S26" s="12" cm="1">
        <f t="array" ref="S26">INDEX('PathStage-ConceptMap-3'!$I$15:$N$123,Q26+1,R26)</f>
        <v>0</v>
      </c>
    </row>
    <row r="27" spans="1:19">
      <c r="B27" s="11"/>
      <c r="C27" s="11"/>
      <c r="D27" s="12"/>
      <c r="E27" s="12"/>
      <c r="F27" s="64"/>
      <c r="G27" s="123"/>
      <c r="H27" s="58"/>
      <c r="I27" s="12"/>
      <c r="J27" s="12"/>
      <c r="K27" s="12"/>
      <c r="L27" s="12"/>
      <c r="M27" s="12"/>
      <c r="N27" s="12"/>
      <c r="P27" s="11">
        <v>13</v>
      </c>
      <c r="Q27" s="11">
        <f t="shared" si="6"/>
        <v>2</v>
      </c>
      <c r="R27" s="11">
        <f t="shared" si="7"/>
        <v>1</v>
      </c>
      <c r="S27" s="12" cm="1">
        <f t="array" ref="S27">INDEX('PathStage-ConceptMap-3'!$I$15:$N$123,Q27+1,R27)</f>
        <v>0</v>
      </c>
    </row>
    <row r="28" spans="1:19">
      <c r="B28" s="11"/>
      <c r="C28" s="11"/>
      <c r="D28" s="12"/>
      <c r="E28" s="12"/>
      <c r="F28" s="64"/>
      <c r="G28" s="123"/>
      <c r="H28" s="58"/>
      <c r="I28" s="12"/>
      <c r="J28" s="12"/>
      <c r="K28" s="12"/>
      <c r="L28" s="12"/>
      <c r="M28" s="12"/>
      <c r="N28" s="12"/>
      <c r="P28" s="11">
        <v>14</v>
      </c>
      <c r="Q28" s="11">
        <f t="shared" si="6"/>
        <v>2</v>
      </c>
      <c r="R28" s="11">
        <f t="shared" si="7"/>
        <v>2</v>
      </c>
      <c r="S28" s="12" cm="1">
        <f t="array" ref="S28">INDEX('PathStage-ConceptMap-3'!$I$15:$N$123,Q28+1,R28)</f>
        <v>0</v>
      </c>
    </row>
    <row r="29" spans="1:19">
      <c r="B29" s="11"/>
      <c r="C29" s="11"/>
      <c r="D29" s="12"/>
      <c r="E29" s="12"/>
      <c r="F29" s="64"/>
      <c r="G29" s="123"/>
      <c r="H29" s="58"/>
      <c r="I29" s="12"/>
      <c r="J29" s="12"/>
      <c r="K29" s="12"/>
      <c r="L29" s="12"/>
      <c r="M29" s="12"/>
      <c r="N29" s="12"/>
      <c r="P29" s="11">
        <v>15</v>
      </c>
      <c r="Q29" s="11">
        <f t="shared" si="6"/>
        <v>2</v>
      </c>
      <c r="R29" s="11">
        <f t="shared" si="7"/>
        <v>3</v>
      </c>
      <c r="S29" s="12" cm="1">
        <f t="array" ref="S29">INDEX('PathStage-ConceptMap-3'!$I$15:$N$123,Q29+1,R29)</f>
        <v>0</v>
      </c>
    </row>
    <row r="30" spans="1:19">
      <c r="B30" s="11"/>
      <c r="C30" s="11"/>
      <c r="D30" s="12"/>
      <c r="E30" s="12"/>
      <c r="F30" s="64"/>
      <c r="G30" s="123"/>
      <c r="H30" s="58"/>
      <c r="I30" s="12"/>
      <c r="J30" s="12"/>
      <c r="K30" s="12"/>
      <c r="L30" s="12"/>
      <c r="M30" s="12"/>
      <c r="N30" s="12"/>
      <c r="P30" s="11">
        <v>16</v>
      </c>
      <c r="Q30" s="11">
        <f t="shared" si="6"/>
        <v>2</v>
      </c>
      <c r="R30" s="11">
        <f t="shared" si="7"/>
        <v>4</v>
      </c>
      <c r="S30" s="12" cm="1">
        <f t="array" ref="S30">INDEX('PathStage-ConceptMap-3'!$I$15:$N$123,Q30+1,R30)</f>
        <v>0</v>
      </c>
    </row>
    <row r="31" spans="1:19">
      <c r="B31" s="11"/>
      <c r="C31" s="11"/>
      <c r="D31" s="12"/>
      <c r="E31" s="12"/>
      <c r="F31" s="64"/>
      <c r="G31" s="123"/>
      <c r="H31" s="58"/>
      <c r="I31" s="12"/>
      <c r="J31" s="12"/>
      <c r="K31" s="12"/>
      <c r="L31" s="12"/>
      <c r="M31" s="12"/>
      <c r="N31" s="12"/>
      <c r="P31" s="11">
        <v>17</v>
      </c>
      <c r="Q31" s="11">
        <f t="shared" si="6"/>
        <v>2</v>
      </c>
      <c r="R31" s="11">
        <f t="shared" si="7"/>
        <v>5</v>
      </c>
      <c r="S31" s="12" cm="1">
        <f t="array" ref="S31">INDEX('PathStage-ConceptMap-3'!$I$15:$N$123,Q31+1,R31)</f>
        <v>0</v>
      </c>
    </row>
    <row r="32" spans="1:19">
      <c r="B32" s="11"/>
      <c r="C32" s="11"/>
      <c r="D32" s="12"/>
      <c r="E32" s="12"/>
      <c r="F32" s="64"/>
      <c r="G32" s="123"/>
      <c r="H32" s="58"/>
      <c r="I32" s="12"/>
      <c r="J32" s="12"/>
      <c r="K32" s="12"/>
      <c r="L32" s="12"/>
      <c r="M32" s="12"/>
      <c r="N32" s="12"/>
      <c r="P32" s="11">
        <v>18</v>
      </c>
      <c r="Q32" s="11">
        <f t="shared" si="6"/>
        <v>2</v>
      </c>
      <c r="R32" s="11">
        <f t="shared" si="7"/>
        <v>6</v>
      </c>
      <c r="S32" s="12" cm="1">
        <f t="array" ref="S32">INDEX('PathStage-ConceptMap-3'!$I$15:$N$123,Q32+1,R32)</f>
        <v>0</v>
      </c>
    </row>
    <row r="33" spans="1:19">
      <c r="B33" s="11"/>
      <c r="C33" s="11"/>
      <c r="D33" s="12"/>
      <c r="E33" s="12"/>
      <c r="F33" s="64"/>
      <c r="G33" s="123"/>
      <c r="H33" s="58"/>
      <c r="I33" s="12"/>
      <c r="J33" s="12"/>
      <c r="K33" s="12"/>
      <c r="L33" s="12"/>
      <c r="M33" s="12"/>
      <c r="N33" s="12"/>
      <c r="P33" s="11">
        <v>19</v>
      </c>
      <c r="Q33" s="11">
        <f t="shared" si="6"/>
        <v>3</v>
      </c>
      <c r="R33" s="11">
        <f t="shared" si="7"/>
        <v>1</v>
      </c>
      <c r="S33" s="12" cm="1">
        <f t="array" ref="S33">INDEX('PathStage-ConceptMap-3'!$I$15:$N$123,Q33+1,R33)</f>
        <v>0</v>
      </c>
    </row>
    <row r="34" spans="1:19">
      <c r="B34" s="11"/>
      <c r="C34" s="11"/>
      <c r="D34" s="12"/>
      <c r="E34" s="12"/>
      <c r="F34" s="64"/>
      <c r="G34" s="123"/>
      <c r="H34" s="58"/>
      <c r="I34" s="12"/>
      <c r="J34" s="12"/>
      <c r="K34" s="12"/>
      <c r="L34" s="12"/>
      <c r="M34" s="12"/>
      <c r="N34" s="12"/>
      <c r="P34" s="11">
        <v>20</v>
      </c>
      <c r="Q34" s="11">
        <f t="shared" si="6"/>
        <v>3</v>
      </c>
      <c r="R34" s="11">
        <f t="shared" si="7"/>
        <v>2</v>
      </c>
      <c r="S34" s="12" cm="1">
        <f t="array" ref="S34">INDEX('PathStage-ConceptMap-3'!$I$15:$N$123,Q34+1,R34)</f>
        <v>0</v>
      </c>
    </row>
    <row r="35" spans="1:19">
      <c r="B35" s="11"/>
      <c r="C35" s="11"/>
      <c r="D35" s="12"/>
      <c r="E35" s="12"/>
      <c r="F35" s="64"/>
      <c r="G35" s="123"/>
      <c r="H35" s="58"/>
      <c r="I35" s="12"/>
      <c r="J35" s="12"/>
      <c r="K35" s="12"/>
      <c r="L35" s="12"/>
      <c r="M35" s="12"/>
      <c r="N35" s="12"/>
      <c r="P35" s="11">
        <v>21</v>
      </c>
      <c r="Q35" s="11">
        <f t="shared" si="6"/>
        <v>3</v>
      </c>
      <c r="R35" s="11">
        <f t="shared" si="7"/>
        <v>3</v>
      </c>
      <c r="S35" s="12" cm="1">
        <f t="array" ref="S35">INDEX('PathStage-ConceptMap-3'!$I$15:$N$123,Q35+1,R35)</f>
        <v>0</v>
      </c>
    </row>
    <row r="36" spans="1:19">
      <c r="B36" s="11"/>
      <c r="C36" s="11"/>
      <c r="D36" s="12"/>
      <c r="E36" s="12"/>
      <c r="F36" s="64"/>
      <c r="G36" s="123"/>
      <c r="H36" s="58"/>
      <c r="I36" s="12"/>
      <c r="J36" s="12"/>
      <c r="K36" s="12"/>
      <c r="L36" s="12"/>
      <c r="M36" s="12"/>
      <c r="N36" s="12"/>
      <c r="P36" s="11">
        <v>22</v>
      </c>
      <c r="Q36" s="11">
        <f t="shared" si="6"/>
        <v>3</v>
      </c>
      <c r="R36" s="11">
        <f t="shared" si="7"/>
        <v>4</v>
      </c>
      <c r="S36" s="12" cm="1">
        <f t="array" ref="S36">INDEX('PathStage-ConceptMap-3'!$I$15:$N$123,Q36+1,R36)</f>
        <v>0</v>
      </c>
    </row>
    <row r="37" spans="1:19">
      <c r="B37" s="11"/>
      <c r="C37" s="11"/>
      <c r="D37" s="12"/>
      <c r="E37" s="12"/>
      <c r="F37" s="64"/>
      <c r="G37" s="123"/>
      <c r="H37" s="58"/>
      <c r="K37" s="58"/>
      <c r="L37" s="58"/>
      <c r="M37" s="66"/>
      <c r="N37" s="66"/>
      <c r="P37" s="11">
        <v>23</v>
      </c>
      <c r="Q37" s="11">
        <f t="shared" si="6"/>
        <v>3</v>
      </c>
      <c r="R37" s="11">
        <f t="shared" si="7"/>
        <v>5</v>
      </c>
      <c r="S37" s="12" cm="1">
        <f t="array" ref="S37">INDEX('PathStage-ConceptMap-3'!$I$15:$N$123,Q37+1,R37)</f>
        <v>0</v>
      </c>
    </row>
    <row r="38" spans="1:19">
      <c r="B38" s="11"/>
      <c r="C38" s="11"/>
      <c r="D38" s="12"/>
      <c r="E38" s="12"/>
      <c r="F38" s="64"/>
      <c r="G38" s="123"/>
      <c r="H38" s="58"/>
      <c r="K38" s="58"/>
      <c r="L38" s="58"/>
      <c r="M38" s="66"/>
      <c r="N38" s="66"/>
      <c r="P38" s="11">
        <v>24</v>
      </c>
      <c r="Q38" s="11">
        <f t="shared" si="6"/>
        <v>3</v>
      </c>
      <c r="R38" s="11">
        <f t="shared" si="7"/>
        <v>6</v>
      </c>
      <c r="S38" s="12" cm="1">
        <f t="array" ref="S38">INDEX('PathStage-ConceptMap-3'!$I$15:$N$123,Q38+1,R38)</f>
        <v>0</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INDEX('PathStage-ConceptMap-3'!$I$15:$N$123,Q39+1,R39)</f>
        <v>0</v>
      </c>
    </row>
    <row r="40" spans="1:19" s="2" customFormat="1">
      <c r="A40"/>
      <c r="B40" s="11"/>
      <c r="C40" s="11"/>
      <c r="D40" s="12"/>
      <c r="F40" s="58"/>
      <c r="G40" s="123"/>
      <c r="H40" s="58"/>
      <c r="J40"/>
      <c r="K40" s="58"/>
      <c r="L40" s="58"/>
      <c r="M40" s="66"/>
      <c r="N40" s="66"/>
      <c r="P40" s="11">
        <v>26</v>
      </c>
      <c r="Q40" s="11">
        <f t="shared" si="6"/>
        <v>4</v>
      </c>
      <c r="R40" s="11">
        <f t="shared" si="7"/>
        <v>2</v>
      </c>
      <c r="S40" s="12" cm="1">
        <f t="array" ref="S40">INDEX('PathStage-ConceptMap-3'!$I$15:$N$123,Q40+1,R40)</f>
        <v>0</v>
      </c>
    </row>
    <row r="41" spans="1:19" s="2" customFormat="1">
      <c r="A41"/>
      <c r="B41" s="11"/>
      <c r="C41" s="11"/>
      <c r="D41" s="12"/>
      <c r="F41" s="58"/>
      <c r="G41" s="123"/>
      <c r="H41" s="58"/>
      <c r="J41"/>
      <c r="K41" s="58"/>
      <c r="L41" s="58"/>
      <c r="M41" s="66"/>
      <c r="N41" s="66"/>
      <c r="P41" s="11">
        <v>27</v>
      </c>
      <c r="Q41" s="11">
        <f t="shared" si="6"/>
        <v>4</v>
      </c>
      <c r="R41" s="11">
        <f t="shared" si="7"/>
        <v>3</v>
      </c>
      <c r="S41" s="12" cm="1">
        <f t="array" ref="S41">INDEX('PathStage-ConceptMap-3'!$I$15:$N$123,Q41+1,R41)</f>
        <v>0</v>
      </c>
    </row>
    <row r="42" spans="1:19" s="2" customFormat="1">
      <c r="A42"/>
      <c r="B42" s="11"/>
      <c r="C42" s="11"/>
      <c r="D42" s="12"/>
      <c r="F42" s="58"/>
      <c r="G42" s="123"/>
      <c r="H42" s="58"/>
      <c r="J42" s="58"/>
      <c r="K42" s="58"/>
      <c r="L42" s="58"/>
      <c r="M42" s="66"/>
      <c r="N42" s="66"/>
      <c r="P42" s="11">
        <v>28</v>
      </c>
      <c r="Q42" s="11">
        <f t="shared" si="6"/>
        <v>4</v>
      </c>
      <c r="R42" s="11">
        <f t="shared" si="7"/>
        <v>4</v>
      </c>
      <c r="S42" s="12" cm="1">
        <f t="array" ref="S42">INDEX('PathStage-ConceptMap-3'!$I$15:$N$123,Q42+1,R42)</f>
        <v>0</v>
      </c>
    </row>
    <row r="43" spans="1:19" s="2" customFormat="1">
      <c r="A43"/>
      <c r="B43" s="11"/>
      <c r="C43" s="11"/>
      <c r="F43" s="58"/>
      <c r="G43" s="123"/>
      <c r="H43" s="58"/>
      <c r="J43" s="58"/>
      <c r="K43" s="58"/>
      <c r="L43" s="58"/>
      <c r="M43" s="66"/>
      <c r="N43" s="66"/>
      <c r="P43" s="11">
        <v>29</v>
      </c>
      <c r="Q43" s="11">
        <f t="shared" si="6"/>
        <v>4</v>
      </c>
      <c r="R43" s="11">
        <f t="shared" si="7"/>
        <v>5</v>
      </c>
      <c r="S43" s="12" cm="1">
        <f t="array" ref="S43">INDEX('PathStage-ConceptMap-3'!$I$15:$N$123,Q43+1,R43)</f>
        <v>0</v>
      </c>
    </row>
    <row r="44" spans="1:19">
      <c r="B44" s="11"/>
      <c r="C44" s="11"/>
      <c r="G44" s="123"/>
      <c r="P44" s="11">
        <v>30</v>
      </c>
      <c r="Q44" s="11">
        <f t="shared" si="6"/>
        <v>4</v>
      </c>
      <c r="R44" s="11">
        <f t="shared" si="7"/>
        <v>6</v>
      </c>
      <c r="S44" s="12" cm="1">
        <f t="array" ref="S44">INDEX('PathStage-ConceptMap-3'!$I$15:$N$123,Q44+1,R44)</f>
        <v>0</v>
      </c>
    </row>
    <row r="45" spans="1:19">
      <c r="B45" s="11"/>
      <c r="C45" s="11"/>
      <c r="G45" s="123"/>
      <c r="P45" s="11">
        <v>31</v>
      </c>
      <c r="Q45" s="11">
        <f t="shared" si="6"/>
        <v>5</v>
      </c>
      <c r="R45" s="11">
        <f t="shared" si="7"/>
        <v>1</v>
      </c>
      <c r="S45" s="12" cm="1">
        <f t="array" ref="S45">INDEX('PathStage-ConceptMap-3'!$I$15:$N$123,Q45+1,R45)</f>
        <v>0</v>
      </c>
    </row>
    <row r="46" spans="1:19">
      <c r="G46" s="123"/>
      <c r="P46" s="11">
        <v>32</v>
      </c>
      <c r="Q46" s="11">
        <f t="shared" si="6"/>
        <v>5</v>
      </c>
      <c r="R46" s="11">
        <f t="shared" si="7"/>
        <v>2</v>
      </c>
      <c r="S46" s="12" cm="1">
        <f t="array" ref="S46">INDEX('PathStage-ConceptMap-3'!$I$15:$N$123,Q46+1,R46)</f>
        <v>0</v>
      </c>
    </row>
    <row r="47" spans="1:19">
      <c r="G47" s="123"/>
      <c r="P47" s="11">
        <v>33</v>
      </c>
      <c r="Q47" s="11">
        <f t="shared" si="6"/>
        <v>5</v>
      </c>
      <c r="R47" s="11">
        <f t="shared" si="7"/>
        <v>3</v>
      </c>
      <c r="S47" s="12" cm="1">
        <f t="array" ref="S47">INDEX('PathStage-ConceptMap-3'!$I$15:$N$123,Q47+1,R47)</f>
        <v>0</v>
      </c>
    </row>
    <row r="48" spans="1:19">
      <c r="G48" s="123"/>
      <c r="P48" s="11">
        <v>34</v>
      </c>
      <c r="Q48" s="11">
        <f t="shared" si="6"/>
        <v>5</v>
      </c>
      <c r="R48" s="11">
        <f t="shared" si="7"/>
        <v>4</v>
      </c>
      <c r="S48" s="12" cm="1">
        <f t="array" ref="S48">INDEX('PathStage-ConceptMap-3'!$I$15:$N$123,Q48+1,R48)</f>
        <v>0</v>
      </c>
    </row>
    <row r="49" spans="7:19">
      <c r="G49" s="123"/>
      <c r="P49" s="11">
        <v>35</v>
      </c>
      <c r="Q49" s="11">
        <f t="shared" si="6"/>
        <v>5</v>
      </c>
      <c r="R49" s="11">
        <f t="shared" si="7"/>
        <v>5</v>
      </c>
      <c r="S49" s="12" cm="1">
        <f t="array" ref="S49">INDEX('PathStage-ConceptMap-3'!$I$15:$N$123,Q49+1,R49)</f>
        <v>0</v>
      </c>
    </row>
    <row r="50" spans="7:19">
      <c r="G50" s="123"/>
      <c r="P50" s="11">
        <v>36</v>
      </c>
      <c r="Q50" s="11">
        <f t="shared" si="6"/>
        <v>5</v>
      </c>
      <c r="R50" s="11">
        <f t="shared" si="7"/>
        <v>6</v>
      </c>
      <c r="S50" s="12" cm="1">
        <f t="array" ref="S50">INDEX('PathStage-ConceptMap-3'!$I$15:$N$123,Q50+1,R50)</f>
        <v>0</v>
      </c>
    </row>
    <row r="51" spans="7:19">
      <c r="G51" s="123"/>
      <c r="P51" s="11">
        <v>37</v>
      </c>
      <c r="Q51" s="11">
        <f t="shared" si="6"/>
        <v>6</v>
      </c>
      <c r="R51" s="11">
        <f t="shared" si="7"/>
        <v>1</v>
      </c>
      <c r="S51" s="12" cm="1">
        <f t="array" ref="S51">INDEX('PathStage-ConceptMap-3'!$I$15:$N$123,Q51+1,R51)</f>
        <v>0</v>
      </c>
    </row>
    <row r="52" spans="7:19">
      <c r="G52" s="123"/>
      <c r="P52" s="11">
        <v>38</v>
      </c>
      <c r="Q52" s="11">
        <f t="shared" si="6"/>
        <v>6</v>
      </c>
      <c r="R52" s="11">
        <f t="shared" si="7"/>
        <v>2</v>
      </c>
      <c r="S52" s="12" cm="1">
        <f t="array" ref="S52">INDEX('PathStage-ConceptMap-3'!$I$15:$N$123,Q52+1,R52)</f>
        <v>0</v>
      </c>
    </row>
    <row r="53" spans="7:19">
      <c r="G53" s="123"/>
      <c r="P53" s="11">
        <v>39</v>
      </c>
      <c r="Q53" s="11">
        <f t="shared" si="6"/>
        <v>6</v>
      </c>
      <c r="R53" s="11">
        <f t="shared" si="7"/>
        <v>3</v>
      </c>
      <c r="S53" s="12" cm="1">
        <f t="array" ref="S53">INDEX('PathStage-ConceptMap-3'!$I$15:$N$123,Q53+1,R53)</f>
        <v>0</v>
      </c>
    </row>
    <row r="54" spans="7:19">
      <c r="G54" s="123"/>
      <c r="P54" s="11">
        <v>40</v>
      </c>
      <c r="Q54" s="11">
        <f t="shared" si="6"/>
        <v>6</v>
      </c>
      <c r="R54" s="11">
        <f t="shared" si="7"/>
        <v>4</v>
      </c>
      <c r="S54" s="12" cm="1">
        <f t="array" ref="S54">INDEX('PathStage-ConceptMap-3'!$I$15:$N$123,Q54+1,R54)</f>
        <v>0</v>
      </c>
    </row>
    <row r="55" spans="7:19">
      <c r="G55" s="123"/>
      <c r="P55" s="11">
        <v>41</v>
      </c>
      <c r="Q55" s="11">
        <f t="shared" si="6"/>
        <v>6</v>
      </c>
      <c r="R55" s="11">
        <f t="shared" si="7"/>
        <v>5</v>
      </c>
      <c r="S55" s="12" cm="1">
        <f t="array" ref="S55">INDEX('PathStage-ConceptMap-3'!$I$15:$N$123,Q55+1,R55)</f>
        <v>0</v>
      </c>
    </row>
    <row r="56" spans="7:19">
      <c r="G56" s="123"/>
      <c r="P56" s="11">
        <v>42</v>
      </c>
      <c r="Q56" s="11">
        <f t="shared" si="6"/>
        <v>6</v>
      </c>
      <c r="R56" s="11">
        <f t="shared" si="7"/>
        <v>6</v>
      </c>
      <c r="S56" s="12" cm="1">
        <f t="array" ref="S56">INDEX('PathStage-ConceptMap-3'!$I$15:$N$123,Q56+1,R56)</f>
        <v>0</v>
      </c>
    </row>
    <row r="57" spans="7:19">
      <c r="G57" s="123"/>
      <c r="P57" s="11">
        <v>43</v>
      </c>
      <c r="Q57" s="11">
        <f t="shared" si="6"/>
        <v>7</v>
      </c>
      <c r="R57" s="11">
        <f t="shared" si="7"/>
        <v>1</v>
      </c>
      <c r="S57" s="12" cm="1">
        <f t="array" ref="S57">INDEX('PathStage-ConceptMap-3'!$I$15:$N$123,Q57+1,R57)</f>
        <v>0</v>
      </c>
    </row>
    <row r="58" spans="7:19">
      <c r="G58" s="123"/>
      <c r="P58" s="11">
        <v>44</v>
      </c>
      <c r="Q58" s="11">
        <f t="shared" si="6"/>
        <v>7</v>
      </c>
      <c r="R58" s="11">
        <f t="shared" si="7"/>
        <v>2</v>
      </c>
      <c r="S58" s="12" cm="1">
        <f t="array" ref="S58">INDEX('PathStage-ConceptMap-3'!$I$15:$N$123,Q58+1,R58)</f>
        <v>0</v>
      </c>
    </row>
    <row r="59" spans="7:19">
      <c r="G59" s="123"/>
      <c r="P59" s="11">
        <v>45</v>
      </c>
      <c r="Q59" s="11">
        <f t="shared" si="6"/>
        <v>7</v>
      </c>
      <c r="R59" s="11">
        <f t="shared" si="7"/>
        <v>3</v>
      </c>
      <c r="S59" s="12" cm="1">
        <f t="array" ref="S59">INDEX('PathStage-ConceptMap-3'!$I$15:$N$123,Q59+1,R59)</f>
        <v>0</v>
      </c>
    </row>
    <row r="60" spans="7:19">
      <c r="G60" s="123"/>
      <c r="P60" s="11">
        <v>46</v>
      </c>
      <c r="Q60" s="11">
        <f t="shared" si="6"/>
        <v>7</v>
      </c>
      <c r="R60" s="11">
        <f t="shared" si="7"/>
        <v>4</v>
      </c>
      <c r="S60" s="12" cm="1">
        <f t="array" ref="S60">INDEX('PathStage-ConceptMap-3'!$I$15:$N$123,Q60+1,R60)</f>
        <v>0</v>
      </c>
    </row>
    <row r="61" spans="7:19">
      <c r="G61" s="123"/>
      <c r="P61" s="11">
        <v>47</v>
      </c>
      <c r="Q61" s="11">
        <f t="shared" si="6"/>
        <v>7</v>
      </c>
      <c r="R61" s="11">
        <f t="shared" si="7"/>
        <v>5</v>
      </c>
      <c r="S61" s="12" cm="1">
        <f t="array" ref="S61">INDEX('PathStage-ConceptMap-3'!$I$15:$N$123,Q61+1,R61)</f>
        <v>0</v>
      </c>
    </row>
    <row r="62" spans="7:19">
      <c r="G62" s="123"/>
      <c r="P62" s="11">
        <v>48</v>
      </c>
      <c r="Q62" s="11">
        <f t="shared" si="6"/>
        <v>7</v>
      </c>
      <c r="R62" s="11">
        <f t="shared" si="7"/>
        <v>6</v>
      </c>
      <c r="S62" s="12" cm="1">
        <f t="array" ref="S62">INDEX('PathStage-ConceptMap-3'!$I$15:$N$123,Q62+1,R62)</f>
        <v>0</v>
      </c>
    </row>
    <row r="63" spans="7:19">
      <c r="G63" s="123"/>
      <c r="P63" s="11">
        <v>49</v>
      </c>
      <c r="Q63" s="11">
        <f t="shared" si="6"/>
        <v>8</v>
      </c>
      <c r="R63" s="11">
        <f t="shared" si="7"/>
        <v>1</v>
      </c>
      <c r="S63" s="12" cm="1">
        <f t="array" ref="S63">INDEX('PathStage-ConceptMap-3'!$I$15:$N$123,Q63+1,R63)</f>
        <v>0</v>
      </c>
    </row>
    <row r="64" spans="7:19">
      <c r="G64" s="123"/>
      <c r="P64" s="11">
        <v>50</v>
      </c>
      <c r="Q64" s="11">
        <f t="shared" si="6"/>
        <v>8</v>
      </c>
      <c r="R64" s="11">
        <f t="shared" si="7"/>
        <v>2</v>
      </c>
      <c r="S64" s="12" cm="1">
        <f t="array" ref="S64">INDEX('PathStage-ConceptMap-3'!$I$15:$N$123,Q64+1,R64)</f>
        <v>0</v>
      </c>
    </row>
    <row r="65" spans="7:19">
      <c r="G65" s="123"/>
      <c r="P65" s="11">
        <v>51</v>
      </c>
      <c r="Q65" s="11">
        <f t="shared" si="6"/>
        <v>8</v>
      </c>
      <c r="R65" s="11">
        <f t="shared" si="7"/>
        <v>3</v>
      </c>
      <c r="S65" s="12" cm="1">
        <f t="array" ref="S65">INDEX('PathStage-ConceptMap-3'!$I$15:$N$123,Q65+1,R65)</f>
        <v>0</v>
      </c>
    </row>
    <row r="66" spans="7:19">
      <c r="G66" s="123"/>
      <c r="P66" s="11">
        <v>52</v>
      </c>
      <c r="Q66" s="11">
        <f t="shared" si="6"/>
        <v>8</v>
      </c>
      <c r="R66" s="11">
        <f t="shared" si="7"/>
        <v>4</v>
      </c>
      <c r="S66" s="12" cm="1">
        <f t="array" ref="S66">INDEX('PathStage-ConceptMap-3'!$I$15:$N$123,Q66+1,R66)</f>
        <v>0</v>
      </c>
    </row>
    <row r="67" spans="7:19">
      <c r="G67" s="123"/>
      <c r="P67" s="11">
        <v>53</v>
      </c>
      <c r="Q67" s="11">
        <f t="shared" si="6"/>
        <v>8</v>
      </c>
      <c r="R67" s="11">
        <f t="shared" si="7"/>
        <v>5</v>
      </c>
      <c r="S67" s="12" cm="1">
        <f t="array" ref="S67">INDEX('PathStage-ConceptMap-3'!$I$15:$N$123,Q67+1,R67)</f>
        <v>0</v>
      </c>
    </row>
    <row r="68" spans="7:19">
      <c r="G68" s="123"/>
      <c r="P68" s="11">
        <v>54</v>
      </c>
      <c r="Q68" s="11">
        <f t="shared" si="6"/>
        <v>8</v>
      </c>
      <c r="R68" s="11">
        <f t="shared" si="7"/>
        <v>6</v>
      </c>
      <c r="S68" s="12" cm="1">
        <f t="array" ref="S68">INDEX('PathStage-ConceptMap-3'!$I$15:$N$123,Q68+1,R68)</f>
        <v>0</v>
      </c>
    </row>
    <row r="69" spans="7:19">
      <c r="G69" s="123"/>
      <c r="P69" s="11">
        <v>55</v>
      </c>
      <c r="Q69" s="11">
        <f t="shared" si="6"/>
        <v>9</v>
      </c>
      <c r="R69" s="11">
        <f t="shared" si="7"/>
        <v>1</v>
      </c>
      <c r="S69" s="12" cm="1">
        <f t="array" ref="S69">INDEX('PathStage-ConceptMap-3'!$I$15:$N$123,Q69+1,R69)</f>
        <v>0</v>
      </c>
    </row>
    <row r="70" spans="7:19">
      <c r="G70" s="123"/>
      <c r="P70" s="11">
        <v>56</v>
      </c>
      <c r="Q70" s="11">
        <f t="shared" si="6"/>
        <v>9</v>
      </c>
      <c r="R70" s="11">
        <f t="shared" si="7"/>
        <v>2</v>
      </c>
      <c r="S70" s="12" cm="1">
        <f t="array" ref="S70">INDEX('PathStage-ConceptMap-3'!$I$15:$N$123,Q70+1,R70)</f>
        <v>0</v>
      </c>
    </row>
    <row r="71" spans="7:19">
      <c r="G71" s="123"/>
      <c r="P71" s="11">
        <v>57</v>
      </c>
      <c r="Q71" s="11">
        <f t="shared" si="6"/>
        <v>9</v>
      </c>
      <c r="R71" s="11">
        <f t="shared" si="7"/>
        <v>3</v>
      </c>
      <c r="S71" s="12" cm="1">
        <f t="array" ref="S71">INDEX('PathStage-ConceptMap-3'!$I$15:$N$123,Q71+1,R71)</f>
        <v>0</v>
      </c>
    </row>
    <row r="72" spans="7:19">
      <c r="G72" s="123"/>
      <c r="P72" s="11">
        <v>58</v>
      </c>
      <c r="Q72" s="11">
        <f t="shared" si="6"/>
        <v>9</v>
      </c>
      <c r="R72" s="11">
        <f t="shared" si="7"/>
        <v>4</v>
      </c>
      <c r="S72" s="12" cm="1">
        <f t="array" ref="S72">INDEX('PathStage-ConceptMap-3'!$I$15:$N$123,Q72+1,R72)</f>
        <v>0</v>
      </c>
    </row>
    <row r="73" spans="7:19">
      <c r="G73" s="123"/>
      <c r="P73" s="11">
        <v>59</v>
      </c>
      <c r="Q73" s="11">
        <f t="shared" si="6"/>
        <v>9</v>
      </c>
      <c r="R73" s="11">
        <f t="shared" si="7"/>
        <v>5</v>
      </c>
      <c r="S73" s="12" cm="1">
        <f t="array" ref="S73">INDEX('PathStage-ConceptMap-3'!$I$15:$N$123,Q73+1,R73)</f>
        <v>0</v>
      </c>
    </row>
    <row r="74" spans="7:19">
      <c r="G74" s="123"/>
      <c r="P74" s="11">
        <v>60</v>
      </c>
      <c r="Q74" s="11">
        <f t="shared" si="6"/>
        <v>9</v>
      </c>
      <c r="R74" s="11">
        <f t="shared" si="7"/>
        <v>6</v>
      </c>
      <c r="S74" s="12" cm="1">
        <f t="array" ref="S74">INDEX('PathStage-ConceptMap-3'!$I$15:$N$123,Q74+1,R74)</f>
        <v>0</v>
      </c>
    </row>
    <row r="75" spans="7:19">
      <c r="G75" s="123"/>
      <c r="P75" s="11">
        <v>61</v>
      </c>
      <c r="Q75" s="11">
        <f t="shared" si="6"/>
        <v>10</v>
      </c>
      <c r="R75" s="11">
        <f t="shared" si="7"/>
        <v>1</v>
      </c>
      <c r="S75" s="12" cm="1">
        <f t="array" ref="S75">INDEX('PathStage-ConceptMap-3'!$I$15:$N$123,Q75+1,R75)</f>
        <v>0</v>
      </c>
    </row>
    <row r="76" spans="7:19">
      <c r="G76" s="123"/>
      <c r="P76" s="11">
        <v>62</v>
      </c>
      <c r="Q76" s="11">
        <f t="shared" si="6"/>
        <v>10</v>
      </c>
      <c r="R76" s="11">
        <f t="shared" si="7"/>
        <v>2</v>
      </c>
      <c r="S76" s="12" cm="1">
        <f t="array" ref="S76">INDEX('PathStage-ConceptMap-3'!$I$15:$N$123,Q76+1,R76)</f>
        <v>0</v>
      </c>
    </row>
    <row r="77" spans="7:19">
      <c r="G77" s="123"/>
      <c r="P77" s="11">
        <v>63</v>
      </c>
      <c r="Q77" s="11">
        <f t="shared" si="6"/>
        <v>10</v>
      </c>
      <c r="R77" s="11">
        <f t="shared" si="7"/>
        <v>3</v>
      </c>
      <c r="S77" s="12" cm="1">
        <f t="array" ref="S77">INDEX('PathStage-ConceptMap-3'!$I$15:$N$123,Q77+1,R77)</f>
        <v>0</v>
      </c>
    </row>
    <row r="78" spans="7:19">
      <c r="G78" s="123"/>
      <c r="P78" s="11">
        <v>64</v>
      </c>
      <c r="Q78" s="11">
        <f t="shared" si="6"/>
        <v>10</v>
      </c>
      <c r="R78" s="11">
        <f t="shared" si="7"/>
        <v>4</v>
      </c>
      <c r="S78" s="12" cm="1">
        <f t="array" ref="S78">INDEX('PathStage-ConceptMap-3'!$I$15:$N$123,Q78+1,R78)</f>
        <v>0</v>
      </c>
    </row>
    <row r="79" spans="7:19">
      <c r="G79" s="123"/>
      <c r="P79" s="11">
        <v>65</v>
      </c>
      <c r="Q79" s="11">
        <f t="shared" ref="Q79:Q142" si="8">IF(MOD(P79,$Q$8)=0,P79/$Q$8-1,INT(P79/$Q$8))</f>
        <v>10</v>
      </c>
      <c r="R79" s="11">
        <f t="shared" ref="R79:R142" si="9">IF(MOD(P79,$Q$8)=0,$Q$8,MOD(P79,$Q$8))</f>
        <v>5</v>
      </c>
      <c r="S79" s="12" cm="1">
        <f t="array" ref="S79">INDEX('PathStage-ConceptMap-3'!$I$15:$N$123,Q79+1,R79)</f>
        <v>0</v>
      </c>
    </row>
    <row r="80" spans="7:19">
      <c r="G80" s="123"/>
      <c r="P80" s="11">
        <v>66</v>
      </c>
      <c r="Q80" s="11">
        <f t="shared" si="8"/>
        <v>10</v>
      </c>
      <c r="R80" s="11">
        <f t="shared" si="9"/>
        <v>6</v>
      </c>
      <c r="S80" s="12" cm="1">
        <f t="array" ref="S80">INDEX('PathStage-ConceptMap-3'!$I$15:$N$123,Q80+1,R80)</f>
        <v>0</v>
      </c>
    </row>
    <row r="81" spans="7:19">
      <c r="G81" s="123"/>
      <c r="P81" s="11">
        <v>67</v>
      </c>
      <c r="Q81" s="11">
        <f t="shared" si="8"/>
        <v>11</v>
      </c>
      <c r="R81" s="11">
        <f t="shared" si="9"/>
        <v>1</v>
      </c>
      <c r="S81" s="12" cm="1">
        <f t="array" ref="S81">INDEX('PathStage-ConceptMap-3'!$I$15:$N$123,Q81+1,R81)</f>
        <v>0</v>
      </c>
    </row>
    <row r="82" spans="7:19">
      <c r="G82" s="123"/>
      <c r="P82" s="11">
        <v>68</v>
      </c>
      <c r="Q82" s="11">
        <f t="shared" si="8"/>
        <v>11</v>
      </c>
      <c r="R82" s="11">
        <f t="shared" si="9"/>
        <v>2</v>
      </c>
      <c r="S82" s="12" cm="1">
        <f t="array" ref="S82">INDEX('PathStage-ConceptMap-3'!$I$15:$N$123,Q82+1,R82)</f>
        <v>0</v>
      </c>
    </row>
    <row r="83" spans="7:19">
      <c r="G83" s="123"/>
      <c r="P83" s="11">
        <v>69</v>
      </c>
      <c r="Q83" s="11">
        <f t="shared" si="8"/>
        <v>11</v>
      </c>
      <c r="R83" s="11">
        <f t="shared" si="9"/>
        <v>3</v>
      </c>
      <c r="S83" s="12" cm="1">
        <f t="array" ref="S83">INDEX('PathStage-ConceptMap-3'!$I$15:$N$123,Q83+1,R83)</f>
        <v>0</v>
      </c>
    </row>
    <row r="84" spans="7:19">
      <c r="G84" s="123"/>
      <c r="P84" s="11">
        <v>70</v>
      </c>
      <c r="Q84" s="11">
        <f t="shared" si="8"/>
        <v>11</v>
      </c>
      <c r="R84" s="11">
        <f t="shared" si="9"/>
        <v>4</v>
      </c>
      <c r="S84" s="12" cm="1">
        <f t="array" ref="S84">INDEX('PathStage-ConceptMap-3'!$I$15:$N$123,Q84+1,R84)</f>
        <v>0</v>
      </c>
    </row>
    <row r="85" spans="7:19">
      <c r="G85" s="123"/>
      <c r="P85" s="11">
        <v>71</v>
      </c>
      <c r="Q85" s="11">
        <f t="shared" si="8"/>
        <v>11</v>
      </c>
      <c r="R85" s="11">
        <f t="shared" si="9"/>
        <v>5</v>
      </c>
      <c r="S85" s="12" cm="1">
        <f t="array" ref="S85">INDEX('PathStage-ConceptMap-3'!$I$15:$N$123,Q85+1,R85)</f>
        <v>0</v>
      </c>
    </row>
    <row r="86" spans="7:19">
      <c r="G86" s="123"/>
      <c r="P86" s="11">
        <v>72</v>
      </c>
      <c r="Q86" s="11">
        <f t="shared" si="8"/>
        <v>11</v>
      </c>
      <c r="R86" s="11">
        <f t="shared" si="9"/>
        <v>6</v>
      </c>
      <c r="S86" s="12" cm="1">
        <f t="array" ref="S86">INDEX('PathStage-ConceptMap-3'!$I$15:$N$123,Q86+1,R86)</f>
        <v>0</v>
      </c>
    </row>
    <row r="87" spans="7:19">
      <c r="G87" s="123"/>
      <c r="P87" s="11">
        <v>73</v>
      </c>
      <c r="Q87" s="11">
        <f t="shared" si="8"/>
        <v>12</v>
      </c>
      <c r="R87" s="11">
        <f t="shared" si="9"/>
        <v>1</v>
      </c>
      <c r="S87" s="12" cm="1">
        <f t="array" ref="S87">INDEX('PathStage-ConceptMap-3'!$I$15:$N$123,Q87+1,R87)</f>
        <v>0</v>
      </c>
    </row>
    <row r="88" spans="7:19">
      <c r="G88" s="123"/>
      <c r="P88" s="11">
        <v>74</v>
      </c>
      <c r="Q88" s="11">
        <f t="shared" si="8"/>
        <v>12</v>
      </c>
      <c r="R88" s="11">
        <f t="shared" si="9"/>
        <v>2</v>
      </c>
      <c r="S88" s="12" cm="1">
        <f t="array" ref="S88">INDEX('PathStage-ConceptMap-3'!$I$15:$N$123,Q88+1,R88)</f>
        <v>0</v>
      </c>
    </row>
    <row r="89" spans="7:19">
      <c r="G89" s="123"/>
      <c r="P89" s="11">
        <v>75</v>
      </c>
      <c r="Q89" s="11">
        <f t="shared" si="8"/>
        <v>12</v>
      </c>
      <c r="R89" s="11">
        <f t="shared" si="9"/>
        <v>3</v>
      </c>
      <c r="S89" s="12" cm="1">
        <f t="array" ref="S89">INDEX('PathStage-ConceptMap-3'!$I$15:$N$123,Q89+1,R89)</f>
        <v>0</v>
      </c>
    </row>
    <row r="90" spans="7:19">
      <c r="G90" s="123"/>
      <c r="P90" s="11">
        <v>76</v>
      </c>
      <c r="Q90" s="11">
        <f t="shared" si="8"/>
        <v>12</v>
      </c>
      <c r="R90" s="11">
        <f t="shared" si="9"/>
        <v>4</v>
      </c>
      <c r="S90" s="12" cm="1">
        <f t="array" ref="S90">INDEX('PathStage-ConceptMap-3'!$I$15:$N$123,Q90+1,R90)</f>
        <v>0</v>
      </c>
    </row>
    <row r="91" spans="7:19">
      <c r="G91" s="123"/>
      <c r="P91" s="11">
        <v>77</v>
      </c>
      <c r="Q91" s="11">
        <f t="shared" si="8"/>
        <v>12</v>
      </c>
      <c r="R91" s="11">
        <f t="shared" si="9"/>
        <v>5</v>
      </c>
      <c r="S91" s="12" cm="1">
        <f t="array" ref="S91">INDEX('PathStage-ConceptMap-3'!$I$15:$N$123,Q91+1,R91)</f>
        <v>0</v>
      </c>
    </row>
    <row r="92" spans="7:19">
      <c r="G92" s="123"/>
      <c r="P92" s="11">
        <v>78</v>
      </c>
      <c r="Q92" s="11">
        <f t="shared" si="8"/>
        <v>12</v>
      </c>
      <c r="R92" s="11">
        <f t="shared" si="9"/>
        <v>6</v>
      </c>
      <c r="S92" s="12" cm="1">
        <f t="array" ref="S92">INDEX('PathStage-ConceptMap-3'!$I$15:$N$123,Q92+1,R92)</f>
        <v>0</v>
      </c>
    </row>
    <row r="93" spans="7:19">
      <c r="G93" s="123"/>
      <c r="P93" s="11">
        <v>79</v>
      </c>
      <c r="Q93" s="11">
        <f t="shared" si="8"/>
        <v>13</v>
      </c>
      <c r="R93" s="11">
        <f t="shared" si="9"/>
        <v>1</v>
      </c>
      <c r="S93" s="12" cm="1">
        <f t="array" ref="S93">INDEX('PathStage-ConceptMap-3'!$I$15:$N$123,Q93+1,R93)</f>
        <v>0</v>
      </c>
    </row>
    <row r="94" spans="7:19">
      <c r="G94" s="123"/>
      <c r="P94" s="11">
        <v>80</v>
      </c>
      <c r="Q94" s="11">
        <f t="shared" si="8"/>
        <v>13</v>
      </c>
      <c r="R94" s="11">
        <f t="shared" si="9"/>
        <v>2</v>
      </c>
      <c r="S94" s="12" cm="1">
        <f t="array" ref="S94">INDEX('PathStage-ConceptMap-3'!$I$15:$N$123,Q94+1,R94)</f>
        <v>0</v>
      </c>
    </row>
    <row r="95" spans="7:19">
      <c r="G95" s="123"/>
      <c r="P95" s="11">
        <v>81</v>
      </c>
      <c r="Q95" s="11">
        <f t="shared" si="8"/>
        <v>13</v>
      </c>
      <c r="R95" s="11">
        <f t="shared" si="9"/>
        <v>3</v>
      </c>
      <c r="S95" s="12" cm="1">
        <f t="array" ref="S95">INDEX('PathStage-ConceptMap-3'!$I$15:$N$123,Q95+1,R95)</f>
        <v>0</v>
      </c>
    </row>
    <row r="96" spans="7:19">
      <c r="G96" s="123"/>
      <c r="P96" s="11">
        <v>82</v>
      </c>
      <c r="Q96" s="11">
        <f t="shared" si="8"/>
        <v>13</v>
      </c>
      <c r="R96" s="11">
        <f t="shared" si="9"/>
        <v>4</v>
      </c>
      <c r="S96" s="12" cm="1">
        <f t="array" ref="S96">INDEX('PathStage-ConceptMap-3'!$I$15:$N$123,Q96+1,R96)</f>
        <v>0</v>
      </c>
    </row>
    <row r="97" spans="7:19">
      <c r="G97" s="123"/>
      <c r="P97" s="11">
        <v>83</v>
      </c>
      <c r="Q97" s="11">
        <f t="shared" si="8"/>
        <v>13</v>
      </c>
      <c r="R97" s="11">
        <f t="shared" si="9"/>
        <v>5</v>
      </c>
      <c r="S97" s="12" cm="1">
        <f t="array" ref="S97">INDEX('PathStage-ConceptMap-3'!$I$15:$N$123,Q97+1,R97)</f>
        <v>0</v>
      </c>
    </row>
    <row r="98" spans="7:19">
      <c r="G98" s="123"/>
      <c r="P98" s="11">
        <v>84</v>
      </c>
      <c r="Q98" s="11">
        <f t="shared" si="8"/>
        <v>13</v>
      </c>
      <c r="R98" s="11">
        <f t="shared" si="9"/>
        <v>6</v>
      </c>
      <c r="S98" s="12" cm="1">
        <f t="array" ref="S98">INDEX('PathStage-ConceptMap-3'!$I$15:$N$123,Q98+1,R98)</f>
        <v>0</v>
      </c>
    </row>
    <row r="99" spans="7:19">
      <c r="G99" s="123"/>
      <c r="P99" s="11">
        <v>85</v>
      </c>
      <c r="Q99" s="11">
        <f t="shared" si="8"/>
        <v>14</v>
      </c>
      <c r="R99" s="11">
        <f t="shared" si="9"/>
        <v>1</v>
      </c>
      <c r="S99" s="12" cm="1">
        <f t="array" ref="S99">INDEX('PathStage-ConceptMap-3'!$I$15:$N$123,Q99+1,R99)</f>
        <v>0</v>
      </c>
    </row>
    <row r="100" spans="7:19">
      <c r="G100" s="123"/>
      <c r="P100" s="11">
        <v>86</v>
      </c>
      <c r="Q100" s="11">
        <f t="shared" si="8"/>
        <v>14</v>
      </c>
      <c r="R100" s="11">
        <f t="shared" si="9"/>
        <v>2</v>
      </c>
      <c r="S100" s="12" cm="1">
        <f t="array" ref="S100">INDEX('PathStage-ConceptMap-3'!$I$15:$N$123,Q100+1,R100)</f>
        <v>0</v>
      </c>
    </row>
    <row r="101" spans="7:19">
      <c r="G101" s="123"/>
      <c r="P101" s="11">
        <v>87</v>
      </c>
      <c r="Q101" s="11">
        <f t="shared" si="8"/>
        <v>14</v>
      </c>
      <c r="R101" s="11">
        <f t="shared" si="9"/>
        <v>3</v>
      </c>
      <c r="S101" s="12" cm="1">
        <f t="array" ref="S101">INDEX('PathStage-ConceptMap-3'!$I$15:$N$123,Q101+1,R101)</f>
        <v>0</v>
      </c>
    </row>
    <row r="102" spans="7:19">
      <c r="G102" s="123"/>
      <c r="P102" s="11">
        <v>88</v>
      </c>
      <c r="Q102" s="11">
        <f t="shared" si="8"/>
        <v>14</v>
      </c>
      <c r="R102" s="11">
        <f t="shared" si="9"/>
        <v>4</v>
      </c>
      <c r="S102" s="12" cm="1">
        <f t="array" ref="S102">INDEX('PathStage-ConceptMap-3'!$I$15:$N$123,Q102+1,R102)</f>
        <v>0</v>
      </c>
    </row>
    <row r="103" spans="7:19">
      <c r="G103" s="123"/>
      <c r="P103" s="11">
        <v>89</v>
      </c>
      <c r="Q103" s="11">
        <f t="shared" si="8"/>
        <v>14</v>
      </c>
      <c r="R103" s="11">
        <f t="shared" si="9"/>
        <v>5</v>
      </c>
      <c r="S103" s="12" cm="1">
        <f t="array" ref="S103">INDEX('PathStage-ConceptMap-3'!$I$15:$N$123,Q103+1,R103)</f>
        <v>0</v>
      </c>
    </row>
    <row r="104" spans="7:19">
      <c r="G104" s="123"/>
      <c r="P104" s="11">
        <v>90</v>
      </c>
      <c r="Q104" s="11">
        <f t="shared" si="8"/>
        <v>14</v>
      </c>
      <c r="R104" s="11">
        <f t="shared" si="9"/>
        <v>6</v>
      </c>
      <c r="S104" s="12" cm="1">
        <f t="array" ref="S104">INDEX('PathStage-ConceptMap-3'!$I$15:$N$123,Q104+1,R104)</f>
        <v>0</v>
      </c>
    </row>
    <row r="105" spans="7:19">
      <c r="G105" s="123"/>
      <c r="P105" s="11">
        <v>91</v>
      </c>
      <c r="Q105" s="11">
        <f t="shared" si="8"/>
        <v>15</v>
      </c>
      <c r="R105" s="11">
        <f t="shared" si="9"/>
        <v>1</v>
      </c>
      <c r="S105" s="12" cm="1">
        <f t="array" ref="S105">INDEX('PathStage-ConceptMap-3'!$I$15:$N$123,Q105+1,R105)</f>
        <v>0</v>
      </c>
    </row>
    <row r="106" spans="7:19">
      <c r="G106" s="123"/>
      <c r="P106" s="11">
        <v>92</v>
      </c>
      <c r="Q106" s="11">
        <f t="shared" si="8"/>
        <v>15</v>
      </c>
      <c r="R106" s="11">
        <f t="shared" si="9"/>
        <v>2</v>
      </c>
      <c r="S106" s="12" cm="1">
        <f t="array" ref="S106">INDEX('PathStage-ConceptMap-3'!$I$15:$N$123,Q106+1,R106)</f>
        <v>0</v>
      </c>
    </row>
    <row r="107" spans="7:19">
      <c r="G107" s="123"/>
      <c r="P107" s="11">
        <v>93</v>
      </c>
      <c r="Q107" s="11">
        <f t="shared" si="8"/>
        <v>15</v>
      </c>
      <c r="R107" s="11">
        <f t="shared" si="9"/>
        <v>3</v>
      </c>
      <c r="S107" s="12" cm="1">
        <f t="array" ref="S107">INDEX('PathStage-ConceptMap-3'!$I$15:$N$123,Q107+1,R107)</f>
        <v>0</v>
      </c>
    </row>
    <row r="108" spans="7:19">
      <c r="G108" s="123"/>
      <c r="P108" s="11">
        <v>94</v>
      </c>
      <c r="Q108" s="11">
        <f t="shared" si="8"/>
        <v>15</v>
      </c>
      <c r="R108" s="11">
        <f t="shared" si="9"/>
        <v>4</v>
      </c>
      <c r="S108" s="12" cm="1">
        <f t="array" ref="S108">INDEX('PathStage-ConceptMap-3'!$I$15:$N$123,Q108+1,R108)</f>
        <v>0</v>
      </c>
    </row>
    <row r="109" spans="7:19">
      <c r="G109" s="123"/>
      <c r="P109" s="11">
        <v>95</v>
      </c>
      <c r="Q109" s="11">
        <f t="shared" si="8"/>
        <v>15</v>
      </c>
      <c r="R109" s="11">
        <f t="shared" si="9"/>
        <v>5</v>
      </c>
      <c r="S109" s="12" cm="1">
        <f t="array" ref="S109">INDEX('PathStage-ConceptMap-3'!$I$15:$N$123,Q109+1,R109)</f>
        <v>0</v>
      </c>
    </row>
    <row r="110" spans="7:19">
      <c r="G110" s="123"/>
      <c r="P110" s="11">
        <v>96</v>
      </c>
      <c r="Q110" s="11">
        <f t="shared" si="8"/>
        <v>15</v>
      </c>
      <c r="R110" s="11">
        <f t="shared" si="9"/>
        <v>6</v>
      </c>
      <c r="S110" s="12" cm="1">
        <f t="array" ref="S110">INDEX('PathStage-ConceptMap-3'!$I$15:$N$123,Q110+1,R110)</f>
        <v>0</v>
      </c>
    </row>
    <row r="111" spans="7:19">
      <c r="G111" s="123"/>
      <c r="P111" s="11">
        <v>97</v>
      </c>
      <c r="Q111" s="11">
        <f t="shared" si="8"/>
        <v>16</v>
      </c>
      <c r="R111" s="11">
        <f t="shared" si="9"/>
        <v>1</v>
      </c>
      <c r="S111" s="12" cm="1">
        <f t="array" ref="S111">INDEX('PathStage-ConceptMap-3'!$I$15:$N$123,Q111+1,R111)</f>
        <v>0</v>
      </c>
    </row>
    <row r="112" spans="7:19">
      <c r="G112" s="123"/>
      <c r="P112" s="11">
        <v>98</v>
      </c>
      <c r="Q112" s="11">
        <f t="shared" si="8"/>
        <v>16</v>
      </c>
      <c r="R112" s="11">
        <f t="shared" si="9"/>
        <v>2</v>
      </c>
      <c r="S112" s="12" cm="1">
        <f t="array" ref="S112">INDEX('PathStage-ConceptMap-3'!$I$15:$N$123,Q112+1,R112)</f>
        <v>0</v>
      </c>
    </row>
    <row r="113" spans="7:19">
      <c r="G113" s="123"/>
      <c r="P113" s="11">
        <v>99</v>
      </c>
      <c r="Q113" s="11">
        <f t="shared" si="8"/>
        <v>16</v>
      </c>
      <c r="R113" s="11">
        <f t="shared" si="9"/>
        <v>3</v>
      </c>
      <c r="S113" s="12" cm="1">
        <f t="array" ref="S113">INDEX('PathStage-ConceptMap-3'!$I$15:$N$123,Q113+1,R113)</f>
        <v>0</v>
      </c>
    </row>
    <row r="114" spans="7:19">
      <c r="G114" s="123"/>
      <c r="P114" s="11">
        <v>100</v>
      </c>
      <c r="Q114" s="11">
        <f t="shared" si="8"/>
        <v>16</v>
      </c>
      <c r="R114" s="11">
        <f t="shared" si="9"/>
        <v>4</v>
      </c>
      <c r="S114" s="12" cm="1">
        <f t="array" ref="S114">INDEX('PathStage-ConceptMap-3'!$I$15:$N$123,Q114+1,R114)</f>
        <v>0</v>
      </c>
    </row>
    <row r="115" spans="7:19">
      <c r="G115" s="123"/>
      <c r="P115" s="11">
        <v>101</v>
      </c>
      <c r="Q115" s="11">
        <f t="shared" si="8"/>
        <v>16</v>
      </c>
      <c r="R115" s="11">
        <f t="shared" si="9"/>
        <v>5</v>
      </c>
      <c r="S115" s="12" cm="1">
        <f t="array" ref="S115">INDEX('PathStage-ConceptMap-3'!$I$15:$N$123,Q115+1,R115)</f>
        <v>0</v>
      </c>
    </row>
    <row r="116" spans="7:19">
      <c r="G116" s="123"/>
      <c r="P116" s="11">
        <v>102</v>
      </c>
      <c r="Q116" s="11">
        <f t="shared" si="8"/>
        <v>16</v>
      </c>
      <c r="R116" s="11">
        <f t="shared" si="9"/>
        <v>6</v>
      </c>
      <c r="S116" s="12" cm="1">
        <f t="array" ref="S116">INDEX('PathStage-ConceptMap-3'!$I$15:$N$123,Q116+1,R116)</f>
        <v>0</v>
      </c>
    </row>
    <row r="117" spans="7:19">
      <c r="P117" s="11">
        <v>103</v>
      </c>
      <c r="Q117" s="11">
        <f t="shared" si="8"/>
        <v>17</v>
      </c>
      <c r="R117" s="11">
        <f t="shared" si="9"/>
        <v>1</v>
      </c>
      <c r="S117" s="12" cm="1">
        <f t="array" ref="S117">INDEX('PathStage-ConceptMap-3'!$I$15:$N$123,Q117+1,R117)</f>
        <v>0</v>
      </c>
    </row>
    <row r="118" spans="7:19">
      <c r="P118" s="11">
        <v>104</v>
      </c>
      <c r="Q118" s="11">
        <f t="shared" si="8"/>
        <v>17</v>
      </c>
      <c r="R118" s="11">
        <f t="shared" si="9"/>
        <v>2</v>
      </c>
      <c r="S118" s="12" cm="1">
        <f t="array" ref="S118">INDEX('PathStage-ConceptMap-3'!$I$15:$N$123,Q118+1,R118)</f>
        <v>0</v>
      </c>
    </row>
    <row r="119" spans="7:19">
      <c r="P119" s="11">
        <v>105</v>
      </c>
      <c r="Q119" s="11">
        <f t="shared" si="8"/>
        <v>17</v>
      </c>
      <c r="R119" s="11">
        <f t="shared" si="9"/>
        <v>3</v>
      </c>
      <c r="S119" s="12" cm="1">
        <f t="array" ref="S119">INDEX('PathStage-ConceptMap-3'!$I$15:$N$123,Q119+1,R119)</f>
        <v>0</v>
      </c>
    </row>
    <row r="120" spans="7:19">
      <c r="P120" s="11">
        <v>106</v>
      </c>
      <c r="Q120" s="11">
        <f t="shared" si="8"/>
        <v>17</v>
      </c>
      <c r="R120" s="11">
        <f t="shared" si="9"/>
        <v>4</v>
      </c>
      <c r="S120" s="12" cm="1">
        <f t="array" ref="S120">INDEX('PathStage-ConceptMap-3'!$I$15:$N$123,Q120+1,R120)</f>
        <v>0</v>
      </c>
    </row>
    <row r="121" spans="7:19">
      <c r="P121" s="11">
        <v>107</v>
      </c>
      <c r="Q121" s="11">
        <f t="shared" si="8"/>
        <v>17</v>
      </c>
      <c r="R121" s="11">
        <f t="shared" si="9"/>
        <v>5</v>
      </c>
      <c r="S121" s="12" cm="1">
        <f t="array" ref="S121">INDEX('PathStage-ConceptMap-3'!$I$15:$N$123,Q121+1,R121)</f>
        <v>0</v>
      </c>
    </row>
    <row r="122" spans="7:19">
      <c r="P122" s="11">
        <v>108</v>
      </c>
      <c r="Q122" s="11">
        <f t="shared" si="8"/>
        <v>17</v>
      </c>
      <c r="R122" s="11">
        <f t="shared" si="9"/>
        <v>6</v>
      </c>
      <c r="S122" s="12" cm="1">
        <f t="array" ref="S122">INDEX('PathStage-ConceptMap-3'!$I$15:$N$123,Q122+1,R122)</f>
        <v>0</v>
      </c>
    </row>
    <row r="123" spans="7:19">
      <c r="P123" s="11">
        <v>109</v>
      </c>
      <c r="Q123" s="11">
        <f t="shared" si="8"/>
        <v>18</v>
      </c>
      <c r="R123" s="11">
        <f t="shared" si="9"/>
        <v>1</v>
      </c>
      <c r="S123" s="12" cm="1">
        <f t="array" ref="S123">INDEX('PathStage-ConceptMap-3'!$I$15:$N$123,Q123+1,R123)</f>
        <v>0</v>
      </c>
    </row>
    <row r="124" spans="7:19">
      <c r="P124" s="11">
        <v>110</v>
      </c>
      <c r="Q124" s="11">
        <f t="shared" si="8"/>
        <v>18</v>
      </c>
      <c r="R124" s="11">
        <f t="shared" si="9"/>
        <v>2</v>
      </c>
      <c r="S124" s="12" cm="1">
        <f t="array" ref="S124">INDEX('PathStage-ConceptMap-3'!$I$15:$N$123,Q124+1,R124)</f>
        <v>0</v>
      </c>
    </row>
    <row r="125" spans="7:19">
      <c r="P125" s="11">
        <v>111</v>
      </c>
      <c r="Q125" s="11">
        <f t="shared" si="8"/>
        <v>18</v>
      </c>
      <c r="R125" s="11">
        <f t="shared" si="9"/>
        <v>3</v>
      </c>
      <c r="S125" s="12" cm="1">
        <f t="array" ref="S125">INDEX('PathStage-ConceptMap-3'!$I$15:$N$123,Q125+1,R125)</f>
        <v>0</v>
      </c>
    </row>
    <row r="126" spans="7:19">
      <c r="P126" s="11">
        <v>112</v>
      </c>
      <c r="Q126" s="11">
        <f t="shared" si="8"/>
        <v>18</v>
      </c>
      <c r="R126" s="11">
        <f t="shared" si="9"/>
        <v>4</v>
      </c>
      <c r="S126" s="12" cm="1">
        <f t="array" ref="S126">INDEX('PathStage-ConceptMap-3'!$I$15:$N$123,Q126+1,R126)</f>
        <v>0</v>
      </c>
    </row>
    <row r="127" spans="7:19">
      <c r="P127" s="11">
        <v>113</v>
      </c>
      <c r="Q127" s="11">
        <f t="shared" si="8"/>
        <v>18</v>
      </c>
      <c r="R127" s="11">
        <f t="shared" si="9"/>
        <v>5</v>
      </c>
      <c r="S127" s="12" cm="1">
        <f t="array" ref="S127">INDEX('PathStage-ConceptMap-3'!$I$15:$N$123,Q127+1,R127)</f>
        <v>0</v>
      </c>
    </row>
    <row r="128" spans="7:19">
      <c r="P128" s="11">
        <v>114</v>
      </c>
      <c r="Q128" s="11">
        <f t="shared" si="8"/>
        <v>18</v>
      </c>
      <c r="R128" s="11">
        <f t="shared" si="9"/>
        <v>6</v>
      </c>
      <c r="S128" s="12" cm="1">
        <f t="array" ref="S128">INDEX('PathStage-ConceptMap-3'!$I$15:$N$123,Q128+1,R128)</f>
        <v>0</v>
      </c>
    </row>
    <row r="129" spans="16:19">
      <c r="P129" s="11">
        <v>115</v>
      </c>
      <c r="Q129" s="11">
        <f t="shared" si="8"/>
        <v>19</v>
      </c>
      <c r="R129" s="11">
        <f t="shared" si="9"/>
        <v>1</v>
      </c>
      <c r="S129" s="12" cm="1">
        <f t="array" ref="S129">INDEX('PathStage-ConceptMap-3'!$I$15:$N$123,Q129+1,R129)</f>
        <v>0</v>
      </c>
    </row>
    <row r="130" spans="16:19">
      <c r="P130" s="11">
        <v>116</v>
      </c>
      <c r="Q130" s="11">
        <f t="shared" si="8"/>
        <v>19</v>
      </c>
      <c r="R130" s="11">
        <f t="shared" si="9"/>
        <v>2</v>
      </c>
      <c r="S130" s="12" cm="1">
        <f t="array" ref="S130">INDEX('PathStage-ConceptMap-3'!$I$15:$N$123,Q130+1,R130)</f>
        <v>0</v>
      </c>
    </row>
    <row r="131" spans="16:19">
      <c r="P131" s="11">
        <v>117</v>
      </c>
      <c r="Q131" s="11">
        <f t="shared" si="8"/>
        <v>19</v>
      </c>
      <c r="R131" s="11">
        <f t="shared" si="9"/>
        <v>3</v>
      </c>
      <c r="S131" s="12" cm="1">
        <f t="array" ref="S131">INDEX('PathStage-ConceptMap-3'!$I$15:$N$123,Q131+1,R131)</f>
        <v>0</v>
      </c>
    </row>
    <row r="132" spans="16:19">
      <c r="P132" s="11">
        <v>118</v>
      </c>
      <c r="Q132" s="11">
        <f t="shared" si="8"/>
        <v>19</v>
      </c>
      <c r="R132" s="11">
        <f t="shared" si="9"/>
        <v>4</v>
      </c>
      <c r="S132" s="12" cm="1">
        <f t="array" ref="S132">INDEX('PathStage-ConceptMap-3'!$I$15:$N$123,Q132+1,R132)</f>
        <v>0</v>
      </c>
    </row>
    <row r="133" spans="16:19">
      <c r="P133" s="11">
        <v>119</v>
      </c>
      <c r="Q133" s="11">
        <f t="shared" si="8"/>
        <v>19</v>
      </c>
      <c r="R133" s="11">
        <f t="shared" si="9"/>
        <v>5</v>
      </c>
      <c r="S133" s="12" cm="1">
        <f t="array" ref="S133">INDEX('PathStage-ConceptMap-3'!$I$15:$N$123,Q133+1,R133)</f>
        <v>0</v>
      </c>
    </row>
    <row r="134" spans="16:19">
      <c r="P134" s="11">
        <v>120</v>
      </c>
      <c r="Q134" s="11">
        <f t="shared" si="8"/>
        <v>19</v>
      </c>
      <c r="R134" s="11">
        <f t="shared" si="9"/>
        <v>6</v>
      </c>
      <c r="S134" s="12" cm="1">
        <f t="array" ref="S134">INDEX('PathStage-ConceptMap-3'!$I$15:$N$123,Q134+1,R134)</f>
        <v>0</v>
      </c>
    </row>
    <row r="135" spans="16:19">
      <c r="P135" s="11">
        <v>121</v>
      </c>
      <c r="Q135" s="11">
        <f t="shared" si="8"/>
        <v>20</v>
      </c>
      <c r="R135" s="11">
        <f t="shared" si="9"/>
        <v>1</v>
      </c>
      <c r="S135" s="12" cm="1">
        <f t="array" ref="S135">INDEX('PathStage-ConceptMap-3'!$I$15:$N$123,Q135+1,R135)</f>
        <v>0</v>
      </c>
    </row>
    <row r="136" spans="16:19">
      <c r="P136" s="11">
        <v>122</v>
      </c>
      <c r="Q136" s="11">
        <f t="shared" si="8"/>
        <v>20</v>
      </c>
      <c r="R136" s="11">
        <f t="shared" si="9"/>
        <v>2</v>
      </c>
      <c r="S136" s="12" cm="1">
        <f t="array" ref="S136">INDEX('PathStage-ConceptMap-3'!$I$15:$N$123,Q136+1,R136)</f>
        <v>0</v>
      </c>
    </row>
    <row r="137" spans="16:19">
      <c r="P137" s="11">
        <v>123</v>
      </c>
      <c r="Q137" s="11">
        <f t="shared" si="8"/>
        <v>20</v>
      </c>
      <c r="R137" s="11">
        <f t="shared" si="9"/>
        <v>3</v>
      </c>
      <c r="S137" s="12" cm="1">
        <f t="array" ref="S137">INDEX('PathStage-ConceptMap-3'!$I$15:$N$123,Q137+1,R137)</f>
        <v>0</v>
      </c>
    </row>
    <row r="138" spans="16:19">
      <c r="P138" s="11">
        <v>124</v>
      </c>
      <c r="Q138" s="11">
        <f t="shared" si="8"/>
        <v>20</v>
      </c>
      <c r="R138" s="11">
        <f t="shared" si="9"/>
        <v>4</v>
      </c>
      <c r="S138" s="12" cm="1">
        <f t="array" ref="S138">INDEX('PathStage-ConceptMap-3'!$I$15:$N$123,Q138+1,R138)</f>
        <v>0</v>
      </c>
    </row>
    <row r="139" spans="16:19">
      <c r="P139" s="11">
        <v>125</v>
      </c>
      <c r="Q139" s="11">
        <f t="shared" si="8"/>
        <v>20</v>
      </c>
      <c r="R139" s="11">
        <f t="shared" si="9"/>
        <v>5</v>
      </c>
      <c r="S139" s="12" cm="1">
        <f t="array" ref="S139">INDEX('PathStage-ConceptMap-3'!$I$15:$N$123,Q139+1,R139)</f>
        <v>0</v>
      </c>
    </row>
    <row r="140" spans="16:19">
      <c r="P140" s="11">
        <v>126</v>
      </c>
      <c r="Q140" s="11">
        <f t="shared" si="8"/>
        <v>20</v>
      </c>
      <c r="R140" s="11">
        <f t="shared" si="9"/>
        <v>6</v>
      </c>
      <c r="S140" s="12" cm="1">
        <f t="array" ref="S140">INDEX('PathStage-ConceptMap-3'!$I$15:$N$123,Q140+1,R140)</f>
        <v>0</v>
      </c>
    </row>
    <row r="141" spans="16:19">
      <c r="P141" s="11">
        <v>127</v>
      </c>
      <c r="Q141" s="11">
        <f t="shared" si="8"/>
        <v>21</v>
      </c>
      <c r="R141" s="11">
        <f t="shared" si="9"/>
        <v>1</v>
      </c>
      <c r="S141" s="12" cm="1">
        <f t="array" ref="S141">INDEX('PathStage-ConceptMap-3'!$I$15:$N$123,Q141+1,R141)</f>
        <v>0</v>
      </c>
    </row>
    <row r="142" spans="16:19">
      <c r="P142" s="11">
        <v>128</v>
      </c>
      <c r="Q142" s="11">
        <f t="shared" si="8"/>
        <v>21</v>
      </c>
      <c r="R142" s="11">
        <f t="shared" si="9"/>
        <v>2</v>
      </c>
      <c r="S142" s="12" cm="1">
        <f t="array" ref="S142">INDEX('PathStage-ConceptMap-3'!$I$15:$N$123,Q142+1,R142)</f>
        <v>0</v>
      </c>
    </row>
    <row r="143" spans="16:19">
      <c r="P143" s="11">
        <v>129</v>
      </c>
      <c r="Q143" s="11">
        <f t="shared" ref="Q143:Q162" si="10">IF(MOD(P143,$Q$8)=0,P143/$Q$8-1,INT(P143/$Q$8))</f>
        <v>21</v>
      </c>
      <c r="R143" s="11">
        <f t="shared" ref="R143:R162" si="11">IF(MOD(P143,$Q$8)=0,$Q$8,MOD(P143,$Q$8))</f>
        <v>3</v>
      </c>
      <c r="S143" s="12" cm="1">
        <f t="array" ref="S143">INDEX('PathStage-ConceptMap-3'!$I$15:$N$123,Q143+1,R143)</f>
        <v>0</v>
      </c>
    </row>
    <row r="144" spans="16:19">
      <c r="P144" s="11">
        <v>130</v>
      </c>
      <c r="Q144" s="11">
        <f t="shared" si="10"/>
        <v>21</v>
      </c>
      <c r="R144" s="11">
        <f t="shared" si="11"/>
        <v>4</v>
      </c>
      <c r="S144" s="12" cm="1">
        <f t="array" ref="S144">INDEX('PathStage-ConceptMap-3'!$I$15:$N$123,Q144+1,R144)</f>
        <v>0</v>
      </c>
    </row>
    <row r="145" spans="16:19">
      <c r="P145" s="11">
        <v>131</v>
      </c>
      <c r="Q145" s="11">
        <f t="shared" si="10"/>
        <v>21</v>
      </c>
      <c r="R145" s="11">
        <f t="shared" si="11"/>
        <v>5</v>
      </c>
      <c r="S145" s="12" cm="1">
        <f t="array" ref="S145">INDEX('PathStage-ConceptMap-3'!$I$15:$N$123,Q145+1,R145)</f>
        <v>0</v>
      </c>
    </row>
    <row r="146" spans="16:19">
      <c r="P146" s="11">
        <v>132</v>
      </c>
      <c r="Q146" s="11">
        <f t="shared" si="10"/>
        <v>21</v>
      </c>
      <c r="R146" s="11">
        <f t="shared" si="11"/>
        <v>6</v>
      </c>
      <c r="S146" s="12" cm="1">
        <f t="array" ref="S146">INDEX('PathStage-ConceptMap-3'!$I$15:$N$123,Q146+1,R146)</f>
        <v>0</v>
      </c>
    </row>
    <row r="147" spans="16:19">
      <c r="P147" s="11">
        <v>133</v>
      </c>
      <c r="Q147" s="11">
        <f t="shared" si="10"/>
        <v>22</v>
      </c>
      <c r="R147" s="11">
        <f t="shared" si="11"/>
        <v>1</v>
      </c>
      <c r="S147" s="12" cm="1">
        <f t="array" ref="S147">INDEX('PathStage-ConceptMap-3'!$I$15:$N$123,Q147+1,R147)</f>
        <v>0</v>
      </c>
    </row>
    <row r="148" spans="16:19">
      <c r="P148" s="11">
        <v>134</v>
      </c>
      <c r="Q148" s="11">
        <f t="shared" si="10"/>
        <v>22</v>
      </c>
      <c r="R148" s="11">
        <f t="shared" si="11"/>
        <v>2</v>
      </c>
      <c r="S148" s="12" cm="1">
        <f t="array" ref="S148">INDEX('PathStage-ConceptMap-3'!$I$15:$N$123,Q148+1,R148)</f>
        <v>0</v>
      </c>
    </row>
    <row r="149" spans="16:19">
      <c r="P149" s="11">
        <v>135</v>
      </c>
      <c r="Q149" s="11">
        <f t="shared" si="10"/>
        <v>22</v>
      </c>
      <c r="R149" s="11">
        <f t="shared" si="11"/>
        <v>3</v>
      </c>
      <c r="S149" s="12" cm="1">
        <f t="array" ref="S149">INDEX('PathStage-ConceptMap-3'!$I$15:$N$123,Q149+1,R149)</f>
        <v>0</v>
      </c>
    </row>
    <row r="150" spans="16:19">
      <c r="P150" s="11">
        <v>136</v>
      </c>
      <c r="Q150" s="11">
        <f t="shared" si="10"/>
        <v>22</v>
      </c>
      <c r="R150" s="11">
        <f t="shared" si="11"/>
        <v>4</v>
      </c>
      <c r="S150" s="12" cm="1">
        <f t="array" ref="S150">INDEX('PathStage-ConceptMap-3'!$I$15:$N$123,Q150+1,R150)</f>
        <v>0</v>
      </c>
    </row>
    <row r="151" spans="16:19">
      <c r="P151" s="11">
        <v>137</v>
      </c>
      <c r="Q151" s="11">
        <f t="shared" si="10"/>
        <v>22</v>
      </c>
      <c r="R151" s="11">
        <f t="shared" si="11"/>
        <v>5</v>
      </c>
      <c r="S151" s="12" cm="1">
        <f t="array" ref="S151">INDEX('PathStage-ConceptMap-3'!$I$15:$N$123,Q151+1,R151)</f>
        <v>0</v>
      </c>
    </row>
    <row r="152" spans="16:19">
      <c r="P152" s="11">
        <v>138</v>
      </c>
      <c r="Q152" s="11">
        <f t="shared" si="10"/>
        <v>22</v>
      </c>
      <c r="R152" s="11">
        <f t="shared" si="11"/>
        <v>6</v>
      </c>
      <c r="S152" s="12" cm="1">
        <f t="array" ref="S152">INDEX('PathStage-ConceptMap-3'!$I$15:$N$123,Q152+1,R152)</f>
        <v>0</v>
      </c>
    </row>
    <row r="153" spans="16:19">
      <c r="P153" s="11">
        <v>139</v>
      </c>
      <c r="Q153" s="11">
        <f t="shared" si="10"/>
        <v>23</v>
      </c>
      <c r="R153" s="11">
        <f t="shared" si="11"/>
        <v>1</v>
      </c>
      <c r="S153" s="12" cm="1">
        <f t="array" ref="S153">INDEX('PathStage-ConceptMap-3'!$I$15:$N$123,Q153+1,R153)</f>
        <v>0</v>
      </c>
    </row>
    <row r="154" spans="16:19">
      <c r="P154" s="11">
        <v>140</v>
      </c>
      <c r="Q154" s="11">
        <f t="shared" si="10"/>
        <v>23</v>
      </c>
      <c r="R154" s="11">
        <f t="shared" si="11"/>
        <v>2</v>
      </c>
      <c r="S154" s="12" cm="1">
        <f t="array" ref="S154">INDEX('PathStage-ConceptMap-3'!$I$15:$N$123,Q154+1,R154)</f>
        <v>0</v>
      </c>
    </row>
    <row r="155" spans="16:19">
      <c r="P155" s="11">
        <v>141</v>
      </c>
      <c r="Q155" s="11">
        <f t="shared" si="10"/>
        <v>23</v>
      </c>
      <c r="R155" s="11">
        <f t="shared" si="11"/>
        <v>3</v>
      </c>
      <c r="S155" s="12" cm="1">
        <f t="array" ref="S155">INDEX('PathStage-ConceptMap-3'!$I$15:$N$123,Q155+1,R155)</f>
        <v>0</v>
      </c>
    </row>
    <row r="156" spans="16:19">
      <c r="P156" s="11">
        <v>142</v>
      </c>
      <c r="Q156" s="11">
        <f t="shared" si="10"/>
        <v>23</v>
      </c>
      <c r="R156" s="11">
        <f t="shared" si="11"/>
        <v>4</v>
      </c>
      <c r="S156" s="12" cm="1">
        <f t="array" ref="S156">INDEX('PathStage-ConceptMap-3'!$I$15:$N$123,Q156+1,R156)</f>
        <v>0</v>
      </c>
    </row>
    <row r="157" spans="16:19">
      <c r="P157" s="11">
        <v>143</v>
      </c>
      <c r="Q157" s="11">
        <f t="shared" si="10"/>
        <v>23</v>
      </c>
      <c r="R157" s="11">
        <f t="shared" si="11"/>
        <v>5</v>
      </c>
      <c r="S157" s="12" cm="1">
        <f t="array" ref="S157">INDEX('PathStage-ConceptMap-3'!$I$15:$N$123,Q157+1,R157)</f>
        <v>0</v>
      </c>
    </row>
    <row r="158" spans="16:19">
      <c r="P158" s="11">
        <v>144</v>
      </c>
      <c r="Q158" s="11">
        <f t="shared" si="10"/>
        <v>23</v>
      </c>
      <c r="R158" s="11">
        <f t="shared" si="11"/>
        <v>6</v>
      </c>
      <c r="S158" s="12" cm="1">
        <f t="array" ref="S158">INDEX('PathStage-ConceptMap-3'!$I$15:$N$123,Q158+1,R158)</f>
        <v>0</v>
      </c>
    </row>
    <row r="159" spans="16:19">
      <c r="P159" s="11">
        <v>145</v>
      </c>
      <c r="Q159" s="11">
        <f t="shared" si="10"/>
        <v>24</v>
      </c>
      <c r="R159" s="11">
        <f t="shared" si="11"/>
        <v>1</v>
      </c>
      <c r="S159" s="12" cm="1">
        <f t="array" ref="S159">INDEX('PathStage-ConceptMap-3'!$I$15:$N$123,Q159+1,R159)</f>
        <v>0</v>
      </c>
    </row>
    <row r="160" spans="16:19">
      <c r="P160" s="11">
        <v>146</v>
      </c>
      <c r="Q160" s="11">
        <f t="shared" si="10"/>
        <v>24</v>
      </c>
      <c r="R160" s="11">
        <f t="shared" si="11"/>
        <v>2</v>
      </c>
      <c r="S160" s="12" cm="1">
        <f t="array" ref="S160">INDEX('PathStage-ConceptMap-3'!$I$15:$N$123,Q160+1,R160)</f>
        <v>0</v>
      </c>
    </row>
    <row r="161" spans="16:19">
      <c r="P161" s="11">
        <v>147</v>
      </c>
      <c r="Q161" s="11">
        <f t="shared" si="10"/>
        <v>24</v>
      </c>
      <c r="R161" s="11">
        <f t="shared" si="11"/>
        <v>3</v>
      </c>
      <c r="S161" s="12" cm="1">
        <f t="array" ref="S161">INDEX('PathStage-ConceptMap-3'!$I$15:$N$123,Q161+1,R161)</f>
        <v>0</v>
      </c>
    </row>
    <row r="162" spans="16:19">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theme="0" tint="-0.499984740745262"/>
  </sheetPr>
  <dimension ref="A1:S43"/>
  <sheetViews>
    <sheetView topLeftCell="J1" workbookViewId="0">
      <selection activeCell="S15" sqref="S15:S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1983</v>
      </c>
      <c r="D3" s="62" t="s">
        <v>1769</v>
      </c>
      <c r="E3" s="117" t="str">
        <f>$C$1&amp;ClinicalStage!B4</f>
        <v>http://hl7.eu/fhir/ig/idea4rc/StructureDefinition/ClinicalStageI4rc</v>
      </c>
    </row>
    <row r="4" spans="1:19">
      <c r="B4" s="62" t="s">
        <v>16</v>
      </c>
      <c r="C4" s="28" t="s">
        <v>1985</v>
      </c>
      <c r="D4" s="62" t="s">
        <v>1770</v>
      </c>
      <c r="E4" s="184" t="s">
        <v>2005</v>
      </c>
      <c r="F4" s="185"/>
      <c r="G4" s="185"/>
    </row>
    <row r="5" spans="1:19">
      <c r="B5" s="62" t="s">
        <v>10</v>
      </c>
      <c r="C5" s="7" t="s">
        <v>1986</v>
      </c>
      <c r="D5" s="62"/>
      <c r="E5" s="7"/>
    </row>
    <row r="6" spans="1:19">
      <c r="B6" s="62" t="s">
        <v>18</v>
      </c>
      <c r="C6" s="56"/>
      <c r="D6" s="62" t="s">
        <v>1771</v>
      </c>
      <c r="E6" s="184" t="str">
        <f>E3</f>
        <v>http://hl7.eu/fhir/ig/idea4rc/StructureDefinition/ClinicalStageI4rc</v>
      </c>
      <c r="F6" s="185"/>
      <c r="G6" s="185"/>
    </row>
    <row r="7" spans="1:19">
      <c r="B7" s="62" t="s">
        <v>15</v>
      </c>
      <c r="C7" s="118"/>
      <c r="D7" s="62" t="s">
        <v>1772</v>
      </c>
      <c r="E7" s="184" t="s">
        <v>2005</v>
      </c>
      <c r="F7" s="185"/>
      <c r="G7" s="185"/>
    </row>
    <row r="8" spans="1:19" ht="44.25">
      <c r="B8" s="62" t="s">
        <v>1773</v>
      </c>
      <c r="C8" s="119" t="s">
        <v>1986</v>
      </c>
      <c r="D8" s="62"/>
      <c r="E8" s="7"/>
      <c r="I8" s="12" t="s">
        <v>1402</v>
      </c>
      <c r="J8" s="12" t="s">
        <v>1403</v>
      </c>
      <c r="K8" s="12" t="s">
        <v>1404</v>
      </c>
      <c r="L8" s="12" t="s">
        <v>1405</v>
      </c>
      <c r="M8" s="11" t="s">
        <v>1406</v>
      </c>
      <c r="P8" s="49" t="s">
        <v>1441</v>
      </c>
      <c r="Q8" s="49">
        <v>6</v>
      </c>
    </row>
    <row r="9" spans="1:19">
      <c r="B9" s="62" t="s">
        <v>1774</v>
      </c>
      <c r="C9" s="12" t="s">
        <v>1987</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1845</v>
      </c>
      <c r="E14" s="6"/>
      <c r="F14" s="64"/>
      <c r="G14" s="64"/>
      <c r="I14" s="12"/>
      <c r="J14" s="11"/>
      <c r="K14" s="11"/>
      <c r="L14" s="11"/>
      <c r="M14" s="63"/>
      <c r="N14" s="66"/>
    </row>
    <row r="15" spans="1:19" ht="73.75" customHeight="1">
      <c r="A15" s="59"/>
      <c r="B15" s="11" t="str">
        <f>ClinicalStage!B12</f>
        <v>cM</v>
      </c>
      <c r="C15" s="11" t="str">
        <f>ClinicalStage!C12</f>
        <v>cM</v>
      </c>
      <c r="D15" s="12" t="s">
        <v>1996</v>
      </c>
      <c r="E15" s="12"/>
      <c r="F15" s="64" t="s">
        <v>1407</v>
      </c>
      <c r="G15" s="123"/>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c r="A16" s="59"/>
      <c r="B16" s="11"/>
      <c r="C16" s="11"/>
      <c r="D16" s="12"/>
      <c r="E16" s="12"/>
      <c r="F16" s="145"/>
      <c r="G16" s="123"/>
      <c r="H16" s="58"/>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c r="A17" s="59"/>
      <c r="B17" s="11"/>
      <c r="C17" s="11"/>
      <c r="D17" s="12"/>
      <c r="E17" s="12"/>
      <c r="F17" s="145"/>
      <c r="G17" s="123"/>
      <c r="H17" s="58"/>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c r="A18" s="59"/>
      <c r="B18" s="11"/>
      <c r="C18" s="11"/>
      <c r="D18" s="12"/>
      <c r="E18" s="12"/>
      <c r="F18" s="145"/>
      <c r="G18" s="123"/>
      <c r="H18" s="58"/>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c r="A20" s="59"/>
      <c r="B20" s="11"/>
      <c r="C20" s="11"/>
      <c r="D20" s="12"/>
      <c r="E20" s="12"/>
      <c r="F20" s="64"/>
      <c r="G20" s="123"/>
      <c r="H20" s="58"/>
      <c r="I20" s="12"/>
      <c r="J20" s="12"/>
      <c r="K20" s="12"/>
      <c r="L20" s="12"/>
      <c r="M20" s="12"/>
      <c r="N20" s="12"/>
      <c r="P20" s="11">
        <v>6</v>
      </c>
      <c r="Q20" s="11">
        <f t="shared" si="6"/>
        <v>0</v>
      </c>
      <c r="R20" s="11">
        <f t="shared" si="7"/>
        <v>6</v>
      </c>
      <c r="S20" s="12" t="str" cm="1">
        <f t="array" ref="S20">INDEX('PathStage-ConceptMap-4'!$I$15:$N$43,Q20+1,R20)</f>
        <v/>
      </c>
    </row>
    <row r="21" spans="1:19">
      <c r="A21" s="59"/>
      <c r="B21" s="11"/>
      <c r="C21" s="11"/>
      <c r="D21" s="12"/>
      <c r="E21" s="12"/>
      <c r="F21" s="64"/>
      <c r="G21" s="123"/>
      <c r="H21" s="58"/>
      <c r="I21" s="12"/>
      <c r="J21" s="12"/>
      <c r="K21" s="12"/>
      <c r="L21" s="12"/>
      <c r="M21" s="12"/>
      <c r="N21" s="12"/>
      <c r="P21" s="11">
        <v>7</v>
      </c>
      <c r="Q21" s="11">
        <f t="shared" si="6"/>
        <v>1</v>
      </c>
      <c r="R21" s="11">
        <f t="shared" si="7"/>
        <v>1</v>
      </c>
      <c r="S21" s="12" cm="1">
        <f t="array" ref="S21">INDEX('PathStage-ConceptMap-4'!$I$15:$N$43,Q21+1,R21)</f>
        <v>0</v>
      </c>
    </row>
    <row r="22" spans="1:19">
      <c r="A22" s="59"/>
      <c r="B22" s="11"/>
      <c r="C22" s="11"/>
      <c r="D22" s="12"/>
      <c r="E22" s="12"/>
      <c r="F22" s="64"/>
      <c r="G22" s="123"/>
      <c r="H22" s="58"/>
      <c r="I22" s="12"/>
      <c r="J22" s="12"/>
      <c r="K22" s="12"/>
      <c r="L22" s="12"/>
      <c r="M22" s="12"/>
      <c r="N22" s="12"/>
      <c r="P22" s="11">
        <v>8</v>
      </c>
      <c r="Q22" s="11">
        <f t="shared" si="6"/>
        <v>1</v>
      </c>
      <c r="R22" s="11">
        <f t="shared" si="7"/>
        <v>2</v>
      </c>
      <c r="S22" s="12" cm="1">
        <f t="array" ref="S22">INDEX('PathStage-ConceptMap-4'!$I$15:$N$43,Q22+1,R22)</f>
        <v>0</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cm="1">
        <f t="array" ref="S23">INDEX('PathStage-ConceptMap-4'!$I$15:$N$43,Q23+1,R23)</f>
        <v>0</v>
      </c>
    </row>
    <row r="24" spans="1:19">
      <c r="A24" s="59"/>
      <c r="B24" s="11"/>
      <c r="C24" s="11"/>
      <c r="D24" s="12"/>
      <c r="E24" s="12"/>
      <c r="F24" s="64"/>
      <c r="G24" s="123"/>
      <c r="H24" s="58"/>
      <c r="I24" s="12"/>
      <c r="J24" s="12"/>
      <c r="K24" s="12"/>
      <c r="L24" s="12"/>
      <c r="M24" s="12"/>
      <c r="N24" s="12"/>
      <c r="P24" s="11">
        <v>10</v>
      </c>
      <c r="Q24" s="11">
        <f t="shared" si="6"/>
        <v>1</v>
      </c>
      <c r="R24" s="11">
        <f t="shared" si="7"/>
        <v>4</v>
      </c>
      <c r="S24" s="12" cm="1">
        <f t="array" ref="S24">INDEX('PathStage-ConceptMap-4'!$I$15:$N$43,Q24+1,R24)</f>
        <v>0</v>
      </c>
    </row>
    <row r="25" spans="1:19">
      <c r="A25" s="59"/>
      <c r="B25" s="11"/>
      <c r="C25" s="11"/>
      <c r="D25" s="12"/>
      <c r="E25" s="12"/>
      <c r="F25" s="64"/>
      <c r="G25" s="123"/>
      <c r="H25" s="58"/>
      <c r="I25" s="12"/>
      <c r="J25" s="12"/>
      <c r="K25" s="12"/>
      <c r="L25" s="12"/>
      <c r="M25" s="12"/>
      <c r="N25" s="12"/>
      <c r="P25" s="11">
        <v>11</v>
      </c>
      <c r="Q25" s="11">
        <f t="shared" si="6"/>
        <v>1</v>
      </c>
      <c r="R25" s="11">
        <f t="shared" si="7"/>
        <v>5</v>
      </c>
      <c r="S25" s="12" cm="1">
        <f t="array" ref="S25">INDEX('PathStage-ConceptMap-4'!$I$15:$N$43,Q25+1,R25)</f>
        <v>0</v>
      </c>
    </row>
    <row r="26" spans="1:19">
      <c r="A26" s="59"/>
      <c r="B26" s="11"/>
      <c r="C26" s="11"/>
      <c r="D26" s="12"/>
      <c r="E26" s="12"/>
      <c r="F26" s="64"/>
      <c r="G26" s="123"/>
      <c r="H26" s="58"/>
      <c r="I26" s="12"/>
      <c r="J26" s="12"/>
      <c r="K26" s="12"/>
      <c r="L26" s="12"/>
      <c r="M26" s="12"/>
      <c r="N26" s="12"/>
      <c r="P26" s="11">
        <v>12</v>
      </c>
      <c r="Q26" s="11">
        <f t="shared" si="6"/>
        <v>1</v>
      </c>
      <c r="R26" s="11">
        <f t="shared" si="7"/>
        <v>6</v>
      </c>
      <c r="S26" s="12" t="str" cm="1">
        <f t="array" ref="S26">INDEX('PathStage-ConceptMap-4'!$I$15:$N$43,Q26+1,R26)</f>
        <v/>
      </c>
    </row>
    <row r="27" spans="1:19">
      <c r="B27" s="11"/>
      <c r="C27" s="11"/>
      <c r="D27" s="12"/>
      <c r="E27" s="12"/>
      <c r="F27" s="64"/>
      <c r="G27" s="123"/>
      <c r="H27" s="58"/>
      <c r="I27" s="12"/>
      <c r="J27" s="12"/>
      <c r="K27" s="12"/>
      <c r="L27" s="12"/>
      <c r="M27" s="12"/>
      <c r="N27" s="12"/>
      <c r="P27" s="11">
        <v>13</v>
      </c>
      <c r="Q27" s="11">
        <f t="shared" si="6"/>
        <v>2</v>
      </c>
      <c r="R27" s="11">
        <f t="shared" si="7"/>
        <v>1</v>
      </c>
      <c r="S27" s="12" cm="1">
        <f t="array" ref="S27">INDEX('PathStage-ConceptMap-4'!$I$15:$N$43,Q27+1,R27)</f>
        <v>0</v>
      </c>
    </row>
    <row r="28" spans="1:19">
      <c r="B28" s="11"/>
      <c r="C28" s="11"/>
      <c r="D28" s="12"/>
      <c r="E28" s="12"/>
      <c r="F28" s="64"/>
      <c r="G28" s="123"/>
      <c r="H28" s="58"/>
      <c r="I28" s="12"/>
      <c r="J28" s="12"/>
      <c r="K28" s="12"/>
      <c r="L28" s="12"/>
      <c r="M28" s="12"/>
      <c r="N28" s="12"/>
      <c r="P28" s="11">
        <v>14</v>
      </c>
      <c r="Q28" s="11">
        <f t="shared" si="6"/>
        <v>2</v>
      </c>
      <c r="R28" s="11">
        <f t="shared" si="7"/>
        <v>2</v>
      </c>
      <c r="S28" s="12" cm="1">
        <f t="array" ref="S28">INDEX('PathStage-ConceptMap-4'!$I$15:$N$43,Q28+1,R28)</f>
        <v>0</v>
      </c>
    </row>
    <row r="29" spans="1:19">
      <c r="B29" s="11"/>
      <c r="C29" s="11"/>
      <c r="D29" s="12"/>
      <c r="E29" s="12"/>
      <c r="F29" s="64"/>
      <c r="G29" s="123"/>
      <c r="H29" s="58"/>
      <c r="I29" s="12"/>
      <c r="J29" s="12"/>
      <c r="K29" s="12"/>
      <c r="L29" s="12"/>
      <c r="M29" s="12"/>
      <c r="N29" s="12"/>
      <c r="P29" s="11">
        <v>15</v>
      </c>
      <c r="Q29" s="11">
        <f t="shared" si="6"/>
        <v>2</v>
      </c>
      <c r="R29" s="11">
        <f t="shared" si="7"/>
        <v>3</v>
      </c>
      <c r="S29" s="12" cm="1">
        <f t="array" ref="S29">INDEX('PathStage-ConceptMap-4'!$I$15:$N$43,Q29+1,R29)</f>
        <v>0</v>
      </c>
    </row>
    <row r="30" spans="1:19">
      <c r="B30" s="11"/>
      <c r="C30" s="11"/>
      <c r="D30" s="12"/>
      <c r="E30" s="12"/>
      <c r="F30" s="64"/>
      <c r="G30" s="123"/>
      <c r="H30" s="58"/>
      <c r="I30" s="12"/>
      <c r="J30" s="12"/>
      <c r="K30" s="12"/>
      <c r="L30" s="12"/>
      <c r="M30" s="12"/>
      <c r="N30" s="12"/>
      <c r="P30" s="11">
        <v>16</v>
      </c>
      <c r="Q30" s="11">
        <f t="shared" si="6"/>
        <v>2</v>
      </c>
      <c r="R30" s="11">
        <f t="shared" si="7"/>
        <v>4</v>
      </c>
      <c r="S30" s="12" cm="1">
        <f t="array" ref="S30">INDEX('PathStage-ConceptMap-4'!$I$15:$N$43,Q30+1,R30)</f>
        <v>0</v>
      </c>
    </row>
    <row r="31" spans="1:19">
      <c r="B31" s="11"/>
      <c r="C31" s="11"/>
      <c r="D31" s="12"/>
      <c r="E31" s="12"/>
      <c r="F31" s="64"/>
      <c r="G31" s="123"/>
      <c r="H31" s="58"/>
      <c r="I31" s="12"/>
      <c r="J31" s="12"/>
      <c r="K31" s="12"/>
      <c r="L31" s="12"/>
      <c r="M31" s="12"/>
      <c r="N31" s="12"/>
      <c r="P31" s="11">
        <v>17</v>
      </c>
      <c r="Q31" s="11">
        <f t="shared" si="6"/>
        <v>2</v>
      </c>
      <c r="R31" s="11">
        <f t="shared" si="7"/>
        <v>5</v>
      </c>
      <c r="S31" s="12" cm="1">
        <f t="array" ref="S31">INDEX('PathStage-ConceptMap-4'!$I$15:$N$43,Q31+1,R31)</f>
        <v>0</v>
      </c>
    </row>
    <row r="32" spans="1:19">
      <c r="B32" s="11"/>
      <c r="C32" s="11"/>
      <c r="D32" s="12"/>
      <c r="E32" s="12"/>
      <c r="F32" s="64"/>
      <c r="G32" s="123"/>
      <c r="H32" s="58"/>
      <c r="I32" s="12"/>
      <c r="J32" s="12"/>
      <c r="K32" s="12"/>
      <c r="L32" s="12"/>
      <c r="M32" s="12"/>
      <c r="N32" s="12"/>
      <c r="P32" s="11">
        <v>18</v>
      </c>
      <c r="Q32" s="11">
        <f t="shared" si="6"/>
        <v>2</v>
      </c>
      <c r="R32" s="11">
        <f t="shared" si="7"/>
        <v>6</v>
      </c>
      <c r="S32" s="12" t="str" cm="1">
        <f t="array" ref="S32">INDEX('PathStage-ConceptMap-4'!$I$15:$N$43,Q32+1,R32)</f>
        <v/>
      </c>
    </row>
    <row r="33" spans="1:19">
      <c r="B33" s="11"/>
      <c r="C33" s="11"/>
      <c r="D33" s="12"/>
      <c r="E33" s="12"/>
      <c r="F33" s="64"/>
      <c r="G33" s="123"/>
      <c r="H33" s="58"/>
      <c r="I33" s="12"/>
      <c r="J33" s="12"/>
      <c r="K33" s="12"/>
      <c r="L33" s="12"/>
      <c r="M33" s="12"/>
      <c r="N33" s="12"/>
      <c r="P33" s="11">
        <v>19</v>
      </c>
      <c r="Q33" s="11">
        <f t="shared" si="6"/>
        <v>3</v>
      </c>
      <c r="R33" s="11">
        <f t="shared" si="7"/>
        <v>1</v>
      </c>
      <c r="S33" s="12" cm="1">
        <f t="array" ref="S33">INDEX('PathStage-ConceptMap-4'!$I$15:$N$43,Q33+1,R33)</f>
        <v>0</v>
      </c>
    </row>
    <row r="34" spans="1:19">
      <c r="B34" s="11"/>
      <c r="C34" s="11"/>
      <c r="D34" s="12"/>
      <c r="E34" s="12"/>
      <c r="F34" s="64"/>
      <c r="G34" s="123"/>
      <c r="H34" s="58"/>
      <c r="I34" s="12"/>
      <c r="J34" s="12"/>
      <c r="K34" s="12"/>
      <c r="L34" s="12"/>
      <c r="M34" s="12"/>
      <c r="N34" s="12"/>
      <c r="P34" s="11">
        <v>20</v>
      </c>
      <c r="Q34" s="11">
        <f t="shared" si="6"/>
        <v>3</v>
      </c>
      <c r="R34" s="11">
        <f t="shared" si="7"/>
        <v>2</v>
      </c>
      <c r="S34" s="12" cm="1">
        <f t="array" ref="S34">INDEX('PathStage-ConceptMap-4'!$I$15:$N$43,Q34+1,R34)</f>
        <v>0</v>
      </c>
    </row>
    <row r="35" spans="1:19">
      <c r="B35" s="11"/>
      <c r="C35" s="11"/>
      <c r="D35" s="12"/>
      <c r="E35" s="12"/>
      <c r="F35" s="64"/>
      <c r="G35" s="123"/>
      <c r="H35" s="58"/>
      <c r="I35" s="12"/>
      <c r="J35" s="12"/>
      <c r="K35" s="12"/>
      <c r="L35" s="12"/>
      <c r="M35" s="12"/>
      <c r="N35" s="12"/>
      <c r="P35" s="11">
        <v>21</v>
      </c>
      <c r="Q35" s="11">
        <f t="shared" si="6"/>
        <v>3</v>
      </c>
      <c r="R35" s="11">
        <f t="shared" si="7"/>
        <v>3</v>
      </c>
      <c r="S35" s="12" cm="1">
        <f t="array" ref="S35">INDEX('PathStage-ConceptMap-4'!$I$15:$N$43,Q35+1,R35)</f>
        <v>0</v>
      </c>
    </row>
    <row r="36" spans="1:19">
      <c r="B36" s="11"/>
      <c r="C36" s="11"/>
      <c r="D36" s="12"/>
      <c r="E36" s="12"/>
      <c r="F36" s="64"/>
      <c r="G36" s="123"/>
      <c r="H36" s="58"/>
      <c r="I36" s="12"/>
      <c r="J36" s="12"/>
      <c r="K36" s="12"/>
      <c r="L36" s="12"/>
      <c r="M36" s="12"/>
      <c r="N36" s="12"/>
      <c r="P36" s="11">
        <v>22</v>
      </c>
      <c r="Q36" s="11">
        <f t="shared" si="6"/>
        <v>3</v>
      </c>
      <c r="R36" s="11">
        <f t="shared" si="7"/>
        <v>4</v>
      </c>
      <c r="S36" s="12" cm="1">
        <f t="array" ref="S36">INDEX('PathStage-ConceptMap-4'!$I$15:$N$43,Q36+1,R36)</f>
        <v>0</v>
      </c>
    </row>
    <row r="37" spans="1:19">
      <c r="B37" s="11"/>
      <c r="C37" s="11"/>
      <c r="D37" s="12"/>
      <c r="E37" s="12"/>
      <c r="F37" s="64"/>
      <c r="G37" s="123"/>
      <c r="H37" s="58"/>
      <c r="K37" s="58"/>
      <c r="L37" s="58"/>
      <c r="M37" s="66"/>
      <c r="N37" s="66"/>
      <c r="P37" s="11">
        <v>23</v>
      </c>
      <c r="Q37" s="11">
        <f t="shared" si="6"/>
        <v>3</v>
      </c>
      <c r="R37" s="11">
        <f t="shared" si="7"/>
        <v>5</v>
      </c>
      <c r="S37" s="12" cm="1">
        <f t="array" ref="S37">INDEX('PathStage-ConceptMap-4'!$I$15:$N$43,Q37+1,R37)</f>
        <v>0</v>
      </c>
    </row>
    <row r="38" spans="1:19">
      <c r="B38" s="11"/>
      <c r="C38" s="11"/>
      <c r="D38" s="12"/>
      <c r="E38" s="12"/>
      <c r="F38" s="64"/>
      <c r="G38" s="123"/>
      <c r="H38" s="58"/>
      <c r="K38" s="58"/>
      <c r="L38" s="58"/>
      <c r="M38" s="66"/>
      <c r="N38" s="66"/>
      <c r="P38" s="11">
        <v>24</v>
      </c>
      <c r="Q38" s="11">
        <f t="shared" si="6"/>
        <v>3</v>
      </c>
      <c r="R38" s="11">
        <f t="shared" si="7"/>
        <v>6</v>
      </c>
      <c r="S38" s="12" t="str" cm="1">
        <f t="array" ref="S38">INDEX('PathStage-ConceptMap-4'!$I$15:$N$43,Q38+1,R38)</f>
        <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INDEX('PathStage-ConceptMap-4'!$I$15:$N$43,Q39+1,R39)</f>
        <v>0</v>
      </c>
    </row>
    <row r="40" spans="1:19" s="2" customFormat="1">
      <c r="A40"/>
      <c r="B40" s="11"/>
      <c r="C40" s="11"/>
      <c r="D40" s="12"/>
      <c r="F40" s="58"/>
      <c r="G40" s="123"/>
      <c r="H40" s="58"/>
      <c r="J40"/>
      <c r="K40" s="58"/>
      <c r="L40" s="58"/>
      <c r="M40" s="66"/>
      <c r="N40" s="66"/>
      <c r="P40" s="11">
        <v>26</v>
      </c>
      <c r="Q40" s="11">
        <f t="shared" si="6"/>
        <v>4</v>
      </c>
      <c r="R40" s="11">
        <f t="shared" si="7"/>
        <v>2</v>
      </c>
      <c r="S40" s="12" cm="1">
        <f t="array" ref="S40">INDEX('PathStage-ConceptMap-4'!$I$15:$N$43,Q40+1,R40)</f>
        <v>0</v>
      </c>
    </row>
    <row r="41" spans="1:19" s="2" customFormat="1">
      <c r="A41"/>
      <c r="B41" s="11"/>
      <c r="C41" s="11"/>
      <c r="D41" s="12"/>
      <c r="F41" s="58"/>
      <c r="G41" s="123"/>
      <c r="H41" s="58"/>
      <c r="J41"/>
      <c r="K41" s="58"/>
      <c r="L41" s="58"/>
      <c r="M41" s="66"/>
      <c r="N41" s="66"/>
      <c r="P41" s="11">
        <v>27</v>
      </c>
      <c r="Q41" s="11">
        <f t="shared" si="6"/>
        <v>4</v>
      </c>
      <c r="R41" s="11">
        <f t="shared" si="7"/>
        <v>3</v>
      </c>
      <c r="S41" s="12" cm="1">
        <f t="array" ref="S41">INDEX('PathStage-ConceptMap-4'!$I$15:$N$43,Q41+1,R41)</f>
        <v>0</v>
      </c>
    </row>
    <row r="42" spans="1:19" s="2" customFormat="1">
      <c r="A42"/>
      <c r="B42" s="11"/>
      <c r="C42" s="11"/>
      <c r="D42" s="12"/>
      <c r="F42" s="58"/>
      <c r="G42" s="123"/>
      <c r="H42" s="58"/>
      <c r="J42" s="58"/>
      <c r="K42" s="58"/>
      <c r="L42" s="58"/>
      <c r="M42" s="66"/>
      <c r="N42" s="66"/>
      <c r="P42" s="11">
        <v>28</v>
      </c>
      <c r="Q42" s="11">
        <f t="shared" si="6"/>
        <v>4</v>
      </c>
      <c r="R42" s="11">
        <f t="shared" si="7"/>
        <v>4</v>
      </c>
      <c r="S42" s="12" cm="1">
        <f t="array" ref="S42">INDEX('PathStage-ConceptMap-4'!$I$15:$N$43,Q42+1,R42)</f>
        <v>0</v>
      </c>
    </row>
    <row r="43" spans="1:19" s="2" customFormat="1">
      <c r="A43"/>
      <c r="B43" s="11"/>
      <c r="C43" s="11"/>
      <c r="F43" s="58"/>
      <c r="G43" s="123"/>
      <c r="H43" s="58"/>
      <c r="J43" s="58"/>
      <c r="K43" s="58"/>
      <c r="L43" s="58"/>
      <c r="M43" s="66"/>
      <c r="N43" s="66"/>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theme="0" tint="-0.34998626667073579"/>
  </sheetPr>
  <dimension ref="B1:G191"/>
  <sheetViews>
    <sheetView workbookViewId="0">
      <selection activeCell="A160" sqref="A145:XFD16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2013</v>
      </c>
    </row>
    <row r="3" spans="2:7">
      <c r="B3" s="24" t="s">
        <v>20</v>
      </c>
    </row>
    <row r="4" spans="2:7">
      <c r="B4" s="65" t="str">
        <f>"Instance: "&amp;'PathStage-ConceptMap-1'!C4</f>
        <v>Instance: pathologicalStage2FHIR</v>
      </c>
    </row>
    <row r="5" spans="2:7">
      <c r="B5" s="65" t="s">
        <v>1447</v>
      </c>
    </row>
    <row r="6" spans="2:7">
      <c r="B6" s="65" t="s">
        <v>1438</v>
      </c>
    </row>
    <row r="7" spans="2:7">
      <c r="B7" s="65" t="s">
        <v>1776</v>
      </c>
    </row>
    <row r="8" spans="2:7">
      <c r="B8" s="65" t="str">
        <f>"* name = ##34#"&amp;'PathStage-ConceptMap-1'!C3&amp;"##34#"</f>
        <v>* name = ##34#PathologicalStage2FHIR##34#</v>
      </c>
    </row>
    <row r="9" spans="2:7">
      <c r="B9" s="65" t="str">
        <f>"* title = ##34#"&amp;'PathStage-ConceptMap-1'!C5&amp;"##34#"</f>
        <v>* title = ##34#Pathological Stage Model to this guide Map##34#</v>
      </c>
    </row>
    <row r="10" spans="2:7">
      <c r="B10" s="65" t="s">
        <v>1439</v>
      </c>
    </row>
    <row r="11" spans="2:7">
      <c r="B11" s="65" t="s">
        <v>1440</v>
      </c>
    </row>
    <row r="12" spans="2:7">
      <c r="B12" s="65" t="str">
        <f>"* description = ##34#"&amp;'PathStage-ConceptMap-1'!C8&amp;"##34#"</f>
        <v>* description = ##34#Pathological Stage Model to this guide Map##34#</v>
      </c>
    </row>
    <row r="13" spans="2:7">
      <c r="B13" s="65" t="str">
        <f>"* purpose = ##34#"&amp;'PathStage-ConceptMap-1'!C9&amp;"##34#"</f>
        <v>* purpose = ##34#It shows how the Pathological Stage model is mapped into this guide##34#</v>
      </c>
    </row>
    <row r="14" spans="2:7">
      <c r="B14" s="69" t="str">
        <f>"* sourceUri = ##34#"&amp;'PathStage-ConceptMap-1'!E3&amp;"##34#"</f>
        <v>* sourceUri = ##34#http://hl7.eu/fhir/ig/idea4rc/StructureDefinition/ClinicalStageI4rc##34#</v>
      </c>
    </row>
    <row r="15" spans="2:7">
      <c r="B15" s="69" t="str">
        <f>"* targetUri = ##34#"&amp;'PathStage-ConceptMap-1'!E4&amp;"##34#"</f>
        <v>* targetUri = ##34#http://hl7.eu/fhir/ig/idea4rc/StructureDefinition/mcode-cancer-stage-group##34#</v>
      </c>
    </row>
    <row r="16" spans="2:7">
      <c r="B16" s="68" t="str">
        <f>"* group[+].source = ##34#"&amp;'PathStage-ConceptMap-1'!E6&amp;"##34#"</f>
        <v>* group[+].source = ##34#http://hl7.eu/fhir/ig/idea4rc/StructureDefinition/ClinicalStageI4rc##34#</v>
      </c>
    </row>
    <row r="17" spans="2:7">
      <c r="B17" s="68" t="str">
        <f>"* group[=].target = ##34#"&amp;'PathStage-ConceptMap-1'!E7&amp;"##34#"</f>
        <v>* group[=].target = ##34#http://hl7.eu/fhir/ig/idea4rc/StructureDefinition/mcode-cancer-stage-group##34#</v>
      </c>
    </row>
    <row r="18" spans="2:7">
      <c r="B18" s="121"/>
    </row>
    <row r="19" spans="2:7">
      <c r="B19" s="12" t="str">
        <f>IF('PathStage-ConceptMap-1'!S15=0,"//---END",'PathStage-ConceptMap-1'!S15)</f>
        <v>* group[=].element[+].code = #PathologicalStage.episodeEventReference</v>
      </c>
    </row>
    <row r="20" spans="2:7">
      <c r="B20" s="12" t="str">
        <f>IF('PathStage-ConceptMap-1'!S16=0,"//---END",'PathStage-ConceptMap-1'!S16)</f>
        <v>* group[=].element[=].display = ##34#Episode Event Reference##34#</v>
      </c>
    </row>
    <row r="21" spans="2:7">
      <c r="B21" s="12" t="str">
        <f>IF('PathStage-ConceptMap-1'!S17=0,"//---END",'PathStage-ConceptMap-1'!S17)</f>
        <v>* group[=].element[=].target.code = #Observation.</v>
      </c>
    </row>
    <row r="22" spans="2:7">
      <c r="B22" s="12" t="str">
        <f>IF('PathStage-ConceptMap-1'!S18=0,"//---END",'PathStage-ConceptMap-1'!S18)</f>
        <v>* group[=].element[=].target.display = ##34###34#</v>
      </c>
    </row>
    <row r="23" spans="2:7">
      <c r="B23" s="12" t="str">
        <f>IF('PathStage-ConceptMap-1'!S19=0,"//---END",'PathStage-ConceptMap-1'!S19)</f>
        <v>* group[=].element[=].target.equivalence = #relatedto</v>
      </c>
    </row>
    <row r="24" spans="2:7">
      <c r="B24" s="12" t="str">
        <f>IF('PathStage-ConceptMap-1'!S20=0,"//---END",'PathStage-ConceptMap-1'!S20)</f>
        <v>* group[=].element[=].target.comment = ##34#Condition.stage.assessment##34#</v>
      </c>
      <c r="G24" s="7"/>
    </row>
    <row r="25" spans="2:7">
      <c r="B25" s="12" t="str">
        <f>IF('PathStage-ConceptMap-1'!S21=0,"//---END",'PathStage-ConceptMap-1'!S21)</f>
        <v>* group[=].element[+].code = #PathologicalStage.pT</v>
      </c>
    </row>
    <row r="26" spans="2:7">
      <c r="B26" s="12" t="str">
        <f>IF('PathStage-ConceptMap-1'!S22=0,"//---END",'PathStage-ConceptMap-1'!S22)</f>
        <v>* group[=].element[=].display = ##34#pT##34#</v>
      </c>
    </row>
    <row r="27" spans="2:7">
      <c r="B27" s="12" t="str">
        <f>IF('PathStage-ConceptMap-1'!S23=0,"//---END",'PathStage-ConceptMap-1'!S23)</f>
        <v>* group[=].element[=].target.code = #Observation.hasMember:tnmPrimaryTumorCategory</v>
      </c>
    </row>
    <row r="28" spans="2:7">
      <c r="B28" s="12" t="str">
        <f>IF('PathStage-ConceptMap-1'!S24=0,"//---END",'PathStage-ConceptMap-1'!S24)</f>
        <v>* group[=].element[=].target.display = ##34###34#</v>
      </c>
    </row>
    <row r="29" spans="2:7">
      <c r="B29" s="12" t="str">
        <f>IF('PathStage-ConceptMap-1'!S25=0,"//---END",'PathStage-ConceptMap-1'!S25)</f>
        <v>* group[=].element[=].target.equivalence = #relatedto</v>
      </c>
    </row>
    <row r="30" spans="2:7">
      <c r="B30" s="12" t="str">
        <f>IF('PathStage-ConceptMap-1'!S26=0,"//---END",'PathStage-ConceptMap-1'!S26)</f>
        <v>* group[=].element[=].target.comment = ##34#where code = 21902-2	 'Stage group.pathology'##34#</v>
      </c>
    </row>
    <row r="31" spans="2:7">
      <c r="B31" s="12" t="str">
        <f>IF('PathStage-ConceptMap-1'!S27=0,"//---END",'PathStage-ConceptMap-1'!S27)</f>
        <v>* group[=].element[+].code = #PathologicalStage.pN</v>
      </c>
    </row>
    <row r="32" spans="2:7">
      <c r="B32" s="12" t="str">
        <f>IF('PathStage-ConceptMap-1'!S28=0,"//---END",'PathStage-ConceptMap-1'!S28)</f>
        <v>* group[=].element[=].display = ##34#pN##34#</v>
      </c>
    </row>
    <row r="33" spans="2:2">
      <c r="B33" s="12" t="str">
        <f>IF('PathStage-ConceptMap-1'!S29=0,"//---END",'PathStage-ConceptMap-1'!S29)</f>
        <v>* group[=].element[=].target.code = #Observation.hasMember:tnmRegionalNodesCategory</v>
      </c>
    </row>
    <row r="34" spans="2:2">
      <c r="B34" s="12" t="str">
        <f>IF('PathStage-ConceptMap-1'!S30=0,"//---END",'PathStage-ConceptMap-1'!S30)</f>
        <v>* group[=].element[=].target.display = ##34###34#</v>
      </c>
    </row>
    <row r="35" spans="2:2">
      <c r="B35" s="12" t="str">
        <f>IF('PathStage-ConceptMap-1'!S31=0,"//---END",'PathStage-ConceptMap-1'!S31)</f>
        <v>* group[=].element[=].target.equivalence = #relatedto</v>
      </c>
    </row>
    <row r="36" spans="2:2">
      <c r="B36" s="12" t="str">
        <f>IF('PathStage-ConceptMap-1'!S32=0,"//---END",'PathStage-ConceptMap-1'!S32)</f>
        <v>* group[=].element[=].target.comment = ##34#where code = 21902-2	 'Stage group.pathology'##34#</v>
      </c>
    </row>
    <row r="37" spans="2:2">
      <c r="B37" s="12" t="str">
        <f>IF('PathStage-ConceptMap-1'!S33=0,"//---END",'PathStage-ConceptMap-1'!S33)</f>
        <v>* group[=].element[+].code = #PathologicalStage.pM</v>
      </c>
    </row>
    <row r="38" spans="2:2">
      <c r="B38" s="12" t="str">
        <f>IF('PathStage-ConceptMap-1'!S34=0,"//---END",'PathStage-ConceptMap-1'!S34)</f>
        <v>* group[=].element[=].display = ##34#pM##34#</v>
      </c>
    </row>
    <row r="39" spans="2:2">
      <c r="B39" s="12" t="str">
        <f>IF('PathStage-ConceptMap-1'!S35=0,"//---END",'PathStage-ConceptMap-1'!S35)</f>
        <v>* group[=].element[=].target.code = #Observation.hasMember:tnmDistantMetastasesCategory</v>
      </c>
    </row>
    <row r="40" spans="2:2">
      <c r="B40" s="12" t="str">
        <f>IF('PathStage-ConceptMap-1'!S36=0,"//---END",'PathStage-ConceptMap-1'!S36)</f>
        <v>* group[=].element[=].target.display = ##34###34#</v>
      </c>
    </row>
    <row r="41" spans="2:2">
      <c r="B41" s="12" t="str">
        <f>IF('PathStage-ConceptMap-1'!S37=0,"//---END",'PathStage-ConceptMap-1'!S37)</f>
        <v>* group[=].element[=].target.equivalence = #equal</v>
      </c>
    </row>
    <row r="42" spans="2:2">
      <c r="B42" s="12" t="str">
        <f>IF('PathStage-ConceptMap-1'!S38=0,"//---END",'PathStage-ConceptMap-1'!S38)</f>
        <v>* group[=].element[=].target.comment = ##34#where code = 21902-2	 'Stage group.pathology'##34#</v>
      </c>
    </row>
    <row r="43" spans="2:2">
      <c r="B43" s="12" t="str">
        <f>IF('PathStage-ConceptMap-1'!S39=0,"//---END",'PathStage-ConceptMap-1'!S39)</f>
        <v>* group[=].element[+].code = #PathologicalStage.extranodalExtension</v>
      </c>
    </row>
    <row r="44" spans="2:2">
      <c r="B44" s="12" t="str">
        <f>IF('PathStage-ConceptMap-1'!S40=0,"//---END",'PathStage-ConceptMap-1'!S40)</f>
        <v>* group[=].element[=].display = ##34#Extranodal extension (ENE)##34#</v>
      </c>
    </row>
    <row r="45" spans="2:2">
      <c r="B45" s="12" t="str">
        <f>IF('PathStage-ConceptMap-1'!S41=0,"//---END",'PathStage-ConceptMap-1'!S41)</f>
        <v>* group[=].element[=].target.code = #Observation.</v>
      </c>
    </row>
    <row r="46" spans="2:2">
      <c r="B46" s="12" t="str">
        <f>IF('PathStage-ConceptMap-1'!S42=0,"//---END",'PathStage-ConceptMap-1'!S42)</f>
        <v>* group[=].element[=].target.display = ##34###34#</v>
      </c>
    </row>
    <row r="47" spans="2:2">
      <c r="B47" s="12" t="str">
        <f>IF('PathStage-ConceptMap-1'!S43=0,"//---END",'PathStage-ConceptMap-1'!S43)</f>
        <v>* group[=].element[=].target.equivalence = #relatedto</v>
      </c>
    </row>
    <row r="48" spans="2:2">
      <c r="B48" s="12" t="str">
        <f>IF('PathStage-ConceptMap-1'!S44=0,"//---END",'PathStage-ConceptMap-1'!S44)</f>
        <v>* group[=].element[=].target.comment = ##34#CLARIFY MAPPING##34#</v>
      </c>
    </row>
    <row r="49" spans="2:2">
      <c r="B49" s="12" t="str">
        <f>IF('PathStage-ConceptMap-1'!S45=0,"//---END",'PathStage-ConceptMap-1'!S45)</f>
        <v>* group[=].element[+].code = #PathologicalStage.extranodalExtent</v>
      </c>
    </row>
    <row r="50" spans="2:2">
      <c r="B50" s="12" t="str">
        <f>IF('PathStage-ConceptMap-1'!S46=0,"//---END",'PathStage-ConceptMap-1'!S46)</f>
        <v>* group[=].element[=].display = ##34#Extranodal Extent##34#</v>
      </c>
    </row>
    <row r="51" spans="2:2">
      <c r="B51" s="12" t="str">
        <f>IF('PathStage-ConceptMap-1'!S47=0,"//---END",'PathStage-ConceptMap-1'!S47)</f>
        <v>* group[=].element[=].target.code = #Observation.</v>
      </c>
    </row>
    <row r="52" spans="2:2">
      <c r="B52" s="12" t="str">
        <f>IF('PathStage-ConceptMap-1'!S48=0,"//---END",'PathStage-ConceptMap-1'!S48)</f>
        <v>* group[=].element[=].target.display = ##34###34#</v>
      </c>
    </row>
    <row r="53" spans="2:2">
      <c r="B53" s="12" t="str">
        <f>IF('PathStage-ConceptMap-1'!S49=0,"//---END",'PathStage-ConceptMap-1'!S49)</f>
        <v>* group[=].element[=].target.equivalence = #relatedto</v>
      </c>
    </row>
    <row r="54" spans="2:2">
      <c r="B54" s="12" t="str">
        <f>IF('PathStage-ConceptMap-1'!S50=0,"//---END",'PathStage-ConceptMap-1'!S50)</f>
        <v>* group[=].element[=].target.comment = ##34#CLARIFY MAPPING##34#</v>
      </c>
    </row>
    <row r="55" spans="2:2">
      <c r="B55" s="12" t="str">
        <f>IF('PathStage-ConceptMap-1'!S51=0,"//---END",'PathStage-ConceptMap-1'!S51)</f>
        <v>* group[=].element[+].code = #PathologicalStage.sentinelNode</v>
      </c>
    </row>
    <row r="56" spans="2:2">
      <c r="B56" s="12" t="str">
        <f>IF('PathStage-ConceptMap-1'!S52=0,"//---END",'PathStage-ConceptMap-1'!S52)</f>
        <v>* group[=].element[=].display = ##34#Sentinel node##34#</v>
      </c>
    </row>
    <row r="57" spans="2:2">
      <c r="B57" s="12" t="str">
        <f>IF('PathStage-ConceptMap-1'!S53=0,"//---END",'PathStage-ConceptMap-1'!S53)</f>
        <v>* group[=].element[=].target.code = #Observation.</v>
      </c>
    </row>
    <row r="58" spans="2:2">
      <c r="B58" s="12" t="str">
        <f>IF('PathStage-ConceptMap-1'!S54=0,"//---END",'PathStage-ConceptMap-1'!S54)</f>
        <v>* group[=].element[=].target.display = ##34###34#</v>
      </c>
    </row>
    <row r="59" spans="2:2">
      <c r="B59" s="12" t="str">
        <f>IF('PathStage-ConceptMap-1'!S55=0,"//---END",'PathStage-ConceptMap-1'!S55)</f>
        <v>* group[=].element[=].target.equivalence = #relatedto</v>
      </c>
    </row>
    <row r="60" spans="2:2">
      <c r="B60" s="12" t="str">
        <f>IF('PathStage-ConceptMap-1'!S56=0,"//---END",'PathStage-ConceptMap-1'!S56)</f>
        <v>* group[=].element[=].target.comment = ##34#CLARIFY MAPPING##34#</v>
      </c>
    </row>
    <row r="61" spans="2:2">
      <c r="B61" s="12" t="str">
        <f>IF('PathStage-ConceptMap-1'!S57=0,"//---END",'PathStage-ConceptMap-1'!S57)</f>
        <v>* group[=].element[+].code = #PathologicalStage.neckDissection</v>
      </c>
    </row>
    <row r="62" spans="2:2">
      <c r="B62" s="12" t="str">
        <f>IF('PathStage-ConceptMap-1'!S58=0,"//---END",'PathStage-ConceptMap-1'!S58)</f>
        <v>* group[=].element[=].display = ##34#Neck dissection##34#</v>
      </c>
    </row>
    <row r="63" spans="2:2">
      <c r="B63" s="12" t="str">
        <f>IF('PathStage-ConceptMap-1'!S59=0,"//---END",'PathStage-ConceptMap-1'!S59)</f>
        <v>* group[=].element[=].target.code = #Observation.</v>
      </c>
    </row>
    <row r="64" spans="2:2">
      <c r="B64" s="12" t="str">
        <f>IF('PathStage-ConceptMap-1'!S60=0,"//---END",'PathStage-ConceptMap-1'!S60)</f>
        <v>* group[=].element[=].target.display = ##34###34#</v>
      </c>
    </row>
    <row r="65" spans="2:2">
      <c r="B65" s="12" t="str">
        <f>IF('PathStage-ConceptMap-1'!S61=0,"//---END",'PathStage-ConceptMap-1'!S61)</f>
        <v>* group[=].element[=].target.equivalence = #relatedto</v>
      </c>
    </row>
    <row r="66" spans="2:2">
      <c r="B66" s="12" t="str">
        <f>IF('PathStage-ConceptMap-1'!S62=0,"//---END",'PathStage-ConceptMap-1'!S62)</f>
        <v>* group[=].element[=].target.comment = ##34#CLARIFY MAPPING##34#</v>
      </c>
    </row>
    <row r="67" spans="2:2">
      <c r="B67" s="12" t="str">
        <f>IF('PathStage-ConceptMap-1'!S63=0,"//---END",'PathStage-ConceptMap-1'!S63)</f>
        <v>* group[=].element[+].code = #PathologicalStage.pathologicalStaging</v>
      </c>
    </row>
    <row r="68" spans="2:2">
      <c r="B68" s="12" t="str">
        <f>IF('PathStage-ConceptMap-1'!S64=0,"//---END",'PathStage-ConceptMap-1'!S64)</f>
        <v>* group[=].element[=].display = ##34#Pathological staging##34#</v>
      </c>
    </row>
    <row r="69" spans="2:2">
      <c r="B69" s="12" t="str">
        <f>IF('PathStage-ConceptMap-1'!S65=0,"//---END",'PathStage-ConceptMap-1'!S65)</f>
        <v>* group[=].element[=].target.code = #Observation.valueCodeableConcept</v>
      </c>
    </row>
    <row r="70" spans="2:2">
      <c r="B70" s="12" t="str">
        <f>IF('PathStage-ConceptMap-1'!S66=0,"//---END",'PathStage-ConceptMap-1'!S66)</f>
        <v>* group[=].element[=].target.display = ##34###34#</v>
      </c>
    </row>
    <row r="71" spans="2:2">
      <c r="B71" s="12" t="str">
        <f>IF('PathStage-ConceptMap-1'!S67=0,"//---END",'PathStage-ConceptMap-1'!S67)</f>
        <v>* group[=].element[=].target.equivalence = #relatedto</v>
      </c>
    </row>
    <row r="72" spans="2:2">
      <c r="B72" s="12" t="str">
        <f>IF('PathStage-ConceptMap-1'!S68=0,"//---END",'PathStage-ConceptMap-1'!S68)</f>
        <v>* group[=].element[=].target.comment = ##34#where code = 21902-2	 'Stage group.pathology'##34#</v>
      </c>
    </row>
    <row r="73" spans="2:2">
      <c r="B73" s="12" t="str">
        <f>IF('PathStage-ConceptMap-1'!S69=0,"//---END",'PathStage-ConceptMap-1'!S69)</f>
        <v>* group[=].element[+].code = #PathologicalStage.ajccEdition</v>
      </c>
    </row>
    <row r="74" spans="2:2">
      <c r="B74" s="12" t="str">
        <f>IF('PathStage-ConceptMap-1'!S70=0,"//---END",'PathStage-ConceptMap-1'!S70)</f>
        <v>* group[=].element[=].display = ##34#Ajcc edition##34#</v>
      </c>
    </row>
    <row r="75" spans="2:2">
      <c r="B75" s="12" t="str">
        <f>IF('PathStage-ConceptMap-1'!S71=0,"//---END",'PathStage-ConceptMap-1'!S71)</f>
        <v>* group[=].element[=].target.code = #Observation.valueCodeableConcept.coding.system</v>
      </c>
    </row>
    <row r="76" spans="2:2">
      <c r="B76" s="12" t="str">
        <f>IF('PathStage-ConceptMap-1'!S72=0,"//---END",'PathStage-ConceptMap-1'!S72)</f>
        <v>* group[=].element[=].target.display = ##34###34#</v>
      </c>
    </row>
    <row r="77" spans="2:2">
      <c r="B77" s="12" t="str">
        <f>IF('PathStage-ConceptMap-1'!S73=0,"//---END",'PathStage-ConceptMap-1'!S73)</f>
        <v>* group[=].element[=].target.equivalence = #relatedto</v>
      </c>
    </row>
    <row r="78" spans="2:2" ht="29.5">
      <c r="B78" s="12" t="str">
        <f>IF('PathStage-ConceptMap-1'!S74=0,"//---END",'PathStage-ConceptMap-1'!S74)</f>
        <v>* group[=].element[=].target.comment = ##34#where code = 21902-2	 'Stage group.pathology'
a code system version can be specifed as part of the system##34#</v>
      </c>
    </row>
    <row r="79" spans="2:2">
      <c r="B79" s="12" t="str">
        <f>IF('PathStage-ConceptMap-1'!S75=0,"//---END",'PathStage-ConceptMap-1'!S75)</f>
        <v>* group[=].element[+].code = #PathologicalStage.softTissue</v>
      </c>
    </row>
    <row r="80" spans="2:2">
      <c r="B80" s="12" t="str">
        <f>IF('PathStage-ConceptMap-1'!S76=0,"//---END",'PathStage-ConceptMap-1'!S76)</f>
        <v>* group[=].element[=].display = ##34#Soft Tissue##34#</v>
      </c>
    </row>
    <row r="81" spans="2:2">
      <c r="B81" s="12" t="str">
        <f>IF('PathStage-ConceptMap-1'!S77=0,"//---END",'PathStage-ConceptMap-1'!S77)</f>
        <v>* group[=].element[=].target.code = #Observation.</v>
      </c>
    </row>
    <row r="82" spans="2:2">
      <c r="B82" s="12" t="str">
        <f>IF('PathStage-ConceptMap-1'!S78=0,"//---END",'PathStage-ConceptMap-1'!S78)</f>
        <v>* group[=].element[=].target.display = ##34###34#</v>
      </c>
    </row>
    <row r="83" spans="2:2">
      <c r="B83" s="12" t="str">
        <f>IF('PathStage-ConceptMap-1'!S79=0,"//---END",'PathStage-ConceptMap-1'!S79)</f>
        <v>* group[=].element[=].target.equivalence = #relatedto</v>
      </c>
    </row>
    <row r="84" spans="2:2">
      <c r="B84" s="12" t="str">
        <f>IF('PathStage-ConceptMap-1'!S80=0,"//---END",'PathStage-ConceptMap-1'!S80)</f>
        <v>* group[=].element[=].target.comment = ##34#CLARIFY HOW THIS DIFFERS FROM THE EQUIVALENT DATA IN EPISODE EVENT##34#</v>
      </c>
    </row>
    <row r="85" spans="2:2">
      <c r="B85" s="12" t="str">
        <f>IF('PathStage-ConceptMap-1'!S81=0,"//---END",'PathStage-ConceptMap-1'!S81)</f>
        <v>* group[=].element[+].code = #PathologicalStage.distantLymphNode</v>
      </c>
    </row>
    <row r="86" spans="2:2">
      <c r="B86" s="12" t="str">
        <f>IF('PathStage-ConceptMap-1'!S82=0,"//---END",'PathStage-ConceptMap-1'!S82)</f>
        <v>* group[=].element[=].display = ##34#distant lymph node##34#</v>
      </c>
    </row>
    <row r="87" spans="2:2">
      <c r="B87" s="12" t="str">
        <f>IF('PathStage-ConceptMap-1'!S83=0,"//---END",'PathStage-ConceptMap-1'!S83)</f>
        <v>* group[=].element[=].target.code = #Observation.</v>
      </c>
    </row>
    <row r="88" spans="2:2">
      <c r="B88" s="12" t="str">
        <f>IF('PathStage-ConceptMap-1'!S84=0,"//---END",'PathStage-ConceptMap-1'!S84)</f>
        <v>* group[=].element[=].target.display = ##34###34#</v>
      </c>
    </row>
    <row r="89" spans="2:2">
      <c r="B89" s="12" t="str">
        <f>IF('PathStage-ConceptMap-1'!S85=0,"//---END",'PathStage-ConceptMap-1'!S85)</f>
        <v>* group[=].element[=].target.equivalence = #relatedto</v>
      </c>
    </row>
    <row r="90" spans="2:2">
      <c r="B90" s="12" t="str">
        <f>IF('PathStage-ConceptMap-1'!S86=0,"//---END",'PathStage-ConceptMap-1'!S86)</f>
        <v>* group[=].element[=].target.comment = ##34#CLARIFY HOW THIS DIFFERS FROM THE EQUIVALENT DATA IN EPISODE EVENT##34#</v>
      </c>
    </row>
    <row r="91" spans="2:2">
      <c r="B91" s="12" t="str">
        <f>IF('PathStage-ConceptMap-1'!S87=0,"//---END",'PathStage-ConceptMap-1'!S87)</f>
        <v>* group[=].element[+].code = #PathologicalStage.lung</v>
      </c>
    </row>
    <row r="92" spans="2:2">
      <c r="B92" s="12" t="str">
        <f>IF('PathStage-ConceptMap-1'!S88=0,"//---END",'PathStage-ConceptMap-1'!S88)</f>
        <v>* group[=].element[=].display = ##34#lung##34#</v>
      </c>
    </row>
    <row r="93" spans="2:2">
      <c r="B93" s="12" t="str">
        <f>IF('PathStage-ConceptMap-1'!S89=0,"//---END",'PathStage-ConceptMap-1'!S89)</f>
        <v>* group[=].element[=].target.code = #Observation.</v>
      </c>
    </row>
    <row r="94" spans="2:2">
      <c r="B94" s="12" t="str">
        <f>IF('PathStage-ConceptMap-1'!S90=0,"//---END",'PathStage-ConceptMap-1'!S90)</f>
        <v>* group[=].element[=].target.display = ##34###34#</v>
      </c>
    </row>
    <row r="95" spans="2:2">
      <c r="B95" s="12" t="str">
        <f>IF('PathStage-ConceptMap-1'!S91=0,"//---END",'PathStage-ConceptMap-1'!S91)</f>
        <v>* group[=].element[=].target.equivalence = #relatedto</v>
      </c>
    </row>
    <row r="96" spans="2:2">
      <c r="B96" s="12" t="str">
        <f>IF('PathStage-ConceptMap-1'!S92=0,"//---END",'PathStage-ConceptMap-1'!S92)</f>
        <v>* group[=].element[=].target.comment = ##34#CLARIFY HOW THIS DIFFERS FROM THE EQUIVALENT DATA IN EPISODE EVENT##34#</v>
      </c>
    </row>
    <row r="97" spans="2:2">
      <c r="B97" s="12" t="str">
        <f>IF('PathStage-ConceptMap-1'!S93=0,"//---END",'PathStage-ConceptMap-1'!S93)</f>
        <v>* group[=].element[+].code = #PathologicalStage.bone</v>
      </c>
    </row>
    <row r="98" spans="2:2">
      <c r="B98" s="12" t="str">
        <f>IF('PathStage-ConceptMap-1'!S94=0,"//---END",'PathStage-ConceptMap-1'!S94)</f>
        <v>* group[=].element[=].display = ##34#bone##34#</v>
      </c>
    </row>
    <row r="99" spans="2:2">
      <c r="B99" s="12" t="str">
        <f>IF('PathStage-ConceptMap-1'!S95=0,"//---END",'PathStage-ConceptMap-1'!S95)</f>
        <v>* group[=].element[=].target.code = #Observation.</v>
      </c>
    </row>
    <row r="100" spans="2:2">
      <c r="B100" s="12" t="str">
        <f>IF('PathStage-ConceptMap-1'!S96=0,"//---END",'PathStage-ConceptMap-1'!S96)</f>
        <v>* group[=].element[=].target.display = ##34###34#</v>
      </c>
    </row>
    <row r="101" spans="2:2">
      <c r="B101" s="12" t="str">
        <f>IF('PathStage-ConceptMap-1'!S97=0,"//---END",'PathStage-ConceptMap-1'!S97)</f>
        <v>* group[=].element[=].target.equivalence = #relatedto</v>
      </c>
    </row>
    <row r="102" spans="2:2">
      <c r="B102" s="12" t="str">
        <f>IF('PathStage-ConceptMap-1'!S98=0,"//---END",'PathStage-ConceptMap-1'!S98)</f>
        <v>* group[=].element[=].target.comment = ##34#CLARIFY HOW THIS DIFFERS FROM THE EQUIVALENT DATA IN EPISODE EVENT##34#</v>
      </c>
    </row>
    <row r="103" spans="2:2">
      <c r="B103" s="12" t="str">
        <f>IF('PathStage-ConceptMap-1'!S99=0,"//---END",'PathStage-ConceptMap-1'!S99)</f>
        <v>* group[=].element[+].code = #PathologicalStage.liver</v>
      </c>
    </row>
    <row r="104" spans="2:2">
      <c r="B104" s="12" t="str">
        <f>IF('PathStage-ConceptMap-1'!S100=0,"//---END",'PathStage-ConceptMap-1'!S100)</f>
        <v>* group[=].element[=].display = ##34#liver##34#</v>
      </c>
    </row>
    <row r="105" spans="2:2">
      <c r="B105" s="12" t="str">
        <f>IF('PathStage-ConceptMap-1'!S101=0,"//---END",'PathStage-ConceptMap-1'!S101)</f>
        <v>* group[=].element[=].target.code = #Observation.</v>
      </c>
    </row>
    <row r="106" spans="2:2">
      <c r="B106" s="12" t="str">
        <f>IF('PathStage-ConceptMap-1'!S102=0,"//---END",'PathStage-ConceptMap-1'!S102)</f>
        <v>* group[=].element[=].target.display = ##34###34#</v>
      </c>
    </row>
    <row r="107" spans="2:2">
      <c r="B107" s="12" t="str">
        <f>IF('PathStage-ConceptMap-1'!S103=0,"//---END",'PathStage-ConceptMap-1'!S103)</f>
        <v>* group[=].element[=].target.equivalence = #relatedto</v>
      </c>
    </row>
    <row r="108" spans="2:2">
      <c r="B108" s="12" t="str">
        <f>IF('PathStage-ConceptMap-1'!S104=0,"//---END",'PathStage-ConceptMap-1'!S104)</f>
        <v>* group[=].element[=].target.comment = ##34#CLARIFY HOW THIS DIFFERS FROM THE EQUIVALENT DATA IN EPISODE EVENT##34#</v>
      </c>
    </row>
    <row r="109" spans="2:2">
      <c r="B109" s="12" t="str">
        <f>IF('PathStage-ConceptMap-1'!S105=0,"//---END",'PathStage-ConceptMap-1'!S105)</f>
        <v>* group[=].element[+].code = #PathologicalStage.pleura</v>
      </c>
    </row>
    <row r="110" spans="2:2">
      <c r="B110" s="12" t="str">
        <f>IF('PathStage-ConceptMap-1'!S106=0,"//---END",'PathStage-ConceptMap-1'!S106)</f>
        <v>* group[=].element[=].display = ##34#pleura##34#</v>
      </c>
    </row>
    <row r="111" spans="2:2">
      <c r="B111" s="12" t="str">
        <f>IF('PathStage-ConceptMap-1'!S107=0,"//---END",'PathStage-ConceptMap-1'!S107)</f>
        <v>* group[=].element[=].target.code = #Observation.</v>
      </c>
    </row>
    <row r="112" spans="2:2">
      <c r="B112" s="12" t="str">
        <f>IF('PathStage-ConceptMap-1'!S108=0,"//---END",'PathStage-ConceptMap-1'!S108)</f>
        <v>* group[=].element[=].target.display = ##34###34#</v>
      </c>
    </row>
    <row r="113" spans="2:2">
      <c r="B113" s="12" t="str">
        <f>IF('PathStage-ConceptMap-1'!S109=0,"//---END",'PathStage-ConceptMap-1'!S109)</f>
        <v>* group[=].element[=].target.equivalence = #relatedto</v>
      </c>
    </row>
    <row r="114" spans="2:2">
      <c r="B114" s="12" t="str">
        <f>IF('PathStage-ConceptMap-1'!S110=0,"//---END",'PathStage-ConceptMap-1'!S110)</f>
        <v>* group[=].element[=].target.comment = ##34#CLARIFY HOW THIS DIFFERS FROM THE EQUIVALENT DATA IN EPISODE EVENT##34#</v>
      </c>
    </row>
    <row r="115" spans="2:2">
      <c r="B115" s="12" t="str">
        <f>IF('PathStage-ConceptMap-1'!S111=0,"//---END",'PathStage-ConceptMap-1'!S111)</f>
        <v>* group[=].element[+].code = #PathologicalStage.peritoneum</v>
      </c>
    </row>
    <row r="116" spans="2:2">
      <c r="B116" s="12" t="str">
        <f>IF('PathStage-ConceptMap-1'!S112=0,"//---END",'PathStage-ConceptMap-1'!S112)</f>
        <v>* group[=].element[=].display = ##34#peritoneum##34#</v>
      </c>
    </row>
    <row r="117" spans="2:2">
      <c r="B117" s="12" t="str">
        <f>IF('PathStage-ConceptMap-1'!S113=0,"//---END",'PathStage-ConceptMap-1'!S113)</f>
        <v>* group[=].element[=].target.code = #Observation.</v>
      </c>
    </row>
    <row r="118" spans="2:2">
      <c r="B118" s="12" t="str">
        <f>IF('PathStage-ConceptMap-1'!S114=0,"//---END",'PathStage-ConceptMap-1'!S114)</f>
        <v>* group[=].element[=].target.display = ##34###34#</v>
      </c>
    </row>
    <row r="119" spans="2:2">
      <c r="B119" s="12" t="str">
        <f>IF('PathStage-ConceptMap-1'!S115=0,"//---END",'PathStage-ConceptMap-1'!S115)</f>
        <v>* group[=].element[=].target.equivalence = #relatedto</v>
      </c>
    </row>
    <row r="120" spans="2:2">
      <c r="B120" s="12" t="str">
        <f>IF('PathStage-ConceptMap-1'!S116=0,"//---END",'PathStage-ConceptMap-1'!S116)</f>
        <v>* group[=].element[=].target.comment = ##34#CLARIFY HOW THIS DIFFERS FROM THE EQUIVALENT DATA IN EPISODE EVENT##34#</v>
      </c>
    </row>
    <row r="121" spans="2:2">
      <c r="B121" s="12" t="str">
        <f>IF('PathStage-ConceptMap-1'!S117=0,"//---END",'PathStage-ConceptMap-1'!S117)</f>
        <v>* group[=].element[+].code = #PathologicalStage.brain</v>
      </c>
    </row>
    <row r="122" spans="2:2">
      <c r="B122" s="12" t="str">
        <f>IF('PathStage-ConceptMap-1'!S118=0,"//---END",'PathStage-ConceptMap-1'!S118)</f>
        <v>* group[=].element[=].display = ##34#brain##34#</v>
      </c>
    </row>
    <row r="123" spans="2:2">
      <c r="B123" s="12" t="str">
        <f>IF('PathStage-ConceptMap-1'!S119=0,"//---END",'PathStage-ConceptMap-1'!S119)</f>
        <v>* group[=].element[=].target.code = #Observation.</v>
      </c>
    </row>
    <row r="124" spans="2:2">
      <c r="B124" s="12" t="str">
        <f>IF('PathStage-ConceptMap-1'!S120=0,"//---END",'PathStage-ConceptMap-1'!S120)</f>
        <v>* group[=].element[=].target.display = ##34###34#</v>
      </c>
    </row>
    <row r="125" spans="2:2">
      <c r="B125" s="12" t="str">
        <f>IF('PathStage-ConceptMap-1'!S121=0,"//---END",'PathStage-ConceptMap-1'!S121)</f>
        <v>* group[=].element[=].target.equivalence = #relatedto</v>
      </c>
    </row>
    <row r="126" spans="2:2">
      <c r="B126" s="12" t="str">
        <f>IF('PathStage-ConceptMap-1'!S122=0,"//---END",'PathStage-ConceptMap-1'!S122)</f>
        <v>* group[=].element[=].target.comment = ##34#CLARIFY HOW THIS DIFFERS FROM THE EQUIVALENT DATA IN EPISODE EVENT##34#</v>
      </c>
    </row>
    <row r="127" spans="2:2">
      <c r="B127" s="12" t="str">
        <f>IF('PathStage-ConceptMap-1'!S123=0,"//---END",'PathStage-ConceptMap-1'!S123)</f>
        <v>* group[=].element[+].code = #PathologicalStage.otherViscera</v>
      </c>
    </row>
    <row r="128" spans="2:2">
      <c r="B128" s="12" t="str">
        <f>IF('PathStage-ConceptMap-1'!S124=0,"//---END",'PathStage-ConceptMap-1'!S124)</f>
        <v>* group[=].element[=].display = ##34#other viscera##34#</v>
      </c>
    </row>
    <row r="129" spans="2:2">
      <c r="B129" s="12" t="str">
        <f>IF('PathStage-ConceptMap-1'!S125=0,"//---END",'PathStage-ConceptMap-1'!S125)</f>
        <v>* group[=].element[=].target.code = #Observation.</v>
      </c>
    </row>
    <row r="130" spans="2:2">
      <c r="B130" s="12" t="str">
        <f>IF('PathStage-ConceptMap-1'!S126=0,"//---END",'PathStage-ConceptMap-1'!S126)</f>
        <v>* group[=].element[=].target.display = ##34###34#</v>
      </c>
    </row>
    <row r="131" spans="2:2">
      <c r="B131" s="12" t="str">
        <f>IF('PathStage-ConceptMap-1'!S127=0,"//---END",'PathStage-ConceptMap-1'!S127)</f>
        <v>* group[=].element[=].target.equivalence = #relatedto</v>
      </c>
    </row>
    <row r="132" spans="2:2">
      <c r="B132" s="12" t="str">
        <f>IF('PathStage-ConceptMap-1'!S128=0,"//---END",'PathStage-ConceptMap-1'!S128)</f>
        <v>* group[=].element[=].target.comment = ##34#CLARIFY HOW THIS DIFFERS FROM THE EQUIVALENT DATA IN EPISODE EVENT##34#</v>
      </c>
    </row>
    <row r="133" spans="2:2">
      <c r="B133" s="12" t="str">
        <f>IF('PathStage-ConceptMap-1'!S129=0,"//---END",'PathStage-ConceptMap-1'!S129)</f>
        <v>* group[=].element[+].code = #PathologicalStage.unknown</v>
      </c>
    </row>
    <row r="134" spans="2:2">
      <c r="B134" s="12" t="str">
        <f>IF('PathStage-ConceptMap-1'!S130=0,"//---END",'PathStage-ConceptMap-1'!S130)</f>
        <v>* group[=].element[=].display = ##34#unknown##34#</v>
      </c>
    </row>
    <row r="135" spans="2:2">
      <c r="B135" s="12" t="str">
        <f>IF('PathStage-ConceptMap-1'!S131=0,"//---END",'PathStage-ConceptMap-1'!S131)</f>
        <v>* group[=].element[=].target.code = #Observation.</v>
      </c>
    </row>
    <row r="136" spans="2:2">
      <c r="B136" s="12" t="str">
        <f>IF('PathStage-ConceptMap-1'!S132=0,"//---END",'PathStage-ConceptMap-1'!S132)</f>
        <v>* group[=].element[=].target.display = ##34###34#</v>
      </c>
    </row>
    <row r="137" spans="2:2">
      <c r="B137" s="12" t="str">
        <f>IF('PathStage-ConceptMap-1'!S133=0,"//---END",'PathStage-ConceptMap-1'!S133)</f>
        <v>* group[=].element[=].target.equivalence = #relatedto</v>
      </c>
    </row>
    <row r="138" spans="2:2">
      <c r="B138" s="12" t="str">
        <f>IF('PathStage-ConceptMap-1'!S134=0,"//---END",'PathStage-ConceptMap-1'!S134)</f>
        <v>* group[=].element[=].target.comment = ##34#CLARIFY HOW THIS DIFFERS FROM THE EQUIVALENT DATA IN EPISODE EVENT##34#</v>
      </c>
    </row>
    <row r="139" spans="2:2">
      <c r="B139" s="12" t="str">
        <f>IF('PathStage-ConceptMap-1'!S135=0,"//---END",'PathStage-ConceptMap-1'!S135)</f>
        <v>//---END</v>
      </c>
    </row>
    <row r="140" spans="2:2">
      <c r="B140" s="12" t="str">
        <f>IF('PathStage-ConceptMap-1'!S136=0,"//---END",'PathStage-ConceptMap-1'!S136)</f>
        <v>//---END</v>
      </c>
    </row>
    <row r="141" spans="2:2">
      <c r="B141" s="12" t="str">
        <f>IF('PathStage-ConceptMap-1'!S137=0,"//---END",'PathStage-ConceptMap-1'!S137)</f>
        <v>//---END</v>
      </c>
    </row>
    <row r="142" spans="2:2">
      <c r="B142" s="12"/>
    </row>
    <row r="143" spans="2:2">
      <c r="B143" s="12"/>
    </row>
    <row r="144" spans="2:2">
      <c r="B144" s="12"/>
    </row>
    <row r="145" spans="2:2">
      <c r="B145" s="12"/>
    </row>
    <row r="146" spans="2:2">
      <c r="B146" s="12"/>
    </row>
    <row r="148" spans="2:2">
      <c r="B148" s="130"/>
    </row>
    <row r="149" spans="2:2">
      <c r="B149" s="68" t="str">
        <f>"* group[+].source = ##34#"&amp;'PathStage-ConceptMap-2'!E6&amp;"##34#"</f>
        <v>* group[+].source = ##34#http://hl7.eu/fhir/ig/idea4rc/StructureDefinition/ClinicalStageI4rc##34#</v>
      </c>
    </row>
    <row r="150" spans="2:2">
      <c r="B150" s="131" t="str">
        <f>"* group[=].target = ##34#"&amp;'PathStage-ConceptMap-2'!E7&amp;"##34#"</f>
        <v>* group[=].target = ##34#http://hl7.eu/fhir/ig/idea4rc/StructureDefinition/mcode-tnm-primary-tumor-category##34#</v>
      </c>
    </row>
    <row r="151" spans="2:2">
      <c r="B151" s="132"/>
    </row>
    <row r="152" spans="2:2">
      <c r="B152" s="11" t="str">
        <f>IF('PathStage-ConceptMap-2'!S15=0,"//---END",'PathStage-ConceptMap-2'!S15)</f>
        <v>* group[=].element[+].code = #PathologicalStage.cT</v>
      </c>
    </row>
    <row r="153" spans="2:2">
      <c r="B153" s="11" t="str">
        <f>IF('PathStage-ConceptMap-2'!S16=0,"//---END",'PathStage-ConceptMap-2'!S16)</f>
        <v>* group[=].element[=].display = ##34#cT##34#</v>
      </c>
    </row>
    <row r="154" spans="2:2">
      <c r="B154" s="11" t="str">
        <f>IF('PathStage-ConceptMap-2'!S17=0,"//---END",'PathStage-ConceptMap-2'!S17)</f>
        <v>* group[=].element[=].target.code = #Observation.valueCodeableConcept</v>
      </c>
    </row>
    <row r="155" spans="2:2">
      <c r="B155" s="11" t="str">
        <f>IF('PathStage-ConceptMap-2'!S18=0,"//---END",'PathStage-ConceptMap-2'!S18)</f>
        <v>* group[=].element[=].target.display = ##34###34#</v>
      </c>
    </row>
    <row r="156" spans="2:2">
      <c r="B156" s="11" t="str">
        <f>IF('PathStage-ConceptMap-2'!S19=0,"//---END",'PathStage-ConceptMap-2'!S19)</f>
        <v>* group[=].element[=].target.equivalence = #relatedto</v>
      </c>
    </row>
    <row r="157" spans="2:2">
      <c r="B157" s="11" t="str">
        <f>IF('PathStage-ConceptMap-2'!S20=0,"//---END",'PathStage-ConceptMap-2'!S20)</f>
        <v>* group[=].element[=].target.comment = ##34#where code = 21902-2	 'Stage group.pathology'##34#</v>
      </c>
    </row>
    <row r="158" spans="2:2">
      <c r="B158" s="11" t="str">
        <f>IF('PathStage-ConceptMap-2'!S21=0,"//---END",'PathStage-ConceptMap-2'!S21)</f>
        <v>//---END</v>
      </c>
    </row>
    <row r="159" spans="2:2">
      <c r="B159" s="11" t="str">
        <f>IF('PathStage-ConceptMap-2'!S22=0,"//---END",'PathStage-ConceptMap-2'!S22)</f>
        <v>//---END</v>
      </c>
    </row>
    <row r="160" spans="2:2">
      <c r="B160" s="11" t="str">
        <f>IF('PathStage-ConceptMap-2'!S23=0,"//---END",'PathStage-ConceptMap-2'!S23)</f>
        <v>//---END</v>
      </c>
    </row>
    <row r="161" spans="2:7">
      <c r="B161" s="11" t="str">
        <f>IF('PathStage-ConceptMap-2'!S24=0,"//---END",'PathStage-ConceptMap-2'!S24)</f>
        <v>//---END</v>
      </c>
    </row>
    <row r="162" spans="2:7">
      <c r="B162" s="11" t="str">
        <f>IF('PathStage-ConceptMap-2'!S25=0,"//---END",'PathStage-ConceptMap-2'!S25)</f>
        <v>//---END</v>
      </c>
    </row>
    <row r="163" spans="2:7">
      <c r="B163" s="119"/>
      <c r="C163" s="7"/>
      <c r="D163" s="7"/>
      <c r="E163" s="7"/>
      <c r="F163" s="7"/>
      <c r="G163" s="7"/>
    </row>
    <row r="164" spans="2:7">
      <c r="B164" s="130"/>
      <c r="C164" s="7"/>
      <c r="D164" s="7"/>
      <c r="E164" s="7"/>
      <c r="F164" s="7"/>
      <c r="G164" s="7"/>
    </row>
    <row r="165" spans="2:7">
      <c r="B165" s="68" t="str">
        <f>"* group[+].source = ##34#"&amp;'PathStage-ConceptMap-3'!E6&amp;"##34#"</f>
        <v>* group[+].source = ##34#http://hl7.eu/fhir/ig/idea4rc/StructureDefinition/ClinicalStageI4rc##34#</v>
      </c>
      <c r="C165" s="7"/>
      <c r="D165" s="7"/>
      <c r="E165" s="7"/>
      <c r="F165" s="7"/>
      <c r="G165" s="7"/>
    </row>
    <row r="166" spans="2:7">
      <c r="B166" s="131" t="str">
        <f>"* group[=].target = ##34#"&amp;'PathStage-ConceptMap-3'!E7&amp;"##34#"</f>
        <v>* group[=].target = ##34#http://hl7.eu/fhir/ig/idea4rc/StructureDefinition/mcode-tnm-regional-nodes-category##34#</v>
      </c>
      <c r="C166" s="7"/>
      <c r="D166" s="7"/>
      <c r="E166" s="7"/>
      <c r="F166" s="7"/>
      <c r="G166" s="7"/>
    </row>
    <row r="167" spans="2:7">
      <c r="B167" s="132"/>
      <c r="C167" s="7"/>
      <c r="D167" s="7"/>
      <c r="E167" s="7"/>
      <c r="F167" s="7"/>
      <c r="G167" s="7"/>
    </row>
    <row r="168" spans="2:7">
      <c r="B168" s="119" t="str">
        <f>IF('PathStage-ConceptMap-3'!S15=0,"//---END",'PathStage-ConceptMap-3'!S15)</f>
        <v>* group[=].element[+].code = #PathologicalStage.cN</v>
      </c>
      <c r="C168" s="7"/>
      <c r="D168" s="7"/>
      <c r="E168" s="7"/>
      <c r="F168" s="7"/>
      <c r="G168" s="7"/>
    </row>
    <row r="169" spans="2:7">
      <c r="B169" s="119" t="str">
        <f>IF('PathStage-ConceptMap-3'!S16=0,"//---END",'PathStage-ConceptMap-3'!S16)</f>
        <v>* group[=].element[=].display = ##34#cN##34#</v>
      </c>
      <c r="C169" s="7"/>
      <c r="D169" s="7"/>
      <c r="E169" s="7"/>
      <c r="F169" s="7"/>
      <c r="G169" s="7"/>
    </row>
    <row r="170" spans="2:7">
      <c r="B170" s="119" t="str">
        <f>IF('PathStage-ConceptMap-3'!S17=0,"//---END",'PathStage-ConceptMap-3'!S17)</f>
        <v>* group[=].element[=].target.code = #Observation.valueCodeableConcept</v>
      </c>
      <c r="C170" s="7"/>
      <c r="D170" s="7"/>
      <c r="E170" s="7"/>
      <c r="F170" s="7"/>
      <c r="G170" s="7"/>
    </row>
    <row r="171" spans="2:7">
      <c r="B171" s="119" t="str">
        <f>IF('PathStage-ConceptMap-3'!S18=0,"//---END",'PathStage-ConceptMap-3'!S18)</f>
        <v>* group[=].element[=].target.display = ##34###34#</v>
      </c>
      <c r="C171" s="7"/>
      <c r="D171" s="7"/>
      <c r="E171" s="7"/>
      <c r="F171" s="7"/>
      <c r="G171" s="7"/>
    </row>
    <row r="172" spans="2:7">
      <c r="B172" s="119" t="str">
        <f>IF('PathStage-ConceptMap-3'!S19=0,"//---END",'PathStage-ConceptMap-3'!S19)</f>
        <v>* group[=].element[=].target.equivalence = #relatedto</v>
      </c>
      <c r="C172" s="7"/>
      <c r="D172" s="7"/>
      <c r="E172" s="7"/>
      <c r="F172" s="7"/>
      <c r="G172" s="7"/>
    </row>
    <row r="173" spans="2:7">
      <c r="B173" s="119" t="str">
        <f>IF('PathStage-ConceptMap-3'!S20=0,"//---END",'PathStage-ConceptMap-3'!S20)</f>
        <v>* group[=].element[=].target.comment = ##34#where code = 21902-2	 'Stage group.pathology'##34#</v>
      </c>
      <c r="C173" s="7"/>
      <c r="D173" s="7"/>
      <c r="E173" s="7"/>
      <c r="F173" s="7"/>
      <c r="G173" s="7"/>
    </row>
    <row r="174" spans="2:7">
      <c r="B174" s="119" t="str">
        <f>IF('PathStage-ConceptMap-3'!S21=0,"//---END",'PathStage-ConceptMap-3'!S21)</f>
        <v>//---END</v>
      </c>
      <c r="C174" s="7"/>
      <c r="D174" s="7"/>
      <c r="E174" s="7"/>
      <c r="F174" s="7"/>
      <c r="G174" s="7"/>
    </row>
    <row r="175" spans="2:7">
      <c r="B175" s="119" t="str">
        <f>IF('PathStage-ConceptMap-3'!S22=0,"//---END",'PathStage-ConceptMap-3'!S22)</f>
        <v>//---END</v>
      </c>
      <c r="C175" s="7"/>
      <c r="D175" s="7"/>
      <c r="E175" s="7"/>
      <c r="F175" s="7"/>
      <c r="G175" s="7"/>
    </row>
    <row r="176" spans="2:7">
      <c r="B176" s="119" t="str">
        <f>IF('PathStage-ConceptMap-3'!S23=0,"//---END",'PathStage-ConceptMap-3'!S23)</f>
        <v>//---END</v>
      </c>
      <c r="C176" s="7"/>
      <c r="D176" s="7"/>
      <c r="E176" s="7"/>
      <c r="F176" s="7"/>
      <c r="G176" s="7"/>
    </row>
    <row r="177" spans="2:7">
      <c r="B177" s="119" t="str">
        <f>IF('PathStage-ConceptMap-3'!S24=0,"//---END",'PathStage-ConceptMap-3'!S24)</f>
        <v>//---END</v>
      </c>
      <c r="C177" s="7"/>
      <c r="D177" s="7"/>
      <c r="E177" s="7"/>
      <c r="F177" s="7"/>
      <c r="G177" s="7"/>
    </row>
    <row r="178" spans="2:7">
      <c r="B178" s="119" t="str">
        <f>IF('PathStage-ConceptMap-3'!S25=0,"//---END",'PathStage-ConceptMap-3'!S25)</f>
        <v>//---END</v>
      </c>
      <c r="C178" s="7"/>
      <c r="D178" s="7"/>
      <c r="E178" s="7"/>
      <c r="F178" s="7"/>
      <c r="G178" s="7"/>
    </row>
    <row r="179" spans="2:7">
      <c r="B179" s="130"/>
      <c r="C179" s="7"/>
      <c r="D179" s="7"/>
      <c r="E179" s="7"/>
      <c r="F179" s="7"/>
      <c r="G179" s="7"/>
    </row>
    <row r="180" spans="2:7">
      <c r="B180" s="68" t="str">
        <f>"* group[+].source = ##34#"&amp;'PathStage-ConceptMap-4'!E6&amp;"##34#"</f>
        <v>* group[+].source = ##34#http://hl7.eu/fhir/ig/idea4rc/StructureDefinition/ClinicalStageI4rc##34#</v>
      </c>
      <c r="C180" s="7"/>
      <c r="D180" s="7"/>
      <c r="E180" s="7"/>
      <c r="F180" s="7"/>
      <c r="G180" s="7"/>
    </row>
    <row r="181" spans="2:7">
      <c r="B181" s="131" t="str">
        <f>"* group[=].target = ##34#"&amp;'PathStage-ConceptMap-4'!E7&amp;"##34#"</f>
        <v>* group[=].target = ##34#http://hl7.eu/fhir/ig/idea4rc/StructureDefinition/mcode-tnm-distant-metastases-category##34#</v>
      </c>
      <c r="C181" s="7"/>
      <c r="D181" s="7"/>
      <c r="E181" s="7"/>
      <c r="F181" s="7"/>
      <c r="G181" s="7"/>
    </row>
    <row r="182" spans="2:7">
      <c r="B182" s="132"/>
      <c r="C182" s="7"/>
      <c r="D182" s="7"/>
      <c r="E182" s="7"/>
      <c r="F182" s="7"/>
      <c r="G182" s="7"/>
    </row>
    <row r="183" spans="2:7">
      <c r="B183" s="7" t="str">
        <f>IF('PathStage-ConceptMap-4'!S15=0,"//---END",'PathStage-ConceptMap-4'!S15)</f>
        <v>* group[=].element[+].code = #PathologicalStage.cM</v>
      </c>
      <c r="C183" s="7"/>
      <c r="D183" s="7"/>
      <c r="E183" s="7"/>
      <c r="F183" s="7"/>
      <c r="G183" s="7"/>
    </row>
    <row r="184" spans="2:7">
      <c r="B184" s="7" t="str">
        <f>IF('PathStage-ConceptMap-4'!S16=0,"//---END",'PathStage-ConceptMap-4'!S16)</f>
        <v>* group[=].element[=].display = ##34#cM##34#</v>
      </c>
      <c r="C184" s="7"/>
      <c r="D184" s="7"/>
      <c r="E184" s="7"/>
      <c r="F184" s="7"/>
      <c r="G184" s="7"/>
    </row>
    <row r="185" spans="2:7">
      <c r="B185" s="7" t="str">
        <f>IF('PathStage-ConceptMap-4'!S17=0,"//---END",'PathStage-ConceptMap-4'!S17)</f>
        <v>* group[=].element[=].target.code = #Observation.valueCodeableConcept</v>
      </c>
      <c r="C185" s="7"/>
      <c r="D185" s="7"/>
      <c r="E185" s="7"/>
      <c r="F185" s="7"/>
      <c r="G185" s="7"/>
    </row>
    <row r="186" spans="2:7">
      <c r="B186" s="7" t="str">
        <f>IF('PathStage-ConceptMap-4'!S18=0,"//---END",'PathStage-ConceptMap-4'!S18)</f>
        <v>* group[=].element[=].target.display = ##34###34#</v>
      </c>
      <c r="C186" s="7"/>
      <c r="D186" s="7"/>
      <c r="E186" s="7"/>
      <c r="F186" s="7"/>
      <c r="G186" s="7"/>
    </row>
    <row r="187" spans="2:7">
      <c r="B187" s="7" t="str">
        <f>IF('PathStage-ConceptMap-4'!S19=0,"//---END",'PathStage-ConceptMap-4'!S19)</f>
        <v>* group[=].element[=].target.equivalence = #relatedto</v>
      </c>
      <c r="C187" s="7"/>
      <c r="D187" s="7"/>
      <c r="E187" s="7"/>
      <c r="F187" s="7"/>
      <c r="G187" s="7"/>
    </row>
    <row r="188" spans="2:7">
      <c r="B188" s="7" t="str">
        <f>IF('PathStage-ConceptMap-4'!S20=0,"//---END",'PathStage-ConceptMap-4'!S20)</f>
        <v/>
      </c>
      <c r="C188" s="7"/>
      <c r="D188" s="7"/>
      <c r="E188" s="7"/>
      <c r="F188" s="7"/>
      <c r="G188" s="7"/>
    </row>
    <row r="189" spans="2:7">
      <c r="B189" s="7" t="str">
        <f>IF('PathStage-ConceptMap-4'!S21=0,"//---END",'PathStage-ConceptMap-4'!S21)</f>
        <v>//---END</v>
      </c>
      <c r="C189" s="7"/>
      <c r="D189" s="7"/>
      <c r="E189" s="7"/>
      <c r="F189" s="7"/>
      <c r="G189" s="7"/>
    </row>
    <row r="190" spans="2:7">
      <c r="B190" s="7" t="str">
        <f>IF('PathStage-ConceptMap-4'!S22=0,"//---END",'PathStage-ConceptMap-4'!S22)</f>
        <v>//---END</v>
      </c>
      <c r="C190" s="7"/>
      <c r="D190" s="7"/>
      <c r="E190" s="7"/>
      <c r="F190" s="7"/>
      <c r="G190" s="7"/>
    </row>
    <row r="191" spans="2:7">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37"/>
  <sheetViews>
    <sheetView topLeftCell="A11" zoomScale="130" zoomScaleNormal="13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5.5" thickBot="1">
      <c r="J3" s="24" t="str">
        <f>J1</f>
        <v>//===================================================</v>
      </c>
      <c r="L3" s="24" t="str">
        <f>L1</f>
        <v>// -------------------------------------------------------------------------------</v>
      </c>
    </row>
    <row r="4" spans="1:12" ht="15.5" thickBot="1">
      <c r="A4" s="5" t="s">
        <v>11</v>
      </c>
      <c r="B4" s="45" t="s">
        <v>2353</v>
      </c>
      <c r="J4" s="16" t="str">
        <f>CONCATENATE("Logical: ",B4)</f>
        <v>Logical: SystemicTreatmentI4rc</v>
      </c>
    </row>
    <row r="5" spans="1:12" ht="15.5" thickBot="1">
      <c r="A5" s="14" t="s">
        <v>16</v>
      </c>
      <c r="B5" s="45" t="s">
        <v>2014</v>
      </c>
      <c r="J5" s="16" t="str">
        <f>CONCATENATE("Id: ",B5)</f>
        <v>Id: SystemicTreatment</v>
      </c>
    </row>
    <row r="6" spans="1:12" ht="15.5" thickBot="1">
      <c r="A6" s="14" t="s">
        <v>10</v>
      </c>
      <c r="B6" s="45" t="s">
        <v>2015</v>
      </c>
      <c r="J6" s="17" t="str">
        <f>CONCATENATE("Title: ##34#",B6,"##34#")</f>
        <v>Title: ##34#Systemic Treatment##34#</v>
      </c>
    </row>
    <row r="7" spans="1:12">
      <c r="A7" s="26" t="s">
        <v>2</v>
      </c>
      <c r="B7" s="45" t="s">
        <v>2015</v>
      </c>
      <c r="C7" s="9" t="s">
        <v>3</v>
      </c>
      <c r="D7" s="1" t="s">
        <v>4</v>
      </c>
      <c r="E7" s="3" t="s">
        <v>5</v>
      </c>
      <c r="F7" s="3" t="s">
        <v>6</v>
      </c>
      <c r="G7" s="3" t="s">
        <v>7</v>
      </c>
      <c r="H7" s="105" t="s">
        <v>1610</v>
      </c>
      <c r="J7" s="17" t="str">
        <f>CONCATENATE("Description: "," ##334#",B7,"##334#",)</f>
        <v>Description:  ##334#Systemic Treatment##334#</v>
      </c>
    </row>
    <row r="8" spans="1:12" ht="59">
      <c r="A8" s="100">
        <v>0</v>
      </c>
      <c r="B8" s="12" t="s">
        <v>1913</v>
      </c>
      <c r="C8" s="12" t="s">
        <v>2016</v>
      </c>
      <c r="D8" s="12" t="s">
        <v>1872</v>
      </c>
      <c r="E8" s="11">
        <v>1</v>
      </c>
      <c r="F8" s="11">
        <v>1</v>
      </c>
      <c r="G8" s="57" t="s">
        <v>1969</v>
      </c>
      <c r="H8" s="12"/>
      <c r="I8" s="25"/>
      <c r="J8" s="12" t="str">
        <f t="shared" ref="J8:J27"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18">
      <c r="A9" s="101">
        <v>1</v>
      </c>
      <c r="B9" s="12" t="s">
        <v>2017</v>
      </c>
      <c r="C9" s="12" t="s">
        <v>2018</v>
      </c>
      <c r="D9" s="12" t="s">
        <v>2019</v>
      </c>
      <c r="E9" s="11">
        <v>1</v>
      </c>
      <c r="F9" s="11">
        <v>1</v>
      </c>
      <c r="G9" s="11" t="s">
        <v>1764</v>
      </c>
      <c r="H9" s="12" t="s">
        <v>2020</v>
      </c>
      <c r="I9" s="25"/>
      <c r="J9" s="12" t="str">
        <f t="shared" si="0"/>
        <v>* typeOfSystemicTreatment 1..1 CodeableConcept ##34#type of systemic treatment##34# ##334#Select the type of systemic treatment administered. It is possible to directly select the single treatment as appropriate.##334#</v>
      </c>
      <c r="L9" s="12" t="str">
        <f t="shared" ref="L9:L27" si="1">IF(H9="",IF(J9="*  ..  ##34###34# ##334###334#",J9,""),IF(J9="*  ..  ##34###34# ##334###334#",J9,CONCATENATE("* ",B9," ^comment = ##334#",H9,"##334#")))</f>
        <v>* typeOfSystemicTreatment ^comment = ##334#Chemotherapy; Immunotherapy; Target therapy;  Unknown
Chemotherapy - 4273629
Immunotherapy - 40310107
Target therapy -  40488979
Unknown - 4129922
##334#</v>
      </c>
    </row>
    <row r="10" spans="1:12" ht="147.5">
      <c r="A10" s="101">
        <v>2</v>
      </c>
      <c r="B10" s="12" t="s">
        <v>1667</v>
      </c>
      <c r="C10" s="12" t="s">
        <v>1654</v>
      </c>
      <c r="D10" s="12" t="s">
        <v>2021</v>
      </c>
      <c r="E10" s="11">
        <v>1</v>
      </c>
      <c r="F10" s="11">
        <v>1</v>
      </c>
      <c r="G10" s="12" t="s">
        <v>1764</v>
      </c>
      <c r="H10" s="12" t="s">
        <v>2022</v>
      </c>
      <c r="I10" s="25"/>
      <c r="J10" s="12" t="str">
        <f t="shared" si="0"/>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10" s="12" t="str">
        <f t="shared" si="1"/>
        <v>* intent ^comment = ##334#Palliative; Curative; Unknwon
Palliative - 4179711
Curative - 
Unknown - 4129922##334#</v>
      </c>
    </row>
    <row r="11" spans="1:12" ht="206.5">
      <c r="A11" s="100">
        <v>3</v>
      </c>
      <c r="B11" s="12" t="s">
        <v>1668</v>
      </c>
      <c r="C11" s="12" t="s">
        <v>2023</v>
      </c>
      <c r="D11" s="12" t="s">
        <v>2024</v>
      </c>
      <c r="E11" s="11">
        <v>1</v>
      </c>
      <c r="F11" s="11">
        <v>1</v>
      </c>
      <c r="G11" s="12" t="s">
        <v>1764</v>
      </c>
      <c r="H11" s="12" t="s">
        <v>2025</v>
      </c>
      <c r="I11" s="25"/>
      <c r="J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L11" s="12" t="str">
        <f t="shared" si="1"/>
        <v>* setting ^comment = ##334#Neo-adjuvant; Concomitant; Adjuvant; Systemic tretament alone;  Unknown;
Neo-adjuvant - 44808409
Concomitant - 
 Adjuvant - 44804498
Systemic tretament alone - 
Unknown - 4129922##334#</v>
      </c>
    </row>
    <row r="12" spans="1:12" ht="29.5">
      <c r="A12" s="100">
        <v>4</v>
      </c>
      <c r="B12" s="12" t="s">
        <v>1669</v>
      </c>
      <c r="C12" s="12" t="s">
        <v>1655</v>
      </c>
      <c r="D12" s="12" t="s">
        <v>1656</v>
      </c>
      <c r="E12" s="11">
        <v>1</v>
      </c>
      <c r="F12" s="11">
        <v>1</v>
      </c>
      <c r="G12" s="11" t="s">
        <v>156</v>
      </c>
      <c r="H12" s="12"/>
      <c r="I12" s="25"/>
      <c r="J12" s="12" t="str">
        <f t="shared" si="0"/>
        <v>* startDateSystemicTreatment 1..1 date ##34#Start date systemic treatment##34# ##334#Specifies when systemic treatment begins##334#</v>
      </c>
      <c r="L12" s="12" t="str">
        <f t="shared" si="1"/>
        <v/>
      </c>
    </row>
    <row r="13" spans="1:12" ht="29.5">
      <c r="A13" s="100">
        <v>5</v>
      </c>
      <c r="B13" s="12" t="s">
        <v>1670</v>
      </c>
      <c r="C13" s="12" t="s">
        <v>1657</v>
      </c>
      <c r="D13" s="12" t="s">
        <v>1658</v>
      </c>
      <c r="E13" s="11">
        <v>1</v>
      </c>
      <c r="F13" s="11">
        <v>1</v>
      </c>
      <c r="G13" s="11" t="s">
        <v>156</v>
      </c>
      <c r="H13" s="12"/>
      <c r="I13" s="25"/>
      <c r="J13" s="12" t="str">
        <f t="shared" si="0"/>
        <v>* endDateSystemicTreatment 1..1 date ##34#End date systemic treatment##34# ##334#Specifies when systemic treatment ends##334#</v>
      </c>
      <c r="L13" s="12" t="str">
        <f t="shared" si="1"/>
        <v/>
      </c>
    </row>
    <row r="14" spans="1:12" ht="88.5">
      <c r="A14" s="100">
        <v>6</v>
      </c>
      <c r="B14" s="12" t="s">
        <v>1671</v>
      </c>
      <c r="C14" s="12" t="s">
        <v>2026</v>
      </c>
      <c r="D14" s="12" t="s">
        <v>2027</v>
      </c>
      <c r="E14" s="11">
        <v>0</v>
      </c>
      <c r="F14" s="12">
        <v>1</v>
      </c>
      <c r="G14" s="148" t="s">
        <v>2176</v>
      </c>
      <c r="H14" s="12"/>
      <c r="I14" s="25"/>
      <c r="J14"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14" s="12" t="str">
        <f t="shared" si="1"/>
        <v/>
      </c>
    </row>
    <row r="15" spans="1:12">
      <c r="A15" s="101">
        <v>7</v>
      </c>
      <c r="B15" s="12" t="s">
        <v>1672</v>
      </c>
      <c r="C15" s="12" t="s">
        <v>1659</v>
      </c>
      <c r="D15" s="13" t="s">
        <v>1659</v>
      </c>
      <c r="E15" s="11">
        <v>0</v>
      </c>
      <c r="F15" s="11">
        <v>1</v>
      </c>
      <c r="G15" s="6" t="s">
        <v>1</v>
      </c>
      <c r="H15" s="12"/>
      <c r="I15" s="25"/>
      <c r="J15" s="12" t="str">
        <f t="shared" si="0"/>
        <v>* regimen 0..1 BackboneElement ##34#Regimen##34# ##334#Regimen##334#</v>
      </c>
      <c r="L15" s="12" t="str">
        <f t="shared" si="1"/>
        <v/>
      </c>
    </row>
    <row r="16" spans="1:12" ht="44.25">
      <c r="A16" s="101">
        <v>8</v>
      </c>
      <c r="B16" s="13" t="s">
        <v>2168</v>
      </c>
      <c r="C16" s="12" t="s">
        <v>1660</v>
      </c>
      <c r="D16" s="13" t="s">
        <v>1660</v>
      </c>
      <c r="E16" s="11">
        <v>1</v>
      </c>
      <c r="F16" s="11">
        <v>1</v>
      </c>
      <c r="G16" s="11" t="s">
        <v>1764</v>
      </c>
      <c r="H16" s="12" t="s">
        <v>2028</v>
      </c>
      <c r="I16" s="25"/>
      <c r="J16" s="12" t="str">
        <f t="shared" si="0"/>
        <v>* regimen.drugs1 1..1 CodeableConcept ##34#Drugs 1##34# ##334#Drugs 1##334#</v>
      </c>
      <c r="L16" s="12" t="str">
        <f t="shared" si="1"/>
        <v>* regimen.drugs1 ^comment = ##334#ATC list
Athena vocabulary 
ATC##334#</v>
      </c>
    </row>
    <row r="17" spans="1:13" ht="44.25">
      <c r="A17" s="101">
        <v>9</v>
      </c>
      <c r="B17" s="13" t="s">
        <v>2169</v>
      </c>
      <c r="C17" s="12" t="s">
        <v>1661</v>
      </c>
      <c r="D17" s="13" t="s">
        <v>1661</v>
      </c>
      <c r="E17" s="11">
        <v>1</v>
      </c>
      <c r="F17" s="11">
        <v>1</v>
      </c>
      <c r="G17" s="11" t="s">
        <v>1764</v>
      </c>
      <c r="H17" s="12" t="s">
        <v>2028</v>
      </c>
      <c r="I17" s="25"/>
      <c r="J17" s="12" t="str">
        <f t="shared" si="0"/>
        <v>* regimen.drugs2 1..1 CodeableConcept ##34#Drugs 2##34# ##334#Drugs 2##334#</v>
      </c>
      <c r="L17" s="12" t="str">
        <f t="shared" si="1"/>
        <v>* regimen.drugs2 ^comment = ##334#ATC list
Athena vocabulary 
ATC##334#</v>
      </c>
    </row>
    <row r="18" spans="1:13" ht="44.25">
      <c r="A18" s="101">
        <v>10</v>
      </c>
      <c r="B18" s="13" t="s">
        <v>2170</v>
      </c>
      <c r="C18" s="12" t="s">
        <v>1662</v>
      </c>
      <c r="D18" s="13" t="s">
        <v>1662</v>
      </c>
      <c r="E18" s="11">
        <v>1</v>
      </c>
      <c r="F18" s="11">
        <v>1</v>
      </c>
      <c r="G18" s="11" t="s">
        <v>1764</v>
      </c>
      <c r="H18" s="12" t="s">
        <v>2028</v>
      </c>
      <c r="J18" s="12" t="str">
        <f t="shared" si="0"/>
        <v>* regimen.drugs3 1..1 CodeableConcept ##34#Drugs 3##34# ##334#Drugs 3##334#</v>
      </c>
      <c r="L18" s="12" t="str">
        <f t="shared" si="1"/>
        <v>* regimen.drugs3 ^comment = ##334#ATC list
Athena vocabulary 
ATC##334#</v>
      </c>
    </row>
    <row r="19" spans="1:13" ht="44.25">
      <c r="A19" s="101">
        <v>11</v>
      </c>
      <c r="B19" s="13" t="s">
        <v>2171</v>
      </c>
      <c r="C19" s="12" t="s">
        <v>1665</v>
      </c>
      <c r="D19" s="12" t="s">
        <v>2029</v>
      </c>
      <c r="E19" s="11">
        <v>1</v>
      </c>
      <c r="F19" s="11">
        <v>1</v>
      </c>
      <c r="G19" s="11" t="s">
        <v>156</v>
      </c>
      <c r="H19" s="12"/>
      <c r="J19" s="12" t="str">
        <f t="shared" si="0"/>
        <v>* regimen.startDateRegimenChanged 1..1 date ##34#Start date regimen changed##34# ##334#specifies when the new systemic treatment begins, if a combination please specify the start of the first drug##334#</v>
      </c>
      <c r="L19" s="12" t="str">
        <f t="shared" si="1"/>
        <v/>
      </c>
    </row>
    <row r="20" spans="1:13" ht="44.25">
      <c r="A20" s="101">
        <v>12</v>
      </c>
      <c r="B20" s="13" t="s">
        <v>2172</v>
      </c>
      <c r="C20" s="12" t="s">
        <v>1666</v>
      </c>
      <c r="D20" s="12" t="s">
        <v>2030</v>
      </c>
      <c r="E20" s="11">
        <v>1</v>
      </c>
      <c r="F20" s="11">
        <v>1</v>
      </c>
      <c r="G20" s="11" t="s">
        <v>156</v>
      </c>
      <c r="H20" s="12"/>
      <c r="J20" s="12" t="str">
        <f t="shared" si="0"/>
        <v>* regimen.endDateRegimenChanged 1..1 date ##34#End date regimen changed##34# ##334#specifies when the new  systemic treatment ends,if a combination please specify the end of the last drug##334#</v>
      </c>
      <c r="L20" s="12" t="str">
        <f t="shared" si="1"/>
        <v/>
      </c>
    </row>
    <row r="21" spans="1:13" ht="147.5">
      <c r="A21" s="100">
        <v>13</v>
      </c>
      <c r="B21" s="12" t="s">
        <v>1673</v>
      </c>
      <c r="C21" s="12" t="s">
        <v>1663</v>
      </c>
      <c r="D21" s="12" t="s">
        <v>1664</v>
      </c>
      <c r="E21" s="11">
        <v>1</v>
      </c>
      <c r="F21" s="11">
        <v>1</v>
      </c>
      <c r="G21" s="11" t="s">
        <v>1764</v>
      </c>
      <c r="H21" s="12" t="s">
        <v>2031</v>
      </c>
      <c r="J21" s="12" t="str">
        <f t="shared" si="0"/>
        <v>* reasonForEndOfTreatment 1..1 CodeableConcept ##34#Reason for end of treatment##34# ##334#Clarifies the reasons why the treatment ended or was interrupted##334#</v>
      </c>
      <c r="L21" s="12" t="str">
        <f t="shared" si="1"/>
        <v>* reasonForEndOfTreatment ^comment = ##334#Completion; Toxicity; Comorbidity; Patient  intolerance; Patients decision; Death;  Unknown.
Completion - 4058777 
Toxicity - 438028
Comorbidity - 4162706 
Patient  intolerance -  4105297
Patients decision - 
Death - 4306655
Unknown - 4129922##334#</v>
      </c>
      <c r="M21"/>
    </row>
    <row r="22" spans="1:13" ht="132.75">
      <c r="A22" s="100">
        <v>14</v>
      </c>
      <c r="B22" s="12" t="s">
        <v>1674</v>
      </c>
      <c r="C22" s="12" t="s">
        <v>2032</v>
      </c>
      <c r="D22" s="12" t="s">
        <v>2033</v>
      </c>
      <c r="E22" s="11">
        <v>1</v>
      </c>
      <c r="F22" s="11">
        <v>1</v>
      </c>
      <c r="G22" s="11" t="s">
        <v>1764</v>
      </c>
      <c r="H22" s="12" t="s">
        <v>2034</v>
      </c>
      <c r="J22" s="12" t="str">
        <f t="shared" si="0"/>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22" s="12" t="str">
        <f t="shared" si="1"/>
        <v>* treatmentResponseBasedOnImagingAloneNoRecistOrOtherCriteria ^comment = ##334#Complete response; Partial response; Stable disease; Progression; Unknown.
Complete response - 4163135
Partial response -  4161302
Stable disease - 4241442
Progression - 4168352
Unknown - 4129922##334#</v>
      </c>
      <c r="M22"/>
    </row>
    <row r="23" spans="1:13">
      <c r="A23" s="100"/>
      <c r="B23" s="12"/>
      <c r="C23" s="12"/>
      <c r="D23" s="12"/>
      <c r="E23" s="11"/>
      <c r="F23" s="11"/>
      <c r="G23" s="11"/>
      <c r="H23" s="12"/>
      <c r="J23" s="12" t="str">
        <f t="shared" si="0"/>
        <v>*  ..  ##34###34# ##334###334#</v>
      </c>
      <c r="L23" s="12" t="str">
        <f t="shared" si="1"/>
        <v>*  ..  ##34###34# ##334###334#</v>
      </c>
      <c r="M23"/>
    </row>
    <row r="24" spans="1:13">
      <c r="A24" s="100"/>
      <c r="B24" s="12"/>
      <c r="C24" s="12"/>
      <c r="D24" s="12"/>
      <c r="E24" s="11"/>
      <c r="F24" s="11"/>
      <c r="G24" s="11"/>
      <c r="H24" s="12"/>
      <c r="J24" s="12" t="str">
        <f t="shared" si="0"/>
        <v>*  ..  ##34###34# ##334###334#</v>
      </c>
      <c r="L24" s="12" t="str">
        <f t="shared" si="1"/>
        <v>*  ..  ##34###34# ##334###334#</v>
      </c>
      <c r="M24"/>
    </row>
    <row r="25" spans="1:13">
      <c r="A25" s="100"/>
      <c r="B25" s="12"/>
      <c r="C25" s="12"/>
      <c r="D25" s="12"/>
      <c r="E25" s="11"/>
      <c r="F25" s="11"/>
      <c r="G25" s="11"/>
      <c r="H25" s="12"/>
      <c r="J25" s="12" t="str">
        <f t="shared" si="0"/>
        <v>*  ..  ##34###34# ##334###334#</v>
      </c>
      <c r="L25" s="12" t="str">
        <f t="shared" si="1"/>
        <v>*  ..  ##34###34# ##334###334#</v>
      </c>
      <c r="M25"/>
    </row>
    <row r="26" spans="1:13">
      <c r="A26" s="100"/>
      <c r="B26" s="12"/>
      <c r="C26" s="12"/>
      <c r="D26" s="12"/>
      <c r="E26" s="11"/>
      <c r="F26" s="11"/>
      <c r="G26" s="11"/>
      <c r="H26" s="12"/>
      <c r="J26" s="12" t="str">
        <f t="shared" si="0"/>
        <v>*  ..  ##34###34# ##334###334#</v>
      </c>
      <c r="L26" s="12" t="str">
        <f t="shared" si="1"/>
        <v>*  ..  ##34###34# ##334###334#</v>
      </c>
      <c r="M26"/>
    </row>
    <row r="27" spans="1:13">
      <c r="A27" s="100"/>
      <c r="B27" s="12"/>
      <c r="C27" s="12"/>
      <c r="D27" s="12"/>
      <c r="E27" s="11"/>
      <c r="F27" s="11"/>
      <c r="G27" s="11"/>
      <c r="H27" s="12"/>
      <c r="J27" s="12" t="str">
        <f t="shared" si="0"/>
        <v>*  ..  ##34###34# ##334###334#</v>
      </c>
      <c r="L27" s="12" t="str">
        <f t="shared" si="1"/>
        <v>*  ..  ##34###34# ##334###334#</v>
      </c>
      <c r="M27"/>
    </row>
    <row r="31" spans="1:13">
      <c r="C31"/>
    </row>
    <row r="32" spans="1:13">
      <c r="C32"/>
    </row>
    <row r="33" spans="3:3">
      <c r="C33"/>
    </row>
    <row r="34" spans="3:3">
      <c r="C34"/>
    </row>
    <row r="35" spans="3:3">
      <c r="C35"/>
    </row>
    <row r="36" spans="3:3">
      <c r="C36"/>
    </row>
    <row r="37" spans="3:3">
      <c r="C37"/>
    </row>
  </sheetData>
  <pageMargins left="0.7" right="0.7" top="0.75" bottom="0.75" header="0.3" footer="0.3"/>
  <pageSetup paperSize="9" orientation="portrait" r:id="rId1"/>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219"/>
  <sheetViews>
    <sheetView workbookViewId="0">
      <selection activeCell="C8" sqref="C8:C25"/>
    </sheetView>
  </sheetViews>
  <sheetFormatPr defaultRowHeight="14.75"/>
  <cols>
    <col min="3" max="3" width="108.2265625" style="12" customWidth="1"/>
    <col min="7" max="7" width="29.54296875" customWidth="1"/>
    <col min="8" max="8" width="54.90625" customWidth="1"/>
  </cols>
  <sheetData>
    <row r="1" spans="3:7" ht="15.5" thickBot="1">
      <c r="C1" s="23" t="str">
        <f>SystemicTreatment!J1</f>
        <v>//===================================================</v>
      </c>
    </row>
    <row r="2" spans="3:7" ht="16.75" thickBot="1">
      <c r="C2" s="24" t="str">
        <f>SystemicTreatment!J2</f>
        <v>//  Logical Model</v>
      </c>
      <c r="G2" s="29" t="s">
        <v>2035</v>
      </c>
    </row>
    <row r="3" spans="3:7">
      <c r="C3" s="24" t="str">
        <f>SystemicTreatment!J3</f>
        <v>//===================================================</v>
      </c>
    </row>
    <row r="4" spans="3:7">
      <c r="C4" s="16" t="str">
        <f>SystemicTreatment!J4</f>
        <v>Logical: SystemicTreatmentI4rc</v>
      </c>
    </row>
    <row r="5" spans="3:7">
      <c r="C5" s="16" t="str">
        <f>SystemicTreatment!J5</f>
        <v>Id: SystemicTreatment</v>
      </c>
    </row>
    <row r="6" spans="3:7">
      <c r="C6" s="16" t="str">
        <f>SystemicTreatment!J6</f>
        <v>Title: ##34#Systemic Treatment##34#</v>
      </c>
    </row>
    <row r="7" spans="3:7">
      <c r="C7" s="16" t="str">
        <f>SystemicTreatment!J7</f>
        <v>Description:  ##334#Systemic Treatment##334#</v>
      </c>
    </row>
    <row r="8" spans="3:7" ht="29.5">
      <c r="C8" s="12" t="str">
        <f>IF(SystemicTreatment!J8="*  ..  ##34###34# ##334###334#","//--- END",SystemicTreatment!J8)</f>
        <v>* episodeEventReference 1..1 http://hl7.eu/fhir/ig/idea4rc/StructureDefinition/EpisodeEvent ##34#Episode Event reference##34# ##334#EpisodeEvent element containing the data regarding the patient's cancer##334#</v>
      </c>
    </row>
    <row r="9" spans="3:7" ht="29.5">
      <c r="C9" s="12" t="str">
        <f>IF(SystemicTreatment!J9="*  ..  ##34###34# ##334###334#","//--- END",SystemicTreatment!J9)</f>
        <v>* typeOfSystemicTreatment 1..1 CodeableConcept ##34#type of systemic treatment##34# ##334#Select the type of systemic treatment administered. It is possible to directly select the single treatment as appropriate.##334#</v>
      </c>
    </row>
    <row r="10" spans="3:7" ht="118">
      <c r="C10" s="12" t="str">
        <f>IF(SystemicTreatment!J10="*  ..  ##34###34# ##334###334#","//--- END",SystemicTreatment!J10)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c r="C11" s="12" t="str">
        <f>IF(SystemicTreatment!J11="*  ..  ##34###34# ##334###334#","//--- END",SystemicTreatment!J11)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c r="C12" s="12" t="str">
        <f>IF(SystemicTreatment!J12="*  ..  ##34###34# ##334###334#","//--- END",SystemicTreatment!J12)</f>
        <v>* startDateSystemicTreatment 1..1 date ##34#Start date systemic treatment##34# ##334#Specifies when systemic treatment begins##334#</v>
      </c>
    </row>
    <row r="13" spans="3:7" ht="29.5">
      <c r="C13" s="12" t="str">
        <f>IF(SystemicTreatment!J13="*  ..  ##34###34# ##334###334#","//--- END",SystemicTreatment!J13)</f>
        <v>* endDateSystemicTreatment 1..1 date ##34#End date systemic treatment##34# ##334#Specifies when systemic treatment ends##334#</v>
      </c>
    </row>
    <row r="14" spans="3:7" ht="59">
      <c r="C14" s="12" t="str">
        <f>IF(SystemicTreatment!J14="*  ..  ##34###34# ##334###334#","//--- END",SystemicTreatment!J14)</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5" spans="3:7">
      <c r="C15" s="12" t="str">
        <f>IF(SystemicTreatment!J15="*  ..  ##34###34# ##334###334#","//--- END",SystemicTreatment!J15)</f>
        <v>* regimen 0..1 BackboneElement ##34#Regimen##34# ##334#Regimen##334#</v>
      </c>
    </row>
    <row r="16" spans="3:7">
      <c r="C16" s="12" t="str">
        <f>IF(SystemicTreatment!J16="*  ..  ##34###34# ##334###334#","//--- END",SystemicTreatment!J16)</f>
        <v>* regimen.drugs1 1..1 CodeableConcept ##34#Drugs 1##34# ##334#Drugs 1##334#</v>
      </c>
    </row>
    <row r="17" spans="3:3">
      <c r="C17" s="12" t="str">
        <f>IF(SystemicTreatment!J17="*  ..  ##34###34# ##334###334#","//--- END",SystemicTreatment!J17)</f>
        <v>* regimen.drugs2 1..1 CodeableConcept ##34#Drugs 2##34# ##334#Drugs 2##334#</v>
      </c>
    </row>
    <row r="18" spans="3:3">
      <c r="C18" s="12" t="str">
        <f>IF(SystemicTreatment!J18="*  ..  ##34###34# ##334###334#","//--- END",SystemicTreatment!J18)</f>
        <v>* regimen.drugs3 1..1 CodeableConcept ##34#Drugs 3##34# ##334#Drugs 3##334#</v>
      </c>
    </row>
    <row r="19" spans="3:3" ht="29.5">
      <c r="C19" s="12" t="str">
        <f>IF(SystemicTreatment!J19="*  ..  ##34###34# ##334###334#","//--- END",SystemicTreatment!J19)</f>
        <v>* regimen.startDateRegimenChanged 1..1 date ##34#Start date regimen changed##34# ##334#specifies when the new systemic treatment begins, if a combination please specify the start of the first drug##334#</v>
      </c>
    </row>
    <row r="20" spans="3:3" ht="29.5">
      <c r="C20" s="12" t="str">
        <f>IF(SystemicTreatment!J20="*  ..  ##34###34# ##334###334#","//--- END",SystemicTreatment!J20)</f>
        <v>* regimen.endDateRegimenChanged 1..1 date ##34#End date regimen changed##34# ##334#specifies when the new  systemic treatment ends,if a combination please specify the end of the last drug##334#</v>
      </c>
    </row>
    <row r="21" spans="3:3" ht="29.5">
      <c r="C21" s="12" t="str">
        <f>IF(SystemicTreatment!J21="*  ..  ##34###34# ##334###334#","//--- END",SystemicTreatment!J21)</f>
        <v>* reasonForEndOfTreatment 1..1 CodeableConcept ##34#Reason for end of treatment##34# ##334#Clarifies the reasons why the treatment ended or was interrupted##334#</v>
      </c>
    </row>
    <row r="22" spans="3:3" ht="59">
      <c r="C22" s="12" t="str">
        <f>IF(SystemicTreatment!J22="*  ..  ##34###34# ##334###334#","//--- END",SystemicTreatment!J22)</f>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3" spans="3:3">
      <c r="C23" s="12" t="str">
        <f>IF(SystemicTreatment!J23="*  ..  ##34###34# ##334###334#","//--- END",SystemicTreatment!J23)</f>
        <v>//--- END</v>
      </c>
    </row>
    <row r="24" spans="3:3">
      <c r="C24" s="12" t="str">
        <f>IF(SystemicTreatment!J24="*  ..  ##34###34# ##334###334#","//--- END",SystemicTreatment!J24)</f>
        <v>//--- END</v>
      </c>
    </row>
    <row r="25" spans="3:3">
      <c r="C25" s="12" t="str">
        <f>IF(SystemicTreatment!J25="*  ..  ##34###34# ##334###334#","//--- END",SystemicTreatment!J25)</f>
        <v>//--- END</v>
      </c>
    </row>
    <row r="33" spans="3:3">
      <c r="C33" s="23" t="s">
        <v>1613</v>
      </c>
    </row>
    <row r="34" spans="3:3">
      <c r="C34" s="24" t="s">
        <v>1651</v>
      </c>
    </row>
    <row r="35" spans="3:3">
      <c r="C35" s="24" t="s">
        <v>1613</v>
      </c>
    </row>
    <row r="36" spans="3:3">
      <c r="C36" s="12" t="str">
        <f>IF(SystemicTreatment!L8="*  ..  ##34###34# ##334###334#","//--- END",SystemicTreatment!L8)</f>
        <v/>
      </c>
    </row>
    <row r="37" spans="3:3" ht="103.25">
      <c r="C37" s="12" t="str">
        <f>IF(SystemicTreatment!L9="*  ..  ##34###34# ##334###334#","//--- END",SystemicTreatment!L9)</f>
        <v>* typeOfSystemicTreatment ^comment = ##334#Chemotherapy; Immunotherapy; Target therapy;  Unknown
Chemotherapy - 4273629
Immunotherapy - 40310107
Target therapy -  40488979
Unknown - 4129922
##334#</v>
      </c>
    </row>
    <row r="38" spans="3:3" ht="59">
      <c r="C38" s="12" t="str">
        <f>IF(SystemicTreatment!L10="*  ..  ##34###34# ##334###334#","//--- END",SystemicTreatment!L10)</f>
        <v>* intent ^comment = ##334#Palliative; Curative; Unknwon
Palliative - 4179711
Curative - 
Unknown - 4129922##334#</v>
      </c>
    </row>
    <row r="39" spans="3:3" ht="88.5">
      <c r="C39" s="12" t="str">
        <f>IF(SystemicTreatment!L11="*  ..  ##34###34# ##334###334#","//--- END",SystemicTreatment!L11)</f>
        <v>* setting ^comment = ##334#Neo-adjuvant; Concomitant; Adjuvant; Systemic tretament alone;  Unknown;
Neo-adjuvant - 44808409
Concomitant - 
 Adjuvant - 44804498
Systemic tretament alone - 
Unknown - 4129922##334#</v>
      </c>
    </row>
    <row r="40" spans="3:3">
      <c r="C40" s="12" t="str">
        <f>IF(SystemicTreatment!L12="*  ..  ##34###34# ##334###334#","//--- END",SystemicTreatment!L12)</f>
        <v/>
      </c>
    </row>
    <row r="41" spans="3:3">
      <c r="C41" s="12" t="str">
        <f>IF(SystemicTreatment!L13="*  ..  ##34###34# ##334###334#","//--- END",SystemicTreatment!L13)</f>
        <v/>
      </c>
    </row>
    <row r="42" spans="3:3">
      <c r="C42" s="12" t="str">
        <f>IF(SystemicTreatment!L14="*  ..  ##34###34# ##334###334#","//--- END",SystemicTreatment!L14)</f>
        <v/>
      </c>
    </row>
    <row r="43" spans="3:3">
      <c r="C43" s="12" t="str">
        <f>IF(SystemicTreatment!L15="*  ..  ##34###34# ##334###334#","//--- END",SystemicTreatment!L15)</f>
        <v/>
      </c>
    </row>
    <row r="44" spans="3:3" ht="44.25">
      <c r="C44" s="12" t="str">
        <f>IF(SystemicTreatment!L16="*  ..  ##34###34# ##334###334#","//--- END",SystemicTreatment!L16)</f>
        <v>* regimen.drugs1 ^comment = ##334#ATC list
Athena vocabulary 
ATC##334#</v>
      </c>
    </row>
    <row r="45" spans="3:3" ht="44.25">
      <c r="C45" s="12" t="str">
        <f>IF(SystemicTreatment!L17="*  ..  ##34###34# ##334###334#","//--- END",SystemicTreatment!L17)</f>
        <v>* regimen.drugs2 ^comment = ##334#ATC list
Athena vocabulary 
ATC##334#</v>
      </c>
    </row>
    <row r="46" spans="3:3" ht="44.25">
      <c r="C46" s="12" t="str">
        <f>IF(SystemicTreatment!L18="*  ..  ##34###34# ##334###334#","//--- END",SystemicTreatment!L18)</f>
        <v>* regimen.drugs3 ^comment = ##334#ATC list
Athena vocabulary 
ATC##334#</v>
      </c>
    </row>
    <row r="47" spans="3:3">
      <c r="C47" s="12" t="str">
        <f>IF(SystemicTreatment!L19="*  ..  ##34###34# ##334###334#","//--- END",SystemicTreatment!L19)</f>
        <v/>
      </c>
    </row>
    <row r="48" spans="3:3">
      <c r="C48" s="12" t="str">
        <f>IF(SystemicTreatment!L20="*  ..  ##34###34# ##334###334#","//--- END",SystemicTreatment!L20)</f>
        <v/>
      </c>
    </row>
    <row r="49" spans="3:3" ht="132.75">
      <c r="C49" s="12" t="str">
        <f>IF(SystemicTreatment!L21="*  ..  ##34###34# ##334###334#","//--- END",SystemicTreatment!L21)</f>
        <v>* reasonForEndOfTreatment ^comment = ##334#Completion; Toxicity; Comorbidity; Patient  intolerance; Patients decision; Death;  Unknown.
Completion - 4058777 
Toxicity - 438028
Comorbidity - 4162706 
Patient  intolerance -  4105297
Patients decision - 
Death - 4306655
Unknown - 4129922##334#</v>
      </c>
    </row>
    <row r="50" spans="3:3" ht="103.25">
      <c r="C50" s="12" t="str">
        <f>IF(SystemicTreatment!L22="*  ..  ##34###34# ##334###334#","//--- END",SystemicTreatment!L22)</f>
        <v>* treatmentResponseBasedOnImagingAloneNoRecistOrOtherCriteria ^comment = ##334#Complete response; Partial response; Stable disease; Progression; Unknown.
Complete response - 4163135
Partial response -  4161302
Stable disease - 4241442
Progression - 4168352
Unknown - 4129922##334#</v>
      </c>
    </row>
    <row r="51" spans="3:3">
      <c r="C51" s="12" t="str">
        <f>IF(SystemicTreatment!L23="*  ..  ##34###34# ##334###334#","//--- END",SystemicTreatment!L23)</f>
        <v>//--- END</v>
      </c>
    </row>
    <row r="52" spans="3:3">
      <c r="C52" s="12" t="str">
        <f>IF(SystemicTreatment!L24="*  ..  ##34###34# ##334###334#","//--- END",SystemicTreatment!L24)</f>
        <v>//--- END</v>
      </c>
    </row>
    <row r="53" spans="3:3">
      <c r="C53" s="12" t="str">
        <f>IF(SystemicTreatment!L25="*  ..  ##34###34# ##334###334#","//--- END",SystemicTreatment!L25)</f>
        <v>//--- END</v>
      </c>
    </row>
    <row r="207" spans="3:3">
      <c r="C207" s="2"/>
    </row>
    <row r="208" spans="3:3">
      <c r="C208"/>
    </row>
    <row r="210" spans="3:3">
      <c r="C210" s="23"/>
    </row>
    <row r="211" spans="3:3">
      <c r="C211" s="24"/>
    </row>
    <row r="212" spans="3:3">
      <c r="C212" s="24"/>
    </row>
    <row r="219" spans="3:3">
      <c r="C219"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219</xdr:row>
                    <xdr:rowOff>171450</xdr:rowOff>
                  </from>
                  <to>
                    <xdr:col>2</xdr:col>
                    <xdr:colOff>1117600</xdr:colOff>
                    <xdr:row>221</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D5" workbookViewId="0">
      <selection activeCell="P15" sqref="P15:S163"/>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2228</v>
      </c>
      <c r="D3" s="62" t="s">
        <v>1769</v>
      </c>
      <c r="E3" s="117" t="str">
        <f>$C$1&amp;B14</f>
        <v>http://hl7.eu/fhir/ig/idea4rc/StructureDefinition/SystemicTreatment</v>
      </c>
    </row>
    <row r="4" spans="1:19">
      <c r="B4" s="62" t="s">
        <v>16</v>
      </c>
      <c r="C4" s="28" t="s">
        <v>2228</v>
      </c>
      <c r="D4" s="62" t="s">
        <v>1770</v>
      </c>
      <c r="E4" s="184" t="s">
        <v>2240</v>
      </c>
      <c r="F4" s="189"/>
      <c r="G4" s="189"/>
    </row>
    <row r="5" spans="1:19">
      <c r="B5" s="62" t="s">
        <v>10</v>
      </c>
      <c r="C5" s="7" t="s">
        <v>2229</v>
      </c>
      <c r="D5" s="62"/>
      <c r="E5" s="7"/>
    </row>
    <row r="6" spans="1:19">
      <c r="B6" s="62" t="s">
        <v>18</v>
      </c>
      <c r="C6" s="56"/>
      <c r="D6" s="62" t="s">
        <v>1771</v>
      </c>
      <c r="E6" s="184" t="str">
        <f>E3</f>
        <v>http://hl7.eu/fhir/ig/idea4rc/StructureDefinition/SystemicTreatment</v>
      </c>
      <c r="F6" s="185"/>
      <c r="G6" s="185"/>
    </row>
    <row r="7" spans="1:19">
      <c r="B7" s="62" t="s">
        <v>15</v>
      </c>
      <c r="C7" s="118"/>
      <c r="D7" s="62" t="s">
        <v>1772</v>
      </c>
      <c r="E7" s="184" t="str">
        <f>E4</f>
        <v>http://hl7.eu/fhir/ig/idea4rc/StructureDefinition/MedicationAdministration-eu-i4rc</v>
      </c>
      <c r="F7" s="185"/>
      <c r="G7" s="185"/>
    </row>
    <row r="8" spans="1:19" ht="45" thickBot="1">
      <c r="B8" s="62" t="s">
        <v>1773</v>
      </c>
      <c r="C8" s="7" t="s">
        <v>2229</v>
      </c>
      <c r="D8" s="62"/>
      <c r="E8" s="7"/>
      <c r="I8" s="12" t="s">
        <v>1402</v>
      </c>
      <c r="J8" s="12" t="s">
        <v>1403</v>
      </c>
      <c r="K8" s="12" t="s">
        <v>1404</v>
      </c>
      <c r="L8" s="12" t="s">
        <v>1405</v>
      </c>
      <c r="M8" s="11" t="s">
        <v>1406</v>
      </c>
      <c r="P8" s="49" t="s">
        <v>1441</v>
      </c>
      <c r="Q8" s="49">
        <v>6</v>
      </c>
    </row>
    <row r="9" spans="1:19" ht="30.25" thickBot="1">
      <c r="B9" s="62" t="s">
        <v>1774</v>
      </c>
      <c r="C9" s="12" t="s">
        <v>2230</v>
      </c>
      <c r="D9" s="143"/>
      <c r="E9" s="186"/>
      <c r="F9" s="187"/>
      <c r="G9" s="18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SystemicTreatment!B5</f>
        <v>SystemicTreatment</v>
      </c>
      <c r="C14" s="11"/>
      <c r="D14" s="4" t="s">
        <v>2182</v>
      </c>
      <c r="E14" s="6"/>
      <c r="F14" s="64"/>
      <c r="G14" s="64"/>
      <c r="I14" s="12"/>
      <c r="J14" s="11"/>
      <c r="K14" s="11"/>
      <c r="L14" s="11"/>
      <c r="M14" s="63"/>
      <c r="N14" s="66"/>
    </row>
    <row r="15" spans="1:19" ht="44.25">
      <c r="A15" s="59"/>
      <c r="B15" s="11" t="str">
        <f>SystemicTreatment!B8</f>
        <v>episodeEventReference</v>
      </c>
      <c r="C15" s="11" t="str">
        <f>SystemicTreatment!C8</f>
        <v>Episode Event reference</v>
      </c>
      <c r="D15" s="12" t="s">
        <v>2183</v>
      </c>
      <c r="E15" s="12"/>
      <c r="F15" s="64" t="s">
        <v>1407</v>
      </c>
      <c r="G15" s="123"/>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03.25">
      <c r="A16" s="59"/>
      <c r="B16" s="11" t="str">
        <f>SystemicTreatment!B9</f>
        <v>typeOfSystemicTreatment</v>
      </c>
      <c r="C16" s="11" t="str">
        <f>SystemicTreatment!C9</f>
        <v>type of systemic treatment</v>
      </c>
      <c r="D16" s="12" t="s">
        <v>2231</v>
      </c>
      <c r="E16" s="12"/>
      <c r="F16" s="64" t="s">
        <v>1429</v>
      </c>
      <c r="G16" s="123" t="s">
        <v>2239</v>
      </c>
      <c r="I16" s="12" t="str">
        <f t="shared" ref="I16:I29" si="7">"* group[=].element[+].code = #"&amp;$B$14&amp;"."&amp;B16</f>
        <v>* group[=].element[+].code = #SystemicTreatment.typeOfSystemicTreatment</v>
      </c>
      <c r="J16" s="12" t="str">
        <f t="shared" ref="J16:J29" si="8">"* group[=].element[=].display = ##34#"&amp;C16&amp;"##34#"</f>
        <v>* group[=].element[=].display = ##34#type of systemic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##34#TO BE ANALYZED IF THIS IS REPRESENTED BY USING A MedicationAdministration OR IT IS A PROCEDURE COMPOSED BY ONE OR MORE ##34#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c r="A17" s="59"/>
      <c r="B17" s="11" t="str">
        <f>SystemicTreatment!B10</f>
        <v>intent</v>
      </c>
      <c r="C17" s="11" t="str">
        <f>SystemicTreatment!C10</f>
        <v>Intent</v>
      </c>
      <c r="D17" s="27" t="s">
        <v>2232</v>
      </c>
      <c r="E17" s="12"/>
      <c r="F17" s="64" t="s">
        <v>1407</v>
      </c>
      <c r="G17" s="122" t="s">
        <v>1775</v>
      </c>
      <c r="H17" s="58"/>
      <c r="I17" s="12" t="str">
        <f t="shared" si="7"/>
        <v>* group[=].element[+].code = #SystemicTreatment.intent</v>
      </c>
      <c r="J17" s="12" t="str">
        <f t="shared" si="8"/>
        <v>* group[=].element[=].display = ##34#Intent##34#</v>
      </c>
      <c r="K17" s="12" t="str">
        <f t="shared" si="9"/>
        <v>* group[=].element[=].target.code = #Procedure.extension:intent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c r="A18" s="59"/>
      <c r="B18" s="11" t="str">
        <f>SystemicTreatment!B11</f>
        <v>setting</v>
      </c>
      <c r="C18" s="11" t="str">
        <f>SystemicTreatment!C11</f>
        <v>Setting</v>
      </c>
      <c r="D18" s="12" t="s">
        <v>2233</v>
      </c>
      <c r="E18" s="12"/>
      <c r="F18" s="64" t="s">
        <v>1407</v>
      </c>
      <c r="G18" s="122" t="s">
        <v>1775</v>
      </c>
      <c r="H18" s="58"/>
      <c r="I18" s="12" t="str">
        <f t="shared" si="7"/>
        <v>* group[=].element[+].code = #SystemicTreatment.setting</v>
      </c>
      <c r="J18" s="12" t="str">
        <f t="shared" si="8"/>
        <v>* group[=].element[=].display = ##34#Setting##34#</v>
      </c>
      <c r="K18" s="12" t="str">
        <f t="shared" si="9"/>
        <v>* group[=].element[=].target.code = #Procedure.extension</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c r="A19" s="59"/>
      <c r="B19" s="11" t="str">
        <f>SystemicTreatment!B12</f>
        <v>startDateSystemicTreatment</v>
      </c>
      <c r="C19" s="11" t="str">
        <f>SystemicTreatment!C12</f>
        <v>Start date systemic treatment</v>
      </c>
      <c r="D19" s="12" t="s">
        <v>1974</v>
      </c>
      <c r="E19" s="12"/>
      <c r="F19" s="64" t="s">
        <v>1407</v>
      </c>
      <c r="G19" s="123"/>
      <c r="H19" s="58"/>
      <c r="I19" s="12" t="str">
        <f t="shared" si="7"/>
        <v>* group[=].element[+].code = #SystemicTreatment.startDateSystemicTreatment</v>
      </c>
      <c r="J19" s="12" t="str">
        <f t="shared" si="8"/>
        <v>* group[=].element[=].display = ##34#Start date systemic treatment##34#</v>
      </c>
      <c r="K19" s="12" t="str">
        <f t="shared" si="9"/>
        <v>* group[=].element[=].target.code = #Procedure.effectivePeriod.start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INDEX('SystemicTreatm-ConceptMap-1'!$I$15:$N$124,Q19+1,R19)</f>
        <v>* group[=].element[=].target.equivalence = #relatedto</v>
      </c>
    </row>
    <row r="20" spans="1:19" ht="44.25">
      <c r="A20" s="59"/>
      <c r="B20" s="11" t="str">
        <f>SystemicTreatment!B13</f>
        <v>endDateSystemicTreatment</v>
      </c>
      <c r="C20" s="11" t="str">
        <f>SystemicTreatment!C13</f>
        <v>End date systemic treatment</v>
      </c>
      <c r="D20" s="12" t="s">
        <v>2234</v>
      </c>
      <c r="E20" s="12"/>
      <c r="F20" s="64" t="s">
        <v>1407</v>
      </c>
      <c r="G20" s="123"/>
      <c r="H20" s="58"/>
      <c r="I20" s="12" t="str">
        <f t="shared" si="7"/>
        <v>* group[=].element[+].code = #SystemicTreatment.endDateSystemicTreatment</v>
      </c>
      <c r="J20" s="12" t="str">
        <f t="shared" si="8"/>
        <v>* group[=].element[=].display = ##34#End date systemic treatment##34#</v>
      </c>
      <c r="K20" s="12" t="str">
        <f t="shared" si="9"/>
        <v>* group[=].element[=].target.code = #Procedure.effectivePeriod.end</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INDEX('SystemicTreatm-ConceptMap-1'!$I$15:$N$124,Q20+1,R20)</f>
        <v/>
      </c>
    </row>
    <row r="21" spans="1:19" ht="44.25">
      <c r="A21" s="59"/>
      <c r="B21" s="11" t="str">
        <f>SystemicTreatment!B14</f>
        <v>numberOfCyclesAdministrations</v>
      </c>
      <c r="C21" s="11" t="str">
        <f>SystemicTreatment!C14</f>
        <v>Number of cycles/ administrations</v>
      </c>
      <c r="D21" s="12"/>
      <c r="E21" s="12"/>
      <c r="F21" s="64" t="s">
        <v>1407</v>
      </c>
      <c r="G21" s="123"/>
      <c r="H21" s="58"/>
      <c r="I21" s="12" t="str">
        <f t="shared" si="7"/>
        <v>* group[=].element[+].code = #SystemicTreatment.numberOfCyclesAdministrations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INDEX('SystemicTreatm-ConceptMap-1'!$I$15:$N$124,Q21+1,R21)</f>
        <v>* group[=].element[+].code = #SystemicTreatment.typeOfSystemicTreatment</v>
      </c>
    </row>
    <row r="22" spans="1:19" ht="44.25">
      <c r="A22" s="59"/>
      <c r="B22" s="11" t="str">
        <f>SystemicTreatment!B15</f>
        <v>regimen</v>
      </c>
      <c r="C22" s="11" t="str">
        <f>SystemicTreatment!C15</f>
        <v>Regimen</v>
      </c>
      <c r="D22" s="12"/>
      <c r="E22" s="12"/>
      <c r="F22" s="64" t="s">
        <v>1407</v>
      </c>
      <c r="G22" s="123"/>
      <c r="H22" s="58"/>
      <c r="I22" s="12" t="str">
        <f t="shared" si="7"/>
        <v>* group[=].element[+].code = #SystemicTreatment.regimen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systemic treatment##34#</v>
      </c>
    </row>
    <row r="23" spans="1:19" ht="44.25">
      <c r="A23" s="59"/>
      <c r="B23" s="11" t="str">
        <f>SystemicTreatment!B16</f>
        <v>regimen.drugs1</v>
      </c>
      <c r="C23" s="11" t="str">
        <f>SystemicTreatment!C16</f>
        <v>Drugs 1</v>
      </c>
      <c r="D23" s="12" t="s">
        <v>2235</v>
      </c>
      <c r="E23" s="11"/>
      <c r="F23" s="64" t="s">
        <v>1407</v>
      </c>
      <c r="G23" s="122" t="s">
        <v>1775</v>
      </c>
      <c r="H23" s="58"/>
      <c r="I23" s="12" t="str">
        <f t="shared" si="7"/>
        <v>* group[=].element[+].code = #SystemicTreatment.regimen.drugs1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c r="A24" s="59"/>
      <c r="B24" s="11" t="str">
        <f>SystemicTreatment!B17</f>
        <v>regimen.drugs2</v>
      </c>
      <c r="C24" s="11" t="str">
        <f>SystemicTreatment!C17</f>
        <v>Drugs 2</v>
      </c>
      <c r="D24" s="12" t="s">
        <v>2235</v>
      </c>
      <c r="E24" s="11"/>
      <c r="F24" s="64" t="s">
        <v>1407</v>
      </c>
      <c r="G24" s="122" t="s">
        <v>1775</v>
      </c>
      <c r="H24" s="58"/>
      <c r="I24" s="12" t="str">
        <f t="shared" si="7"/>
        <v>* group[=].element[+].code = #SystemicTreatment.regimen.drugs2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c r="A25" s="59"/>
      <c r="B25" s="11" t="str">
        <f>SystemicTreatment!B18</f>
        <v>regimen.drugs3</v>
      </c>
      <c r="C25" s="11" t="str">
        <f>SystemicTreatment!C18</f>
        <v>Drugs 3</v>
      </c>
      <c r="D25" s="12" t="s">
        <v>2235</v>
      </c>
      <c r="E25" s="11"/>
      <c r="F25" s="64" t="s">
        <v>1407</v>
      </c>
      <c r="G25" s="122" t="s">
        <v>1775</v>
      </c>
      <c r="H25" s="58"/>
      <c r="I25" s="12" t="str">
        <f t="shared" si="7"/>
        <v>* group[=].element[+].code = #SystemicTreatment.regimen.drugs3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44.25">
      <c r="A26" s="59"/>
      <c r="B26" s="11" t="str">
        <f>SystemicTreatment!B19</f>
        <v>regimen.startDateRegimenChanged</v>
      </c>
      <c r="C26" s="11" t="str">
        <f>SystemicTreatment!C19</f>
        <v>Start date regimen changed</v>
      </c>
      <c r="D26" s="12"/>
      <c r="E26" s="12"/>
      <c r="F26" s="64" t="s">
        <v>1407</v>
      </c>
      <c r="G26" s="122" t="s">
        <v>1775</v>
      </c>
      <c r="H26" s="58"/>
      <c r="I26" s="12" t="str">
        <f t="shared" si="7"/>
        <v>* group[=].element[+].code = #SystemicTreatment.regimen.startDateRegimenChanged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##34#TO BE ANALYZED IF THIS IS REPRESENTED BY USING A MedicationAdministration OR IT IS A PROCEDURE COMPOSED BY ONE OR MORE ##34#</v>
      </c>
    </row>
    <row r="27" spans="1:19" ht="44.25">
      <c r="A27" s="59"/>
      <c r="B27" s="11" t="str">
        <f>SystemicTreatment!B20</f>
        <v>regimen.endDateRegimenChanged</v>
      </c>
      <c r="C27" s="11" t="str">
        <f>SystemicTreatment!C20</f>
        <v>End date regimen changed</v>
      </c>
      <c r="D27" s="12"/>
      <c r="E27" s="12"/>
      <c r="F27" s="64" t="s">
        <v>1407</v>
      </c>
      <c r="G27" s="122" t="s">
        <v>1775</v>
      </c>
      <c r="H27" s="58"/>
      <c r="I27" s="12" t="str">
        <f t="shared" si="7"/>
        <v>* group[=].element[+].code = #SystemicTreatment.regimen.endDateRegimenChanged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c r="B28" s="11" t="str">
        <f>SystemicTreatment!B21</f>
        <v>reasonForEndOfTreatment</v>
      </c>
      <c r="C28" s="11" t="str">
        <f>SystemicTreatment!C21</f>
        <v>Reason for end of treatment</v>
      </c>
      <c r="D28" s="12" t="s">
        <v>2236</v>
      </c>
      <c r="E28" s="12"/>
      <c r="F28" s="64" t="s">
        <v>1407</v>
      </c>
      <c r="G28" s="123"/>
      <c r="H28" s="58"/>
      <c r="I28" s="12" t="str">
        <f t="shared" si="7"/>
        <v>* group[=].element[+].code = #SystemicTreatment.reasonForEndOfTreatment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c r="B29" s="11" t="str">
        <f>SystemicTreatment!B22</f>
        <v>treatmentResponseBasedOnImagingAloneNoRecistOrOtherCriteria</v>
      </c>
      <c r="C29" s="11" t="str">
        <f>SystemicTreatment!C22</f>
        <v>Treatment response (based on imaging alone; no recist or other criteria)</v>
      </c>
      <c r="D29" s="12" t="s">
        <v>2237</v>
      </c>
      <c r="E29" s="12"/>
      <c r="F29" s="64" t="s">
        <v>1407</v>
      </c>
      <c r="G29" s="122" t="s">
        <v>2238</v>
      </c>
      <c r="H29" s="58"/>
      <c r="I29" s="12" t="str">
        <f t="shared" si="7"/>
        <v>* group[=].element[+].code = #SystemicTreatment.treatmentResponseBasedOnImagingAloneNoRecistOrOtherCriteria</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#Procedure.extension:intent</v>
      </c>
    </row>
    <row r="30" spans="1:19">
      <c r="B30" s="11"/>
      <c r="C30" s="11"/>
      <c r="D30" s="12"/>
      <c r="E30" s="12"/>
      <c r="F30" s="64"/>
      <c r="G30" s="123"/>
      <c r="H30" s="58"/>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c r="B31" s="11"/>
      <c r="C31" s="11"/>
      <c r="D31" s="12"/>
      <c r="E31" s="12"/>
      <c r="F31" s="64"/>
      <c r="G31" s="123"/>
      <c r="H31" s="58"/>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c r="B32" s="11"/>
      <c r="C32" s="11"/>
      <c r="D32" s="12"/>
      <c r="E32" s="12"/>
      <c r="F32" s="64"/>
      <c r="G32" s="123"/>
      <c r="H32" s="58"/>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c r="B33" s="11"/>
      <c r="C33" s="11"/>
      <c r="D33" s="12"/>
      <c r="E33" s="12"/>
      <c r="F33" s="64"/>
      <c r="G33" s="64"/>
      <c r="H33" s="58"/>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INDEX('SystemicTreatm-ConceptMap-1'!$I$15:$N$124,Q35+1,R35)</f>
        <v>* group[=].element[=].target.code = #Procedure.extension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c r="B38" s="11"/>
      <c r="C38" s="11"/>
      <c r="D38" s="12"/>
      <c r="E38" s="12"/>
      <c r="F38" s="64"/>
      <c r="G38" s="64"/>
      <c r="H38" s="58"/>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c r="B39" s="11"/>
      <c r="C39" s="11"/>
      <c r="D39" s="12"/>
      <c r="E39" s="12"/>
      <c r="F39" s="64"/>
      <c r="G39" s="64"/>
      <c r="H39" s="58"/>
      <c r="I39" s="12"/>
      <c r="J39" s="12"/>
      <c r="K39" s="12"/>
      <c r="L39" s="12"/>
      <c r="M39" s="12"/>
      <c r="N39" s="12"/>
      <c r="P39" s="11">
        <v>25</v>
      </c>
      <c r="Q39" s="11">
        <f t="shared" si="13"/>
        <v>4</v>
      </c>
      <c r="R39" s="11">
        <f t="shared" si="14"/>
        <v>1</v>
      </c>
      <c r="S39" s="12" t="str" cm="1">
        <f t="array" ref="S39">INDEX('SystemicTreatm-ConceptMap-1'!$I$15:$N$124,Q39+1,R39)</f>
        <v>* group[=].element[+].code = #SystemicTreatment.startDateSystemicTreatment</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INDEX('SystemicTreatm-ConceptMap-1'!$I$15:$N$124,Q40+1,R40)</f>
        <v>* group[=].element[=].display = ##34#Start date systemic treatment##34#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INDEX('SystemicTreatm-ConceptMap-1'!$I$15:$N$124,Q41+1,R41)</f>
        <v>* group[=].element[=].target.code = #Procedure.effectivePeriod.start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INDEX('SystemicTreatm-ConceptMap-1'!$I$15:$N$124,Q42+1,R42)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INDEX('SystemicTreatm-ConceptMap-1'!$I$15:$N$124,Q43+1,R43)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INDEX('SystemicTreatm-ConceptMap-1'!$I$15:$N$124,Q44+1,R44)</f>
        <v/>
      </c>
    </row>
    <row r="45" spans="1:19">
      <c r="B45" s="11"/>
      <c r="C45" s="11"/>
      <c r="P45" s="11">
        <v>31</v>
      </c>
      <c r="Q45" s="11">
        <f t="shared" si="13"/>
        <v>5</v>
      </c>
      <c r="R45" s="11">
        <f t="shared" si="14"/>
        <v>1</v>
      </c>
      <c r="S45" s="12" t="str" cm="1">
        <f t="array" ref="S45">INDEX('SystemicTreatm-ConceptMap-1'!$I$15:$N$124,Q45+1,R45)</f>
        <v>* group[=].element[+].code = #SystemicTreatment.endDateSystemicTreatment</v>
      </c>
    </row>
    <row r="46" spans="1:19">
      <c r="B46" s="11"/>
      <c r="C46" s="11"/>
      <c r="P46" s="11">
        <v>32</v>
      </c>
      <c r="Q46" s="11">
        <f t="shared" si="13"/>
        <v>5</v>
      </c>
      <c r="R46" s="11">
        <f t="shared" si="14"/>
        <v>2</v>
      </c>
      <c r="S46" s="12" t="str" cm="1">
        <f t="array" ref="S46">INDEX('SystemicTreatm-ConceptMap-1'!$I$15:$N$124,Q46+1,R46)</f>
        <v>* group[=].element[=].display = ##34#End date systemic treatment##34#</v>
      </c>
    </row>
    <row r="47" spans="1:19">
      <c r="P47" s="11">
        <v>33</v>
      </c>
      <c r="Q47" s="11">
        <f t="shared" si="13"/>
        <v>5</v>
      </c>
      <c r="R47" s="11">
        <f t="shared" si="14"/>
        <v>3</v>
      </c>
      <c r="S47" s="12" t="str" cm="1">
        <f t="array" ref="S47">INDEX('SystemicTreatm-ConceptMap-1'!$I$15:$N$124,Q47+1,R47)</f>
        <v>* group[=].element[=].target.code = #Procedure.effectivePeriod.end</v>
      </c>
    </row>
    <row r="48" spans="1:19">
      <c r="P48" s="11">
        <v>34</v>
      </c>
      <c r="Q48" s="11">
        <f t="shared" si="13"/>
        <v>5</v>
      </c>
      <c r="R48" s="11">
        <f t="shared" si="14"/>
        <v>4</v>
      </c>
      <c r="S48" s="12" t="str" cm="1">
        <f t="array" ref="S48">INDEX('SystemicTreatm-ConceptMap-1'!$I$15:$N$124,Q48+1,R48)</f>
        <v>* group[=].element[=].target.display = ##34###34#</v>
      </c>
    </row>
    <row r="49" spans="16:19">
      <c r="P49" s="11">
        <v>35</v>
      </c>
      <c r="Q49" s="11">
        <f t="shared" si="13"/>
        <v>5</v>
      </c>
      <c r="R49" s="11">
        <f t="shared" si="14"/>
        <v>5</v>
      </c>
      <c r="S49" s="12" t="str" cm="1">
        <f t="array" ref="S49">INDEX('SystemicTreatm-ConceptMap-1'!$I$15:$N$124,Q49+1,R49)</f>
        <v>* group[=].element[=].target.equivalence = #relatedto</v>
      </c>
    </row>
    <row r="50" spans="16:19">
      <c r="P50" s="11">
        <v>36</v>
      </c>
      <c r="Q50" s="11">
        <f t="shared" si="13"/>
        <v>5</v>
      </c>
      <c r="R50" s="11">
        <f t="shared" si="14"/>
        <v>6</v>
      </c>
      <c r="S50" s="12" t="str" cm="1">
        <f t="array" ref="S50">INDEX('SystemicTreatm-ConceptMap-1'!$I$15:$N$124,Q50+1,R50)</f>
        <v/>
      </c>
    </row>
    <row r="51" spans="16:19">
      <c r="P51" s="11">
        <v>37</v>
      </c>
      <c r="Q51" s="11">
        <f t="shared" si="13"/>
        <v>6</v>
      </c>
      <c r="R51" s="11">
        <f t="shared" si="14"/>
        <v>1</v>
      </c>
      <c r="S51" s="12" t="str" cm="1">
        <f t="array" ref="S51">INDEX('SystemicTreatm-ConceptMap-1'!$I$15:$N$124,Q51+1,R51)</f>
        <v>* group[=].element[+].code = #SystemicTreatment.numberOfCyclesAdministrations</v>
      </c>
    </row>
    <row r="52" spans="16:19">
      <c r="P52" s="11">
        <v>38</v>
      </c>
      <c r="Q52" s="11">
        <f t="shared" si="13"/>
        <v>6</v>
      </c>
      <c r="R52" s="11">
        <f t="shared" si="14"/>
        <v>2</v>
      </c>
      <c r="S52" s="12" t="str" cm="1">
        <f t="array" ref="S52">INDEX('SystemicTreatm-ConceptMap-1'!$I$15:$N$124,Q52+1,R52)</f>
        <v>* group[=].element[=].display = ##34#Number of cycles/ administrations##34#</v>
      </c>
    </row>
    <row r="53" spans="16:19">
      <c r="P53" s="11">
        <v>39</v>
      </c>
      <c r="Q53" s="11">
        <f t="shared" si="13"/>
        <v>6</v>
      </c>
      <c r="R53" s="11">
        <f t="shared" si="14"/>
        <v>3</v>
      </c>
      <c r="S53" s="12" t="str" cm="1">
        <f t="array" ref="S53">INDEX('SystemicTreatm-ConceptMap-1'!$I$15:$N$124,Q53+1,R53)</f>
        <v>* group[=].element[=].target.code = #Procedure.</v>
      </c>
    </row>
    <row r="54" spans="16:19">
      <c r="P54" s="11">
        <v>40</v>
      </c>
      <c r="Q54" s="11">
        <f t="shared" si="13"/>
        <v>6</v>
      </c>
      <c r="R54" s="11">
        <f t="shared" si="14"/>
        <v>4</v>
      </c>
      <c r="S54" s="12" t="str" cm="1">
        <f t="array" ref="S54">INDEX('SystemicTreatm-ConceptMap-1'!$I$15:$N$124,Q54+1,R54)</f>
        <v>* group[=].element[=].target.display = ##34###34#</v>
      </c>
    </row>
    <row r="55" spans="16:19">
      <c r="P55" s="11">
        <v>41</v>
      </c>
      <c r="Q55" s="11">
        <f t="shared" si="13"/>
        <v>6</v>
      </c>
      <c r="R55" s="11">
        <f t="shared" si="14"/>
        <v>5</v>
      </c>
      <c r="S55" s="12" t="str" cm="1">
        <f t="array" ref="S55">INDEX('SystemicTreatm-ConceptMap-1'!$I$15:$N$124,Q55+1,R55)</f>
        <v>* group[=].element[=].target.equivalence = #relatedto</v>
      </c>
    </row>
    <row r="56" spans="16:19">
      <c r="P56" s="11">
        <v>42</v>
      </c>
      <c r="Q56" s="11">
        <f t="shared" si="13"/>
        <v>6</v>
      </c>
      <c r="R56" s="11">
        <f t="shared" si="14"/>
        <v>6</v>
      </c>
      <c r="S56" s="12" t="str" cm="1">
        <f t="array" ref="S56">INDEX('SystemicTreatm-ConceptMap-1'!$I$15:$N$124,Q56+1,R56)</f>
        <v/>
      </c>
    </row>
    <row r="57" spans="16:19">
      <c r="P57" s="11">
        <v>43</v>
      </c>
      <c r="Q57" s="11">
        <f t="shared" si="13"/>
        <v>7</v>
      </c>
      <c r="R57" s="11">
        <f t="shared" si="14"/>
        <v>1</v>
      </c>
      <c r="S57" s="12" t="str" cm="1">
        <f t="array" ref="S57">INDEX('SystemicTreatm-ConceptMap-1'!$I$15:$N$124,Q57+1,R57)</f>
        <v>* group[=].element[+].code = #SystemicTreatment.regimen</v>
      </c>
    </row>
    <row r="58" spans="16:19">
      <c r="P58" s="11">
        <v>44</v>
      </c>
      <c r="Q58" s="11">
        <f t="shared" si="13"/>
        <v>7</v>
      </c>
      <c r="R58" s="11">
        <f t="shared" si="14"/>
        <v>2</v>
      </c>
      <c r="S58" s="12" t="str" cm="1">
        <f t="array" ref="S58">INDEX('SystemicTreatm-ConceptMap-1'!$I$15:$N$124,Q58+1,R58)</f>
        <v>* group[=].element[=].display = ##34#Regimen##34#</v>
      </c>
    </row>
    <row r="59" spans="16:19">
      <c r="P59" s="11">
        <v>45</v>
      </c>
      <c r="Q59" s="11">
        <f t="shared" si="13"/>
        <v>7</v>
      </c>
      <c r="R59" s="11">
        <f t="shared" si="14"/>
        <v>3</v>
      </c>
      <c r="S59" s="12" t="str" cm="1">
        <f t="array" ref="S59">INDEX('SystemicTreatm-ConceptMap-1'!$I$15:$N$124,Q59+1,R59)</f>
        <v>* group[=].element[=].target.code = #Procedure.</v>
      </c>
    </row>
    <row r="60" spans="16:19">
      <c r="P60" s="11">
        <v>46</v>
      </c>
      <c r="Q60" s="11">
        <f t="shared" si="13"/>
        <v>7</v>
      </c>
      <c r="R60" s="11">
        <f t="shared" si="14"/>
        <v>4</v>
      </c>
      <c r="S60" s="12" t="str" cm="1">
        <f t="array" ref="S60">INDEX('SystemicTreatm-ConceptMap-1'!$I$15:$N$124,Q60+1,R60)</f>
        <v>* group[=].element[=].target.display = ##34###34#</v>
      </c>
    </row>
    <row r="61" spans="16:19">
      <c r="P61" s="11">
        <v>47</v>
      </c>
      <c r="Q61" s="11">
        <f t="shared" si="13"/>
        <v>7</v>
      </c>
      <c r="R61" s="11">
        <f t="shared" si="14"/>
        <v>5</v>
      </c>
      <c r="S61" s="12" t="str" cm="1">
        <f t="array" ref="S61">INDEX('SystemicTreatm-ConceptMap-1'!$I$15:$N$124,Q61+1,R61)</f>
        <v>* group[=].element[=].target.equivalence = #relatedto</v>
      </c>
    </row>
    <row r="62" spans="16:19">
      <c r="P62" s="11">
        <v>48</v>
      </c>
      <c r="Q62" s="11">
        <f t="shared" si="13"/>
        <v>7</v>
      </c>
      <c r="R62" s="11">
        <f t="shared" si="14"/>
        <v>6</v>
      </c>
      <c r="S62" s="12" t="str" cm="1">
        <f t="array" ref="S62">INDEX('SystemicTreatm-ConceptMap-1'!$I$15:$N$124,Q62+1,R62)</f>
        <v/>
      </c>
    </row>
    <row r="63" spans="16:19">
      <c r="P63" s="11">
        <v>49</v>
      </c>
      <c r="Q63" s="11">
        <f t="shared" si="13"/>
        <v>8</v>
      </c>
      <c r="R63" s="11">
        <f t="shared" si="14"/>
        <v>1</v>
      </c>
      <c r="S63" s="12" t="str" cm="1">
        <f t="array" ref="S63">INDEX('SystemicTreatm-ConceptMap-1'!$I$15:$N$124,Q63+1,R63)</f>
        <v>* group[=].element[+].code = #SystemicTreatment.regimen.drugs1</v>
      </c>
    </row>
    <row r="64" spans="16:19">
      <c r="P64" s="11">
        <v>50</v>
      </c>
      <c r="Q64" s="11">
        <f t="shared" si="13"/>
        <v>8</v>
      </c>
      <c r="R64" s="11">
        <f t="shared" si="14"/>
        <v>2</v>
      </c>
      <c r="S64" s="12" t="str" cm="1">
        <f t="array" ref="S64">INDEX('SystemicTreatm-ConceptMap-1'!$I$15:$N$124,Q64+1,R64)</f>
        <v>* group[=].element[=].display = ##34#Drugs 1##34#</v>
      </c>
    </row>
    <row r="65" spans="16:19">
      <c r="P65" s="11">
        <v>51</v>
      </c>
      <c r="Q65" s="11">
        <f t="shared" si="13"/>
        <v>8</v>
      </c>
      <c r="R65" s="11">
        <f t="shared" si="14"/>
        <v>3</v>
      </c>
      <c r="S65" s="12" t="str" cm="1">
        <f t="array" ref="S65">INDEX('SystemicTreatm-ConceptMap-1'!$I$15:$N$124,Q65+1,R65)</f>
        <v>* group[=].element[=].target.code = #Procedure.medication[x]</v>
      </c>
    </row>
    <row r="66" spans="16:19">
      <c r="P66" s="11">
        <v>52</v>
      </c>
      <c r="Q66" s="11">
        <f t="shared" si="13"/>
        <v>8</v>
      </c>
      <c r="R66" s="11">
        <f t="shared" si="14"/>
        <v>4</v>
      </c>
      <c r="S66" s="12" t="str" cm="1">
        <f t="array" ref="S66">INDEX('SystemicTreatm-ConceptMap-1'!$I$15:$N$124,Q66+1,R66)</f>
        <v>* group[=].element[=].target.display = ##34###34#</v>
      </c>
    </row>
    <row r="67" spans="16:19">
      <c r="P67" s="11">
        <v>53</v>
      </c>
      <c r="Q67" s="11">
        <f t="shared" si="13"/>
        <v>8</v>
      </c>
      <c r="R67" s="11">
        <f t="shared" si="14"/>
        <v>5</v>
      </c>
      <c r="S67" s="12" t="str" cm="1">
        <f t="array" ref="S67">INDEX('SystemicTreatm-ConceptMap-1'!$I$15:$N$124,Q67+1,R67)</f>
        <v>* group[=].element[=].target.equivalence = #relatedto</v>
      </c>
    </row>
    <row r="68" spans="16:19">
      <c r="P68" s="11">
        <v>54</v>
      </c>
      <c r="Q68" s="11">
        <f t="shared" si="13"/>
        <v>8</v>
      </c>
      <c r="R68" s="11">
        <f t="shared" si="14"/>
        <v>6</v>
      </c>
      <c r="S68" s="12" t="str" cm="1">
        <f t="array" ref="S68">INDEX('SystemicTreatm-ConceptMap-1'!$I$15:$N$124,Q68+1,R68)</f>
        <v>* group[=].element[=].target.comment = ##34#to be checked##34#</v>
      </c>
    </row>
    <row r="69" spans="16:19">
      <c r="P69" s="11">
        <v>55</v>
      </c>
      <c r="Q69" s="11">
        <f t="shared" si="13"/>
        <v>9</v>
      </c>
      <c r="R69" s="11">
        <f t="shared" si="14"/>
        <v>1</v>
      </c>
      <c r="S69" s="12" t="str" cm="1">
        <f t="array" ref="S69">INDEX('SystemicTreatm-ConceptMap-1'!$I$15:$N$124,Q69+1,R69)</f>
        <v>* group[=].element[+].code = #SystemicTreatment.regimen.drugs2</v>
      </c>
    </row>
    <row r="70" spans="16:19">
      <c r="P70" s="11">
        <v>56</v>
      </c>
      <c r="Q70" s="11">
        <f t="shared" si="13"/>
        <v>9</v>
      </c>
      <c r="R70" s="11">
        <f t="shared" si="14"/>
        <v>2</v>
      </c>
      <c r="S70" s="12" t="str" cm="1">
        <f t="array" ref="S70">INDEX('SystemicTreatm-ConceptMap-1'!$I$15:$N$124,Q70+1,R70)</f>
        <v>* group[=].element[=].display = ##34#Drugs 2##34#</v>
      </c>
    </row>
    <row r="71" spans="16:19">
      <c r="P71" s="11">
        <v>57</v>
      </c>
      <c r="Q71" s="11">
        <f t="shared" si="13"/>
        <v>9</v>
      </c>
      <c r="R71" s="11">
        <f t="shared" si="14"/>
        <v>3</v>
      </c>
      <c r="S71" s="12" t="str" cm="1">
        <f t="array" ref="S71">INDEX('SystemicTreatm-ConceptMap-1'!$I$15:$N$124,Q71+1,R71)</f>
        <v>* group[=].element[=].target.code = #Procedure.medication[x]</v>
      </c>
    </row>
    <row r="72" spans="16:19">
      <c r="P72" s="11">
        <v>58</v>
      </c>
      <c r="Q72" s="11">
        <f t="shared" si="13"/>
        <v>9</v>
      </c>
      <c r="R72" s="11">
        <f t="shared" si="14"/>
        <v>4</v>
      </c>
      <c r="S72" s="12" t="str" cm="1">
        <f t="array" ref="S72">INDEX('SystemicTreatm-ConceptMap-1'!$I$15:$N$124,Q72+1,R72)</f>
        <v>* group[=].element[=].target.display = ##34###34#</v>
      </c>
    </row>
    <row r="73" spans="16:19">
      <c r="P73" s="11">
        <v>59</v>
      </c>
      <c r="Q73" s="11">
        <f t="shared" si="13"/>
        <v>9</v>
      </c>
      <c r="R73" s="11">
        <f t="shared" si="14"/>
        <v>5</v>
      </c>
      <c r="S73" s="12" t="str" cm="1">
        <f t="array" ref="S73">INDEX('SystemicTreatm-ConceptMap-1'!$I$15:$N$124,Q73+1,R73)</f>
        <v>* group[=].element[=].target.equivalence = #relatedto</v>
      </c>
    </row>
    <row r="74" spans="16:19">
      <c r="P74" s="11">
        <v>60</v>
      </c>
      <c r="Q74" s="11">
        <f t="shared" si="13"/>
        <v>9</v>
      </c>
      <c r="R74" s="11">
        <f t="shared" si="14"/>
        <v>6</v>
      </c>
      <c r="S74" s="12" t="str" cm="1">
        <f t="array" ref="S74">INDEX('SystemicTreatm-ConceptMap-1'!$I$15:$N$124,Q74+1,R74)</f>
        <v>* group[=].element[=].target.comment = ##34#to be checked##34#</v>
      </c>
    </row>
    <row r="75" spans="16:19">
      <c r="P75" s="11">
        <v>61</v>
      </c>
      <c r="Q75" s="11">
        <f t="shared" si="13"/>
        <v>10</v>
      </c>
      <c r="R75" s="11">
        <f t="shared" si="14"/>
        <v>1</v>
      </c>
      <c r="S75" s="12" t="str" cm="1">
        <f t="array" ref="S75">INDEX('SystemicTreatm-ConceptMap-1'!$I$15:$N$124,Q75+1,R75)</f>
        <v>* group[=].element[+].code = #SystemicTreatment.regimen.drugs3</v>
      </c>
    </row>
    <row r="76" spans="16:19">
      <c r="P76" s="11">
        <v>62</v>
      </c>
      <c r="Q76" s="11">
        <f t="shared" si="13"/>
        <v>10</v>
      </c>
      <c r="R76" s="11">
        <f t="shared" si="14"/>
        <v>2</v>
      </c>
      <c r="S76" s="12" t="str" cm="1">
        <f t="array" ref="S76">INDEX('SystemicTreatm-ConceptMap-1'!$I$15:$N$124,Q76+1,R76)</f>
        <v>* group[=].element[=].display = ##34#Drugs 3##34#</v>
      </c>
    </row>
    <row r="77" spans="16:19">
      <c r="P77" s="11">
        <v>63</v>
      </c>
      <c r="Q77" s="11">
        <f t="shared" si="13"/>
        <v>10</v>
      </c>
      <c r="R77" s="11">
        <f t="shared" si="14"/>
        <v>3</v>
      </c>
      <c r="S77" s="12" t="str" cm="1">
        <f t="array" ref="S77">INDEX('SystemicTreatm-ConceptMap-1'!$I$15:$N$124,Q77+1,R77)</f>
        <v>* group[=].element[=].target.code = #Procedure.medication[x]</v>
      </c>
    </row>
    <row r="78" spans="16:19">
      <c r="P78" s="11">
        <v>64</v>
      </c>
      <c r="Q78" s="11">
        <f t="shared" si="13"/>
        <v>10</v>
      </c>
      <c r="R78" s="11">
        <f t="shared" si="14"/>
        <v>4</v>
      </c>
      <c r="S78" s="12" t="str" cm="1">
        <f t="array" ref="S78">INDEX('SystemicTreatm-ConceptMap-1'!$I$15:$N$124,Q78+1,R78)</f>
        <v>* group[=].element[=].target.display = ##34###34#</v>
      </c>
    </row>
    <row r="79" spans="16:19">
      <c r="P79" s="11">
        <v>65</v>
      </c>
      <c r="Q79" s="11">
        <f t="shared" si="13"/>
        <v>10</v>
      </c>
      <c r="R79" s="11">
        <f t="shared" si="14"/>
        <v>5</v>
      </c>
      <c r="S79" s="12" t="str" cm="1">
        <f t="array" ref="S79">INDEX('SystemicTreatm-ConceptMap-1'!$I$15:$N$124,Q79+1,R79)</f>
        <v>* group[=].element[=].target.equivalence = #relatedto</v>
      </c>
    </row>
    <row r="80" spans="16:19">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ht="29.5">
      <c r="P81" s="11">
        <v>67</v>
      </c>
      <c r="Q81" s="11">
        <f t="shared" si="15"/>
        <v>11</v>
      </c>
      <c r="R81" s="11">
        <f t="shared" si="16"/>
        <v>1</v>
      </c>
      <c r="S81" s="12" t="str" cm="1">
        <f t="array" ref="S81">INDEX('SystemicTreatm-ConceptMap-1'!$I$15:$N$124,Q81+1,R81)</f>
        <v>* group[=].element[+].code = #SystemicTreatment.regimen.startDateRegimenChanged</v>
      </c>
    </row>
    <row r="82" spans="16:19">
      <c r="P82" s="11">
        <v>68</v>
      </c>
      <c r="Q82" s="11">
        <f t="shared" si="15"/>
        <v>11</v>
      </c>
      <c r="R82" s="11">
        <f t="shared" si="16"/>
        <v>2</v>
      </c>
      <c r="S82" s="12" t="str" cm="1">
        <f t="array" ref="S82">INDEX('SystemicTreatm-ConceptMap-1'!$I$15:$N$124,Q82+1,R82)</f>
        <v>* group[=].element[=].display = ##34#Start date regimen changed##34#</v>
      </c>
    </row>
    <row r="83" spans="16:19">
      <c r="P83" s="11">
        <v>69</v>
      </c>
      <c r="Q83" s="11">
        <f t="shared" si="15"/>
        <v>11</v>
      </c>
      <c r="R83" s="11">
        <f t="shared" si="16"/>
        <v>3</v>
      </c>
      <c r="S83" s="12" t="str" cm="1">
        <f t="array" ref="S83">INDEX('SystemicTreatm-ConceptMap-1'!$I$15:$N$124,Q83+1,R83)</f>
        <v>* group[=].element[=].target.code = #Procedure.</v>
      </c>
    </row>
    <row r="84" spans="16:19">
      <c r="P84" s="11">
        <v>70</v>
      </c>
      <c r="Q84" s="11">
        <f t="shared" si="15"/>
        <v>11</v>
      </c>
      <c r="R84" s="11">
        <f t="shared" si="16"/>
        <v>4</v>
      </c>
      <c r="S84" s="12" t="str" cm="1">
        <f t="array" ref="S84">INDEX('SystemicTreatm-ConceptMap-1'!$I$15:$N$124,Q84+1,R84)</f>
        <v>* group[=].element[=].target.display = ##34###34#</v>
      </c>
    </row>
    <row r="85" spans="16:19">
      <c r="P85" s="11">
        <v>71</v>
      </c>
      <c r="Q85" s="11">
        <f t="shared" si="15"/>
        <v>11</v>
      </c>
      <c r="R85" s="11">
        <f t="shared" si="16"/>
        <v>5</v>
      </c>
      <c r="S85" s="12" t="str" cm="1">
        <f t="array" ref="S85">INDEX('SystemicTreatm-ConceptMap-1'!$I$15:$N$124,Q85+1,R85)</f>
        <v>* group[=].element[=].target.equivalence = #relatedto</v>
      </c>
    </row>
    <row r="86" spans="16:19">
      <c r="P86" s="11">
        <v>72</v>
      </c>
      <c r="Q86" s="11">
        <f t="shared" si="15"/>
        <v>11</v>
      </c>
      <c r="R86" s="11">
        <f t="shared" si="16"/>
        <v>6</v>
      </c>
      <c r="S86" s="12" t="str" cm="1">
        <f t="array" ref="S86">INDEX('SystemicTreatm-ConceptMap-1'!$I$15:$N$124,Q86+1,R86)</f>
        <v>* group[=].element[=].target.comment = ##34#to be checked##34#</v>
      </c>
    </row>
    <row r="87" spans="16:19" ht="29.5">
      <c r="P87" s="11">
        <v>73</v>
      </c>
      <c r="Q87" s="11">
        <f t="shared" si="15"/>
        <v>12</v>
      </c>
      <c r="R87" s="11">
        <f t="shared" si="16"/>
        <v>1</v>
      </c>
      <c r="S87" s="12" t="str" cm="1">
        <f t="array" ref="S87">INDEX('SystemicTreatm-ConceptMap-1'!$I$15:$N$124,Q87+1,R87)</f>
        <v>* group[=].element[+].code = #SystemicTreatment.regimen.endDateRegimenChanged</v>
      </c>
    </row>
    <row r="88" spans="16:19">
      <c r="P88" s="11">
        <v>74</v>
      </c>
      <c r="Q88" s="11">
        <f t="shared" si="15"/>
        <v>12</v>
      </c>
      <c r="R88" s="11">
        <f t="shared" si="16"/>
        <v>2</v>
      </c>
      <c r="S88" s="12" t="str" cm="1">
        <f t="array" ref="S88">INDEX('SystemicTreatm-ConceptMap-1'!$I$15:$N$124,Q88+1,R88)</f>
        <v>* group[=].element[=].display = ##34#End date regimen changed##34#</v>
      </c>
    </row>
    <row r="89" spans="16:19">
      <c r="P89" s="11">
        <v>75</v>
      </c>
      <c r="Q89" s="11">
        <f t="shared" si="15"/>
        <v>12</v>
      </c>
      <c r="R89" s="11">
        <f t="shared" si="16"/>
        <v>3</v>
      </c>
      <c r="S89" s="12" t="str" cm="1">
        <f t="array" ref="S89">INDEX('SystemicTreatm-ConceptMap-1'!$I$15:$N$124,Q89+1,R89)</f>
        <v>* group[=].element[=].target.code = #Procedure.</v>
      </c>
    </row>
    <row r="90" spans="16:19">
      <c r="P90" s="11">
        <v>76</v>
      </c>
      <c r="Q90" s="11">
        <f t="shared" si="15"/>
        <v>12</v>
      </c>
      <c r="R90" s="11">
        <f t="shared" si="16"/>
        <v>4</v>
      </c>
      <c r="S90" s="12" t="str" cm="1">
        <f t="array" ref="S90">INDEX('SystemicTreatm-ConceptMap-1'!$I$15:$N$124,Q90+1,R90)</f>
        <v>* group[=].element[=].target.display = ##34###34#</v>
      </c>
    </row>
    <row r="91" spans="16:19">
      <c r="P91" s="11">
        <v>77</v>
      </c>
      <c r="Q91" s="11">
        <f t="shared" si="15"/>
        <v>12</v>
      </c>
      <c r="R91" s="11">
        <f t="shared" si="16"/>
        <v>5</v>
      </c>
      <c r="S91" s="12" t="str" cm="1">
        <f t="array" ref="S91">INDEX('SystemicTreatm-ConceptMap-1'!$I$15:$N$124,Q91+1,R91)</f>
        <v>* group[=].element[=].target.equivalence = #relatedto</v>
      </c>
    </row>
    <row r="92" spans="16:19">
      <c r="P92" s="11">
        <v>78</v>
      </c>
      <c r="Q92" s="11">
        <f t="shared" si="15"/>
        <v>12</v>
      </c>
      <c r="R92" s="11">
        <f t="shared" si="16"/>
        <v>6</v>
      </c>
      <c r="S92" s="12" t="str" cm="1">
        <f t="array" ref="S92">INDEX('SystemicTreatm-ConceptMap-1'!$I$15:$N$124,Q92+1,R92)</f>
        <v>* group[=].element[=].target.comment = ##34#to be checked##34#</v>
      </c>
    </row>
    <row r="93" spans="16:19">
      <c r="P93" s="11">
        <v>79</v>
      </c>
      <c r="Q93" s="11">
        <f t="shared" si="15"/>
        <v>13</v>
      </c>
      <c r="R93" s="11">
        <f t="shared" si="16"/>
        <v>1</v>
      </c>
      <c r="S93" s="12" t="str" cm="1">
        <f t="array" ref="S93">INDEX('SystemicTreatm-ConceptMap-1'!$I$15:$N$124,Q93+1,R93)</f>
        <v>* group[=].element[+].code = #SystemicTreatment.reasonForEndOfTreatment</v>
      </c>
    </row>
    <row r="94" spans="16:19">
      <c r="P94" s="11">
        <v>80</v>
      </c>
      <c r="Q94" s="11">
        <f t="shared" si="15"/>
        <v>13</v>
      </c>
      <c r="R94" s="11">
        <f t="shared" si="16"/>
        <v>2</v>
      </c>
      <c r="S94" s="12" t="str" cm="1">
        <f t="array" ref="S94">INDEX('SystemicTreatm-ConceptMap-1'!$I$15:$N$124,Q94+1,R94)</f>
        <v>* group[=].element[=].display = ##34#Reason for end of treatment##34#</v>
      </c>
    </row>
    <row r="95" spans="16:19">
      <c r="P95" s="11">
        <v>81</v>
      </c>
      <c r="Q95" s="11">
        <f t="shared" si="15"/>
        <v>13</v>
      </c>
      <c r="R95" s="11">
        <f t="shared" si="16"/>
        <v>3</v>
      </c>
      <c r="S95" s="12" t="str" cm="1">
        <f t="array" ref="S95">INDEX('SystemicTreatm-ConceptMap-1'!$I$15:$N$124,Q95+1,R95)</f>
        <v>* group[=].element[=].target.code = #Procedure.statusReason</v>
      </c>
    </row>
    <row r="96" spans="16:19">
      <c r="P96" s="11">
        <v>82</v>
      </c>
      <c r="Q96" s="11">
        <f t="shared" si="15"/>
        <v>13</v>
      </c>
      <c r="R96" s="11">
        <f t="shared" si="16"/>
        <v>4</v>
      </c>
      <c r="S96" s="12" t="str" cm="1">
        <f t="array" ref="S96">INDEX('SystemicTreatm-ConceptMap-1'!$I$15:$N$124,Q96+1,R96)</f>
        <v>* group[=].element[=].target.display = ##34###34#</v>
      </c>
    </row>
    <row r="97" spans="16:19">
      <c r="P97" s="11">
        <v>83</v>
      </c>
      <c r="Q97" s="11">
        <f t="shared" si="15"/>
        <v>13</v>
      </c>
      <c r="R97" s="11">
        <f t="shared" si="16"/>
        <v>5</v>
      </c>
      <c r="S97" s="12" t="str" cm="1">
        <f t="array" ref="S97">INDEX('SystemicTreatm-ConceptMap-1'!$I$15:$N$124,Q97+1,R97)</f>
        <v>* group[=].element[=].target.equivalence = #relatedto</v>
      </c>
    </row>
    <row r="98" spans="16:19">
      <c r="P98" s="11">
        <v>84</v>
      </c>
      <c r="Q98" s="11">
        <f t="shared" si="15"/>
        <v>13</v>
      </c>
      <c r="R98" s="11">
        <f t="shared" si="16"/>
        <v>6</v>
      </c>
      <c r="S98" s="12" t="str" cm="1">
        <f t="array" ref="S98">INDEX('SystemicTreatm-ConceptMap-1'!$I$15:$N$124,Q98+1,R98)</f>
        <v/>
      </c>
    </row>
    <row r="99" spans="16:19" ht="44.25">
      <c r="P99" s="11">
        <v>85</v>
      </c>
      <c r="Q99" s="11">
        <f t="shared" si="15"/>
        <v>14</v>
      </c>
      <c r="R99" s="11">
        <f t="shared" si="16"/>
        <v>1</v>
      </c>
      <c r="S99" s="12" t="str" cm="1">
        <f t="array" ref="S99">INDEX('SystemicTreatm-ConceptMap-1'!$I$15:$N$124,Q99+1,R99)</f>
        <v>* group[=].element[+].code = #SystemicTreatment.treatmentResponseBasedOnImagingAloneNoRecistOrOtherCriteria</v>
      </c>
    </row>
    <row r="100" spans="16:19" ht="29.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c r="P101" s="11">
        <v>87</v>
      </c>
      <c r="Q101" s="11">
        <f t="shared" si="15"/>
        <v>14</v>
      </c>
      <c r="R101" s="11">
        <f t="shared" si="16"/>
        <v>3</v>
      </c>
      <c r="S101" s="12" t="str" cm="1">
        <f t="array" ref="S101">INDEX('SystemicTreatm-ConceptMap-1'!$I$15:$N$124,Q101+1,R101)</f>
        <v>* group[=].element[=].target.code = #Procedure.extension:outcome</v>
      </c>
    </row>
    <row r="102" spans="16:19">
      <c r="P102" s="11">
        <v>88</v>
      </c>
      <c r="Q102" s="11">
        <f t="shared" si="15"/>
        <v>14</v>
      </c>
      <c r="R102" s="11">
        <f t="shared" si="16"/>
        <v>4</v>
      </c>
      <c r="S102" s="12" t="str" cm="1">
        <f t="array" ref="S102">INDEX('SystemicTreatm-ConceptMap-1'!$I$15:$N$124,Q102+1,R102)</f>
        <v>* group[=].element[=].target.display = ##34###34#</v>
      </c>
    </row>
    <row r="103" spans="16:19">
      <c r="P103" s="11">
        <v>89</v>
      </c>
      <c r="Q103" s="11">
        <f t="shared" si="15"/>
        <v>14</v>
      </c>
      <c r="R103" s="11">
        <f t="shared" si="16"/>
        <v>5</v>
      </c>
      <c r="S103" s="12" t="str" cm="1">
        <f t="array" ref="S103">INDEX('SystemicTreatm-ConceptMap-1'!$I$15:$N$124,Q103+1,R103)</f>
        <v>* group[=].element[=].target.equivalence = #relatedto</v>
      </c>
    </row>
    <row r="104" spans="16:19" ht="29.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c r="P105" s="11">
        <v>91</v>
      </c>
      <c r="Q105" s="11">
        <f t="shared" si="15"/>
        <v>15</v>
      </c>
      <c r="R105" s="11">
        <f t="shared" si="16"/>
        <v>1</v>
      </c>
      <c r="S105" s="12" cm="1">
        <f t="array" ref="S105">INDEX('SystemicTreatm-ConceptMap-1'!$I$15:$N$124,Q105+1,R105)</f>
        <v>0</v>
      </c>
    </row>
    <row r="106" spans="16:19">
      <c r="P106" s="11">
        <v>92</v>
      </c>
      <c r="Q106" s="11">
        <f t="shared" si="15"/>
        <v>15</v>
      </c>
      <c r="R106" s="11">
        <f t="shared" si="16"/>
        <v>2</v>
      </c>
      <c r="S106" s="12" cm="1">
        <f t="array" ref="S106">INDEX('SystemicTreatm-ConceptMap-1'!$I$15:$N$124,Q106+1,R106)</f>
        <v>0</v>
      </c>
    </row>
    <row r="107" spans="16:19">
      <c r="P107" s="11">
        <v>93</v>
      </c>
      <c r="Q107" s="11">
        <f t="shared" si="15"/>
        <v>15</v>
      </c>
      <c r="R107" s="11">
        <f t="shared" si="16"/>
        <v>3</v>
      </c>
      <c r="S107" s="12" cm="1">
        <f t="array" ref="S107">INDEX('SystemicTreatm-ConceptMap-1'!$I$15:$N$124,Q107+1,R107)</f>
        <v>0</v>
      </c>
    </row>
    <row r="108" spans="16:19">
      <c r="P108" s="11">
        <v>94</v>
      </c>
      <c r="Q108" s="11">
        <f t="shared" si="15"/>
        <v>15</v>
      </c>
      <c r="R108" s="11">
        <f t="shared" si="16"/>
        <v>4</v>
      </c>
      <c r="S108" s="12" cm="1">
        <f t="array" ref="S108">INDEX('SystemicTreatm-ConceptMap-1'!$I$15:$N$124,Q108+1,R108)</f>
        <v>0</v>
      </c>
    </row>
    <row r="109" spans="16:19">
      <c r="P109" s="11">
        <v>95</v>
      </c>
      <c r="Q109" s="11">
        <f t="shared" si="15"/>
        <v>15</v>
      </c>
      <c r="R109" s="11">
        <f t="shared" si="16"/>
        <v>5</v>
      </c>
      <c r="S109" s="12" cm="1">
        <f t="array" ref="S109">INDEX('SystemicTreatm-ConceptMap-1'!$I$15:$N$124,Q109+1,R109)</f>
        <v>0</v>
      </c>
    </row>
    <row r="110" spans="16:19">
      <c r="P110" s="11">
        <v>96</v>
      </c>
      <c r="Q110" s="11">
        <f t="shared" si="15"/>
        <v>15</v>
      </c>
      <c r="R110" s="11">
        <f t="shared" si="16"/>
        <v>6</v>
      </c>
      <c r="S110" s="12" cm="1">
        <f t="array" ref="S110">INDEX('SystemicTreatm-ConceptMap-1'!$I$15:$N$124,Q110+1,R110)</f>
        <v>0</v>
      </c>
    </row>
    <row r="111" spans="16:19">
      <c r="P111" s="11">
        <v>97</v>
      </c>
      <c r="Q111" s="11">
        <f t="shared" si="15"/>
        <v>16</v>
      </c>
      <c r="R111" s="11">
        <f t="shared" si="16"/>
        <v>1</v>
      </c>
      <c r="S111" s="12" cm="1">
        <f t="array" ref="S111">INDEX('SystemicTreatm-ConceptMap-1'!$I$15:$N$124,Q111+1,R111)</f>
        <v>0</v>
      </c>
    </row>
    <row r="112" spans="16:19">
      <c r="P112" s="11">
        <v>98</v>
      </c>
      <c r="Q112" s="11">
        <f t="shared" si="15"/>
        <v>16</v>
      </c>
      <c r="R112" s="11">
        <f t="shared" si="16"/>
        <v>2</v>
      </c>
      <c r="S112" s="12" cm="1">
        <f t="array" ref="S112">INDEX('SystemicTreatm-ConceptMap-1'!$I$15:$N$124,Q112+1,R112)</f>
        <v>0</v>
      </c>
    </row>
    <row r="113" spans="16:19">
      <c r="P113" s="11">
        <v>99</v>
      </c>
      <c r="Q113" s="11">
        <f t="shared" si="15"/>
        <v>16</v>
      </c>
      <c r="R113" s="11">
        <f t="shared" si="16"/>
        <v>3</v>
      </c>
      <c r="S113" s="12" cm="1">
        <f t="array" ref="S113">INDEX('SystemicTreatm-ConceptMap-1'!$I$15:$N$124,Q113+1,R113)</f>
        <v>0</v>
      </c>
    </row>
    <row r="114" spans="16:19">
      <c r="P114" s="11">
        <v>100</v>
      </c>
      <c r="Q114" s="11">
        <f t="shared" si="15"/>
        <v>16</v>
      </c>
      <c r="R114" s="11">
        <f t="shared" si="16"/>
        <v>4</v>
      </c>
      <c r="S114" s="12" cm="1">
        <f t="array" ref="S114">INDEX('SystemicTreatm-ConceptMap-1'!$I$15:$N$124,Q114+1,R114)</f>
        <v>0</v>
      </c>
    </row>
    <row r="115" spans="16:19">
      <c r="P115" s="11">
        <v>101</v>
      </c>
      <c r="Q115" s="11">
        <f t="shared" si="15"/>
        <v>16</v>
      </c>
      <c r="R115" s="11">
        <f t="shared" si="16"/>
        <v>5</v>
      </c>
      <c r="S115" s="12" cm="1">
        <f t="array" ref="S115">INDEX('SystemicTreatm-ConceptMap-1'!$I$15:$N$124,Q115+1,R115)</f>
        <v>0</v>
      </c>
    </row>
    <row r="116" spans="16:19">
      <c r="P116" s="11">
        <v>102</v>
      </c>
      <c r="Q116" s="11">
        <f t="shared" si="15"/>
        <v>16</v>
      </c>
      <c r="R116" s="11">
        <f t="shared" si="16"/>
        <v>6</v>
      </c>
      <c r="S116" s="12" cm="1">
        <f t="array" ref="S116">INDEX('SystemicTreatm-ConceptMap-1'!$I$15:$N$124,Q116+1,R116)</f>
        <v>0</v>
      </c>
    </row>
    <row r="117" spans="16:19">
      <c r="P117" s="11">
        <v>103</v>
      </c>
      <c r="Q117" s="11">
        <f t="shared" si="15"/>
        <v>17</v>
      </c>
      <c r="R117" s="11">
        <f t="shared" si="16"/>
        <v>1</v>
      </c>
      <c r="S117" s="12" cm="1">
        <f t="array" ref="S117">INDEX('SystemicTreatm-ConceptMap-1'!$I$15:$N$124,Q117+1,R117)</f>
        <v>0</v>
      </c>
    </row>
    <row r="118" spans="16:19">
      <c r="P118" s="11">
        <v>104</v>
      </c>
      <c r="Q118" s="11">
        <f t="shared" si="15"/>
        <v>17</v>
      </c>
      <c r="R118" s="11">
        <f t="shared" si="16"/>
        <v>2</v>
      </c>
      <c r="S118" s="12" cm="1">
        <f t="array" ref="S118">INDEX('SystemicTreatm-ConceptMap-1'!$I$15:$N$124,Q118+1,R118)</f>
        <v>0</v>
      </c>
    </row>
    <row r="119" spans="16:19">
      <c r="P119" s="11">
        <v>105</v>
      </c>
      <c r="Q119" s="11">
        <f t="shared" si="15"/>
        <v>17</v>
      </c>
      <c r="R119" s="11">
        <f t="shared" si="16"/>
        <v>3</v>
      </c>
      <c r="S119" s="12" cm="1">
        <f t="array" ref="S119">INDEX('SystemicTreatm-ConceptMap-1'!$I$15:$N$124,Q119+1,R119)</f>
        <v>0</v>
      </c>
    </row>
    <row r="120" spans="16:19">
      <c r="P120" s="11">
        <v>106</v>
      </c>
      <c r="Q120" s="11">
        <f t="shared" si="15"/>
        <v>17</v>
      </c>
      <c r="R120" s="11">
        <f t="shared" si="16"/>
        <v>4</v>
      </c>
      <c r="S120" s="12" cm="1">
        <f t="array" ref="S120">INDEX('SystemicTreatm-ConceptMap-1'!$I$15:$N$124,Q120+1,R120)</f>
        <v>0</v>
      </c>
    </row>
    <row r="121" spans="16:19">
      <c r="P121" s="11">
        <v>107</v>
      </c>
      <c r="Q121" s="11">
        <f t="shared" si="15"/>
        <v>17</v>
      </c>
      <c r="R121" s="11">
        <f t="shared" si="16"/>
        <v>5</v>
      </c>
      <c r="S121" s="12" cm="1">
        <f t="array" ref="S121">INDEX('SystemicTreatm-ConceptMap-1'!$I$15:$N$124,Q121+1,R121)</f>
        <v>0</v>
      </c>
    </row>
    <row r="122" spans="16:19">
      <c r="P122" s="11">
        <v>108</v>
      </c>
      <c r="Q122" s="11">
        <f t="shared" si="15"/>
        <v>17</v>
      </c>
      <c r="R122" s="11">
        <f t="shared" si="16"/>
        <v>6</v>
      </c>
      <c r="S122" s="12" cm="1">
        <f t="array" ref="S122">INDEX('SystemicTreatm-ConceptMap-1'!$I$15:$N$124,Q122+1,R122)</f>
        <v>0</v>
      </c>
    </row>
    <row r="123" spans="16:19">
      <c r="P123" s="11">
        <v>109</v>
      </c>
      <c r="Q123" s="11">
        <f t="shared" si="15"/>
        <v>18</v>
      </c>
      <c r="R123" s="11">
        <f t="shared" si="16"/>
        <v>1</v>
      </c>
      <c r="S123" s="12" cm="1">
        <f t="array" ref="S123">INDEX('SystemicTreatm-ConceptMap-1'!$I$15:$N$124,Q123+1,R123)</f>
        <v>0</v>
      </c>
    </row>
    <row r="124" spans="16:19">
      <c r="P124" s="11">
        <v>110</v>
      </c>
      <c r="Q124" s="11">
        <f t="shared" si="15"/>
        <v>18</v>
      </c>
      <c r="R124" s="11">
        <f t="shared" si="16"/>
        <v>2</v>
      </c>
      <c r="S124" s="12" cm="1">
        <f t="array" ref="S124">INDEX('SystemicTreatm-ConceptMap-1'!$I$15:$N$124,Q124+1,R124)</f>
        <v>0</v>
      </c>
    </row>
    <row r="125" spans="16:19">
      <c r="P125" s="11">
        <v>111</v>
      </c>
      <c r="Q125" s="11">
        <f t="shared" si="15"/>
        <v>18</v>
      </c>
      <c r="R125" s="11">
        <f t="shared" si="16"/>
        <v>3</v>
      </c>
      <c r="S125" s="12" cm="1">
        <f t="array" ref="S125">INDEX('SystemicTreatm-ConceptMap-1'!$I$15:$N$124,Q125+1,R125)</f>
        <v>0</v>
      </c>
    </row>
    <row r="126" spans="16:19">
      <c r="P126" s="11">
        <v>112</v>
      </c>
      <c r="Q126" s="11">
        <f t="shared" si="15"/>
        <v>18</v>
      </c>
      <c r="R126" s="11">
        <f t="shared" si="16"/>
        <v>4</v>
      </c>
      <c r="S126" s="12" cm="1">
        <f t="array" ref="S126">INDEX('SystemicTreatm-ConceptMap-1'!$I$15:$N$124,Q126+1,R126)</f>
        <v>0</v>
      </c>
    </row>
    <row r="127" spans="16:19">
      <c r="P127" s="11">
        <v>113</v>
      </c>
      <c r="Q127" s="11">
        <f t="shared" si="15"/>
        <v>18</v>
      </c>
      <c r="R127" s="11">
        <f t="shared" si="16"/>
        <v>5</v>
      </c>
      <c r="S127" s="12" cm="1">
        <f t="array" ref="S127">INDEX('SystemicTreatm-ConceptMap-1'!$I$15:$N$124,Q127+1,R127)</f>
        <v>0</v>
      </c>
    </row>
    <row r="128" spans="16:19">
      <c r="P128" s="11">
        <v>114</v>
      </c>
      <c r="Q128" s="11">
        <f t="shared" si="15"/>
        <v>18</v>
      </c>
      <c r="R128" s="11">
        <f t="shared" si="16"/>
        <v>6</v>
      </c>
      <c r="S128" s="12" cm="1">
        <f t="array" ref="S128">INDEX('SystemicTreatm-ConceptMap-1'!$I$15:$N$124,Q128+1,R128)</f>
        <v>0</v>
      </c>
    </row>
    <row r="129" spans="16:19">
      <c r="P129" s="11">
        <v>115</v>
      </c>
      <c r="Q129" s="11">
        <f t="shared" si="15"/>
        <v>19</v>
      </c>
      <c r="R129" s="11">
        <f t="shared" si="16"/>
        <v>1</v>
      </c>
      <c r="S129" s="12" cm="1">
        <f t="array" ref="S129">INDEX('SystemicTreatm-ConceptMap-1'!$I$15:$N$124,Q129+1,R129)</f>
        <v>0</v>
      </c>
    </row>
    <row r="130" spans="16:19">
      <c r="P130" s="11">
        <v>116</v>
      </c>
      <c r="Q130" s="11">
        <f t="shared" si="15"/>
        <v>19</v>
      </c>
      <c r="R130" s="11">
        <f t="shared" si="16"/>
        <v>2</v>
      </c>
      <c r="S130" s="12" cm="1">
        <f t="array" ref="S130">INDEX('SystemicTreatm-ConceptMap-1'!$I$15:$N$124,Q130+1,R130)</f>
        <v>0</v>
      </c>
    </row>
    <row r="131" spans="16:19">
      <c r="P131" s="11">
        <v>117</v>
      </c>
      <c r="Q131" s="11">
        <f t="shared" si="15"/>
        <v>19</v>
      </c>
      <c r="R131" s="11">
        <f t="shared" si="16"/>
        <v>3</v>
      </c>
      <c r="S131" s="12" cm="1">
        <f t="array" ref="S131">INDEX('SystemicTreatm-ConceptMap-1'!$I$15:$N$124,Q131+1,R131)</f>
        <v>0</v>
      </c>
    </row>
    <row r="132" spans="16:19">
      <c r="P132" s="11">
        <v>118</v>
      </c>
      <c r="Q132" s="11">
        <f t="shared" si="15"/>
        <v>19</v>
      </c>
      <c r="R132" s="11">
        <f t="shared" si="16"/>
        <v>4</v>
      </c>
      <c r="S132" s="12" cm="1">
        <f t="array" ref="S132">INDEX('SystemicTreatm-ConceptMap-1'!$I$15:$N$124,Q132+1,R132)</f>
        <v>0</v>
      </c>
    </row>
    <row r="133" spans="16:19">
      <c r="P133" s="11">
        <v>119</v>
      </c>
      <c r="Q133" s="11">
        <f t="shared" si="15"/>
        <v>19</v>
      </c>
      <c r="R133" s="11">
        <f t="shared" si="16"/>
        <v>5</v>
      </c>
      <c r="S133" s="12" cm="1">
        <f t="array" ref="S133">INDEX('SystemicTreatm-ConceptMap-1'!$I$15:$N$124,Q133+1,R133)</f>
        <v>0</v>
      </c>
    </row>
    <row r="134" spans="16:19">
      <c r="P134" s="11">
        <v>120</v>
      </c>
      <c r="Q134" s="11">
        <f t="shared" si="15"/>
        <v>19</v>
      </c>
      <c r="R134" s="11">
        <f t="shared" si="16"/>
        <v>6</v>
      </c>
      <c r="S134" s="12" cm="1">
        <f t="array" ref="S134">INDEX('SystemicTreatm-ConceptMap-1'!$I$15:$N$124,Q134+1,R134)</f>
        <v>0</v>
      </c>
    </row>
    <row r="135" spans="16:19">
      <c r="P135" s="11">
        <v>121</v>
      </c>
      <c r="Q135" s="11">
        <f t="shared" si="15"/>
        <v>20</v>
      </c>
      <c r="R135" s="11">
        <f t="shared" si="16"/>
        <v>1</v>
      </c>
      <c r="S135" s="12" cm="1">
        <f t="array" ref="S135">INDEX('SystemicTreatm-ConceptMap-1'!$I$15:$N$124,Q135+1,R135)</f>
        <v>0</v>
      </c>
    </row>
    <row r="136" spans="16:19">
      <c r="P136" s="11">
        <v>122</v>
      </c>
      <c r="Q136" s="11">
        <f t="shared" si="15"/>
        <v>20</v>
      </c>
      <c r="R136" s="11">
        <f t="shared" si="16"/>
        <v>2</v>
      </c>
      <c r="S136" s="12" cm="1">
        <f t="array" ref="S136">INDEX('SystemicTreatm-ConceptMap-1'!$I$15:$N$124,Q136+1,R136)</f>
        <v>0</v>
      </c>
    </row>
    <row r="137" spans="16:19">
      <c r="P137" s="11">
        <v>123</v>
      </c>
      <c r="Q137" s="11">
        <f t="shared" si="15"/>
        <v>20</v>
      </c>
      <c r="R137" s="11">
        <f t="shared" si="16"/>
        <v>3</v>
      </c>
      <c r="S137" s="12" cm="1">
        <f t="array" ref="S137">INDEX('SystemicTreatm-ConceptMap-1'!$I$15:$N$124,Q137+1,R137)</f>
        <v>0</v>
      </c>
    </row>
    <row r="138" spans="16:19">
      <c r="P138" s="11">
        <v>124</v>
      </c>
      <c r="Q138" s="11">
        <f t="shared" si="15"/>
        <v>20</v>
      </c>
      <c r="R138" s="11">
        <f t="shared" si="16"/>
        <v>4</v>
      </c>
      <c r="S138" s="12" cm="1">
        <f t="array" ref="S138">INDEX('SystemicTreatm-ConceptMap-1'!$I$15:$N$124,Q138+1,R138)</f>
        <v>0</v>
      </c>
    </row>
    <row r="139" spans="16:19">
      <c r="P139" s="11">
        <v>125</v>
      </c>
      <c r="Q139" s="11">
        <f t="shared" si="15"/>
        <v>20</v>
      </c>
      <c r="R139" s="11">
        <f t="shared" si="16"/>
        <v>5</v>
      </c>
      <c r="S139" s="12" cm="1">
        <f t="array" ref="S139">INDEX('SystemicTreatm-ConceptMap-1'!$I$15:$N$124,Q139+1,R139)</f>
        <v>0</v>
      </c>
    </row>
    <row r="140" spans="16:19">
      <c r="P140" s="11">
        <v>126</v>
      </c>
      <c r="Q140" s="11">
        <f t="shared" si="15"/>
        <v>20</v>
      </c>
      <c r="R140" s="11">
        <f t="shared" si="16"/>
        <v>6</v>
      </c>
      <c r="S140" s="12" cm="1">
        <f t="array" ref="S140">INDEX('SystemicTreatm-ConceptMap-1'!$I$15:$N$124,Q140+1,R140)</f>
        <v>0</v>
      </c>
    </row>
    <row r="141" spans="16:19">
      <c r="P141" s="11">
        <v>127</v>
      </c>
      <c r="Q141" s="11">
        <f t="shared" si="15"/>
        <v>21</v>
      </c>
      <c r="R141" s="11">
        <f t="shared" si="16"/>
        <v>1</v>
      </c>
      <c r="S141" s="12" cm="1">
        <f t="array" ref="S141">INDEX('SystemicTreatm-ConceptMap-1'!$I$15:$N$124,Q141+1,R141)</f>
        <v>0</v>
      </c>
    </row>
    <row r="142" spans="16:19">
      <c r="P142" s="11">
        <v>128</v>
      </c>
      <c r="Q142" s="11">
        <f t="shared" si="15"/>
        <v>21</v>
      </c>
      <c r="R142" s="11">
        <f t="shared" si="16"/>
        <v>2</v>
      </c>
      <c r="S142" s="12" cm="1">
        <f t="array" ref="S142">INDEX('SystemicTreatm-ConceptMap-1'!$I$15:$N$124,Q142+1,R142)</f>
        <v>0</v>
      </c>
    </row>
    <row r="143" spans="16:19">
      <c r="P143" s="11">
        <v>129</v>
      </c>
      <c r="Q143" s="11">
        <f t="shared" si="15"/>
        <v>21</v>
      </c>
      <c r="R143" s="11">
        <f t="shared" si="16"/>
        <v>3</v>
      </c>
      <c r="S143" s="12" cm="1">
        <f t="array" ref="S143">INDEX('SystemicTreatm-ConceptMap-1'!$I$15:$N$124,Q143+1,R143)</f>
        <v>0</v>
      </c>
    </row>
    <row r="144" spans="16:19">
      <c r="P144" s="11">
        <v>130</v>
      </c>
      <c r="Q144" s="11">
        <f t="shared" ref="Q144:Q163" si="17">IF(MOD(P144,$Q$8)=0,P144/$Q$8-1,INT(P144/$Q$8))</f>
        <v>21</v>
      </c>
      <c r="R144" s="11">
        <f t="shared" ref="R144:R163" si="18">IF(MOD(P144,$Q$8)=0,$Q$8,MOD(P144,$Q$8))</f>
        <v>4</v>
      </c>
      <c r="S144" s="12" cm="1">
        <f t="array" ref="S144">INDEX('SystemicTreatm-ConceptMap-1'!$I$15:$N$124,Q144+1,R144)</f>
        <v>0</v>
      </c>
    </row>
    <row r="145" spans="16:19">
      <c r="P145" s="11">
        <v>131</v>
      </c>
      <c r="Q145" s="11">
        <f t="shared" si="17"/>
        <v>21</v>
      </c>
      <c r="R145" s="11">
        <f t="shared" si="18"/>
        <v>5</v>
      </c>
      <c r="S145" s="12" cm="1">
        <f t="array" ref="S145">INDEX('SystemicTreatm-ConceptMap-1'!$I$15:$N$124,Q145+1,R145)</f>
        <v>0</v>
      </c>
    </row>
    <row r="146" spans="16:19">
      <c r="P146" s="11">
        <v>132</v>
      </c>
      <c r="Q146" s="11">
        <f t="shared" si="17"/>
        <v>21</v>
      </c>
      <c r="R146" s="11">
        <f t="shared" si="18"/>
        <v>6</v>
      </c>
      <c r="S146" s="12" cm="1">
        <f t="array" ref="S146">INDEX('SystemicTreatm-ConceptMap-1'!$I$15:$N$124,Q146+1,R146)</f>
        <v>0</v>
      </c>
    </row>
    <row r="147" spans="16:19">
      <c r="P147" s="11">
        <v>133</v>
      </c>
      <c r="Q147" s="11">
        <f t="shared" si="17"/>
        <v>22</v>
      </c>
      <c r="R147" s="11">
        <f t="shared" si="18"/>
        <v>1</v>
      </c>
      <c r="S147" s="12" cm="1">
        <f t="array" ref="S147">INDEX('SystemicTreatm-ConceptMap-1'!$I$15:$N$124,Q147+1,R147)</f>
        <v>0</v>
      </c>
    </row>
    <row r="148" spans="16:19">
      <c r="P148" s="11">
        <v>134</v>
      </c>
      <c r="Q148" s="11">
        <f t="shared" si="17"/>
        <v>22</v>
      </c>
      <c r="R148" s="11">
        <f t="shared" si="18"/>
        <v>2</v>
      </c>
      <c r="S148" s="12" cm="1">
        <f t="array" ref="S148">INDEX('SystemicTreatm-ConceptMap-1'!$I$15:$N$124,Q148+1,R148)</f>
        <v>0</v>
      </c>
    </row>
    <row r="149" spans="16:19">
      <c r="P149" s="11">
        <v>135</v>
      </c>
      <c r="Q149" s="11">
        <f t="shared" si="17"/>
        <v>22</v>
      </c>
      <c r="R149" s="11">
        <f t="shared" si="18"/>
        <v>3</v>
      </c>
      <c r="S149" s="12" cm="1">
        <f t="array" ref="S149">INDEX('SystemicTreatm-ConceptMap-1'!$I$15:$N$124,Q149+1,R149)</f>
        <v>0</v>
      </c>
    </row>
    <row r="150" spans="16:19">
      <c r="P150" s="11">
        <v>136</v>
      </c>
      <c r="Q150" s="11">
        <f t="shared" si="17"/>
        <v>22</v>
      </c>
      <c r="R150" s="11">
        <f t="shared" si="18"/>
        <v>4</v>
      </c>
      <c r="S150" s="12" cm="1">
        <f t="array" ref="S150">INDEX('SystemicTreatm-ConceptMap-1'!$I$15:$N$124,Q150+1,R150)</f>
        <v>0</v>
      </c>
    </row>
    <row r="151" spans="16:19">
      <c r="P151" s="11">
        <v>137</v>
      </c>
      <c r="Q151" s="11">
        <f t="shared" si="17"/>
        <v>22</v>
      </c>
      <c r="R151" s="11">
        <f t="shared" si="18"/>
        <v>5</v>
      </c>
      <c r="S151" s="12" cm="1">
        <f t="array" ref="S151">INDEX('SystemicTreatm-ConceptMap-1'!$I$15:$N$124,Q151+1,R151)</f>
        <v>0</v>
      </c>
    </row>
    <row r="152" spans="16:19">
      <c r="P152" s="11">
        <v>138</v>
      </c>
      <c r="Q152" s="11">
        <f t="shared" si="17"/>
        <v>22</v>
      </c>
      <c r="R152" s="11">
        <f t="shared" si="18"/>
        <v>6</v>
      </c>
      <c r="S152" s="12" cm="1">
        <f t="array" ref="S152">INDEX('SystemicTreatm-ConceptMap-1'!$I$15:$N$124,Q152+1,R152)</f>
        <v>0</v>
      </c>
    </row>
    <row r="153" spans="16:19">
      <c r="P153" s="11">
        <v>139</v>
      </c>
      <c r="Q153" s="11">
        <f t="shared" si="17"/>
        <v>23</v>
      </c>
      <c r="R153" s="11">
        <f t="shared" si="18"/>
        <v>1</v>
      </c>
      <c r="S153" s="12" cm="1">
        <f t="array" ref="S153">INDEX('SystemicTreatm-ConceptMap-1'!$I$15:$N$124,Q153+1,R153)</f>
        <v>0</v>
      </c>
    </row>
    <row r="154" spans="16:19">
      <c r="P154" s="11">
        <v>140</v>
      </c>
      <c r="Q154" s="11">
        <f t="shared" si="17"/>
        <v>23</v>
      </c>
      <c r="R154" s="11">
        <f t="shared" si="18"/>
        <v>2</v>
      </c>
      <c r="S154" s="12" cm="1">
        <f t="array" ref="S154">INDEX('SystemicTreatm-ConceptMap-1'!$I$15:$N$124,Q154+1,R154)</f>
        <v>0</v>
      </c>
    </row>
    <row r="155" spans="16:19">
      <c r="P155" s="11">
        <v>141</v>
      </c>
      <c r="Q155" s="11">
        <f t="shared" si="17"/>
        <v>23</v>
      </c>
      <c r="R155" s="11">
        <f t="shared" si="18"/>
        <v>3</v>
      </c>
      <c r="S155" s="12" cm="1">
        <f t="array" ref="S155">INDEX('SystemicTreatm-ConceptMap-1'!$I$15:$N$124,Q155+1,R155)</f>
        <v>0</v>
      </c>
    </row>
    <row r="156" spans="16:19">
      <c r="P156" s="11">
        <v>142</v>
      </c>
      <c r="Q156" s="11">
        <f t="shared" si="17"/>
        <v>23</v>
      </c>
      <c r="R156" s="11">
        <f t="shared" si="18"/>
        <v>4</v>
      </c>
      <c r="S156" s="12" cm="1">
        <f t="array" ref="S156">INDEX('SystemicTreatm-ConceptMap-1'!$I$15:$N$124,Q156+1,R156)</f>
        <v>0</v>
      </c>
    </row>
    <row r="157" spans="16:19">
      <c r="P157" s="11">
        <v>143</v>
      </c>
      <c r="Q157" s="11">
        <f t="shared" si="17"/>
        <v>23</v>
      </c>
      <c r="R157" s="11">
        <f t="shared" si="18"/>
        <v>5</v>
      </c>
      <c r="S157" s="12" cm="1">
        <f t="array" ref="S157">INDEX('SystemicTreatm-ConceptMap-1'!$I$15:$N$124,Q157+1,R157)</f>
        <v>0</v>
      </c>
    </row>
    <row r="158" spans="16:19">
      <c r="P158" s="11">
        <v>144</v>
      </c>
      <c r="Q158" s="11">
        <f t="shared" si="17"/>
        <v>23</v>
      </c>
      <c r="R158" s="11">
        <f t="shared" si="18"/>
        <v>6</v>
      </c>
      <c r="S158" s="12" cm="1">
        <f t="array" ref="S158">INDEX('SystemicTreatm-ConceptMap-1'!$I$15:$N$124,Q158+1,R158)</f>
        <v>0</v>
      </c>
    </row>
    <row r="159" spans="16:19">
      <c r="P159" s="11">
        <v>145</v>
      </c>
      <c r="Q159" s="11">
        <f t="shared" si="17"/>
        <v>24</v>
      </c>
      <c r="R159" s="11">
        <f t="shared" si="18"/>
        <v>1</v>
      </c>
      <c r="S159" s="12" cm="1">
        <f t="array" ref="S159">INDEX('SystemicTreatm-ConceptMap-1'!$I$15:$N$124,Q159+1,R159)</f>
        <v>0</v>
      </c>
    </row>
    <row r="160" spans="16:19">
      <c r="P160" s="11">
        <v>146</v>
      </c>
      <c r="Q160" s="11">
        <f t="shared" si="17"/>
        <v>24</v>
      </c>
      <c r="R160" s="11">
        <f t="shared" si="18"/>
        <v>2</v>
      </c>
      <c r="S160" s="12" cm="1">
        <f t="array" ref="S160">INDEX('SystemicTreatm-ConceptMap-1'!$I$15:$N$124,Q160+1,R160)</f>
        <v>0</v>
      </c>
    </row>
    <row r="161" spans="16:19">
      <c r="P161" s="11">
        <v>147</v>
      </c>
      <c r="Q161" s="11">
        <f t="shared" si="17"/>
        <v>24</v>
      </c>
      <c r="R161" s="11">
        <f t="shared" si="18"/>
        <v>3</v>
      </c>
      <c r="S161" s="12" cm="1">
        <f t="array" ref="S161">INDEX('SystemicTreatm-ConceptMap-1'!$I$15:$N$124,Q161+1,R161)</f>
        <v>0</v>
      </c>
    </row>
    <row r="162" spans="16:19">
      <c r="P162" s="11">
        <v>148</v>
      </c>
      <c r="Q162" s="11">
        <f t="shared" si="17"/>
        <v>24</v>
      </c>
      <c r="R162" s="11">
        <f t="shared" si="18"/>
        <v>4</v>
      </c>
      <c r="S162" s="12" cm="1">
        <f t="array" ref="S162">INDEX('SystemicTreatm-ConceptMap-1'!$I$15:$N$124,Q162+1,R162)</f>
        <v>0</v>
      </c>
    </row>
    <row r="163" spans="16:19">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2241</v>
      </c>
    </row>
    <row r="3" spans="2:7">
      <c r="B3" s="24" t="s">
        <v>20</v>
      </c>
    </row>
    <row r="4" spans="2:7">
      <c r="B4" s="65" t="str">
        <f>"Instance: "&amp;'SystemicTreatm-ConceptMap-1'!C4</f>
        <v>Instance: systemicTreatment2FHIR</v>
      </c>
    </row>
    <row r="5" spans="2:7">
      <c r="B5" s="65" t="s">
        <v>1447</v>
      </c>
    </row>
    <row r="6" spans="2:7">
      <c r="B6" s="65" t="s">
        <v>1438</v>
      </c>
    </row>
    <row r="7" spans="2:7">
      <c r="B7" s="65" t="s">
        <v>1776</v>
      </c>
    </row>
    <row r="8" spans="2:7">
      <c r="B8" s="65" t="str">
        <f>"* name = ##34#"&amp;'SystemicTreatm-ConceptMap-1'!C3&amp;"##34#"</f>
        <v>* name = ##34#systemicTreatment2FHIR##34#</v>
      </c>
    </row>
    <row r="9" spans="2:7">
      <c r="B9" s="65" t="str">
        <f>"* title = ##34#"&amp;'SystemicTreatm-ConceptMap-1'!C5&amp;"##34#"</f>
        <v>* title = ##34#Systemic Treatment to this guide Map##34#</v>
      </c>
    </row>
    <row r="10" spans="2:7">
      <c r="B10" s="65" t="s">
        <v>1439</v>
      </c>
    </row>
    <row r="11" spans="2:7">
      <c r="B11" s="65" t="s">
        <v>1440</v>
      </c>
    </row>
    <row r="12" spans="2:7">
      <c r="B12" s="65" t="str">
        <f>"* description = ##34#"&amp;'SystemicTreatm-ConceptMap-1'!C8&amp;"##34#"</f>
        <v>* description = ##34#Systemic Treatment to this guide Map##34#</v>
      </c>
    </row>
    <row r="13" spans="2:7">
      <c r="B13" s="65" t="str">
        <f>"* purpose = ##34#"&amp;'SystemicTreatm-ConceptMap-1'!C9&amp;"##34#"</f>
        <v>* purpose = ##34#It shows how the Systemic Treatment model is mapped into this guide##34#</v>
      </c>
    </row>
    <row r="14" spans="2:7">
      <c r="B14" s="69" t="str">
        <f>"* sourceUri = ##34#"&amp;'SystemicTreatm-ConceptMap-1'!E3&amp;"##34#"</f>
        <v>* sourceUri = ##34#http://hl7.eu/fhir/ig/idea4rc/StructureDefinition/SystemicTreatment##34#</v>
      </c>
    </row>
    <row r="15" spans="2:7">
      <c r="B15" s="69" t="str">
        <f>"* targetUri = ##34#"&amp;'SystemicTreatm-ConceptMap-1'!E4&amp;"##34#"</f>
        <v>* targetUri = ##34#http://hl7.eu/fhir/ig/idea4rc/StructureDefinition/MedicationAdministration-eu-i4rc##34#</v>
      </c>
    </row>
    <row r="16" spans="2:7">
      <c r="B16" s="68" t="str">
        <f>"* group[+].source = ##34#"&amp;'SystemicTreatm-ConceptMap-1'!E6&amp;"##34#"</f>
        <v>* group[+].source = ##34#http://hl7.eu/fhir/ig/idea4rc/StructureDefinition/SystemicTreatment##34#</v>
      </c>
    </row>
    <row r="17" spans="2:7">
      <c r="B17" s="68" t="str">
        <f>"* group[=].target = ##34#"&amp;'SystemicTreatm-ConceptMap-1'!E7&amp;"##34#"</f>
        <v>* group[=].target = ##34#http://hl7.eu/fhir/ig/idea4rc/StructureDefinition/MedicationAdministration-eu-i4rc##34#</v>
      </c>
    </row>
    <row r="18" spans="2:7">
      <c r="B18" s="121"/>
    </row>
    <row r="19" spans="2:7">
      <c r="B19" s="12" t="str">
        <f>IF('SystemicTreatm-ConceptMap-1'!S15=0,"//---END",'SystemicTreatm-ConceptMap-1'!S15)</f>
        <v>* group[=].element[+].code = #SystemicTreatment.episodeEventReference</v>
      </c>
    </row>
    <row r="20" spans="2:7">
      <c r="B20" s="12" t="str">
        <f>IF('SystemicTreatm-ConceptMap-1'!S16=0,"//---END",'SystemicTreatm-ConceptMap-1'!S16)</f>
        <v>* group[=].element[=].display = ##34#Episode Event reference##34#</v>
      </c>
    </row>
    <row r="21" spans="2:7">
      <c r="B21" s="12" t="str">
        <f>IF('SystemicTreatm-ConceptMap-1'!S17=0,"//---END",'SystemicTreatm-ConceptMap-1'!S17)</f>
        <v>* group[=].element[=].target.code = #Procedure.reasonReference</v>
      </c>
    </row>
    <row r="22" spans="2:7">
      <c r="B22" s="12" t="str">
        <f>IF('SystemicTreatm-ConceptMap-1'!S18=0,"//---END",'SystemicTreatm-ConceptMap-1'!S18)</f>
        <v>* group[=].element[=].target.display = ##34###34#</v>
      </c>
    </row>
    <row r="23" spans="2:7">
      <c r="B23" s="12" t="str">
        <f>IF('SystemicTreatm-ConceptMap-1'!S19=0,"//---END",'SystemicTreatm-ConceptMap-1'!S19)</f>
        <v>* group[=].element[=].target.equivalence = #relatedto</v>
      </c>
    </row>
    <row r="24" spans="2:7">
      <c r="B24" s="12" t="str">
        <f>IF('SystemicTreatm-ConceptMap-1'!S20=0,"//---END",'SystemicTreatm-ConceptMap-1'!S20)</f>
        <v/>
      </c>
      <c r="G24" s="7"/>
    </row>
    <row r="25" spans="2:7">
      <c r="B25" s="12" t="str">
        <f>IF('SystemicTreatm-ConceptMap-1'!S21=0,"//---END",'SystemicTreatm-ConceptMap-1'!S21)</f>
        <v>* group[=].element[+].code = #SystemicTreatment.typeOfSystemicTreatment</v>
      </c>
    </row>
    <row r="26" spans="2:7">
      <c r="B26" s="12" t="str">
        <f>IF('SystemicTreatm-ConceptMap-1'!S22=0,"//---END",'SystemicTreatm-ConceptMap-1'!S22)</f>
        <v>* group[=].element[=].display = ##34#type of systemic treatment##34#</v>
      </c>
    </row>
    <row r="27" spans="2:7">
      <c r="B27" s="12" t="str">
        <f>IF('SystemicTreatm-ConceptMap-1'!S23=0,"//---END",'SystemicTreatm-ConceptMap-1'!S23)</f>
        <v>* group[=].element[=].target.code = #Procedure.category</v>
      </c>
    </row>
    <row r="28" spans="2:7">
      <c r="B28" s="12" t="str">
        <f>IF('SystemicTreatm-ConceptMap-1'!S24=0,"//---END",'SystemicTreatm-ConceptMap-1'!S24)</f>
        <v>* group[=].element[=].target.display = ##34###34#</v>
      </c>
    </row>
    <row r="29" spans="2:7">
      <c r="B29" s="12" t="str">
        <f>IF('SystemicTreatm-ConceptMap-1'!S25=0,"//---END",'SystemicTreatm-ConceptMap-1'!S25)</f>
        <v>* group[=].element[=].target.equivalence = #equivalent</v>
      </c>
    </row>
    <row r="30" spans="2:7" ht="29.5">
      <c r="B30" s="12" t="str">
        <f>IF('SystemicTreatm-ConceptMap-1'!S26=0,"//---END",'SystemicTreatm-ConceptMap-1'!S26)</f>
        <v>* group[=].element[=].target.comment = ##34#TO BE ANALYZED IF THIS IS REPRESENTED BY USING A MedicationAdministration OR IT IS A PROCEDURE COMPOSED BY ONE OR MORE ##34#</v>
      </c>
    </row>
    <row r="31" spans="2:7">
      <c r="B31" s="12" t="str">
        <f>IF('SystemicTreatm-ConceptMap-1'!S27=0,"//---END",'SystemicTreatm-ConceptMap-1'!S27)</f>
        <v>* group[=].element[+].code = #SystemicTreatment.intent</v>
      </c>
    </row>
    <row r="32" spans="2:7">
      <c r="B32" s="12" t="str">
        <f>IF('SystemicTreatm-ConceptMap-1'!S28=0,"//---END",'SystemicTreatm-ConceptMap-1'!S28)</f>
        <v>* group[=].element[=].display = ##34#Intent##34#</v>
      </c>
    </row>
    <row r="33" spans="2:2">
      <c r="B33" s="12" t="str">
        <f>IF('SystemicTreatm-ConceptMap-1'!S29=0,"//---END",'SystemicTreatm-ConceptMap-1'!S29)</f>
        <v>* group[=].element[=].target.code = #Procedure.extension:intent</v>
      </c>
    </row>
    <row r="34" spans="2:2">
      <c r="B34" s="12" t="str">
        <f>IF('SystemicTreatm-ConceptMap-1'!S30=0,"//---END",'SystemicTreatm-ConceptMap-1'!S30)</f>
        <v>* group[=].element[=].target.display = ##34###34#</v>
      </c>
    </row>
    <row r="35" spans="2:2">
      <c r="B35" s="12" t="str">
        <f>IF('SystemicTreatm-ConceptMap-1'!S31=0,"//---END",'SystemicTreatm-ConceptMap-1'!S31)</f>
        <v>* group[=].element[=].target.equivalence = #relatedto</v>
      </c>
    </row>
    <row r="36" spans="2:2">
      <c r="B36" s="12" t="str">
        <f>IF('SystemicTreatm-ConceptMap-1'!S32=0,"//---END",'SystemicTreatm-ConceptMap-1'!S32)</f>
        <v>* group[=].element[=].target.comment = ##34#to be checked##34#</v>
      </c>
    </row>
    <row r="37" spans="2:2">
      <c r="B37" s="12" t="str">
        <f>IF('SystemicTreatm-ConceptMap-1'!S33=0,"//---END",'SystemicTreatm-ConceptMap-1'!S33)</f>
        <v>* group[=].element[+].code = #SystemicTreatment.setting</v>
      </c>
    </row>
    <row r="38" spans="2:2">
      <c r="B38" s="12" t="str">
        <f>IF('SystemicTreatm-ConceptMap-1'!S34=0,"//---END",'SystemicTreatm-ConceptMap-1'!S34)</f>
        <v>* group[=].element[=].display = ##34#Setting##34#</v>
      </c>
    </row>
    <row r="39" spans="2:2">
      <c r="B39" s="12" t="str">
        <f>IF('SystemicTreatm-ConceptMap-1'!S35=0,"//---END",'SystemicTreatm-ConceptMap-1'!S35)</f>
        <v>* group[=].element[=].target.code = #Procedure.extension</v>
      </c>
    </row>
    <row r="40" spans="2:2">
      <c r="B40" s="12" t="str">
        <f>IF('SystemicTreatm-ConceptMap-1'!S36=0,"//---END",'SystemicTreatm-ConceptMap-1'!S36)</f>
        <v>* group[=].element[=].target.display = ##34###34#</v>
      </c>
    </row>
    <row r="41" spans="2:2">
      <c r="B41" s="12" t="str">
        <f>IF('SystemicTreatm-ConceptMap-1'!S37=0,"//---END",'SystemicTreatm-ConceptMap-1'!S37)</f>
        <v>* group[=].element[=].target.equivalence = #relatedto</v>
      </c>
    </row>
    <row r="42" spans="2:2">
      <c r="B42" s="12" t="str">
        <f>IF('SystemicTreatm-ConceptMap-1'!S38=0,"//---END",'SystemicTreatm-ConceptMap-1'!S38)</f>
        <v>* group[=].element[=].target.comment = ##34#to be checked##34#</v>
      </c>
    </row>
    <row r="43" spans="2:2">
      <c r="B43" s="12" t="str">
        <f>IF('SystemicTreatm-ConceptMap-1'!S39=0,"//---END",'SystemicTreatm-ConceptMap-1'!S39)</f>
        <v>* group[=].element[+].code = #SystemicTreatment.startDateSystemicTreatment</v>
      </c>
    </row>
    <row r="44" spans="2:2">
      <c r="B44" s="12" t="str">
        <f>IF('SystemicTreatm-ConceptMap-1'!S40=0,"//---END",'SystemicTreatm-ConceptMap-1'!S40)</f>
        <v>* group[=].element[=].display = ##34#Start date systemic treatment##34#</v>
      </c>
    </row>
    <row r="45" spans="2:2">
      <c r="B45" s="12" t="str">
        <f>IF('SystemicTreatm-ConceptMap-1'!S41=0,"//---END",'SystemicTreatm-ConceptMap-1'!S41)</f>
        <v>* group[=].element[=].target.code = #Procedure.effectivePeriod.start</v>
      </c>
    </row>
    <row r="46" spans="2:2">
      <c r="B46" s="12" t="str">
        <f>IF('SystemicTreatm-ConceptMap-1'!S42=0,"//---END",'SystemicTreatm-ConceptMap-1'!S42)</f>
        <v>* group[=].element[=].target.display = ##34###34#</v>
      </c>
    </row>
    <row r="47" spans="2:2">
      <c r="B47" s="12" t="str">
        <f>IF('SystemicTreatm-ConceptMap-1'!S43=0,"//---END",'SystemicTreatm-ConceptMap-1'!S43)</f>
        <v>* group[=].element[=].target.equivalence = #relatedto</v>
      </c>
    </row>
    <row r="48" spans="2:2">
      <c r="B48" s="12" t="str">
        <f>IF('SystemicTreatm-ConceptMap-1'!S44=0,"//---END",'SystemicTreatm-ConceptMap-1'!S44)</f>
        <v/>
      </c>
    </row>
    <row r="49" spans="2:2">
      <c r="B49" s="12" t="str">
        <f>IF('SystemicTreatm-ConceptMap-1'!S45=0,"//---END",'SystemicTreatm-ConceptMap-1'!S45)</f>
        <v>* group[=].element[+].code = #SystemicTreatment.endDateSystemicTreatment</v>
      </c>
    </row>
    <row r="50" spans="2:2">
      <c r="B50" s="12" t="str">
        <f>IF('SystemicTreatm-ConceptMap-1'!S46=0,"//---END",'SystemicTreatm-ConceptMap-1'!S46)</f>
        <v>* group[=].element[=].display = ##34#End date systemic treatment##34#</v>
      </c>
    </row>
    <row r="51" spans="2:2">
      <c r="B51" s="12" t="str">
        <f>IF('SystemicTreatm-ConceptMap-1'!S47=0,"//---END",'SystemicTreatm-ConceptMap-1'!S47)</f>
        <v>* group[=].element[=].target.code = #Procedure.effectivePeriod.end</v>
      </c>
    </row>
    <row r="52" spans="2:2">
      <c r="B52" s="12" t="str">
        <f>IF('SystemicTreatm-ConceptMap-1'!S48=0,"//---END",'SystemicTreatm-ConceptMap-1'!S48)</f>
        <v>* group[=].element[=].target.display = ##34###34#</v>
      </c>
    </row>
    <row r="53" spans="2:2">
      <c r="B53" s="12" t="str">
        <f>IF('SystemicTreatm-ConceptMap-1'!S49=0,"//---END",'SystemicTreatm-ConceptMap-1'!S49)</f>
        <v>* group[=].element[=].target.equivalence = #relatedto</v>
      </c>
    </row>
    <row r="54" spans="2:2">
      <c r="B54" s="12" t="str">
        <f>IF('SystemicTreatm-ConceptMap-1'!S50=0,"//---END",'SystemicTreatm-ConceptMap-1'!S50)</f>
        <v/>
      </c>
    </row>
    <row r="55" spans="2:2">
      <c r="B55" s="12" t="str">
        <f>IF('SystemicTreatm-ConceptMap-1'!S51=0,"//---END",'SystemicTreatm-ConceptMap-1'!S51)</f>
        <v>* group[=].element[+].code = #SystemicTreatment.numberOfCyclesAdministrations</v>
      </c>
    </row>
    <row r="56" spans="2:2">
      <c r="B56" s="12" t="str">
        <f>IF('SystemicTreatm-ConceptMap-1'!S52=0,"//---END",'SystemicTreatm-ConceptMap-1'!S52)</f>
        <v>* group[=].element[=].display = ##34#Number of cycles/ administrations##34#</v>
      </c>
    </row>
    <row r="57" spans="2:2">
      <c r="B57" s="12" t="str">
        <f>IF('SystemicTreatm-ConceptMap-1'!S53=0,"//---END",'SystemicTreatm-ConceptMap-1'!S53)</f>
        <v>* group[=].element[=].target.code = #Procedure.</v>
      </c>
    </row>
    <row r="58" spans="2:2">
      <c r="B58" s="12" t="str">
        <f>IF('SystemicTreatm-ConceptMap-1'!S54=0,"//---END",'SystemicTreatm-ConceptMap-1'!S54)</f>
        <v>* group[=].element[=].target.display = ##34###34#</v>
      </c>
    </row>
    <row r="59" spans="2:2">
      <c r="B59" s="12" t="str">
        <f>IF('SystemicTreatm-ConceptMap-1'!S55=0,"//---END",'SystemicTreatm-ConceptMap-1'!S55)</f>
        <v>* group[=].element[=].target.equivalence = #relatedto</v>
      </c>
    </row>
    <row r="60" spans="2:2">
      <c r="B60" s="12" t="str">
        <f>IF('SystemicTreatm-ConceptMap-1'!S56=0,"//---END",'SystemicTreatm-ConceptMap-1'!S56)</f>
        <v/>
      </c>
    </row>
    <row r="61" spans="2:2">
      <c r="B61" s="12" t="str">
        <f>IF('SystemicTreatm-ConceptMap-1'!S57=0,"//---END",'SystemicTreatm-ConceptMap-1'!S57)</f>
        <v>* group[=].element[+].code = #SystemicTreatment.regimen</v>
      </c>
    </row>
    <row r="62" spans="2:2">
      <c r="B62" s="12" t="str">
        <f>IF('SystemicTreatm-ConceptMap-1'!S58=0,"//---END",'SystemicTreatm-ConceptMap-1'!S58)</f>
        <v>* group[=].element[=].display = ##34#Regimen##34#</v>
      </c>
    </row>
    <row r="63" spans="2:2">
      <c r="B63" s="12" t="str">
        <f>IF('SystemicTreatm-ConceptMap-1'!S59=0,"//---END",'SystemicTreatm-ConceptMap-1'!S59)</f>
        <v>* group[=].element[=].target.code = #Procedure.</v>
      </c>
    </row>
    <row r="64" spans="2:2">
      <c r="B64" s="12" t="str">
        <f>IF('SystemicTreatm-ConceptMap-1'!S60=0,"//---END",'SystemicTreatm-ConceptMap-1'!S60)</f>
        <v>* group[=].element[=].target.display = ##34###34#</v>
      </c>
    </row>
    <row r="65" spans="2:2">
      <c r="B65" s="12" t="str">
        <f>IF('SystemicTreatm-ConceptMap-1'!S61=0,"//---END",'SystemicTreatm-ConceptMap-1'!S61)</f>
        <v>* group[=].element[=].target.equivalence = #relatedto</v>
      </c>
    </row>
    <row r="66" spans="2:2">
      <c r="B66" s="12" t="str">
        <f>IF('SystemicTreatm-ConceptMap-1'!S62=0,"//---END",'SystemicTreatm-ConceptMap-1'!S62)</f>
        <v/>
      </c>
    </row>
    <row r="67" spans="2:2">
      <c r="B67" s="12" t="str">
        <f>IF('SystemicTreatm-ConceptMap-1'!S63=0,"//---END",'SystemicTreatm-ConceptMap-1'!S63)</f>
        <v>* group[=].element[+].code = #SystemicTreatment.regimen.drugs1</v>
      </c>
    </row>
    <row r="68" spans="2:2">
      <c r="B68" s="12" t="str">
        <f>IF('SystemicTreatm-ConceptMap-1'!S64=0,"//---END",'SystemicTreatm-ConceptMap-1'!S64)</f>
        <v>* group[=].element[=].display = ##34#Drugs 1##34#</v>
      </c>
    </row>
    <row r="69" spans="2:2">
      <c r="B69" s="12" t="str">
        <f>IF('SystemicTreatm-ConceptMap-1'!S65=0,"//---END",'SystemicTreatm-ConceptMap-1'!S65)</f>
        <v>* group[=].element[=].target.code = #Procedure.medication[x]</v>
      </c>
    </row>
    <row r="70" spans="2:2">
      <c r="B70" s="12" t="str">
        <f>IF('SystemicTreatm-ConceptMap-1'!S66=0,"//---END",'SystemicTreatm-ConceptMap-1'!S66)</f>
        <v>* group[=].element[=].target.display = ##34###34#</v>
      </c>
    </row>
    <row r="71" spans="2:2">
      <c r="B71" s="12" t="str">
        <f>IF('SystemicTreatm-ConceptMap-1'!S67=0,"//---END",'SystemicTreatm-ConceptMap-1'!S67)</f>
        <v>* group[=].element[=].target.equivalence = #relatedto</v>
      </c>
    </row>
    <row r="72" spans="2:2">
      <c r="B72" s="12" t="str">
        <f>IF('SystemicTreatm-ConceptMap-1'!S68=0,"//---END",'SystemicTreatm-ConceptMap-1'!S68)</f>
        <v>* group[=].element[=].target.comment = ##34#to be checked##34#</v>
      </c>
    </row>
    <row r="73" spans="2:2">
      <c r="B73" s="12" t="str">
        <f>IF('SystemicTreatm-ConceptMap-1'!S69=0,"//---END",'SystemicTreatm-ConceptMap-1'!S69)</f>
        <v>* group[=].element[+].code = #SystemicTreatment.regimen.drugs2</v>
      </c>
    </row>
    <row r="74" spans="2:2">
      <c r="B74" s="12" t="str">
        <f>IF('SystemicTreatm-ConceptMap-1'!S70=0,"//---END",'SystemicTreatm-ConceptMap-1'!S70)</f>
        <v>* group[=].element[=].display = ##34#Drugs 2##34#</v>
      </c>
    </row>
    <row r="75" spans="2:2">
      <c r="B75" s="12" t="str">
        <f>IF('SystemicTreatm-ConceptMap-1'!S71=0,"//---END",'SystemicTreatm-ConceptMap-1'!S71)</f>
        <v>* group[=].element[=].target.code = #Procedure.medication[x]</v>
      </c>
    </row>
    <row r="76" spans="2:2">
      <c r="B76" s="12" t="str">
        <f>IF('SystemicTreatm-ConceptMap-1'!S72=0,"//---END",'SystemicTreatm-ConceptMap-1'!S72)</f>
        <v>* group[=].element[=].target.display = ##34###34#</v>
      </c>
    </row>
    <row r="77" spans="2:2">
      <c r="B77" s="12" t="str">
        <f>IF('SystemicTreatm-ConceptMap-1'!S73=0,"//---END",'SystemicTreatm-ConceptMap-1'!S73)</f>
        <v>* group[=].element[=].target.equivalence = #relatedto</v>
      </c>
    </row>
    <row r="78" spans="2:2">
      <c r="B78" s="12" t="str">
        <f>IF('SystemicTreatm-ConceptMap-1'!S74=0,"//---END",'SystemicTreatm-ConceptMap-1'!S74)</f>
        <v>* group[=].element[=].target.comment = ##34#to be checked##34#</v>
      </c>
    </row>
    <row r="79" spans="2:2">
      <c r="B79" s="12" t="str">
        <f>IF('SystemicTreatm-ConceptMap-1'!S75=0,"//---END",'SystemicTreatm-ConceptMap-1'!S75)</f>
        <v>* group[=].element[+].code = #SystemicTreatment.regimen.drugs3</v>
      </c>
    </row>
    <row r="80" spans="2:2">
      <c r="B80" s="12" t="str">
        <f>IF('SystemicTreatm-ConceptMap-1'!S76=0,"//---END",'SystemicTreatm-ConceptMap-1'!S76)</f>
        <v>* group[=].element[=].display = ##34#Drugs 3##34#</v>
      </c>
    </row>
    <row r="81" spans="2:2">
      <c r="B81" s="12" t="str">
        <f>IF('SystemicTreatm-ConceptMap-1'!S77=0,"//---END",'SystemicTreatm-ConceptMap-1'!S77)</f>
        <v>* group[=].element[=].target.code = #Procedure.medication[x]</v>
      </c>
    </row>
    <row r="82" spans="2:2">
      <c r="B82" s="12" t="str">
        <f>IF('SystemicTreatm-ConceptMap-1'!S78=0,"//---END",'SystemicTreatm-ConceptMap-1'!S78)</f>
        <v>* group[=].element[=].target.display = ##34###34#</v>
      </c>
    </row>
    <row r="83" spans="2:2">
      <c r="B83" s="12" t="str">
        <f>IF('SystemicTreatm-ConceptMap-1'!S79=0,"//---END",'SystemicTreatm-ConceptMap-1'!S79)</f>
        <v>* group[=].element[=].target.equivalence = #relatedto</v>
      </c>
    </row>
    <row r="84" spans="2:2">
      <c r="B84" s="12" t="str">
        <f>IF('SystemicTreatm-ConceptMap-1'!S80=0,"//---END",'SystemicTreatm-ConceptMap-1'!S80)</f>
        <v>* group[=].element[=].target.comment = ##34#to be checked##34#</v>
      </c>
    </row>
    <row r="85" spans="2:2">
      <c r="B85" s="12" t="str">
        <f>IF('SystemicTreatm-ConceptMap-1'!S81=0,"//---END",'SystemicTreatm-ConceptMap-1'!S81)</f>
        <v>* group[=].element[+].code = #SystemicTreatment.regimen.startDateRegimenChanged</v>
      </c>
    </row>
    <row r="86" spans="2:2">
      <c r="B86" s="12" t="str">
        <f>IF('SystemicTreatm-ConceptMap-1'!S82=0,"//---END",'SystemicTreatm-ConceptMap-1'!S82)</f>
        <v>* group[=].element[=].display = ##34#Start date regimen changed##34#</v>
      </c>
    </row>
    <row r="87" spans="2:2">
      <c r="B87" s="12" t="str">
        <f>IF('SystemicTreatm-ConceptMap-1'!S83=0,"//---END",'SystemicTreatm-ConceptMap-1'!S83)</f>
        <v>* group[=].element[=].target.code = #Procedure.</v>
      </c>
    </row>
    <row r="88" spans="2:2">
      <c r="B88" s="12" t="str">
        <f>IF('SystemicTreatm-ConceptMap-1'!S84=0,"//---END",'SystemicTreatm-ConceptMap-1'!S84)</f>
        <v>* group[=].element[=].target.display = ##34###34#</v>
      </c>
    </row>
    <row r="89" spans="2:2">
      <c r="B89" s="12" t="str">
        <f>IF('SystemicTreatm-ConceptMap-1'!S85=0,"//---END",'SystemicTreatm-ConceptMap-1'!S85)</f>
        <v>* group[=].element[=].target.equivalence = #relatedto</v>
      </c>
    </row>
    <row r="90" spans="2:2">
      <c r="B90" s="12" t="str">
        <f>IF('SystemicTreatm-ConceptMap-1'!S86=0,"//---END",'SystemicTreatm-ConceptMap-1'!S86)</f>
        <v>* group[=].element[=].target.comment = ##34#to be checked##34#</v>
      </c>
    </row>
    <row r="91" spans="2:2">
      <c r="B91" s="12" t="str">
        <f>IF('SystemicTreatm-ConceptMap-1'!S87=0,"//---END",'SystemicTreatm-ConceptMap-1'!S87)</f>
        <v>* group[=].element[+].code = #SystemicTreatment.regimen.endDateRegimenChanged</v>
      </c>
    </row>
    <row r="92" spans="2:2">
      <c r="B92" s="12" t="str">
        <f>IF('SystemicTreatm-ConceptMap-1'!S88=0,"//---END",'SystemicTreatm-ConceptMap-1'!S88)</f>
        <v>* group[=].element[=].display = ##34#End date regimen changed##34#</v>
      </c>
    </row>
    <row r="93" spans="2:2">
      <c r="B93" s="12" t="str">
        <f>IF('SystemicTreatm-ConceptMap-1'!S89=0,"//---END",'SystemicTreatm-ConceptMap-1'!S89)</f>
        <v>* group[=].element[=].target.code = #Procedure.</v>
      </c>
    </row>
    <row r="94" spans="2:2">
      <c r="B94" s="12" t="str">
        <f>IF('SystemicTreatm-ConceptMap-1'!S90=0,"//---END",'SystemicTreatm-ConceptMap-1'!S90)</f>
        <v>* group[=].element[=].target.display = ##34###34#</v>
      </c>
    </row>
    <row r="95" spans="2:2">
      <c r="B95" s="12" t="str">
        <f>IF('SystemicTreatm-ConceptMap-1'!S91=0,"//---END",'SystemicTreatm-ConceptMap-1'!S91)</f>
        <v>* group[=].element[=].target.equivalence = #relatedto</v>
      </c>
    </row>
    <row r="96" spans="2:2">
      <c r="B96" s="12" t="str">
        <f>IF('SystemicTreatm-ConceptMap-1'!S92=0,"//---END",'SystemicTreatm-ConceptMap-1'!S92)</f>
        <v>* group[=].element[=].target.comment = ##34#to be checked##34#</v>
      </c>
    </row>
    <row r="97" spans="2:2">
      <c r="B97" s="12" t="str">
        <f>IF('SystemicTreatm-ConceptMap-1'!S93=0,"//---END",'SystemicTreatm-ConceptMap-1'!S93)</f>
        <v>* group[=].element[+].code = #SystemicTreatment.reasonForEndOfTreatment</v>
      </c>
    </row>
    <row r="98" spans="2:2">
      <c r="B98" s="12" t="str">
        <f>IF('SystemicTreatm-ConceptMap-1'!S94=0,"//---END",'SystemicTreatm-ConceptMap-1'!S94)</f>
        <v>* group[=].element[=].display = ##34#Reason for end of treatment##34#</v>
      </c>
    </row>
    <row r="99" spans="2:2">
      <c r="B99" s="12" t="str">
        <f>IF('SystemicTreatm-ConceptMap-1'!S95=0,"//---END",'SystemicTreatm-ConceptMap-1'!S95)</f>
        <v>* group[=].element[=].target.code = #Procedure.statusReason</v>
      </c>
    </row>
    <row r="100" spans="2:2">
      <c r="B100" s="12" t="str">
        <f>IF('SystemicTreatm-ConceptMap-1'!S96=0,"//---END",'SystemicTreatm-ConceptMap-1'!S96)</f>
        <v>* group[=].element[=].target.display = ##34###34#</v>
      </c>
    </row>
    <row r="101" spans="2:2">
      <c r="B101" s="12" t="str">
        <f>IF('SystemicTreatm-ConceptMap-1'!S97=0,"//---END",'SystemicTreatm-ConceptMap-1'!S97)</f>
        <v>* group[=].element[=].target.equivalence = #relatedto</v>
      </c>
    </row>
    <row r="102" spans="2:2">
      <c r="B102" s="12" t="str">
        <f>IF('SystemicTreatm-ConceptMap-1'!S98=0,"//---END",'SystemicTreatm-ConceptMap-1'!S98)</f>
        <v/>
      </c>
    </row>
    <row r="103" spans="2:2">
      <c r="B103" s="12" t="str">
        <f>IF('SystemicTreatm-ConceptMap-1'!S99=0,"//---END",'SystemicTreatm-ConceptMap-1'!S99)</f>
        <v>* group[=].element[+].code = #SystemicTreatment.treatmentResponseBasedOnImagingAloneNoRecistOrOtherCriteria</v>
      </c>
    </row>
    <row r="104" spans="2:2">
      <c r="B104" s="12" t="str">
        <f>IF('SystemicTreatm-ConceptMap-1'!S100=0,"//---END",'SystemicTreatm-ConceptMap-1'!S100)</f>
        <v>* group[=].element[=].display = ##34#Treatment response (based on imaging alone; no recist or other criteria)##34#</v>
      </c>
    </row>
    <row r="105" spans="2:2">
      <c r="B105" s="12" t="str">
        <f>IF('SystemicTreatm-ConceptMap-1'!S101=0,"//---END",'SystemicTreatm-ConceptMap-1'!S101)</f>
        <v>* group[=].element[=].target.code = #Procedure.extension:outcome</v>
      </c>
    </row>
    <row r="106" spans="2:2">
      <c r="B106" s="12" t="str">
        <f>IF('SystemicTreatm-ConceptMap-1'!S102=0,"//---END",'SystemicTreatm-ConceptMap-1'!S102)</f>
        <v>* group[=].element[=].target.display = ##34###34#</v>
      </c>
    </row>
    <row r="107" spans="2:2">
      <c r="B107" s="12" t="str">
        <f>IF('SystemicTreatm-ConceptMap-1'!S103=0,"//---END",'SystemicTreatm-ConceptMap-1'!S103)</f>
        <v>* group[=].element[=].target.equivalence = #relatedto</v>
      </c>
    </row>
    <row r="108" spans="2:2">
      <c r="B108" s="12" t="str">
        <f>IF('SystemicTreatm-ConceptMap-1'!S104=0,"//---END",'SystemicTreatm-ConceptMap-1'!S104)</f>
        <v>* group[=].element[=].target.comment = ##34#to be checked, consdier if we should use procedure + amdinistration ; or careplan ..tbd..##34#</v>
      </c>
    </row>
    <row r="109" spans="2:2">
      <c r="B109" s="12" t="str">
        <f>IF('SystemicTreatm-ConceptMap-1'!S105=0,"//---END",'SystemicTreatm-ConceptMap-1'!S105)</f>
        <v>//---END</v>
      </c>
    </row>
    <row r="110" spans="2:2">
      <c r="B110" s="12" t="str">
        <f>IF('SystemicTreatm-ConceptMap-1'!S106=0,"//---END",'SystemicTreatm-ConceptMap-1'!S106)</f>
        <v>//---END</v>
      </c>
    </row>
    <row r="111" spans="2:2">
      <c r="B111" s="12" t="str">
        <f>IF('SystemicTreatm-ConceptMap-1'!S107=0,"//---END",'SystemicTreatm-ConceptMap-1'!S107)</f>
        <v>//---END</v>
      </c>
    </row>
    <row r="112" spans="2:2">
      <c r="B112" s="12" t="str">
        <f>IF('SystemicTreatm-ConceptMap-1'!S108=0,"//---END",'SystemicTreatm-ConceptMap-1'!S108)</f>
        <v>//---END</v>
      </c>
    </row>
    <row r="113" spans="2:2">
      <c r="B113" s="12" t="str">
        <f>IF('SystemicTreatm-ConceptMap-1'!S109=0,"//---END",'SystemicTreatm-ConceptMap-1'!S109)</f>
        <v>//---END</v>
      </c>
    </row>
    <row r="114" spans="2:2">
      <c r="B114" s="12" t="str">
        <f>IF('SystemicTreatm-ConceptMap-1'!S110=0,"//---END",'SystemicTreatm-ConceptMap-1'!S110)</f>
        <v>//---END</v>
      </c>
    </row>
    <row r="115" spans="2:2">
      <c r="B115" s="12" t="str">
        <f>IF('SystemicTreatm-ConceptMap-1'!S111=0,"//---END",'SystemicTreatm-ConceptMap-1'!S111)</f>
        <v>//---END</v>
      </c>
    </row>
    <row r="116" spans="2:2">
      <c r="B116" s="12" t="str">
        <f>IF('SystemicTreatm-ConceptMap-1'!S112=0,"//---END",'SystemicTreatm-ConceptMap-1'!S112)</f>
        <v>//---END</v>
      </c>
    </row>
    <row r="117" spans="2:2">
      <c r="B117" s="12" t="str">
        <f>IF('SystemicTreatm-ConceptMap-1'!S113=0,"//---END",'SystemicTreatm-ConceptMap-1'!S113)</f>
        <v>//---END</v>
      </c>
    </row>
    <row r="118" spans="2:2">
      <c r="B118" s="12" t="str">
        <f>IF('SystemicTreatm-ConceptMap-1'!S114=0,"//---END",'SystemicTreatm-ConceptMap-1'!S114)</f>
        <v>//---END</v>
      </c>
    </row>
    <row r="119" spans="2:2">
      <c r="B119" s="12" t="str">
        <f>IF('SystemicTreatm-ConceptMap-1'!S115=0,"//---END",'SystemicTreatm-ConceptMap-1'!S115)</f>
        <v>//---END</v>
      </c>
    </row>
    <row r="120" spans="2:2">
      <c r="B120" s="12" t="str">
        <f>IF('SystemicTreatm-ConceptMap-1'!S116=0,"//---END",'SystemicTreatm-ConceptMap-1'!S116)</f>
        <v>//---END</v>
      </c>
    </row>
    <row r="121" spans="2:2">
      <c r="B121" s="12" t="str">
        <f>IF('SystemicTreatm-ConceptMap-1'!S117=0,"//---END",'SystemicTreatm-ConceptMap-1'!S117)</f>
        <v>//---END</v>
      </c>
    </row>
    <row r="122" spans="2:2">
      <c r="B122" s="12" t="str">
        <f>IF('SystemicTreatm-ConceptMap-1'!S118=0,"//---END",'SystemicTreatm-ConceptMap-1'!S118)</f>
        <v>//---END</v>
      </c>
    </row>
    <row r="123" spans="2:2">
      <c r="B123" s="12" t="str">
        <f>IF('SystemicTreatm-ConceptMap-1'!S119=0,"//---END",'SystemicTreatm-ConceptMap-1'!S119)</f>
        <v>//---END</v>
      </c>
    </row>
    <row r="124" spans="2:2">
      <c r="B124" s="12" t="str">
        <f>IF('SystemicTreatm-ConceptMap-1'!S120=0,"//---END",'SystemicTreatm-ConceptMap-1'!S120)</f>
        <v>//---END</v>
      </c>
    </row>
    <row r="125" spans="2:2">
      <c r="B125" s="12"/>
    </row>
    <row r="126" spans="2:2">
      <c r="B126" s="12"/>
    </row>
    <row r="127" spans="2:2">
      <c r="B127" s="12"/>
    </row>
    <row r="128" spans="2:2">
      <c r="B128" s="12"/>
    </row>
    <row r="129" spans="2:2">
      <c r="B129" s="12"/>
    </row>
    <row r="130" spans="2:2">
      <c r="B130" s="12"/>
    </row>
    <row r="131" spans="2:2">
      <c r="B131" s="12"/>
    </row>
    <row r="132" spans="2:2">
      <c r="B132" s="12"/>
    </row>
    <row r="133" spans="2:2">
      <c r="B133" s="12"/>
    </row>
    <row r="134" spans="2:2">
      <c r="B134" s="12"/>
    </row>
    <row r="135" spans="2:2">
      <c r="B135" s="12"/>
    </row>
    <row r="136" spans="2:2">
      <c r="B136" s="12"/>
    </row>
    <row r="137" spans="2:2">
      <c r="B137" s="12"/>
    </row>
    <row r="138" spans="2:2">
      <c r="B138" s="12"/>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row r="163" spans="2:2">
      <c r="B163" s="12"/>
    </row>
    <row r="164" spans="2:2">
      <c r="B164" s="12"/>
    </row>
    <row r="165" spans="2:2">
      <c r="B165" s="12"/>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M36"/>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2354</v>
      </c>
      <c r="J4" s="16" t="str">
        <f>CONCATENATE("Logical: ",B4)</f>
        <v>Logical: SurgeryI4rc</v>
      </c>
    </row>
    <row r="5" spans="1:12" ht="15.5" thickBot="1">
      <c r="A5" s="14" t="s">
        <v>16</v>
      </c>
      <c r="B5" s="45" t="s">
        <v>2037</v>
      </c>
      <c r="J5" s="16" t="str">
        <f>CONCATENATE("Id: ",B5)</f>
        <v>Id: Surgery</v>
      </c>
    </row>
    <row r="6" spans="1:12" ht="15.5" thickBot="1">
      <c r="A6" s="14" t="s">
        <v>10</v>
      </c>
      <c r="B6" s="45" t="s">
        <v>2037</v>
      </c>
      <c r="J6" s="17" t="str">
        <f>CONCATENATE("Title: ##34#",B6,"##34#")</f>
        <v>Title: ##34#Surgery##34#</v>
      </c>
    </row>
    <row r="7" spans="1:12">
      <c r="A7" s="26" t="s">
        <v>2</v>
      </c>
      <c r="B7" s="149" t="s">
        <v>2037</v>
      </c>
      <c r="C7" s="9" t="s">
        <v>3</v>
      </c>
      <c r="D7" s="1" t="s">
        <v>4</v>
      </c>
      <c r="E7" s="3" t="s">
        <v>5</v>
      </c>
      <c r="F7" s="3" t="s">
        <v>6</v>
      </c>
      <c r="G7" s="3" t="s">
        <v>7</v>
      </c>
      <c r="H7" s="105" t="s">
        <v>1610</v>
      </c>
      <c r="J7" s="17" t="str">
        <f>CONCATENATE("Description: "," ##334#",B7,"##334#",)</f>
        <v>Description:  ##334#Surgery##334#</v>
      </c>
    </row>
    <row r="8" spans="1:12" ht="59">
      <c r="A8" s="100">
        <v>0</v>
      </c>
      <c r="B8" s="11" t="s">
        <v>1913</v>
      </c>
      <c r="C8" s="11" t="s">
        <v>2016</v>
      </c>
      <c r="D8" s="11" t="s">
        <v>1872</v>
      </c>
      <c r="E8" s="11">
        <v>1</v>
      </c>
      <c r="F8" s="11">
        <v>1</v>
      </c>
      <c r="G8" s="57" t="s">
        <v>1969</v>
      </c>
      <c r="H8" s="12"/>
      <c r="I8" s="11"/>
      <c r="J8" s="12" t="str">
        <f>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2038</v>
      </c>
      <c r="C9" s="11" t="s">
        <v>2037</v>
      </c>
      <c r="D9" s="11" t="s">
        <v>2039</v>
      </c>
      <c r="E9" s="11">
        <v>1</v>
      </c>
      <c r="F9" s="11">
        <v>1</v>
      </c>
      <c r="G9" s="11" t="s">
        <v>1764</v>
      </c>
      <c r="H9" s="12" t="s">
        <v>2040</v>
      </c>
      <c r="I9" s="11"/>
      <c r="J9" s="12" t="str">
        <f t="shared" ref="J9:J36" si="0">CONCATENATE("* ",B9, " ",E9,"..",F9," ",G9," ##34#",C9,"##34# ##334#",D9,"##334#")</f>
        <v>* surgery 1..1 CodeableConcept ##34#Surgery##34# ##334#Whether or not a surgical procedure was performed and whether it was performed at the registering hospital or another hospital. Diagnostic procedures (biopsy) are not included.##334#</v>
      </c>
      <c r="L9" s="12" t="str">
        <f t="shared" ref="L9:L36" si="1">IF(H9="",IF(J9="*  ..  ##34###34# ##334###334#",J9,""),IF(J9="*  ..  ##34###34# ##334###334#",J9,CONCATENATE("* ",B9," ^comment = ##334#",H9,"##334#")))</f>
        <v>* surgery ^comment = ##334#Yes done at the hospital; Yes done at a different hospital; Not Done; Unknown.
Custom##334#</v>
      </c>
    </row>
    <row r="10" spans="1:12" ht="29.5">
      <c r="A10" s="100">
        <v>2</v>
      </c>
      <c r="B10" s="11" t="s">
        <v>2041</v>
      </c>
      <c r="C10" s="11" t="s">
        <v>2042</v>
      </c>
      <c r="D10" s="11" t="s">
        <v>2043</v>
      </c>
      <c r="E10" s="11">
        <v>1</v>
      </c>
      <c r="F10" s="11">
        <v>1</v>
      </c>
      <c r="G10" s="11" t="s">
        <v>156</v>
      </c>
      <c r="H10" s="12"/>
      <c r="I10" s="11"/>
      <c r="J10" s="12" t="str">
        <f t="shared" si="0"/>
        <v>* dateOfSurgery 1..1 date ##34#Date of surgery##34# ##334#Date of the surgery for primary tumor with or without neck surgery##334#</v>
      </c>
      <c r="L10" s="12" t="str">
        <f t="shared" si="1"/>
        <v/>
      </c>
    </row>
    <row r="11" spans="1:12" ht="73.75">
      <c r="A11" s="100">
        <v>3</v>
      </c>
      <c r="B11" s="11" t="s">
        <v>2044</v>
      </c>
      <c r="C11" s="11" t="s">
        <v>2045</v>
      </c>
      <c r="D11" s="11" t="s">
        <v>2046</v>
      </c>
      <c r="E11" s="11">
        <v>1</v>
      </c>
      <c r="F11" s="11">
        <v>1</v>
      </c>
      <c r="G11" s="11" t="s">
        <v>1764</v>
      </c>
      <c r="H11" s="12" t="s">
        <v>2047</v>
      </c>
      <c r="I11" s="11"/>
      <c r="J11" s="12" t="str">
        <f t="shared" si="0"/>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L11" s="12" t="str">
        <f t="shared" si="1"/>
        <v>* surgeryIntention ^comment = ##334#Palliative; Curative; Unknown
Palliative - 4179711
Curative - 
Unknown - 4129922##334#</v>
      </c>
    </row>
    <row r="12" spans="1:12" ht="147.5">
      <c r="A12" s="100">
        <v>4</v>
      </c>
      <c r="B12" s="11" t="s">
        <v>2048</v>
      </c>
      <c r="C12" s="11" t="s">
        <v>2049</v>
      </c>
      <c r="D12" s="11" t="s">
        <v>2050</v>
      </c>
      <c r="E12" s="11">
        <v>1</v>
      </c>
      <c r="F12" s="11">
        <v>1</v>
      </c>
      <c r="G12" s="11" t="s">
        <v>1764</v>
      </c>
      <c r="H12" s="12" t="s">
        <v>2051</v>
      </c>
      <c r="I12" s="11"/>
      <c r="J12" s="12" t="str">
        <f t="shared" si="0"/>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L12" s="12" t="str">
        <f t="shared" si="1"/>
        <v>* typeOfSurgicalApproachOnTumour ^comment = ##334#endoscopic….
External/Open - 4236080
Transnasal - 4050374
Transorbital - 4044897
Transoral - 4038679
Craniofacial - 4333339
Combined - 
Unknown - 4129922##334#</v>
      </c>
    </row>
    <row r="13" spans="1:12" ht="177">
      <c r="A13" s="100">
        <v>5</v>
      </c>
      <c r="B13" s="11" t="s">
        <v>2052</v>
      </c>
      <c r="C13" s="11" t="s">
        <v>2053</v>
      </c>
      <c r="D13" s="11" t="s">
        <v>2054</v>
      </c>
      <c r="E13" s="11">
        <v>1</v>
      </c>
      <c r="F13" s="11">
        <v>1</v>
      </c>
      <c r="G13" s="11" t="s">
        <v>1764</v>
      </c>
      <c r="H13" s="12" t="s">
        <v>2055</v>
      </c>
      <c r="I13" s="11"/>
      <c r="J13" s="12" t="str">
        <f t="shared" si="0"/>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13" s="12" t="str">
        <f t="shared" si="1"/>
        <v>* marginsAfterSurgery ^comment = ##334#R0 (microscopic negative); R1 (microscopic positive); R2 (macroscopic positive); Unknown
R0 (microscopic negative) - 4121182
R1 (microscopic positive) -  4175704
R2 (macroscopic positive) - 4081832
Unknown - 4129922##334#</v>
      </c>
    </row>
    <row r="14" spans="1:12" ht="59">
      <c r="A14" s="101">
        <v>6</v>
      </c>
      <c r="B14" s="11" t="s">
        <v>2056</v>
      </c>
      <c r="C14" s="11" t="s">
        <v>2057</v>
      </c>
      <c r="D14" s="11" t="s">
        <v>2058</v>
      </c>
      <c r="E14" s="11">
        <v>0</v>
      </c>
      <c r="F14" s="11">
        <v>1</v>
      </c>
      <c r="G14" s="11" t="s">
        <v>1764</v>
      </c>
      <c r="H14" s="12" t="s">
        <v>2059</v>
      </c>
      <c r="I14" s="11"/>
      <c r="J14" s="12" t="str">
        <f t="shared" si="0"/>
        <v>* reconstruction 0..1 CodeableConcept ##34#Reconstruction##34# ##334#Local flap / regional pedicled flap / free flap##334#</v>
      </c>
      <c r="L14" s="12" t="str">
        <f t="shared" si="1"/>
        <v>* reconstruction ^comment = ##334#Yes, no, unknown
Yes - 4188539
No -  4188540
Unknown - 4129922##334#</v>
      </c>
    </row>
    <row r="15" spans="1:12" ht="59">
      <c r="A15" s="100">
        <v>7</v>
      </c>
      <c r="B15" s="11" t="s">
        <v>2060</v>
      </c>
      <c r="C15" s="11" t="s">
        <v>2061</v>
      </c>
      <c r="D15" s="11" t="s">
        <v>2062</v>
      </c>
      <c r="E15" s="11">
        <v>1</v>
      </c>
      <c r="F15" s="11">
        <v>1</v>
      </c>
      <c r="G15" s="11" t="s">
        <v>1764</v>
      </c>
      <c r="H15" s="12" t="s">
        <v>2063</v>
      </c>
      <c r="I15" s="11"/>
      <c r="J15" s="12" t="str">
        <f t="shared" si="0"/>
        <v>* neckSurgery 1..1 CodeableConcept ##34#Neck surgery##34# ##334#Describes whether a surgical procedure to treat and address the neck was performed or not.##334#</v>
      </c>
      <c r="L15" s="12" t="str">
        <f t="shared" si="1"/>
        <v>* neckSurgery ^comment = ##334#Yes; No; Unknown.
Yes - 4188539
No -  4188540
Unknown - 4129922##334#</v>
      </c>
    </row>
    <row r="16" spans="1:12" ht="29.5">
      <c r="A16" s="100">
        <v>8</v>
      </c>
      <c r="B16" s="11" t="s">
        <v>2064</v>
      </c>
      <c r="C16" s="11" t="s">
        <v>2065</v>
      </c>
      <c r="D16" s="11" t="s">
        <v>2066</v>
      </c>
      <c r="E16" s="11">
        <v>1</v>
      </c>
      <c r="F16" s="11">
        <v>1</v>
      </c>
      <c r="G16" s="11" t="s">
        <v>156</v>
      </c>
      <c r="H16" s="12"/>
      <c r="I16" s="11"/>
      <c r="J16" s="12" t="str">
        <f t="shared" si="0"/>
        <v>* dateOfNeckSurgey 1..1 date ##34#Date of Neck surgey##34# ##334#Date of the surgery on the neck##334#</v>
      </c>
      <c r="L16" s="12" t="str">
        <f t="shared" si="1"/>
        <v/>
      </c>
    </row>
    <row r="17" spans="1:13" ht="73.75">
      <c r="A17" s="100">
        <v>9</v>
      </c>
      <c r="B17" s="11" t="s">
        <v>2067</v>
      </c>
      <c r="C17" s="11" t="s">
        <v>2068</v>
      </c>
      <c r="D17" s="11" t="s">
        <v>2069</v>
      </c>
      <c r="E17" s="11">
        <v>1</v>
      </c>
      <c r="F17" s="11">
        <v>1</v>
      </c>
      <c r="G17" s="11" t="s">
        <v>1764</v>
      </c>
      <c r="H17" s="12"/>
      <c r="I17" s="11"/>
      <c r="J17" s="12" t="str">
        <f t="shared" si="0"/>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17" s="12" t="str">
        <f t="shared" si="1"/>
        <v/>
      </c>
    </row>
    <row r="18" spans="1:13" ht="59">
      <c r="A18" s="100">
        <v>10</v>
      </c>
      <c r="B18" s="11" t="s">
        <v>2070</v>
      </c>
      <c r="C18" s="11" t="s">
        <v>2071</v>
      </c>
      <c r="D18" s="11" t="s">
        <v>2072</v>
      </c>
      <c r="E18" s="11">
        <v>1</v>
      </c>
      <c r="F18" s="11">
        <v>1</v>
      </c>
      <c r="G18" s="11" t="s">
        <v>1764</v>
      </c>
      <c r="H18" s="12" t="s">
        <v>2063</v>
      </c>
      <c r="I18" s="11"/>
      <c r="J18" s="12" t="str">
        <f t="shared" si="0"/>
        <v>* surgeryOnM 1..1 CodeableConcept ##34#Surgery on M##34# ##334#Describes whether surgery is performed to treat the Metastasis##334#</v>
      </c>
      <c r="L18" s="12" t="str">
        <f t="shared" si="1"/>
        <v>* surgeryOnM ^comment = ##334#Yes; No; Unknown.
Yes - 4188539
No -  4188540
Unknown - 4129922##334#</v>
      </c>
    </row>
    <row r="19" spans="1:13" ht="29.5">
      <c r="A19" s="100">
        <v>11</v>
      </c>
      <c r="B19" s="11" t="s">
        <v>2073</v>
      </c>
      <c r="C19" s="11" t="s">
        <v>2074</v>
      </c>
      <c r="D19" s="11" t="s">
        <v>2075</v>
      </c>
      <c r="E19" s="11">
        <v>1</v>
      </c>
      <c r="F19" s="11">
        <v>1</v>
      </c>
      <c r="G19" s="11" t="s">
        <v>156</v>
      </c>
      <c r="H19" s="12"/>
      <c r="I19" s="11"/>
      <c r="J19" s="12" t="str">
        <f t="shared" si="0"/>
        <v>* dateOfSurgeryOnM 1..1 date ##34#Date of surgery on M##34# ##334#Date of the surgery on the metastasis##334#</v>
      </c>
      <c r="L19" s="12" t="str">
        <f t="shared" si="1"/>
        <v/>
      </c>
    </row>
    <row r="20" spans="1:13" ht="29.5">
      <c r="A20" s="101">
        <v>12</v>
      </c>
      <c r="B20" s="6" t="s">
        <v>2175</v>
      </c>
      <c r="C20" s="6" t="s">
        <v>2173</v>
      </c>
      <c r="D20" s="6" t="s">
        <v>2174</v>
      </c>
      <c r="E20" s="6">
        <v>1</v>
      </c>
      <c r="F20" s="6">
        <v>1</v>
      </c>
      <c r="G20" s="6" t="s">
        <v>1</v>
      </c>
      <c r="H20" s="12"/>
      <c r="I20" s="11"/>
      <c r="J20" s="12" t="str">
        <f t="shared" si="0"/>
        <v>* siteOfSurgeryOnMetastasis 1..1 BackboneElement ##34#Site of surgery on metastasis##34# ##334#Describes the site of surgery on metastasis##334#</v>
      </c>
      <c r="L20" s="12" t="str">
        <f t="shared" si="1"/>
        <v/>
      </c>
    </row>
    <row r="21" spans="1:13" ht="44.25">
      <c r="A21" s="101">
        <v>13</v>
      </c>
      <c r="B21" s="57" t="s">
        <v>2204</v>
      </c>
      <c r="C21" s="11" t="s">
        <v>2076</v>
      </c>
      <c r="D21" s="11" t="s">
        <v>2077</v>
      </c>
      <c r="E21" s="11">
        <v>0</v>
      </c>
      <c r="F21" s="11">
        <v>1</v>
      </c>
      <c r="G21" s="11" t="s">
        <v>157</v>
      </c>
      <c r="H21" s="12"/>
      <c r="I21" s="11"/>
      <c r="J21" s="12" t="str">
        <f t="shared" si="0"/>
        <v>* siteOfSurgeryOnMetastasis.softTissue 0..1 boolean ##34#Site of surgery on metastasis_soft tissue##34# ##334#Describes if site of surgery on metastasis  is soft tissue##334#</v>
      </c>
      <c r="L21" s="12" t="str">
        <f t="shared" si="1"/>
        <v/>
      </c>
      <c r="M21"/>
    </row>
    <row r="22" spans="1:13" ht="44.25">
      <c r="A22" s="101">
        <v>14</v>
      </c>
      <c r="B22" s="57" t="s">
        <v>2205</v>
      </c>
      <c r="C22" s="11" t="s">
        <v>2078</v>
      </c>
      <c r="D22" s="11" t="s">
        <v>2079</v>
      </c>
      <c r="E22" s="11">
        <v>0</v>
      </c>
      <c r="F22" s="11">
        <v>1</v>
      </c>
      <c r="G22" s="11" t="s">
        <v>157</v>
      </c>
      <c r="H22" s="12"/>
      <c r="I22" s="11"/>
      <c r="J22" s="12" t="str">
        <f t="shared" si="0"/>
        <v>* siteOfSurgeryOnMetastasis.distantLymphNodes 0..1 boolean ##34#Site of surgery on metastasis_distant lymph nodes##34# ##334#Describes if site of surgery on metastasis  is dystan lymph node##334#</v>
      </c>
      <c r="L22" s="12" t="str">
        <f t="shared" si="1"/>
        <v/>
      </c>
      <c r="M22"/>
    </row>
    <row r="23" spans="1:13" ht="44.25">
      <c r="A23" s="101">
        <v>15</v>
      </c>
      <c r="B23" s="57" t="s">
        <v>2206</v>
      </c>
      <c r="C23" s="11" t="s">
        <v>2080</v>
      </c>
      <c r="D23" s="11" t="s">
        <v>2081</v>
      </c>
      <c r="E23" s="11">
        <v>0</v>
      </c>
      <c r="F23" s="11">
        <v>1</v>
      </c>
      <c r="G23" s="11" t="s">
        <v>157</v>
      </c>
      <c r="H23" s="12"/>
      <c r="I23" s="11"/>
      <c r="J23" s="12" t="str">
        <f t="shared" si="0"/>
        <v>* siteOfSurgeryOnMetastasis.lung 0..1 boolean ##34#Site of surgery on metastasis_lung##34# ##334#Describes if site of surgery on metastasis  is lung##334#</v>
      </c>
      <c r="L23" s="12" t="str">
        <f t="shared" si="1"/>
        <v/>
      </c>
      <c r="M23"/>
    </row>
    <row r="24" spans="1:13" ht="44.25">
      <c r="A24" s="101">
        <v>16</v>
      </c>
      <c r="B24" s="57" t="s">
        <v>2210</v>
      </c>
      <c r="C24" s="11" t="s">
        <v>2082</v>
      </c>
      <c r="D24" s="11" t="s">
        <v>2083</v>
      </c>
      <c r="E24" s="11">
        <v>0</v>
      </c>
      <c r="F24" s="11">
        <v>1</v>
      </c>
      <c r="G24" s="11" t="s">
        <v>157</v>
      </c>
      <c r="H24" s="12"/>
      <c r="I24" s="11"/>
      <c r="J24" s="12" t="str">
        <f t="shared" si="0"/>
        <v>* siteOfSurgeryOnMetastasis.bone 0..1 boolean ##34#Site of surgery on metastasis_bone##34# ##334#Describes if site of surgery on metastasis  is bone##334#</v>
      </c>
      <c r="L24" s="12" t="str">
        <f t="shared" si="1"/>
        <v/>
      </c>
      <c r="M24"/>
    </row>
    <row r="25" spans="1:13" ht="44.25">
      <c r="A25" s="101">
        <v>17</v>
      </c>
      <c r="B25" s="57" t="s">
        <v>2207</v>
      </c>
      <c r="C25" s="11" t="s">
        <v>2084</v>
      </c>
      <c r="D25" s="11" t="s">
        <v>2085</v>
      </c>
      <c r="E25" s="11">
        <v>0</v>
      </c>
      <c r="F25" s="11">
        <v>1</v>
      </c>
      <c r="G25" s="11" t="s">
        <v>157</v>
      </c>
      <c r="H25" s="12"/>
      <c r="I25" s="11"/>
      <c r="J25" s="12" t="str">
        <f t="shared" si="0"/>
        <v>* siteOfSurgeryOnMetastasis.liver 0..1 boolean ##34#Site of surgery on metastasis_liver##34# ##334#Describes if site of surgery on metastasis  is liver##334#</v>
      </c>
      <c r="L25" s="12" t="str">
        <f t="shared" si="1"/>
        <v/>
      </c>
      <c r="M25"/>
    </row>
    <row r="26" spans="1:13" ht="44.25">
      <c r="A26" s="101">
        <v>18</v>
      </c>
      <c r="B26" s="57" t="s">
        <v>2208</v>
      </c>
      <c r="C26" s="11" t="s">
        <v>2086</v>
      </c>
      <c r="D26" s="11" t="s">
        <v>2087</v>
      </c>
      <c r="E26" s="11">
        <v>0</v>
      </c>
      <c r="F26" s="11">
        <v>1</v>
      </c>
      <c r="G26" s="11" t="s">
        <v>157</v>
      </c>
      <c r="H26" s="12"/>
      <c r="I26" s="11"/>
      <c r="J26" s="12" t="str">
        <f t="shared" si="0"/>
        <v>* siteOfSurgeryOnMetastasis.pleura 0..1 boolean ##34#Site of surgery on metastasis_pleura##34# ##334#Describes if site of surgery on metastasis  is pleura##334#</v>
      </c>
      <c r="L26" s="12" t="str">
        <f t="shared" si="1"/>
        <v/>
      </c>
      <c r="M26"/>
    </row>
    <row r="27" spans="1:13" ht="44.25">
      <c r="A27" s="101">
        <v>19</v>
      </c>
      <c r="B27" s="57" t="s">
        <v>2209</v>
      </c>
      <c r="C27" s="11" t="s">
        <v>2088</v>
      </c>
      <c r="D27" s="11" t="s">
        <v>2089</v>
      </c>
      <c r="E27" s="11">
        <v>0</v>
      </c>
      <c r="F27" s="11">
        <v>1</v>
      </c>
      <c r="G27" s="11" t="s">
        <v>157</v>
      </c>
      <c r="H27" s="12"/>
      <c r="I27" s="11"/>
      <c r="J27" s="12" t="str">
        <f t="shared" si="0"/>
        <v>* siteOfSurgeryOnMetastasis.peritoneum 0..1 boolean ##34#Site of surgery on metastasis_peritoneum##34# ##334#Describes if site of surgery on metastasis  is peritoneum##334#</v>
      </c>
      <c r="L27" s="12" t="str">
        <f t="shared" si="1"/>
        <v/>
      </c>
      <c r="M27"/>
    </row>
    <row r="28" spans="1:13" ht="44.25">
      <c r="A28" s="101">
        <v>20</v>
      </c>
      <c r="B28" s="57" t="s">
        <v>2211</v>
      </c>
      <c r="C28" s="11" t="s">
        <v>2090</v>
      </c>
      <c r="D28" s="11" t="s">
        <v>2091</v>
      </c>
      <c r="E28" s="11">
        <v>0</v>
      </c>
      <c r="F28" s="11">
        <v>1</v>
      </c>
      <c r="G28" s="11" t="s">
        <v>157</v>
      </c>
      <c r="H28" s="12"/>
      <c r="I28" s="11"/>
      <c r="J28" s="12" t="str">
        <f t="shared" si="0"/>
        <v>* siteOfSurgeryOnMetastasis.brain 0..1 boolean ##34#Site of surgery on metastasis_brain##34# ##334#Describes if site of surgery on metastasis  is brain##334#</v>
      </c>
      <c r="L28" s="12" t="str">
        <f t="shared" si="1"/>
        <v/>
      </c>
    </row>
    <row r="29" spans="1:13" ht="44.25">
      <c r="A29" s="101">
        <v>21</v>
      </c>
      <c r="B29" s="57" t="s">
        <v>2213</v>
      </c>
      <c r="C29" s="11" t="s">
        <v>2092</v>
      </c>
      <c r="D29" s="11" t="s">
        <v>2093</v>
      </c>
      <c r="E29" s="11">
        <v>0</v>
      </c>
      <c r="F29" s="11">
        <v>1</v>
      </c>
      <c r="G29" s="11" t="s">
        <v>157</v>
      </c>
      <c r="H29" s="12"/>
      <c r="I29" s="11"/>
      <c r="J29" s="12" t="str">
        <f t="shared" si="0"/>
        <v>* siteOfSurgeryOnMetastasis.otherViscera 0..1 boolean ##34#Site of surgery on metastasis_other viscera##34# ##334#Describes if site of surgery on metastasis  is other viscera##334#</v>
      </c>
      <c r="L29" s="12" t="str">
        <f t="shared" si="1"/>
        <v/>
      </c>
    </row>
    <row r="30" spans="1:13" ht="44.25">
      <c r="A30" s="101">
        <v>22</v>
      </c>
      <c r="B30" s="57" t="s">
        <v>2212</v>
      </c>
      <c r="C30" s="11" t="s">
        <v>2094</v>
      </c>
      <c r="D30" s="11" t="s">
        <v>2095</v>
      </c>
      <c r="E30" s="11">
        <v>0</v>
      </c>
      <c r="F30" s="11">
        <v>1</v>
      </c>
      <c r="G30" s="11" t="s">
        <v>157</v>
      </c>
      <c r="H30" s="12"/>
      <c r="I30" s="11"/>
      <c r="J30" s="12" t="str">
        <f t="shared" si="0"/>
        <v>* siteOfSurgeryOnMetastasis.unknown 0..1 boolean ##34#Site of surgery on metastasis_unknown##34# ##334#Describes if site of surgery on metastasis  is unknown##334#</v>
      </c>
      <c r="L30" s="12" t="str">
        <f t="shared" si="1"/>
        <v/>
      </c>
    </row>
    <row r="31" spans="1:13" ht="132.75">
      <c r="A31" s="100">
        <v>23</v>
      </c>
      <c r="B31" s="11" t="s">
        <v>2096</v>
      </c>
      <c r="C31" s="11" t="s">
        <v>2097</v>
      </c>
      <c r="D31" s="11" t="s">
        <v>2098</v>
      </c>
      <c r="E31" s="11">
        <v>1</v>
      </c>
      <c r="F31" s="11">
        <v>1</v>
      </c>
      <c r="G31" s="11" t="s">
        <v>1764</v>
      </c>
      <c r="H31" s="12" t="s">
        <v>2099</v>
      </c>
      <c r="I31" s="11"/>
      <c r="J31" s="12" t="str">
        <f t="shared" si="0"/>
        <v>* surgicalComplicationsClavienDindoClassification 1..1 CodeableConcept ##34#Surgical complications (Clavien-Dindo Classification)##34# ##334#Describes presence and grade of complications after a surgical procedure,##334#</v>
      </c>
      <c r="L31" s="12" t="str">
        <f t="shared" si="1"/>
        <v>* surgicalComplicationsClavienDindoClassification ^comment = ##334#No complication; Grade I-V; unknown.
No complication -  4188540
Grade I - 40459832
Grade II - 40459833
Grade III - 40459834
Grade IV - 40459835
Grade V - 40459836 
Unknown - 4129922##334#</v>
      </c>
    </row>
    <row r="32" spans="1:13">
      <c r="A32" s="11"/>
      <c r="B32" s="11"/>
      <c r="C32" s="12"/>
      <c r="D32" s="11"/>
      <c r="E32" s="11"/>
      <c r="F32" s="11"/>
      <c r="G32" s="11"/>
      <c r="H32" s="12"/>
      <c r="I32" s="11"/>
      <c r="J32" s="12" t="str">
        <f t="shared" si="0"/>
        <v>*  ..  ##34###34# ##334###334#</v>
      </c>
      <c r="L32" s="12" t="str">
        <f t="shared" si="1"/>
        <v>*  ..  ##34###34# ##334###334#</v>
      </c>
    </row>
    <row r="33" spans="1:12">
      <c r="A33" s="11"/>
      <c r="B33" s="11"/>
      <c r="C33" s="12"/>
      <c r="D33" s="11"/>
      <c r="E33" s="11"/>
      <c r="F33" s="11"/>
      <c r="G33" s="11"/>
      <c r="H33" s="12"/>
      <c r="I33" s="11"/>
      <c r="J33" s="12" t="str">
        <f t="shared" si="0"/>
        <v>*  ..  ##34###34# ##334###334#</v>
      </c>
      <c r="L33" s="12" t="str">
        <f t="shared" si="1"/>
        <v>*  ..  ##34###34# ##334###334#</v>
      </c>
    </row>
    <row r="34" spans="1:12">
      <c r="A34" s="11"/>
      <c r="B34" s="11"/>
      <c r="C34" s="12"/>
      <c r="D34" s="11"/>
      <c r="E34" s="11"/>
      <c r="F34" s="11"/>
      <c r="G34" s="11"/>
      <c r="H34" s="12"/>
      <c r="I34" s="11"/>
      <c r="J34" s="12" t="str">
        <f t="shared" si="0"/>
        <v>*  ..  ##34###34# ##334###334#</v>
      </c>
      <c r="L34" s="12" t="str">
        <f t="shared" si="1"/>
        <v>*  ..  ##34###34# ##334###334#</v>
      </c>
    </row>
    <row r="35" spans="1:12">
      <c r="A35" s="11"/>
      <c r="B35" s="11"/>
      <c r="C35" s="12"/>
      <c r="D35" s="11"/>
      <c r="E35" s="11"/>
      <c r="F35" s="11"/>
      <c r="G35" s="11"/>
      <c r="H35" s="12"/>
      <c r="I35" s="11"/>
      <c r="J35" s="12" t="str">
        <f t="shared" si="0"/>
        <v>*  ..  ##34###34# ##334###334#</v>
      </c>
      <c r="L35" s="12" t="str">
        <f t="shared" si="1"/>
        <v>*  ..  ##34###34# ##334###334#</v>
      </c>
    </row>
    <row r="36" spans="1:12">
      <c r="J36" s="12" t="str">
        <f t="shared" si="0"/>
        <v>*  ..  ##34###34# ##334###334#</v>
      </c>
      <c r="L36" s="12" t="str">
        <f t="shared" si="1"/>
        <v>*  ..  ##34###34# ##334###334#</v>
      </c>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23"/>
  <sheetViews>
    <sheetView workbookViewId="0">
      <selection activeCell="C8" sqref="C8:C36"/>
    </sheetView>
  </sheetViews>
  <sheetFormatPr defaultRowHeight="14.75"/>
  <cols>
    <col min="3" max="3" width="108.2265625" style="12" customWidth="1"/>
    <col min="7" max="7" width="29.54296875" customWidth="1"/>
    <col min="8" max="8" width="54.90625" customWidth="1"/>
  </cols>
  <sheetData>
    <row r="1" spans="3:7" ht="15.5" thickBot="1">
      <c r="C1" s="23" t="str">
        <f>Surgery!J1</f>
        <v>//===================================================</v>
      </c>
    </row>
    <row r="2" spans="3:7" ht="16.75" thickBot="1">
      <c r="C2" s="24" t="str">
        <f>Surgery!J2</f>
        <v>//  Logical Model</v>
      </c>
      <c r="G2" s="29" t="s">
        <v>2036</v>
      </c>
    </row>
    <row r="3" spans="3:7">
      <c r="C3" s="24" t="str">
        <f>Surgery!J3</f>
        <v>//===================================================</v>
      </c>
    </row>
    <row r="4" spans="3:7">
      <c r="C4" s="16" t="str">
        <f>Surgery!J4</f>
        <v>Logical: SurgeryI4rc</v>
      </c>
    </row>
    <row r="5" spans="3:7">
      <c r="C5" s="16" t="str">
        <f>Surgery!J5</f>
        <v>Id: Surgery</v>
      </c>
    </row>
    <row r="6" spans="3:7">
      <c r="C6" s="16" t="str">
        <f>Surgery!J6</f>
        <v>Title: ##34#Surgery##34#</v>
      </c>
    </row>
    <row r="7" spans="3:7">
      <c r="C7" s="16" t="str">
        <f>Surgery!J7</f>
        <v>Description:  ##334#Surgery##334#</v>
      </c>
    </row>
    <row r="8" spans="3:7" ht="29.5">
      <c r="C8" s="12" t="str">
        <f>IF(Surgery!J8="*  ..  ##34###34# ##334###334#","//--- END",Surgery!J8)</f>
        <v>* episodeEventReference 1..1 http://hl7.eu/fhir/ig/idea4rc/StructureDefinition/EpisodeEvent ##34#Episode Event reference##34# ##334#EpisodeEvent element containing the data regarding the patient's cancer##334#</v>
      </c>
    </row>
    <row r="9" spans="3:7" ht="29.5">
      <c r="C9" s="12" t="str">
        <f>IF(Surgery!J9="*  ..  ##34###34# ##334###334#","//--- END",Surgery!J9)</f>
        <v>* surgery 1..1 CodeableConcept ##34#Surgery##34# ##334#Whether or not a surgical procedure was performed and whether it was performed at the registering hospital or another hospital. Diagnostic procedures (biopsy) are not included.##334#</v>
      </c>
    </row>
    <row r="10" spans="3:7" ht="29.5">
      <c r="C10" s="12" t="str">
        <f>IF(Surgery!J10="*  ..  ##34###34# ##334###334#","//--- END",Surgery!J10)</f>
        <v>* dateOfSurgery 1..1 date ##34#Date of surgery##34# ##334#Date of the surgery for primary tumor with or without neck surgery##334#</v>
      </c>
    </row>
    <row r="11" spans="3:7" ht="44.25">
      <c r="C11" s="12" t="str">
        <f>IF(Surgery!J11="*  ..  ##34###34# ##334###334#","//--- END",Surgery!J11)</f>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2" spans="3:7" ht="44.25">
      <c r="C12" s="12" t="str">
        <f>IF(Surgery!J12="*  ..  ##34###34# ##334###334#","//--- END",Surgery!J12)</f>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3" spans="3:7" ht="103.25">
      <c r="C13" s="12" t="str">
        <f>IF(Surgery!J13="*  ..  ##34###34# ##334###334#","//--- END",Surgery!J13)</f>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4" spans="3:7">
      <c r="C14" s="12" t="str">
        <f>IF(Surgery!J14="*  ..  ##34###34# ##334###334#","//--- END",Surgery!J14)</f>
        <v>* reconstruction 0..1 CodeableConcept ##34#Reconstruction##34# ##334#Local flap / regional pedicled flap / free flap##334#</v>
      </c>
    </row>
    <row r="15" spans="3:7" ht="29.5">
      <c r="C15" s="12" t="str">
        <f>IF(Surgery!J15="*  ..  ##34###34# ##334###334#","//--- END",Surgery!J15)</f>
        <v>* neckSurgery 1..1 CodeableConcept ##34#Neck surgery##34# ##334#Describes whether a surgical procedure to treat and address the neck was performed or not.##334#</v>
      </c>
    </row>
    <row r="16" spans="3:7">
      <c r="C16" s="12" t="str">
        <f>IF(Surgery!J16="*  ..  ##34###34# ##334###334#","//--- END",Surgery!J16)</f>
        <v>* dateOfNeckSurgey 1..1 date ##34#Date of Neck surgey##34# ##334#Date of the surgery on the neck##334#</v>
      </c>
    </row>
    <row r="17" spans="3:3" ht="73.75">
      <c r="C17" s="12" t="str">
        <f>IF(Surgery!J17="*  ..  ##34###34# ##334###334#","//--- END",Surgery!J17)</f>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18" spans="3:3" ht="29.5">
      <c r="C18" s="12" t="str">
        <f>IF(Surgery!J18="*  ..  ##34###34# ##334###334#","//--- END",Surgery!J18)</f>
        <v>* surgeryOnM 1..1 CodeableConcept ##34#Surgery on M##34# ##334#Describes whether surgery is performed to treat the Metastasis##334#</v>
      </c>
    </row>
    <row r="19" spans="3:3">
      <c r="C19" s="12" t="str">
        <f>IF(Surgery!J19="*  ..  ##34###34# ##334###334#","//--- END",Surgery!J19)</f>
        <v>* dateOfSurgeryOnM 1..1 date ##34#Date of surgery on M##34# ##334#Date of the surgery on the metastasis##334#</v>
      </c>
    </row>
    <row r="20" spans="3:3" ht="29.5">
      <c r="C20" s="12" t="str">
        <f>IF(Surgery!J20="*  ..  ##34###34# ##334###334#","//--- END",Surgery!J20)</f>
        <v>* siteOfSurgeryOnMetastasis 1..1 BackboneElement ##34#Site of surgery on metastasis##34# ##334#Describes the site of surgery on metastasis##334#</v>
      </c>
    </row>
    <row r="21" spans="3:3" ht="29.5">
      <c r="C21" s="12" t="str">
        <f>IF(Surgery!J21="*  ..  ##34###34# ##334###334#","//--- END",Surgery!J21)</f>
        <v>* siteOfSurgeryOnMetastasis.softTissue 0..1 boolean ##34#Site of surgery on metastasis_soft tissue##34# ##334#Describes if site of surgery on metastasis  is soft tissue##334#</v>
      </c>
    </row>
    <row r="22" spans="3:3" ht="29.5">
      <c r="C22" s="12" t="str">
        <f>IF(Surgery!J22="*  ..  ##34###34# ##334###334#","//--- END",Surgery!J22)</f>
        <v>* siteOfSurgeryOnMetastasis.distantLymphNodes 0..1 boolean ##34#Site of surgery on metastasis_distant lymph nodes##34# ##334#Describes if site of surgery on metastasis  is dystan lymph node##334#</v>
      </c>
    </row>
    <row r="23" spans="3:3" ht="29.5">
      <c r="C23" s="12" t="str">
        <f>IF(Surgery!J23="*  ..  ##34###34# ##334###334#","//--- END",Surgery!J23)</f>
        <v>* siteOfSurgeryOnMetastasis.lung 0..1 boolean ##34#Site of surgery on metastasis_lung##34# ##334#Describes if site of surgery on metastasis  is lung##334#</v>
      </c>
    </row>
    <row r="24" spans="3:3" ht="29.5">
      <c r="C24" s="12" t="str">
        <f>IF(Surgery!J24="*  ..  ##34###34# ##334###334#","//--- END",Surgery!J24)</f>
        <v>* siteOfSurgeryOnMetastasis.bone 0..1 boolean ##34#Site of surgery on metastasis_bone##34# ##334#Describes if site of surgery on metastasis  is bone##334#</v>
      </c>
    </row>
    <row r="25" spans="3:3" ht="29.5">
      <c r="C25" s="12" t="str">
        <f>IF(Surgery!J25="*  ..  ##34###34# ##334###334#","//--- END",Surgery!J25)</f>
        <v>* siteOfSurgeryOnMetastasis.liver 0..1 boolean ##34#Site of surgery on metastasis_liver##34# ##334#Describes if site of surgery on metastasis  is liver##334#</v>
      </c>
    </row>
    <row r="26" spans="3:3" ht="29.5">
      <c r="C26" s="12" t="str">
        <f>IF(Surgery!J26="*  ..  ##34###34# ##334###334#","//--- END",Surgery!J26)</f>
        <v>* siteOfSurgeryOnMetastasis.pleura 0..1 boolean ##34#Site of surgery on metastasis_pleura##34# ##334#Describes if site of surgery on metastasis  is pleura##334#</v>
      </c>
    </row>
    <row r="27" spans="3:3" ht="29.5">
      <c r="C27" s="12" t="str">
        <f>IF(Surgery!J27="*  ..  ##34###34# ##334###334#","//--- END",Surgery!J27)</f>
        <v>* siteOfSurgeryOnMetastasis.peritoneum 0..1 boolean ##34#Site of surgery on metastasis_peritoneum##34# ##334#Describes if site of surgery on metastasis  is peritoneum##334#</v>
      </c>
    </row>
    <row r="28" spans="3:3" ht="29.5">
      <c r="C28" s="12" t="str">
        <f>IF(Surgery!J28="*  ..  ##34###34# ##334###334#","//--- END",Surgery!J28)</f>
        <v>* siteOfSurgeryOnMetastasis.brain 0..1 boolean ##34#Site of surgery on metastasis_brain##34# ##334#Describes if site of surgery on metastasis  is brain##334#</v>
      </c>
    </row>
    <row r="29" spans="3:3" ht="29.5">
      <c r="C29" s="12" t="str">
        <f>IF(Surgery!J29="*  ..  ##34###34# ##334###334#","//--- END",Surgery!J29)</f>
        <v>* siteOfSurgeryOnMetastasis.otherViscera 0..1 boolean ##34#Site of surgery on metastasis_other viscera##34# ##334#Describes if site of surgery on metastasis  is other viscera##334#</v>
      </c>
    </row>
    <row r="30" spans="3:3" ht="29.5">
      <c r="C30" s="12" t="str">
        <f>IF(Surgery!J30="*  ..  ##34###34# ##334###334#","//--- END",Surgery!J30)</f>
        <v>* siteOfSurgeryOnMetastasis.unknown 0..1 boolean ##34#Site of surgery on metastasis_unknown##34# ##334#Describes if site of surgery on metastasis  is unknown##334#</v>
      </c>
    </row>
    <row r="31" spans="3:3" ht="29.5">
      <c r="C31" s="12" t="str">
        <f>IF(Surgery!J31="*  ..  ##34###34# ##334###334#","//--- END",Surgery!J31)</f>
        <v>* surgicalComplicationsClavienDindoClassification 1..1 CodeableConcept ##34#Surgical complications (Clavien-Dindo Classification)##34# ##334#Describes presence and grade of complications after a surgical procedure,##334#</v>
      </c>
    </row>
    <row r="32" spans="3:3">
      <c r="C32" s="12" t="str">
        <f>IF(Surgery!J32="*  ..  ##34###34# ##334###334#","//--- END",Surgery!J32)</f>
        <v>//--- END</v>
      </c>
    </row>
    <row r="33" spans="3:3">
      <c r="C33" s="12" t="str">
        <f>IF(Surgery!J33="*  ..  ##34###34# ##334###334#","//--- END",Surgery!J33)</f>
        <v>//--- END</v>
      </c>
    </row>
    <row r="34" spans="3:3">
      <c r="C34" s="12" t="str">
        <f>IF(Surgery!J34="*  ..  ##34###34# ##334###334#","//--- END",Surgery!J34)</f>
        <v>//--- END</v>
      </c>
    </row>
    <row r="35" spans="3:3">
      <c r="C35" s="12" t="str">
        <f>IF(Surgery!J35="*  ..  ##34###34# ##334###334#","//--- END",Surgery!J35)</f>
        <v>//--- END</v>
      </c>
    </row>
    <row r="36" spans="3:3">
      <c r="C36" s="12" t="str">
        <f>IF(Surgery!J36="*  ..  ##34###34# ##334###334#","//--- END",Surgery!J36)</f>
        <v>//--- END</v>
      </c>
    </row>
    <row r="38" spans="3:3">
      <c r="C38" s="23" t="s">
        <v>1613</v>
      </c>
    </row>
    <row r="39" spans="3:3">
      <c r="C39" s="24" t="s">
        <v>1651</v>
      </c>
    </row>
    <row r="40" spans="3:3">
      <c r="C40" s="24" t="s">
        <v>1613</v>
      </c>
    </row>
    <row r="41" spans="3:3">
      <c r="C41" s="12" t="str">
        <f>IF(Surgery!L8="*  ..  ##34###34# ##334###334#","//--- END",Surgery!L8)</f>
        <v/>
      </c>
    </row>
    <row r="42" spans="3:3" ht="29.5">
      <c r="C42" s="12" t="str">
        <f>IF(Surgery!L9="*  ..  ##34###34# ##334###334#","//--- END",Surgery!L9)</f>
        <v>* surgery ^comment = ##334#Yes done at the hospital; Yes done at a different hospital; Not Done; Unknown.
Custom##334#</v>
      </c>
    </row>
    <row r="43" spans="3:3">
      <c r="C43" s="12" t="str">
        <f>IF(Surgery!L10="*  ..  ##34###34# ##334###334#","//--- END",Surgery!L10)</f>
        <v/>
      </c>
    </row>
    <row r="44" spans="3:3" ht="59">
      <c r="C44" s="12" t="str">
        <f>IF(Surgery!L11="*  ..  ##34###34# ##334###334#","//--- END",Surgery!L11)</f>
        <v>* surgeryIntention ^comment = ##334#Palliative; Curative; Unknown
Palliative - 4179711
Curative - 
Unknown - 4129922##334#</v>
      </c>
    </row>
    <row r="45" spans="3:3" ht="132.75">
      <c r="C45" s="12" t="str">
        <f>IF(Surgery!L12="*  ..  ##34###34# ##334###334#","//--- END",Surgery!L12)</f>
        <v>* typeOfSurgicalApproachOnTumour ^comment = ##334#endoscopic….
External/Open - 4236080
Transnasal - 4050374
Transorbital - 4044897
Transoral - 4038679
Craniofacial - 4333339
Combined - 
Unknown - 4129922##334#</v>
      </c>
    </row>
    <row r="46" spans="3:3" ht="88.5">
      <c r="C46" s="12" t="str">
        <f>IF(Surgery!L13="*  ..  ##34###34# ##334###334#","//--- END",Surgery!L13)</f>
        <v>* marginsAfterSurgery ^comment = ##334#R0 (microscopic negative); R1 (microscopic positive); R2 (macroscopic positive); Unknown
R0 (microscopic negative) - 4121182
R1 (microscopic positive) -  4175704
R2 (macroscopic positive) - 4081832
Unknown - 4129922##334#</v>
      </c>
    </row>
    <row r="47" spans="3:3" ht="59">
      <c r="C47" s="12" t="str">
        <f>IF(Surgery!L14="*  ..  ##34###34# ##334###334#","//--- END",Surgery!L14)</f>
        <v>* reconstruction ^comment = ##334#Yes, no, unknown
Yes - 4188539
No -  4188540
Unknown - 4129922##334#</v>
      </c>
    </row>
    <row r="48" spans="3:3" ht="59">
      <c r="C48" s="12" t="str">
        <f>IF(Surgery!L15="*  ..  ##34###34# ##334###334#","//--- END",Surgery!L15)</f>
        <v>* neckSurgery ^comment = ##334#Yes; No; Unknown.
Yes - 4188539
No -  4188540
Unknown - 4129922##334#</v>
      </c>
    </row>
    <row r="49" spans="3:3">
      <c r="C49" s="12" t="str">
        <f>IF(Surgery!L16="*  ..  ##34###34# ##334###334#","//--- END",Surgery!L16)</f>
        <v/>
      </c>
    </row>
    <row r="50" spans="3:3">
      <c r="C50" s="12" t="str">
        <f>IF(Surgery!L17="*  ..  ##34###34# ##334###334#","//--- END",Surgery!L17)</f>
        <v/>
      </c>
    </row>
    <row r="51" spans="3:3" ht="59">
      <c r="C51" s="12" t="str">
        <f>IF(Surgery!L18="*  ..  ##34###34# ##334###334#","//--- END",Surgery!L18)</f>
        <v>* surgeryOnM ^comment = ##334#Yes; No; Unknown.
Yes - 4188539
No -  4188540
Unknown - 4129922##334#</v>
      </c>
    </row>
    <row r="52" spans="3:3">
      <c r="C52" s="12" t="str">
        <f>IF(Surgery!L19="*  ..  ##34###34# ##334###334#","//--- END",Surgery!L19)</f>
        <v/>
      </c>
    </row>
    <row r="53" spans="3:3">
      <c r="C53" s="12" t="str">
        <f>IF(Surgery!L20="*  ..  ##34###34# ##334###334#","//--- END",Surgery!L20)</f>
        <v/>
      </c>
    </row>
    <row r="54" spans="3:3">
      <c r="C54" s="12" t="str">
        <f>IF(Surgery!L21="*  ..  ##34###34# ##334###334#","//--- END",Surgery!L21)</f>
        <v/>
      </c>
    </row>
    <row r="55" spans="3:3">
      <c r="C55" s="12" t="str">
        <f>IF(Surgery!L22="*  ..  ##34###34# ##334###334#","//--- END",Surgery!L22)</f>
        <v/>
      </c>
    </row>
    <row r="56" spans="3:3">
      <c r="C56" s="12" t="str">
        <f>IF(Surgery!L23="*  ..  ##34###34# ##334###334#","//--- END",Surgery!L23)</f>
        <v/>
      </c>
    </row>
    <row r="57" spans="3:3">
      <c r="C57" s="12" t="str">
        <f>IF(Surgery!L24="*  ..  ##34###34# ##334###334#","//--- END",Surgery!L24)</f>
        <v/>
      </c>
    </row>
    <row r="58" spans="3:3">
      <c r="C58" s="12" t="str">
        <f>IF(Surgery!L25="*  ..  ##34###34# ##334###334#","//--- END",Surgery!L25)</f>
        <v/>
      </c>
    </row>
    <row r="59" spans="3:3">
      <c r="C59" s="12" t="str">
        <f>IF(Surgery!L26="*  ..  ##34###34# ##334###334#","//--- END",Surgery!L26)</f>
        <v/>
      </c>
    </row>
    <row r="60" spans="3:3">
      <c r="C60" s="12" t="str">
        <f>IF(Surgery!L27="*  ..  ##34###34# ##334###334#","//--- END",Surgery!L27)</f>
        <v/>
      </c>
    </row>
    <row r="61" spans="3:3">
      <c r="C61" s="12" t="str">
        <f>IF(Surgery!L28="*  ..  ##34###34# ##334###334#","//--- END",Surgery!L28)</f>
        <v/>
      </c>
    </row>
    <row r="62" spans="3:3">
      <c r="C62" s="12" t="str">
        <f>IF(Surgery!L29="*  ..  ##34###34# ##334###334#","//--- END",Surgery!L29)</f>
        <v/>
      </c>
    </row>
    <row r="63" spans="3:3">
      <c r="C63" s="12" t="str">
        <f>IF(Surgery!L30="*  ..  ##34###34# ##334###334#","//--- END",Surgery!L30)</f>
        <v/>
      </c>
    </row>
    <row r="64" spans="3:3" ht="118">
      <c r="C64" s="12" t="str">
        <f>IF(Surgery!L31="*  ..  ##34###34# ##334###334#","//--- END",Surgery!L31)</f>
        <v>* surgicalComplicationsClavienDindoClassification ^comment = ##334#No complication; Grade I-V; unknown.
No complication -  4188540
Grade I - 40459832
Grade II - 40459833
Grade III - 40459834
Grade IV - 40459835
Grade V - 40459836 
Unknown - 4129922##334#</v>
      </c>
    </row>
    <row r="65" spans="3:3">
      <c r="C65" s="12" t="str">
        <f>IF(Surgery!L32="*  ..  ##34###34# ##334###334#","//--- END",Surgery!L32)</f>
        <v>//--- END</v>
      </c>
    </row>
    <row r="66" spans="3:3">
      <c r="C66" s="12" t="str">
        <f>IF(Surgery!L33="*  ..  ##34###34# ##334###334#","//--- END",Surgery!L33)</f>
        <v>//--- END</v>
      </c>
    </row>
    <row r="67" spans="3:3">
      <c r="C67" s="12" t="str">
        <f>IF(Surgery!L34="*  ..  ##34###34# ##334###334#","//--- END",Surgery!L34)</f>
        <v>//--- END</v>
      </c>
    </row>
    <row r="211" spans="3:3">
      <c r="C211" s="2"/>
    </row>
    <row r="212" spans="3:3">
      <c r="C212"/>
    </row>
    <row r="214" spans="3:3">
      <c r="C214" s="23"/>
    </row>
    <row r="215" spans="3:3">
      <c r="C215" s="24"/>
    </row>
    <row r="216" spans="3:3">
      <c r="C216" s="24"/>
    </row>
    <row r="223" spans="3:3">
      <c r="C223"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223</xdr:row>
                    <xdr:rowOff>171450</xdr:rowOff>
                  </from>
                  <to>
                    <xdr:col>2</xdr:col>
                    <xdr:colOff>1117600</xdr:colOff>
                    <xdr:row>225</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workbookViewId="0">
      <selection activeCell="C6" sqref="C6"/>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2178</v>
      </c>
      <c r="D3" s="62" t="s">
        <v>1769</v>
      </c>
      <c r="E3" s="117" t="str">
        <f>$C$1&amp;B14</f>
        <v>http://hl7.eu/fhir/ig/idea4rc/StructureDefinition/SurgeryI4rc</v>
      </c>
    </row>
    <row r="4" spans="1:19">
      <c r="B4" s="62" t="s">
        <v>16</v>
      </c>
      <c r="C4" s="28" t="s">
        <v>2178</v>
      </c>
      <c r="D4" s="62" t="s">
        <v>1770</v>
      </c>
      <c r="E4" s="184" t="s">
        <v>2181</v>
      </c>
      <c r="F4" s="185"/>
      <c r="G4" s="185"/>
    </row>
    <row r="5" spans="1:19">
      <c r="B5" s="62" t="s">
        <v>10</v>
      </c>
      <c r="C5" s="7" t="s">
        <v>2179</v>
      </c>
      <c r="D5" s="62"/>
      <c r="E5" s="7"/>
    </row>
    <row r="6" spans="1:19">
      <c r="B6" s="62" t="s">
        <v>18</v>
      </c>
      <c r="C6" s="56"/>
      <c r="D6" s="62" t="s">
        <v>1771</v>
      </c>
      <c r="E6" s="184" t="str">
        <f>E3</f>
        <v>http://hl7.eu/fhir/ig/idea4rc/StructureDefinition/SurgeryI4rc</v>
      </c>
      <c r="F6" s="185"/>
      <c r="G6" s="185"/>
    </row>
    <row r="7" spans="1:19">
      <c r="B7" s="62" t="s">
        <v>15</v>
      </c>
      <c r="C7" s="118"/>
      <c r="D7" s="62" t="s">
        <v>1772</v>
      </c>
      <c r="E7" s="184" t="str">
        <f>E4</f>
        <v>http://hl7.eu/fhir/ig/idea4rc/StructureDefinition/Procedure-surgery-eu-i4rc</v>
      </c>
      <c r="F7" s="185"/>
      <c r="G7" s="185"/>
    </row>
    <row r="8" spans="1:19" ht="45" thickBot="1">
      <c r="B8" s="62" t="s">
        <v>1773</v>
      </c>
      <c r="C8" s="7" t="s">
        <v>2179</v>
      </c>
      <c r="D8" s="62"/>
      <c r="E8" s="7"/>
      <c r="I8" s="12" t="s">
        <v>1402</v>
      </c>
      <c r="J8" s="12" t="s">
        <v>1403</v>
      </c>
      <c r="K8" s="12" t="s">
        <v>1404</v>
      </c>
      <c r="L8" s="12" t="s">
        <v>1405</v>
      </c>
      <c r="M8" s="11" t="s">
        <v>1406</v>
      </c>
      <c r="P8" s="49" t="s">
        <v>1441</v>
      </c>
      <c r="Q8" s="49">
        <v>6</v>
      </c>
    </row>
    <row r="9" spans="1:19" ht="15.5" thickBot="1">
      <c r="B9" s="62" t="s">
        <v>1774</v>
      </c>
      <c r="C9" s="12" t="s">
        <v>2180</v>
      </c>
      <c r="D9" s="143"/>
      <c r="E9" s="186"/>
      <c r="F9" s="187"/>
      <c r="G9" s="18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Surgery!B4</f>
        <v>SurgeryI4rc</v>
      </c>
      <c r="C14" s="11"/>
      <c r="D14" s="4" t="s">
        <v>2182</v>
      </c>
      <c r="E14" s="6"/>
      <c r="F14" s="64"/>
      <c r="G14" s="64"/>
      <c r="I14" s="12"/>
      <c r="J14" s="11"/>
      <c r="K14" s="11"/>
      <c r="L14" s="11"/>
      <c r="M14" s="63"/>
      <c r="N14" s="66"/>
    </row>
    <row r="15" spans="1:19" ht="44.25">
      <c r="A15" s="59"/>
      <c r="B15" s="11" t="str">
        <f>Surgery!B8</f>
        <v>episodeEventReference</v>
      </c>
      <c r="C15" s="11" t="str">
        <f>Surgery!C8</f>
        <v>Episode Event reference</v>
      </c>
      <c r="D15" s="12" t="s">
        <v>2183</v>
      </c>
      <c r="E15" s="12"/>
      <c r="F15" s="64" t="s">
        <v>1407</v>
      </c>
      <c r="G15" s="123"/>
      <c r="I15" s="12" t="str">
        <f>"* group[=].element[+].code = #"&amp;$B$14&amp;"."&amp;B15</f>
        <v>* group[=].element[+].code = #SurgeryI4rc.episodeEventReference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#SurgeryI4rc.episodeEventReference</v>
      </c>
    </row>
    <row r="16" spans="1:19" ht="103.25">
      <c r="A16" s="59"/>
      <c r="B16" s="11" t="str">
        <f>Surgery!B9</f>
        <v>surgery</v>
      </c>
      <c r="C16" s="11" t="str">
        <f>Surgery!C9</f>
        <v>Surgery</v>
      </c>
      <c r="D16" s="12" t="s">
        <v>2197</v>
      </c>
      <c r="E16" s="12"/>
      <c r="F16" s="64" t="s">
        <v>1407</v>
      </c>
      <c r="G16" s="122" t="s">
        <v>2185</v>
      </c>
      <c r="I16" s="12" t="str">
        <f t="shared" ref="I16:I38" si="7">"* group[=].element[+].code = #"&amp;$B$14&amp;"."&amp;B16</f>
        <v>* group[=].element[+].code = #SurgeryI4rc.surgery</v>
      </c>
      <c r="J16" s="12" t="str">
        <f t="shared" ref="J16:J34" si="8">"* group[=].element[=].display = ##34#"&amp;C16&amp;"##34#"</f>
        <v>* group[=].element[=].display = ##34#Surgery##34#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c r="A17" s="59"/>
      <c r="B17" s="11" t="str">
        <f>Surgery!B10</f>
        <v>dateOfSurgery</v>
      </c>
      <c r="C17" s="11" t="str">
        <f>Surgery!C10</f>
        <v>Date of surgery</v>
      </c>
      <c r="D17" s="103" t="s">
        <v>2184</v>
      </c>
      <c r="E17" s="12"/>
      <c r="F17" s="64" t="s">
        <v>1430</v>
      </c>
      <c r="G17" s="123"/>
      <c r="H17" s="58"/>
      <c r="I17" s="12" t="str">
        <f t="shared" si="7"/>
        <v>* group[=].element[+].code = #SurgeryI4rc.dateOfSurgery</v>
      </c>
      <c r="J17" s="12" t="str">
        <f t="shared" si="8"/>
        <v>* group[=].element[=].display = ##34#Date of surgery##34#</v>
      </c>
      <c r="K17" s="12" t="str">
        <f t="shared" si="9"/>
        <v>* group[=].element[=].target.code = #Procedure. performedDateTime</v>
      </c>
      <c r="L17" s="12" t="str">
        <f t="shared" si="10"/>
        <v>* group[=].element[=].target.display = ##34###34#</v>
      </c>
      <c r="M17" s="12" t="str">
        <f t="shared" si="11"/>
        <v>* group[=].element[=].target.equivalence = #equal</v>
      </c>
      <c r="N17" s="12" t="str">
        <f t="shared" si="12"/>
        <v/>
      </c>
      <c r="P17" s="11">
        <v>3</v>
      </c>
      <c r="Q17" s="11">
        <f t="shared" si="5"/>
        <v>0</v>
      </c>
      <c r="R17" s="11">
        <f t="shared" si="6"/>
        <v>3</v>
      </c>
      <c r="S17" s="12" t="str" cm="1">
        <f t="array" ref="S17">INDEX('Surgery-ConceptMap-1'!$I$15:$N$124,Q17+1,R17)</f>
        <v>* group[=].element[=].target.code = #Procedure.reasonReference</v>
      </c>
    </row>
    <row r="18" spans="1:19" ht="103.25">
      <c r="A18" s="59"/>
      <c r="B18" s="11" t="str">
        <f>Surgery!B11</f>
        <v>surgeryIntention</v>
      </c>
      <c r="C18" s="11" t="str">
        <f>Surgery!C11</f>
        <v>Surgery intention</v>
      </c>
      <c r="D18" s="12" t="s">
        <v>1442</v>
      </c>
      <c r="E18" s="12"/>
      <c r="F18" s="64" t="s">
        <v>1407</v>
      </c>
      <c r="G18" s="122" t="s">
        <v>2186</v>
      </c>
      <c r="H18" s="58"/>
      <c r="I18" s="12" t="str">
        <f t="shared" si="7"/>
        <v>* group[=].element[+].code = #SurgeryI4rc.surgeryIntention</v>
      </c>
      <c r="J18" s="12" t="str">
        <f t="shared" si="8"/>
        <v>* group[=].element[=].display = ##34#Surgery intention##34#</v>
      </c>
      <c r="K18" s="12" t="str">
        <f t="shared" si="9"/>
        <v>* group[=].element[=].target.code = #Procedure.code</v>
      </c>
      <c r="L18" s="12" t="str">
        <f t="shared" si="10"/>
        <v>* group[=].element[=].target.display = ##34###34#</v>
      </c>
      <c r="M18" s="12" t="str">
        <f t="shared" si="11"/>
        <v>* group[=].element[=].target.equivalence = #relatedto</v>
      </c>
      <c r="N18" s="12" t="str">
        <f t="shared" si="12"/>
        <v>* group[=].element[=].target.comment = ##34#to be analized: add a slice to code or consider to define an extension for this (or cathegories (R5 extension)) ?##34#</v>
      </c>
      <c r="P18" s="11">
        <v>4</v>
      </c>
      <c r="Q18" s="11">
        <f t="shared" si="5"/>
        <v>0</v>
      </c>
      <c r="R18" s="11">
        <f t="shared" si="6"/>
        <v>4</v>
      </c>
      <c r="S18" s="12" t="str" cm="1">
        <f t="array" ref="S18">INDEX('Surgery-ConceptMap-1'!$I$15:$N$124,Q18+1,R18)</f>
        <v>* group[=].element[=].target.display = ##34###34#</v>
      </c>
    </row>
    <row r="19" spans="1:19" ht="88.5">
      <c r="A19" s="59"/>
      <c r="B19" s="11" t="str">
        <f>Surgery!B12</f>
        <v>typeOfSurgicalApproachOnTumour</v>
      </c>
      <c r="C19" s="11" t="str">
        <f>Surgery!C12</f>
        <v>Type of surgical approach on Tumour</v>
      </c>
      <c r="D19" s="12" t="s">
        <v>2187</v>
      </c>
      <c r="E19" s="12"/>
      <c r="F19" s="64" t="s">
        <v>1407</v>
      </c>
      <c r="G19" s="122" t="s">
        <v>2188</v>
      </c>
      <c r="H19" s="58"/>
      <c r="I19" s="12" t="str">
        <f t="shared" si="7"/>
        <v>* group[=].element[+].code = #SurgeryI4rc.typeOfSurgicalApproachOnTumour</v>
      </c>
      <c r="J19" s="12" t="str">
        <f t="shared" si="8"/>
        <v>* group[=].element[=].display = ##34#Type of surgical approach on Tumour##34#</v>
      </c>
      <c r="K19" s="12" t="str">
        <f t="shared" si="9"/>
        <v>* group[=].element[=].target.code = #Procedure.extension:procedure-approachBodyStructure</v>
      </c>
      <c r="L19" s="12" t="str">
        <f t="shared" si="10"/>
        <v>* group[=].element[=].target.display = ##34###34#</v>
      </c>
      <c r="M19" s="12" t="str">
        <f t="shared" si="11"/>
        <v>* group[=].element[=].target.equivalence = #relatedto</v>
      </c>
      <c r="N19" s="12" t="str">
        <f t="shared" si="12"/>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c r="A20" s="59"/>
      <c r="B20" s="11" t="str">
        <f>Surgery!B13</f>
        <v>marginsAfterSurgery</v>
      </c>
      <c r="C20" s="11" t="str">
        <f>Surgery!C13</f>
        <v>Margins after surgery</v>
      </c>
      <c r="D20" s="12" t="s">
        <v>2189</v>
      </c>
      <c r="E20" s="12"/>
      <c r="F20" s="64" t="s">
        <v>1407</v>
      </c>
      <c r="G20" s="123"/>
      <c r="H20" s="58"/>
      <c r="I20" s="12" t="str">
        <f t="shared" si="7"/>
        <v>* group[=].element[+].code = #SurgeryI4rc.marginsAfterSurgery</v>
      </c>
      <c r="J20" s="12" t="str">
        <f t="shared" si="8"/>
        <v>* group[=].element[=].display = ##34#Margins after surgery##34#</v>
      </c>
      <c r="K20" s="12" t="str">
        <f t="shared" si="9"/>
        <v>* group[=].element[=].target.code = #Procedure.outcome</v>
      </c>
      <c r="L20" s="12" t="str">
        <f t="shared" si="10"/>
        <v>* group[=].element[=].target.display = ##34###34#</v>
      </c>
      <c r="M20" s="12" t="str">
        <f t="shared" si="11"/>
        <v>* group[=].element[=].target.equivalence = #relatedto</v>
      </c>
      <c r="N20" s="12" t="str">
        <f t="shared" si="12"/>
        <v/>
      </c>
      <c r="P20" s="11">
        <v>6</v>
      </c>
      <c r="Q20" s="11">
        <f t="shared" si="5"/>
        <v>0</v>
      </c>
      <c r="R20" s="11">
        <f t="shared" si="6"/>
        <v>6</v>
      </c>
      <c r="S20" s="12" t="str" cm="1">
        <f t="array" ref="S20">INDEX('Surgery-ConceptMap-1'!$I$15:$N$124,Q20+1,R20)</f>
        <v/>
      </c>
    </row>
    <row r="21" spans="1:19" ht="59">
      <c r="A21" s="59"/>
      <c r="B21" s="11" t="str">
        <f>Surgery!B14</f>
        <v>reconstruction</v>
      </c>
      <c r="C21" s="11" t="str">
        <f>Surgery!C14</f>
        <v>Reconstruction</v>
      </c>
      <c r="D21" s="12"/>
      <c r="E21" s="12"/>
      <c r="F21" s="64" t="s">
        <v>1407</v>
      </c>
      <c r="G21" s="122" t="s">
        <v>2190</v>
      </c>
      <c r="H21" s="58"/>
      <c r="I21" s="12" t="str">
        <f t="shared" si="7"/>
        <v>* group[=].element[+].code = #SurgeryI4rc.reconstruction</v>
      </c>
      <c r="J21" s="12" t="str">
        <f t="shared" si="8"/>
        <v>* group[=].element[=].display = ##34#Reconstruction##34#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##34#TO BE ANALIZED##34#</v>
      </c>
      <c r="P21" s="11">
        <v>7</v>
      </c>
      <c r="Q21" s="11">
        <f t="shared" si="5"/>
        <v>1</v>
      </c>
      <c r="R21" s="11">
        <f t="shared" si="6"/>
        <v>1</v>
      </c>
      <c r="S21" s="12" t="str" cm="1">
        <f t="array" ref="S21">INDEX('Surgery-ConceptMap-1'!$I$15:$N$124,Q21+1,R21)</f>
        <v>* group[=].element[+].code = #SurgeryI4rc.surgery</v>
      </c>
    </row>
    <row r="22" spans="1:19" ht="59">
      <c r="A22" s="59"/>
      <c r="B22" s="11" t="str">
        <f>Surgery!B15</f>
        <v>neckSurgery</v>
      </c>
      <c r="C22" s="11" t="str">
        <f>Surgery!C15</f>
        <v>Neck surgery</v>
      </c>
      <c r="D22" s="12"/>
      <c r="E22" s="12"/>
      <c r="F22" s="64" t="s">
        <v>1407</v>
      </c>
      <c r="G22" s="123" t="s">
        <v>2191</v>
      </c>
      <c r="H22" s="58"/>
      <c r="I22" s="12" t="str">
        <f t="shared" si="7"/>
        <v>* group[=].element[+].code = #SurgeryI4rc.neckSurgery</v>
      </c>
      <c r="J22" s="12" t="str">
        <f t="shared" si="8"/>
        <v>* group[=].element[=].display = ##34#Neck surgery##34#</v>
      </c>
      <c r="K22" s="12" t="str">
        <f t="shared" si="9"/>
        <v>* group[=].element[=].target.code = #Procedure.</v>
      </c>
      <c r="L22" s="12" t="str">
        <f t="shared" si="10"/>
        <v>* group[=].element[=].target.display = ##34###34#</v>
      </c>
      <c r="M22" s="12" t="str">
        <f t="shared" si="11"/>
        <v>* group[=].element[=].target.equivalence = #relatedto</v>
      </c>
      <c r="N22" s="12" t="str">
        <f t="shared" si="12"/>
        <v>* group[=].element[=].target.comment = ##34#a surgical proceudre exists with bodySite = neck##34#</v>
      </c>
      <c r="P22" s="11">
        <v>8</v>
      </c>
      <c r="Q22" s="11">
        <f t="shared" si="5"/>
        <v>1</v>
      </c>
      <c r="R22" s="11">
        <f t="shared" si="6"/>
        <v>2</v>
      </c>
      <c r="S22" s="12" t="str" cm="1">
        <f t="array" ref="S22">INDEX('Surgery-ConceptMap-1'!$I$15:$N$124,Q22+1,R22)</f>
        <v>* group[=].element[=].display = ##34#Surgery##34#</v>
      </c>
    </row>
    <row r="23" spans="1:19" ht="59">
      <c r="A23" s="59"/>
      <c r="B23" s="11" t="str">
        <f>Surgery!B16</f>
        <v>dateOfNeckSurgey</v>
      </c>
      <c r="C23" s="11" t="str">
        <f>Surgery!C16</f>
        <v>Date of Neck surgey</v>
      </c>
      <c r="D23" s="12" t="s">
        <v>2184</v>
      </c>
      <c r="E23" s="11"/>
      <c r="F23" s="64" t="s">
        <v>1430</v>
      </c>
      <c r="G23" s="122" t="s">
        <v>2192</v>
      </c>
      <c r="H23" s="58"/>
      <c r="I23" s="12" t="str">
        <f t="shared" si="7"/>
        <v>* group[=].element[+].code = #SurgeryI4rc.dateOfNeckSurgey</v>
      </c>
      <c r="J23" s="12" t="str">
        <f t="shared" si="8"/>
        <v>* group[=].element[=].display = ##34#Date of Neck surgey##34#</v>
      </c>
      <c r="K23" s="12" t="str">
        <f t="shared" si="9"/>
        <v>* group[=].element[=].target.code = #Procedure. performedDateTime</v>
      </c>
      <c r="L23" s="12" t="str">
        <f t="shared" si="10"/>
        <v>* group[=].element[=].target.display = ##34###34#</v>
      </c>
      <c r="M23" s="12" t="str">
        <f t="shared" si="11"/>
        <v>* group[=].element[=].target.equivalence = #equal</v>
      </c>
      <c r="N23" s="12" t="str">
        <f t="shared" si="12"/>
        <v>* group[=].element[=].target.comment = ##34#how this differs fomr the dateOfSurgery ?##34#</v>
      </c>
      <c r="P23" s="11">
        <v>9</v>
      </c>
      <c r="Q23" s="11">
        <f t="shared" si="5"/>
        <v>1</v>
      </c>
      <c r="R23" s="11">
        <f t="shared" si="6"/>
        <v>3</v>
      </c>
      <c r="S23" s="12" t="str" cm="1">
        <f t="array" ref="S23">INDEX('Surgery-ConceptMap-1'!$I$15:$N$124,Q23+1,R23)</f>
        <v>* group[=].element[=].target.code = #Procedure.extension:ProcedureCategoryR5</v>
      </c>
    </row>
    <row r="24" spans="1:19" ht="29.5" customHeight="1">
      <c r="A24" s="59"/>
      <c r="B24" s="11" t="str">
        <f>Surgery!B17</f>
        <v>lateralityOfTheDissection</v>
      </c>
      <c r="C24" s="11" t="str">
        <f>Surgery!C17</f>
        <v>Laterality of the dissection</v>
      </c>
      <c r="D24" s="12" t="s">
        <v>2193</v>
      </c>
      <c r="E24" s="11"/>
      <c r="F24" s="64" t="s">
        <v>1407</v>
      </c>
      <c r="G24" s="123"/>
      <c r="H24" s="58"/>
      <c r="I24" s="12" t="str">
        <f t="shared" si="7"/>
        <v>* group[=].element[+].code = #SurgeryI4rc.lateralityOfTheDissection</v>
      </c>
      <c r="J24" s="12" t="str">
        <f t="shared" si="8"/>
        <v>* group[=].element[=].display = ##34#Laterality of the dissection##34#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c>
      <c r="P24" s="11">
        <v>10</v>
      </c>
      <c r="Q24" s="11">
        <f t="shared" si="5"/>
        <v>1</v>
      </c>
      <c r="R24" s="11">
        <f t="shared" si="6"/>
        <v>4</v>
      </c>
      <c r="S24" s="12" t="str" cm="1">
        <f t="array" ref="S24">INDEX('Surgery-ConceptMap-1'!$I$15:$N$124,Q24+1,R24)</f>
        <v>* group[=].element[=].target.display = ##34###34#</v>
      </c>
    </row>
    <row r="25" spans="1:19" ht="132.75">
      <c r="A25" s="59"/>
      <c r="B25" s="11" t="str">
        <f>Surgery!B18</f>
        <v>surgeryOnM</v>
      </c>
      <c r="C25" s="11" t="str">
        <f>Surgery!C18</f>
        <v>Surgery on M</v>
      </c>
      <c r="D25" s="12"/>
      <c r="E25" s="11"/>
      <c r="F25" s="64" t="s">
        <v>1407</v>
      </c>
      <c r="G25" s="123" t="s">
        <v>2194</v>
      </c>
      <c r="H25" s="58"/>
      <c r="I25" s="12" t="str">
        <f t="shared" si="7"/>
        <v>* group[=].element[+].code = #SurgeryI4rc.surgeryOnM</v>
      </c>
      <c r="J25" s="12" t="str">
        <f t="shared" si="8"/>
        <v>* group[=].element[=].display = ##34#Surgery on M##34#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INDEX('Surgery-ConceptMap-1'!$I$15:$N$124,Q25+1,R25)</f>
        <v>* group[=].element[=].target.equivalence = #relatedto</v>
      </c>
    </row>
    <row r="26" spans="1:19" ht="59">
      <c r="A26" s="59"/>
      <c r="B26" s="11" t="str">
        <f>Surgery!B19</f>
        <v>dateOfSurgeryOnM</v>
      </c>
      <c r="C26" s="11" t="str">
        <f>Surgery!C19</f>
        <v>Date of surgery on M</v>
      </c>
      <c r="D26" s="12"/>
      <c r="E26" s="12"/>
      <c r="F26" s="64" t="s">
        <v>1407</v>
      </c>
      <c r="G26" s="122" t="s">
        <v>2192</v>
      </c>
      <c r="H26" s="58"/>
      <c r="I26" s="12" t="str">
        <f t="shared" si="7"/>
        <v>* group[=].element[+].code = #SurgeryI4rc.dateOfSurgeryOnM</v>
      </c>
      <c r="J26" s="12" t="str">
        <f t="shared" si="8"/>
        <v>* group[=].element[=].display = ##34#Date of surgery on M##34#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##34#how this differs fomr the dateOfSurgery ?##34#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44.25">
      <c r="A27" s="59"/>
      <c r="B27" s="11" t="str">
        <f>Surgery!B20</f>
        <v>siteOfSurgeryOnMetastasis</v>
      </c>
      <c r="C27" s="11" t="str">
        <f>Surgery!C20</f>
        <v>Site of surgery on metastasis</v>
      </c>
      <c r="D27" s="12" t="s">
        <v>1977</v>
      </c>
      <c r="E27" s="12"/>
      <c r="F27" s="64" t="s">
        <v>1429</v>
      </c>
      <c r="G27" s="123"/>
      <c r="H27" s="58"/>
      <c r="I27" s="12" t="str">
        <f t="shared" si="7"/>
        <v>* group[=].element[+].code = #SurgeryI4rc.siteOfSurgeryOnMetastasis</v>
      </c>
      <c r="J27" s="12" t="str">
        <f t="shared" si="8"/>
        <v>* group[=].element[=].display = ##34#Site of surgery on metastasis##34#</v>
      </c>
      <c r="K27" s="12" t="str">
        <f t="shared" si="9"/>
        <v>* group[=].element[=].target.code = #Procedure.bodySite</v>
      </c>
      <c r="L27" s="12" t="str">
        <f t="shared" si="10"/>
        <v>* group[=].element[=].target.display = ##34###34#</v>
      </c>
      <c r="M27" s="12" t="str">
        <f t="shared" si="11"/>
        <v>* group[=].element[=].target.equivalence = #equivalent</v>
      </c>
      <c r="N27" s="12" t="str">
        <f t="shared" si="12"/>
        <v/>
      </c>
      <c r="P27" s="11">
        <v>13</v>
      </c>
      <c r="Q27" s="11">
        <f t="shared" si="5"/>
        <v>2</v>
      </c>
      <c r="R27" s="11">
        <f t="shared" si="6"/>
        <v>1</v>
      </c>
      <c r="S27" s="12" t="str" cm="1">
        <f t="array" ref="S27">INDEX('Surgery-ConceptMap-1'!$I$15:$N$124,Q27+1,R27)</f>
        <v>* group[=].element[+].code = #SurgeryI4rc.dateOfSurgery</v>
      </c>
    </row>
    <row r="28" spans="1:19" ht="44.25">
      <c r="B28" s="11" t="str">
        <f>Surgery!B21</f>
        <v>siteOfSurgeryOnMetastasis.softTissue</v>
      </c>
      <c r="C28" s="11" t="str">
        <f>Surgery!C21</f>
        <v>Site of surgery on metastasis_soft tissue</v>
      </c>
      <c r="D28" s="12" t="s">
        <v>1977</v>
      </c>
      <c r="E28" s="12"/>
      <c r="F28" s="64" t="s">
        <v>1429</v>
      </c>
      <c r="G28" s="123"/>
      <c r="H28" s="58"/>
      <c r="I28" s="12" t="str">
        <f t="shared" si="7"/>
        <v>* group[=].element[+].code = #SurgeryI4rc.siteOfSurgeryOnMetastasis.softTissue</v>
      </c>
      <c r="J28" s="12" t="str">
        <f t="shared" si="8"/>
        <v>* group[=].element[=].display = ##34#Site of surgery on metastasis_soft tissue##34#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5"/>
        <v>2</v>
      </c>
      <c r="R28" s="11">
        <f t="shared" si="6"/>
        <v>2</v>
      </c>
      <c r="S28" s="12" t="str" cm="1">
        <f t="array" ref="S28">INDEX('Surgery-ConceptMap-1'!$I$15:$N$124,Q28+1,R28)</f>
        <v>* group[=].element[=].display = ##34#Date of surgery##34#</v>
      </c>
    </row>
    <row r="29" spans="1:19" ht="44.25">
      <c r="B29" s="11" t="str">
        <f>Surgery!B22</f>
        <v>siteOfSurgeryOnMetastasis.distantLymphNodes</v>
      </c>
      <c r="C29" s="11" t="str">
        <f>Surgery!C22</f>
        <v>Site of surgery on metastasis_distant lymph nodes</v>
      </c>
      <c r="D29" s="12" t="s">
        <v>1977</v>
      </c>
      <c r="E29" s="12"/>
      <c r="F29" s="64" t="s">
        <v>1429</v>
      </c>
      <c r="G29" s="123"/>
      <c r="H29" s="58"/>
      <c r="I29" s="12" t="str">
        <f t="shared" si="7"/>
        <v>* group[=].element[+].code = #SurgeryI4rc.siteOfSurgeryOnMetastasis.distantLymphNodes</v>
      </c>
      <c r="J29" s="12" t="str">
        <f t="shared" si="8"/>
        <v>* group[=].element[=].display = ##34#Site of surgery on metastasis_distant lymph nodes##34#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5"/>
        <v>2</v>
      </c>
      <c r="R29" s="11">
        <f t="shared" si="6"/>
        <v>3</v>
      </c>
      <c r="S29" s="12" t="str" cm="1">
        <f t="array" ref="S29">INDEX('Surgery-ConceptMap-1'!$I$15:$N$124,Q29+1,R29)</f>
        <v>* group[=].element[=].target.code = #Procedure. performedDateTime</v>
      </c>
    </row>
    <row r="30" spans="1:19" ht="44.25">
      <c r="B30" s="11" t="str">
        <f>Surgery!B23</f>
        <v>siteOfSurgeryOnMetastasis.lung</v>
      </c>
      <c r="C30" s="11" t="str">
        <f>Surgery!C23</f>
        <v>Site of surgery on metastasis_lung</v>
      </c>
      <c r="D30" s="12" t="s">
        <v>1977</v>
      </c>
      <c r="E30" s="12"/>
      <c r="F30" s="64" t="s">
        <v>1429</v>
      </c>
      <c r="G30" s="123"/>
      <c r="H30" s="58"/>
      <c r="I30" s="12" t="str">
        <f t="shared" si="7"/>
        <v>* group[=].element[+].code = #SurgeryI4rc.siteOfSurgeryOnMetastasis.lung</v>
      </c>
      <c r="J30" s="12" t="str">
        <f t="shared" si="8"/>
        <v>* group[=].element[=].display = ##34#Site of surgery on metastasis_lung##34#</v>
      </c>
      <c r="K30" s="12" t="str">
        <f t="shared" si="9"/>
        <v>* group[=].element[=].target.code = #Procedure.bodySite</v>
      </c>
      <c r="L30" s="12" t="str">
        <f t="shared" si="10"/>
        <v>* group[=].element[=].target.display = ##34###34#</v>
      </c>
      <c r="M30" s="12" t="str">
        <f t="shared" si="11"/>
        <v>* group[=].element[=].target.equivalence = #equivalent</v>
      </c>
      <c r="N30" s="12" t="str">
        <f t="shared" si="12"/>
        <v/>
      </c>
      <c r="P30" s="11">
        <v>16</v>
      </c>
      <c r="Q30" s="11">
        <f t="shared" si="5"/>
        <v>2</v>
      </c>
      <c r="R30" s="11">
        <f t="shared" si="6"/>
        <v>4</v>
      </c>
      <c r="S30" s="12" t="str" cm="1">
        <f t="array" ref="S30">INDEX('Surgery-ConceptMap-1'!$I$15:$N$124,Q30+1,R30)</f>
        <v>* group[=].element[=].target.display = ##34###34#</v>
      </c>
    </row>
    <row r="31" spans="1:19" ht="44.25">
      <c r="B31" s="11" t="str">
        <f>Surgery!B24</f>
        <v>siteOfSurgeryOnMetastasis.bone</v>
      </c>
      <c r="C31" s="11" t="str">
        <f>Surgery!C24</f>
        <v>Site of surgery on metastasis_bone</v>
      </c>
      <c r="D31" s="12" t="s">
        <v>1977</v>
      </c>
      <c r="E31" s="12"/>
      <c r="F31" s="64" t="s">
        <v>1429</v>
      </c>
      <c r="G31" s="123"/>
      <c r="H31" s="58"/>
      <c r="I31" s="12" t="str">
        <f t="shared" si="7"/>
        <v>* group[=].element[+].code = #SurgeryI4rc.siteOfSurgeryOnMetastasis.bone</v>
      </c>
      <c r="J31" s="12" t="str">
        <f t="shared" si="8"/>
        <v>* group[=].element[=].display = ##34#Site of surgery on metastasis_bone##34#</v>
      </c>
      <c r="K31" s="12" t="str">
        <f t="shared" si="9"/>
        <v>* group[=].element[=].target.code = #Procedure.bodySite</v>
      </c>
      <c r="L31" s="12" t="str">
        <f t="shared" si="10"/>
        <v>* group[=].element[=].target.display = ##34###34#</v>
      </c>
      <c r="M31" s="12" t="str">
        <f t="shared" si="11"/>
        <v>* group[=].element[=].target.equivalence = #equivalent</v>
      </c>
      <c r="N31" s="12" t="str">
        <f t="shared" si="12"/>
        <v/>
      </c>
      <c r="P31" s="11">
        <v>17</v>
      </c>
      <c r="Q31" s="11">
        <f t="shared" si="5"/>
        <v>2</v>
      </c>
      <c r="R31" s="11">
        <f t="shared" si="6"/>
        <v>5</v>
      </c>
      <c r="S31" s="12" t="str" cm="1">
        <f t="array" ref="S31">INDEX('Surgery-ConceptMap-1'!$I$15:$N$124,Q31+1,R31)</f>
        <v>* group[=].element[=].target.equivalence = #equal</v>
      </c>
    </row>
    <row r="32" spans="1:19" ht="44.25">
      <c r="B32" s="11" t="str">
        <f>Surgery!B25</f>
        <v>siteOfSurgeryOnMetastasis.liver</v>
      </c>
      <c r="C32" s="11" t="str">
        <f>Surgery!C25</f>
        <v>Site of surgery on metastasis_liver</v>
      </c>
      <c r="D32" s="12" t="s">
        <v>1977</v>
      </c>
      <c r="E32" s="12"/>
      <c r="F32" s="64" t="s">
        <v>1429</v>
      </c>
      <c r="G32" s="123"/>
      <c r="H32" s="58"/>
      <c r="I32" s="12" t="str">
        <f t="shared" si="7"/>
        <v>* group[=].element[+].code = #SurgeryI4rc.siteOfSurgeryOnMetastasis.liver</v>
      </c>
      <c r="J32" s="12" t="str">
        <f t="shared" si="8"/>
        <v>* group[=].element[=].display = ##34#Site of surgery on metastasis_liver##34#</v>
      </c>
      <c r="K32" s="12" t="str">
        <f t="shared" si="9"/>
        <v>* group[=].element[=].target.code = #Procedure.bodySite</v>
      </c>
      <c r="L32" s="12" t="str">
        <f t="shared" si="10"/>
        <v>* group[=].element[=].target.display = ##34###34#</v>
      </c>
      <c r="M32" s="12" t="str">
        <f t="shared" si="11"/>
        <v>* group[=].element[=].target.equivalence = #equivalent</v>
      </c>
      <c r="N32" s="12" t="str">
        <f t="shared" si="12"/>
        <v/>
      </c>
      <c r="P32" s="11">
        <v>18</v>
      </c>
      <c r="Q32" s="11">
        <f t="shared" si="5"/>
        <v>2</v>
      </c>
      <c r="R32" s="11">
        <f t="shared" si="6"/>
        <v>6</v>
      </c>
      <c r="S32" s="12" t="str" cm="1">
        <f t="array" ref="S32">INDEX('Surgery-ConceptMap-1'!$I$15:$N$124,Q32+1,R32)</f>
        <v/>
      </c>
    </row>
    <row r="33" spans="1:19" ht="44.25">
      <c r="B33" s="11" t="str">
        <f>Surgery!B26</f>
        <v>siteOfSurgeryOnMetastasis.pleura</v>
      </c>
      <c r="C33" s="11" t="str">
        <f>Surgery!C26</f>
        <v>Site of surgery on metastasis_pleura</v>
      </c>
      <c r="D33" s="12" t="s">
        <v>1977</v>
      </c>
      <c r="E33" s="12"/>
      <c r="F33" s="64" t="s">
        <v>1429</v>
      </c>
      <c r="G33" s="64"/>
      <c r="H33" s="58"/>
      <c r="I33" s="12" t="str">
        <f t="shared" si="7"/>
        <v>* group[=].element[+].code = #SurgeryI4rc.siteOfSurgeryOnMetastasis.pleura</v>
      </c>
      <c r="J33" s="12" t="str">
        <f t="shared" si="8"/>
        <v>* group[=].element[=].display = ##34#Site of surgery on metastasis_pleura##34#</v>
      </c>
      <c r="K33" s="12" t="str">
        <f t="shared" si="9"/>
        <v>* group[=].element[=].target.code = #Procedure.bodySite</v>
      </c>
      <c r="L33" s="12" t="str">
        <f t="shared" si="10"/>
        <v>* group[=].element[=].target.display = ##34###34#</v>
      </c>
      <c r="M33" s="12" t="str">
        <f t="shared" si="11"/>
        <v>* group[=].element[=].target.equivalence = #equivalent</v>
      </c>
      <c r="N33" s="12" t="str">
        <f t="shared" si="12"/>
        <v/>
      </c>
      <c r="P33" s="11">
        <v>19</v>
      </c>
      <c r="Q33" s="11">
        <f t="shared" si="5"/>
        <v>3</v>
      </c>
      <c r="R33" s="11">
        <f t="shared" si="6"/>
        <v>1</v>
      </c>
      <c r="S33" s="12" t="str" cm="1">
        <f t="array" ref="S33">INDEX('Surgery-ConceptMap-1'!$I$15:$N$124,Q33+1,R33)</f>
        <v>* group[=].element[+].code = #SurgeryI4rc.surgeryIntention</v>
      </c>
    </row>
    <row r="34" spans="1:19" ht="44.25">
      <c r="B34" s="11" t="str">
        <f>Surgery!B27</f>
        <v>siteOfSurgeryOnMetastasis.peritoneum</v>
      </c>
      <c r="C34" s="11" t="str">
        <f>Surgery!C27</f>
        <v>Site of surgery on metastasis_peritoneum</v>
      </c>
      <c r="D34" s="12" t="s">
        <v>1977</v>
      </c>
      <c r="E34" s="12"/>
      <c r="F34" s="64" t="s">
        <v>1429</v>
      </c>
      <c r="G34" s="64"/>
      <c r="H34" s="58"/>
      <c r="I34" s="12" t="str">
        <f t="shared" si="7"/>
        <v>* group[=].element[+].code = #SurgeryI4rc.siteOfSurgeryOnMetastasis.peritoneum</v>
      </c>
      <c r="J34" s="12" t="str">
        <f t="shared" si="8"/>
        <v>* group[=].element[=].display = ##34#Site of surgery on metastasis_peritoneum##34#</v>
      </c>
      <c r="K34" s="12" t="str">
        <f t="shared" si="9"/>
        <v>* group[=].element[=].target.code = #Procedure.bodySite</v>
      </c>
      <c r="L34" s="12" t="str">
        <f t="shared" si="10"/>
        <v>* group[=].element[=].target.display = ##34###34#</v>
      </c>
      <c r="M34" s="12" t="str">
        <f t="shared" si="11"/>
        <v>* group[=].element[=].target.equivalence = #equivalent</v>
      </c>
      <c r="N34" s="12" t="str">
        <f t="shared" si="12"/>
        <v/>
      </c>
      <c r="P34" s="11">
        <v>20</v>
      </c>
      <c r="Q34" s="11">
        <f t="shared" si="5"/>
        <v>3</v>
      </c>
      <c r="R34" s="11">
        <f t="shared" si="6"/>
        <v>2</v>
      </c>
      <c r="S34" s="12" t="str" cm="1">
        <f t="array" ref="S34">INDEX('Surgery-ConceptMap-1'!$I$15:$N$124,Q34+1,R34)</f>
        <v>* group[=].element[=].display = ##34#Surgery intention##34#</v>
      </c>
    </row>
    <row r="35" spans="1:19" ht="44.25">
      <c r="B35" s="11" t="str">
        <f>Surgery!B28</f>
        <v>siteOfSurgeryOnMetastasis.brain</v>
      </c>
      <c r="C35" s="11" t="str">
        <f>Surgery!C28</f>
        <v>Site of surgery on metastasis_brain</v>
      </c>
      <c r="D35" s="12" t="s">
        <v>1977</v>
      </c>
      <c r="E35" s="12"/>
      <c r="F35" s="64" t="s">
        <v>1429</v>
      </c>
      <c r="G35" s="64"/>
      <c r="H35" s="58"/>
      <c r="I35" s="12" t="str">
        <f t="shared" si="7"/>
        <v>* group[=].element[+].code = #SurgeryI4rc.siteOfSurgeryOnMetastasis.brain</v>
      </c>
      <c r="J35" s="12" t="str">
        <f t="shared" ref="J35:J38" si="13">"* group[=].element[=].display = ##34#"&amp;C35&amp;"##34#"</f>
        <v>* group[=].element[=].display = ##34#Site of surgery on metastasis_brain##34#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c>
      <c r="P35" s="11">
        <v>21</v>
      </c>
      <c r="Q35" s="11">
        <f t="shared" si="5"/>
        <v>3</v>
      </c>
      <c r="R35" s="11">
        <f t="shared" si="6"/>
        <v>3</v>
      </c>
      <c r="S35" s="12" t="str" cm="1">
        <f t="array" ref="S35">INDEX('Surgery-ConceptMap-1'!$I$15:$N$124,Q35+1,R35)</f>
        <v>* group[=].element[=].target.code = #Procedure.code</v>
      </c>
    </row>
    <row r="36" spans="1:19" ht="44.25">
      <c r="B36" s="11" t="str">
        <f>Surgery!B29</f>
        <v>siteOfSurgeryOnMetastasis.otherViscera</v>
      </c>
      <c r="C36" s="11" t="str">
        <f>Surgery!C29</f>
        <v>Site of surgery on metastasis_other viscera</v>
      </c>
      <c r="D36" s="12" t="s">
        <v>1977</v>
      </c>
      <c r="E36" s="12"/>
      <c r="F36" s="64" t="s">
        <v>1429</v>
      </c>
      <c r="G36" s="64"/>
      <c r="H36" s="58"/>
      <c r="I36" s="12" t="str">
        <f t="shared" si="7"/>
        <v>* group[=].element[+].code = #SurgeryI4rc.siteOfSurgeryOnMetastasis.otherViscera</v>
      </c>
      <c r="J36" s="12" t="str">
        <f t="shared" si="13"/>
        <v>* group[=].element[=].display = ##34#Site of surgery on metastasis_other viscera##34#</v>
      </c>
      <c r="K36" s="12" t="str">
        <f t="shared" si="14"/>
        <v>* group[=].element[=].target.code = #Procedure.bodySite</v>
      </c>
      <c r="L36" s="12" t="str">
        <f t="shared" si="15"/>
        <v>* group[=].element[=].target.display = ##34###34#</v>
      </c>
      <c r="M36" s="12" t="str">
        <f t="shared" si="16"/>
        <v>* group[=].element[=].target.equivalence = #equivalent</v>
      </c>
      <c r="N36" s="12" t="str">
        <f t="shared" si="17"/>
        <v/>
      </c>
      <c r="P36" s="11">
        <v>22</v>
      </c>
      <c r="Q36" s="11">
        <f t="shared" si="5"/>
        <v>3</v>
      </c>
      <c r="R36" s="11">
        <f t="shared" si="6"/>
        <v>4</v>
      </c>
      <c r="S36" s="12" t="str" cm="1">
        <f t="array" ref="S36">INDEX('Surgery-ConceptMap-1'!$I$15:$N$124,Q36+1,R36)</f>
        <v>* group[=].element[=].target.display = ##34###34#</v>
      </c>
    </row>
    <row r="37" spans="1:19" ht="44.25">
      <c r="B37" s="11" t="str">
        <f>Surgery!B30</f>
        <v>siteOfSurgeryOnMetastasis.unknown</v>
      </c>
      <c r="C37" s="11" t="str">
        <f>Surgery!C30</f>
        <v>Site of surgery on metastasis_unknown</v>
      </c>
      <c r="D37" s="12" t="s">
        <v>1977</v>
      </c>
      <c r="E37" s="12"/>
      <c r="F37" s="64" t="s">
        <v>1429</v>
      </c>
      <c r="G37" s="64"/>
      <c r="H37" s="58"/>
      <c r="I37" s="12" t="str">
        <f t="shared" si="7"/>
        <v>* group[=].element[+].code = #SurgeryI4rc.siteOfSurgeryOnMetastasis.unknown</v>
      </c>
      <c r="J37" s="12" t="str">
        <f t="shared" si="13"/>
        <v>* group[=].element[=].display = ##34#Site of surgery on metastasis_unknown##34#</v>
      </c>
      <c r="K37" s="12" t="str">
        <f t="shared" si="14"/>
        <v>* group[=].element[=].target.code = #Procedure.bodySite</v>
      </c>
      <c r="L37" s="12" t="str">
        <f t="shared" si="15"/>
        <v>* group[=].element[=].target.display = ##34###34#</v>
      </c>
      <c r="M37" s="12" t="str">
        <f t="shared" si="16"/>
        <v>* group[=].element[=].target.equivalence = #equivalent</v>
      </c>
      <c r="N37" s="12" t="str">
        <f t="shared" si="17"/>
        <v/>
      </c>
      <c r="P37" s="11">
        <v>23</v>
      </c>
      <c r="Q37" s="11">
        <f t="shared" si="5"/>
        <v>3</v>
      </c>
      <c r="R37" s="11">
        <f t="shared" si="6"/>
        <v>5</v>
      </c>
      <c r="S37" s="12" t="str" cm="1">
        <f t="array" ref="S37">INDEX('Surgery-ConceptMap-1'!$I$15:$N$124,Q37+1,R37)</f>
        <v>* group[=].element[=].target.equivalence = #relatedto</v>
      </c>
    </row>
    <row r="38" spans="1:19" ht="14.75" customHeight="1">
      <c r="B38" s="11" t="str">
        <f>Surgery!B31</f>
        <v>surgicalComplicationsClavienDindoClassification</v>
      </c>
      <c r="C38" s="11" t="str">
        <f>Surgery!C31</f>
        <v>Surgical complications (Clavien-Dindo Classification)</v>
      </c>
      <c r="D38" s="12" t="s">
        <v>2195</v>
      </c>
      <c r="E38" s="12"/>
      <c r="F38" s="64" t="s">
        <v>1429</v>
      </c>
      <c r="G38" s="64"/>
      <c r="H38" s="58"/>
      <c r="I38" s="12" t="str">
        <f t="shared" si="7"/>
        <v>* group[=].element[+].code = #SurgeryI4rc.surgicalComplicationsClavienDindoClassification</v>
      </c>
      <c r="J38" s="12" t="str">
        <f t="shared" si="13"/>
        <v>* group[=].element[=].display = ##34#Surgical complications (Clavien-Dindo Classification)##34#</v>
      </c>
      <c r="K38" s="12" t="str">
        <f t="shared" si="14"/>
        <v>* group[=].element[=].target.code = #Procedure.complication</v>
      </c>
      <c r="L38" s="12" t="str">
        <f t="shared" si="15"/>
        <v>* group[=].element[=].target.display = ##34###34#</v>
      </c>
      <c r="M38" s="12" t="str">
        <f t="shared" si="16"/>
        <v>* group[=].element[=].target.equivalence = #equivalent</v>
      </c>
      <c r="N38" s="12" t="str">
        <f t="shared" si="17"/>
        <v/>
      </c>
      <c r="P38" s="11">
        <v>24</v>
      </c>
      <c r="Q38" s="11">
        <f t="shared" si="5"/>
        <v>3</v>
      </c>
      <c r="R38" s="11">
        <f t="shared" si="6"/>
        <v>6</v>
      </c>
      <c r="S38" s="12" t="str" cm="1">
        <f t="array" ref="S38">INDEX('Surgery-ConceptMap-1'!$I$15:$N$124,Q38+1,R38)</f>
        <v>* group[=].element[=].target.comment = ##34#to be analized: add a slice to code or consider to define an extension for this (or cathegories (R5 extension)) ?##34#</v>
      </c>
    </row>
    <row r="39" spans="1:19">
      <c r="B39" s="11"/>
      <c r="C39" s="11"/>
      <c r="D39" s="12"/>
      <c r="E39" s="12"/>
      <c r="F39" s="64"/>
      <c r="G39" s="64"/>
      <c r="H39" s="58"/>
      <c r="I39" s="12"/>
      <c r="J39" s="12"/>
      <c r="K39" s="12"/>
      <c r="L39" s="12"/>
      <c r="M39" s="12"/>
      <c r="N39" s="12" t="str">
        <f t="shared" si="17"/>
        <v/>
      </c>
      <c r="P39" s="11">
        <v>25</v>
      </c>
      <c r="Q39" s="11">
        <f t="shared" si="5"/>
        <v>4</v>
      </c>
      <c r="R39" s="11">
        <f t="shared" si="6"/>
        <v>1</v>
      </c>
      <c r="S39" s="12" t="str" cm="1">
        <f t="array" ref="S39">INDEX('Surgery-ConceptMap-1'!$I$15:$N$124,Q39+1,R39)</f>
        <v>* group[=].element[+].code = #SurgeryI4rc.typeOfSurgicalApproachOnTumour</v>
      </c>
    </row>
    <row r="40" spans="1:19" s="2" customFormat="1">
      <c r="A40"/>
      <c r="B40" s="11"/>
      <c r="C40" s="11"/>
      <c r="D40" s="12"/>
      <c r="E40" s="12"/>
      <c r="F40" s="64"/>
      <c r="G40" s="58"/>
      <c r="H40" s="58"/>
      <c r="J40"/>
      <c r="K40" s="58"/>
      <c r="L40" s="58"/>
      <c r="M40" s="66"/>
      <c r="N40" s="66"/>
      <c r="P40" s="11">
        <v>26</v>
      </c>
      <c r="Q40" s="11">
        <f t="shared" si="5"/>
        <v>4</v>
      </c>
      <c r="R40" s="11">
        <f t="shared" si="6"/>
        <v>2</v>
      </c>
      <c r="S40" s="12" t="str" cm="1">
        <f t="array" ref="S40">INDEX('Surgery-ConceptMap-1'!$I$15:$N$124,Q40+1,R40)</f>
        <v>* group[=].element[=].display = ##34#Type of surgical approach on Tumour##34#</v>
      </c>
    </row>
    <row r="41" spans="1:19" s="2" customFormat="1" ht="29.5">
      <c r="A41"/>
      <c r="B41" s="11"/>
      <c r="C41" s="11"/>
      <c r="D41" s="12"/>
      <c r="F41" s="58"/>
      <c r="G41" s="58"/>
      <c r="H41" s="58"/>
      <c r="J41"/>
      <c r="K41" s="58"/>
      <c r="L41" s="58"/>
      <c r="M41" s="66"/>
      <c r="N41" s="66"/>
      <c r="P41" s="11">
        <v>27</v>
      </c>
      <c r="Q41" s="11">
        <f t="shared" si="5"/>
        <v>4</v>
      </c>
      <c r="R41" s="11">
        <f t="shared" si="6"/>
        <v>3</v>
      </c>
      <c r="S41" s="12" t="str" cm="1">
        <f t="array" ref="S41">INDEX('Surgery-ConceptMap-1'!$I$15:$N$124,Q41+1,R41)</f>
        <v>* group[=].element[=].target.code = #Procedure.extension:procedure-approachBodyStructure</v>
      </c>
    </row>
    <row r="42" spans="1:19" s="2" customFormat="1">
      <c r="A42"/>
      <c r="B42" s="11"/>
      <c r="C42" s="11"/>
      <c r="D42" s="12"/>
      <c r="F42" s="58"/>
      <c r="G42" s="58"/>
      <c r="H42" s="58"/>
      <c r="J42"/>
      <c r="K42" s="58"/>
      <c r="L42" s="58"/>
      <c r="M42" s="66"/>
      <c r="N42" s="66"/>
      <c r="P42" s="11">
        <v>28</v>
      </c>
      <c r="Q42" s="11">
        <f t="shared" si="5"/>
        <v>4</v>
      </c>
      <c r="R42" s="11">
        <f t="shared" si="6"/>
        <v>4</v>
      </c>
      <c r="S42" s="12" t="str" cm="1">
        <f t="array" ref="S42">INDEX('Surgery-ConceptMap-1'!$I$15:$N$124,Q42+1,R42)</f>
        <v>* group[=].element[=].target.display = ##34###34#</v>
      </c>
    </row>
    <row r="43" spans="1:19" s="2" customFormat="1">
      <c r="A43"/>
      <c r="B43" s="11"/>
      <c r="C43" s="11"/>
      <c r="D43" s="12"/>
      <c r="F43" s="58"/>
      <c r="G43" s="58"/>
      <c r="H43" s="58"/>
      <c r="J43" s="58"/>
      <c r="K43" s="58"/>
      <c r="L43" s="58"/>
      <c r="M43" s="66"/>
      <c r="N43" s="66"/>
      <c r="P43" s="11">
        <v>29</v>
      </c>
      <c r="Q43" s="11">
        <f t="shared" si="5"/>
        <v>4</v>
      </c>
      <c r="R43" s="11">
        <f t="shared" si="6"/>
        <v>5</v>
      </c>
      <c r="S43" s="12" t="str" cm="1">
        <f t="array" ref="S43">INDEX('Surgery-ConceptMap-1'!$I$15:$N$124,Q43+1,R43)</f>
        <v>* group[=].element[=].target.equivalence = #relatedto</v>
      </c>
    </row>
    <row r="44" spans="1:19" s="2" customFormat="1" ht="29.5">
      <c r="A44"/>
      <c r="B44" s="11"/>
      <c r="C44" s="11"/>
      <c r="F44" s="58"/>
      <c r="G44" s="58"/>
      <c r="H44" s="58"/>
      <c r="J44" s="58"/>
      <c r="K44" s="58"/>
      <c r="L44" s="58"/>
      <c r="M44" s="66"/>
      <c r="N44" s="66"/>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c r="B45" s="11"/>
      <c r="C45" s="11"/>
      <c r="P45" s="11">
        <v>31</v>
      </c>
      <c r="Q45" s="11">
        <f t="shared" si="5"/>
        <v>5</v>
      </c>
      <c r="R45" s="11">
        <f t="shared" si="6"/>
        <v>1</v>
      </c>
      <c r="S45" s="12" t="str" cm="1">
        <f t="array" ref="S45">INDEX('Surgery-ConceptMap-1'!$I$15:$N$124,Q45+1,R45)</f>
        <v>* group[=].element[+].code = #SurgeryI4rc.marginsAfterSurgery</v>
      </c>
    </row>
    <row r="46" spans="1:19">
      <c r="B46" s="11"/>
      <c r="C46" s="11"/>
      <c r="P46" s="11">
        <v>32</v>
      </c>
      <c r="Q46" s="11">
        <f t="shared" si="5"/>
        <v>5</v>
      </c>
      <c r="R46" s="11">
        <f t="shared" si="6"/>
        <v>2</v>
      </c>
      <c r="S46" s="12" t="str" cm="1">
        <f t="array" ref="S46">INDEX('Surgery-ConceptMap-1'!$I$15:$N$124,Q46+1,R46)</f>
        <v>* group[=].element[=].display = ##34#Margins after surgery##34#</v>
      </c>
    </row>
    <row r="47" spans="1:19">
      <c r="P47" s="11">
        <v>33</v>
      </c>
      <c r="Q47" s="11">
        <f t="shared" si="5"/>
        <v>5</v>
      </c>
      <c r="R47" s="11">
        <f t="shared" si="6"/>
        <v>3</v>
      </c>
      <c r="S47" s="12" t="str" cm="1">
        <f t="array" ref="S47">INDEX('Surgery-ConceptMap-1'!$I$15:$N$124,Q47+1,R47)</f>
        <v>* group[=].element[=].target.code = #Procedure.outcome</v>
      </c>
    </row>
    <row r="48" spans="1:19">
      <c r="P48" s="11">
        <v>34</v>
      </c>
      <c r="Q48" s="11">
        <f t="shared" si="5"/>
        <v>5</v>
      </c>
      <c r="R48" s="11">
        <f t="shared" si="6"/>
        <v>4</v>
      </c>
      <c r="S48" s="12" t="str" cm="1">
        <f t="array" ref="S48">INDEX('Surgery-ConceptMap-1'!$I$15:$N$124,Q48+1,R48)</f>
        <v>* group[=].element[=].target.display = ##34###34#</v>
      </c>
    </row>
    <row r="49" spans="16:19">
      <c r="P49" s="11">
        <v>35</v>
      </c>
      <c r="Q49" s="11">
        <f t="shared" si="5"/>
        <v>5</v>
      </c>
      <c r="R49" s="11">
        <f t="shared" si="6"/>
        <v>5</v>
      </c>
      <c r="S49" s="12" t="str" cm="1">
        <f t="array" ref="S49">INDEX('Surgery-ConceptMap-1'!$I$15:$N$124,Q49+1,R49)</f>
        <v>* group[=].element[=].target.equivalence = #relatedto</v>
      </c>
    </row>
    <row r="50" spans="16:19">
      <c r="P50" s="11">
        <v>36</v>
      </c>
      <c r="Q50" s="11">
        <f t="shared" si="5"/>
        <v>5</v>
      </c>
      <c r="R50" s="11">
        <f t="shared" si="6"/>
        <v>6</v>
      </c>
      <c r="S50" s="12" t="str" cm="1">
        <f t="array" ref="S50">INDEX('Surgery-ConceptMap-1'!$I$15:$N$124,Q50+1,R50)</f>
        <v/>
      </c>
    </row>
    <row r="51" spans="16:19">
      <c r="P51" s="11">
        <v>37</v>
      </c>
      <c r="Q51" s="11">
        <f t="shared" si="5"/>
        <v>6</v>
      </c>
      <c r="R51" s="11">
        <f t="shared" si="6"/>
        <v>1</v>
      </c>
      <c r="S51" s="12" t="str" cm="1">
        <f t="array" ref="S51">INDEX('Surgery-ConceptMap-1'!$I$15:$N$124,Q51+1,R51)</f>
        <v>* group[=].element[+].code = #SurgeryI4rc.reconstruction</v>
      </c>
    </row>
    <row r="52" spans="16:19">
      <c r="P52" s="11">
        <v>38</v>
      </c>
      <c r="Q52" s="11">
        <f t="shared" si="5"/>
        <v>6</v>
      </c>
      <c r="R52" s="11">
        <f t="shared" si="6"/>
        <v>2</v>
      </c>
      <c r="S52" s="12" t="str" cm="1">
        <f t="array" ref="S52">INDEX('Surgery-ConceptMap-1'!$I$15:$N$124,Q52+1,R52)</f>
        <v>* group[=].element[=].display = ##34#Reconstruction##34#</v>
      </c>
    </row>
    <row r="53" spans="16:19">
      <c r="P53" s="11">
        <v>39</v>
      </c>
      <c r="Q53" s="11">
        <f t="shared" si="5"/>
        <v>6</v>
      </c>
      <c r="R53" s="11">
        <f t="shared" si="6"/>
        <v>3</v>
      </c>
      <c r="S53" s="12" t="str" cm="1">
        <f t="array" ref="S53">INDEX('Surgery-ConceptMap-1'!$I$15:$N$124,Q53+1,R53)</f>
        <v>* group[=].element[=].target.code = #Procedure.</v>
      </c>
    </row>
    <row r="54" spans="16:19">
      <c r="P54" s="11">
        <v>40</v>
      </c>
      <c r="Q54" s="11">
        <f t="shared" si="5"/>
        <v>6</v>
      </c>
      <c r="R54" s="11">
        <f t="shared" si="6"/>
        <v>4</v>
      </c>
      <c r="S54" s="12" t="str" cm="1">
        <f t="array" ref="S54">INDEX('Surgery-ConceptMap-1'!$I$15:$N$124,Q54+1,R54)</f>
        <v>* group[=].element[=].target.display = ##34###34#</v>
      </c>
    </row>
    <row r="55" spans="16:19">
      <c r="P55" s="11">
        <v>41</v>
      </c>
      <c r="Q55" s="11">
        <f t="shared" si="5"/>
        <v>6</v>
      </c>
      <c r="R55" s="11">
        <f t="shared" si="6"/>
        <v>5</v>
      </c>
      <c r="S55" s="12" t="str" cm="1">
        <f t="array" ref="S55">INDEX('Surgery-ConceptMap-1'!$I$15:$N$124,Q55+1,R55)</f>
        <v>* group[=].element[=].target.equivalence = #relatedto</v>
      </c>
    </row>
    <row r="56" spans="16:19">
      <c r="P56" s="11">
        <v>42</v>
      </c>
      <c r="Q56" s="11">
        <f t="shared" si="5"/>
        <v>6</v>
      </c>
      <c r="R56" s="11">
        <f t="shared" si="6"/>
        <v>6</v>
      </c>
      <c r="S56" s="12" t="str" cm="1">
        <f t="array" ref="S56">INDEX('Surgery-ConceptMap-1'!$I$15:$N$124,Q56+1,R56)</f>
        <v>* group[=].element[=].target.comment = ##34#TO BE ANALIZED##34#</v>
      </c>
    </row>
    <row r="57" spans="16:19">
      <c r="P57" s="11">
        <v>43</v>
      </c>
      <c r="Q57" s="11">
        <f t="shared" si="5"/>
        <v>7</v>
      </c>
      <c r="R57" s="11">
        <f t="shared" si="6"/>
        <v>1</v>
      </c>
      <c r="S57" s="12" t="str" cm="1">
        <f t="array" ref="S57">INDEX('Surgery-ConceptMap-1'!$I$15:$N$124,Q57+1,R57)</f>
        <v>* group[=].element[+].code = #SurgeryI4rc.neckSurgery</v>
      </c>
    </row>
    <row r="58" spans="16:19">
      <c r="P58" s="11">
        <v>44</v>
      </c>
      <c r="Q58" s="11">
        <f t="shared" si="5"/>
        <v>7</v>
      </c>
      <c r="R58" s="11">
        <f t="shared" si="6"/>
        <v>2</v>
      </c>
      <c r="S58" s="12" t="str" cm="1">
        <f t="array" ref="S58">INDEX('Surgery-ConceptMap-1'!$I$15:$N$124,Q58+1,R58)</f>
        <v>* group[=].element[=].display = ##34#Neck surgery##34#</v>
      </c>
    </row>
    <row r="59" spans="16:19">
      <c r="P59" s="11">
        <v>45</v>
      </c>
      <c r="Q59" s="11">
        <f t="shared" si="5"/>
        <v>7</v>
      </c>
      <c r="R59" s="11">
        <f t="shared" si="6"/>
        <v>3</v>
      </c>
      <c r="S59" s="12" t="str" cm="1">
        <f t="array" ref="S59">INDEX('Surgery-ConceptMap-1'!$I$15:$N$124,Q59+1,R59)</f>
        <v>* group[=].element[=].target.code = #Procedure.</v>
      </c>
    </row>
    <row r="60" spans="16:19">
      <c r="P60" s="11">
        <v>46</v>
      </c>
      <c r="Q60" s="11">
        <f t="shared" si="5"/>
        <v>7</v>
      </c>
      <c r="R60" s="11">
        <f t="shared" si="6"/>
        <v>4</v>
      </c>
      <c r="S60" s="12" t="str" cm="1">
        <f t="array" ref="S60">INDEX('Surgery-ConceptMap-1'!$I$15:$N$124,Q60+1,R60)</f>
        <v>* group[=].element[=].target.display = ##34###34#</v>
      </c>
    </row>
    <row r="61" spans="16:19">
      <c r="P61" s="11">
        <v>47</v>
      </c>
      <c r="Q61" s="11">
        <f t="shared" si="5"/>
        <v>7</v>
      </c>
      <c r="R61" s="11">
        <f t="shared" si="6"/>
        <v>5</v>
      </c>
      <c r="S61" s="12" t="str" cm="1">
        <f t="array" ref="S61">INDEX('Surgery-ConceptMap-1'!$I$15:$N$124,Q61+1,R61)</f>
        <v>* group[=].element[=].target.equivalence = #relatedto</v>
      </c>
    </row>
    <row r="62" spans="16:19" ht="29.5">
      <c r="P62" s="11">
        <v>48</v>
      </c>
      <c r="Q62" s="11">
        <f t="shared" si="5"/>
        <v>7</v>
      </c>
      <c r="R62" s="11">
        <f t="shared" si="6"/>
        <v>6</v>
      </c>
      <c r="S62" s="12" t="str" cm="1">
        <f t="array" ref="S62">INDEX('Surgery-ConceptMap-1'!$I$15:$N$124,Q62+1,R62)</f>
        <v>* group[=].element[=].target.comment = ##34#a surgical proceudre exists with bodySite = neck##34#</v>
      </c>
    </row>
    <row r="63" spans="16:19">
      <c r="P63" s="11">
        <v>49</v>
      </c>
      <c r="Q63" s="11">
        <f t="shared" si="5"/>
        <v>8</v>
      </c>
      <c r="R63" s="11">
        <f t="shared" si="6"/>
        <v>1</v>
      </c>
      <c r="S63" s="12" t="str" cm="1">
        <f t="array" ref="S63">INDEX('Surgery-ConceptMap-1'!$I$15:$N$124,Q63+1,R63)</f>
        <v>* group[=].element[+].code = #SurgeryI4rc.dateOfNeckSurgey</v>
      </c>
    </row>
    <row r="64" spans="16:19">
      <c r="P64" s="11">
        <v>50</v>
      </c>
      <c r="Q64" s="11">
        <f t="shared" si="5"/>
        <v>8</v>
      </c>
      <c r="R64" s="11">
        <f t="shared" si="6"/>
        <v>2</v>
      </c>
      <c r="S64" s="12" t="str" cm="1">
        <f t="array" ref="S64">INDEX('Surgery-ConceptMap-1'!$I$15:$N$124,Q64+1,R64)</f>
        <v>* group[=].element[=].display = ##34#Date of Neck surgey##34#</v>
      </c>
    </row>
    <row r="65" spans="16:19">
      <c r="P65" s="11">
        <v>51</v>
      </c>
      <c r="Q65" s="11">
        <f t="shared" si="5"/>
        <v>8</v>
      </c>
      <c r="R65" s="11">
        <f t="shared" si="6"/>
        <v>3</v>
      </c>
      <c r="S65" s="12" t="str" cm="1">
        <f t="array" ref="S65">INDEX('Surgery-ConceptMap-1'!$I$15:$N$124,Q65+1,R65)</f>
        <v>* group[=].element[=].target.code = #Procedure. performedDateTime</v>
      </c>
    </row>
    <row r="66" spans="16:19">
      <c r="P66" s="11">
        <v>52</v>
      </c>
      <c r="Q66" s="11">
        <f t="shared" si="5"/>
        <v>8</v>
      </c>
      <c r="R66" s="11">
        <f t="shared" si="6"/>
        <v>4</v>
      </c>
      <c r="S66" s="12" t="str" cm="1">
        <f t="array" ref="S66">INDEX('Surgery-ConceptMap-1'!$I$15:$N$124,Q66+1,R66)</f>
        <v>* group[=].element[=].target.display = ##34###34#</v>
      </c>
    </row>
    <row r="67" spans="16:19">
      <c r="P67" s="11">
        <v>53</v>
      </c>
      <c r="Q67" s="11">
        <f t="shared" si="5"/>
        <v>8</v>
      </c>
      <c r="R67" s="11">
        <f t="shared" si="6"/>
        <v>5</v>
      </c>
      <c r="S67" s="12" t="str" cm="1">
        <f t="array" ref="S67">INDEX('Surgery-ConceptMap-1'!$I$15:$N$124,Q67+1,R67)</f>
        <v>* group[=].element[=].target.equivalence = #equal</v>
      </c>
    </row>
    <row r="68" spans="16:19" ht="29.5">
      <c r="P68" s="11">
        <v>54</v>
      </c>
      <c r="Q68" s="11">
        <f t="shared" si="5"/>
        <v>8</v>
      </c>
      <c r="R68" s="11">
        <f t="shared" si="6"/>
        <v>6</v>
      </c>
      <c r="S68" s="12" t="str" cm="1">
        <f t="array" ref="S68">INDEX('Surgery-ConceptMap-1'!$I$15:$N$124,Q68+1,R68)</f>
        <v>* group[=].element[=].target.comment = ##34#how this differs fomr the dateOfSurgery ?##34#</v>
      </c>
    </row>
    <row r="69" spans="16:19">
      <c r="P69" s="11">
        <v>55</v>
      </c>
      <c r="Q69" s="11">
        <f t="shared" si="5"/>
        <v>9</v>
      </c>
      <c r="R69" s="11">
        <f t="shared" si="6"/>
        <v>1</v>
      </c>
      <c r="S69" s="12" t="str" cm="1">
        <f t="array" ref="S69">INDEX('Surgery-ConceptMap-1'!$I$15:$N$124,Q69+1,R69)</f>
        <v>* group[=].element[+].code = #SurgeryI4rc.lateralityOfTheDissection</v>
      </c>
    </row>
    <row r="70" spans="16:19">
      <c r="P70" s="11">
        <v>56</v>
      </c>
      <c r="Q70" s="11">
        <f t="shared" si="5"/>
        <v>9</v>
      </c>
      <c r="R70" s="11">
        <f t="shared" si="6"/>
        <v>2</v>
      </c>
      <c r="S70" s="12" t="str" cm="1">
        <f t="array" ref="S70">INDEX('Surgery-ConceptMap-1'!$I$15:$N$124,Q70+1,R70)</f>
        <v>* group[=].element[=].display = ##34#Laterality of the dissection##34#</v>
      </c>
    </row>
    <row r="71" spans="16:19">
      <c r="P71" s="11">
        <v>57</v>
      </c>
      <c r="Q71" s="11">
        <f t="shared" si="5"/>
        <v>9</v>
      </c>
      <c r="R71" s="11">
        <f t="shared" si="6"/>
        <v>3</v>
      </c>
      <c r="S71" s="12" t="str" cm="1">
        <f t="array" ref="S71">INDEX('Surgery-ConceptMap-1'!$I$15:$N$124,Q71+1,R71)</f>
        <v>* group[=].element[=].target.code = #Procedure.bodySite.extension:laterality</v>
      </c>
    </row>
    <row r="72" spans="16:19">
      <c r="P72" s="11">
        <v>58</v>
      </c>
      <c r="Q72" s="11">
        <f t="shared" si="5"/>
        <v>9</v>
      </c>
      <c r="R72" s="11">
        <f t="shared" si="6"/>
        <v>4</v>
      </c>
      <c r="S72" s="12" t="str" cm="1">
        <f t="array" ref="S72">INDEX('Surgery-ConceptMap-1'!$I$15:$N$124,Q72+1,R72)</f>
        <v>* group[=].element[=].target.display = ##34###34#</v>
      </c>
    </row>
    <row r="73" spans="16:19">
      <c r="P73" s="11">
        <v>59</v>
      </c>
      <c r="Q73" s="11">
        <f t="shared" si="5"/>
        <v>9</v>
      </c>
      <c r="R73" s="11">
        <f t="shared" si="6"/>
        <v>5</v>
      </c>
      <c r="S73" s="12" t="str" cm="1">
        <f t="array" ref="S73">INDEX('Surgery-ConceptMap-1'!$I$15:$N$124,Q73+1,R73)</f>
        <v>* group[=].element[=].target.equivalence = #relatedto</v>
      </c>
    </row>
    <row r="74" spans="16:19">
      <c r="P74" s="11">
        <v>60</v>
      </c>
      <c r="Q74" s="11">
        <f t="shared" si="5"/>
        <v>9</v>
      </c>
      <c r="R74" s="11">
        <f t="shared" si="6"/>
        <v>6</v>
      </c>
      <c r="S74" s="12" t="str" cm="1">
        <f t="array" ref="S74">INDEX('Surgery-ConceptMap-1'!$I$15:$N$124,Q74+1,R74)</f>
        <v/>
      </c>
    </row>
    <row r="75" spans="16:19">
      <c r="P75" s="11">
        <v>61</v>
      </c>
      <c r="Q75" s="11">
        <f t="shared" si="5"/>
        <v>10</v>
      </c>
      <c r="R75" s="11">
        <f t="shared" si="6"/>
        <v>1</v>
      </c>
      <c r="S75" s="12" t="str" cm="1">
        <f t="array" ref="S75">INDEX('Surgery-ConceptMap-1'!$I$15:$N$124,Q75+1,R75)</f>
        <v>* group[=].element[+].code = #SurgeryI4rc.surgeryOnM</v>
      </c>
    </row>
    <row r="76" spans="16:19">
      <c r="P76" s="11">
        <v>62</v>
      </c>
      <c r="Q76" s="11">
        <f t="shared" si="5"/>
        <v>10</v>
      </c>
      <c r="R76" s="11">
        <f t="shared" si="6"/>
        <v>2</v>
      </c>
      <c r="S76" s="12" t="str" cm="1">
        <f t="array" ref="S76">INDEX('Surgery-ConceptMap-1'!$I$15:$N$124,Q76+1,R76)</f>
        <v>* group[=].element[=].display = ##34#Surgery on M##34#</v>
      </c>
    </row>
    <row r="77" spans="16:19">
      <c r="P77" s="11">
        <v>63</v>
      </c>
      <c r="Q77" s="11">
        <f t="shared" si="5"/>
        <v>10</v>
      </c>
      <c r="R77" s="11">
        <f t="shared" si="6"/>
        <v>3</v>
      </c>
      <c r="S77" s="12" t="str" cm="1">
        <f t="array" ref="S77">INDEX('Surgery-ConceptMap-1'!$I$15:$N$124,Q77+1,R77)</f>
        <v>* group[=].element[=].target.code = #Procedure.</v>
      </c>
    </row>
    <row r="78" spans="16:19">
      <c r="P78" s="11">
        <v>64</v>
      </c>
      <c r="Q78" s="11">
        <f t="shared" si="5"/>
        <v>10</v>
      </c>
      <c r="R78" s="11">
        <f t="shared" si="6"/>
        <v>4</v>
      </c>
      <c r="S78" s="12" t="str" cm="1">
        <f t="array" ref="S78">INDEX('Surgery-ConceptMap-1'!$I$15:$N$124,Q78+1,R78)</f>
        <v>* group[=].element[=].target.display = ##34###34#</v>
      </c>
    </row>
    <row r="79" spans="16:19">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c r="P80" s="11">
        <v>66</v>
      </c>
      <c r="Q80" s="11">
        <f t="shared" si="18"/>
        <v>10</v>
      </c>
      <c r="R80" s="11">
        <f t="shared" si="19"/>
        <v>6</v>
      </c>
      <c r="S80" s="12" t="str" cm="1">
        <f t="array" ref="S80">INDEX('Surgery-ConceptMap-1'!$I$15:$N$124,Q80+1,R80)</f>
        <v>* group[=].element[=].target.comment = ##34#TO BE ANALYZED:
a surgical proceudre exists with resonReference the metstatic condition
or a surgical proceudre exists with  reasonCode = metastatis##34#</v>
      </c>
    </row>
    <row r="81" spans="16:19">
      <c r="P81" s="11">
        <v>67</v>
      </c>
      <c r="Q81" s="11">
        <f t="shared" si="18"/>
        <v>11</v>
      </c>
      <c r="R81" s="11">
        <f t="shared" si="19"/>
        <v>1</v>
      </c>
      <c r="S81" s="12" t="str" cm="1">
        <f t="array" ref="S81">INDEX('Surgery-ConceptMap-1'!$I$15:$N$124,Q81+1,R81)</f>
        <v>* group[=].element[+].code = #SurgeryI4rc.dateOfSurgeryOnM</v>
      </c>
    </row>
    <row r="82" spans="16:19">
      <c r="P82" s="11">
        <v>68</v>
      </c>
      <c r="Q82" s="11">
        <f t="shared" si="18"/>
        <v>11</v>
      </c>
      <c r="R82" s="11">
        <f t="shared" si="19"/>
        <v>2</v>
      </c>
      <c r="S82" s="12" t="str" cm="1">
        <f t="array" ref="S82">INDEX('Surgery-ConceptMap-1'!$I$15:$N$124,Q82+1,R82)</f>
        <v>* group[=].element[=].display = ##34#Date of surgery on M##34#</v>
      </c>
    </row>
    <row r="83" spans="16:19">
      <c r="P83" s="11">
        <v>69</v>
      </c>
      <c r="Q83" s="11">
        <f t="shared" si="18"/>
        <v>11</v>
      </c>
      <c r="R83" s="11">
        <f t="shared" si="19"/>
        <v>3</v>
      </c>
      <c r="S83" s="12" t="str" cm="1">
        <f t="array" ref="S83">INDEX('Surgery-ConceptMap-1'!$I$15:$N$124,Q83+1,R83)</f>
        <v>* group[=].element[=].target.code = #Procedure.</v>
      </c>
    </row>
    <row r="84" spans="16:19">
      <c r="P84" s="11">
        <v>70</v>
      </c>
      <c r="Q84" s="11">
        <f t="shared" si="18"/>
        <v>11</v>
      </c>
      <c r="R84" s="11">
        <f t="shared" si="19"/>
        <v>4</v>
      </c>
      <c r="S84" s="12" t="str" cm="1">
        <f t="array" ref="S84">INDEX('Surgery-ConceptMap-1'!$I$15:$N$124,Q84+1,R84)</f>
        <v>* group[=].element[=].target.display = ##34###34#</v>
      </c>
    </row>
    <row r="85" spans="16:19">
      <c r="P85" s="11">
        <v>71</v>
      </c>
      <c r="Q85" s="11">
        <f t="shared" si="18"/>
        <v>11</v>
      </c>
      <c r="R85" s="11">
        <f t="shared" si="19"/>
        <v>5</v>
      </c>
      <c r="S85" s="12" t="str" cm="1">
        <f t="array" ref="S85">INDEX('Surgery-ConceptMap-1'!$I$15:$N$124,Q85+1,R85)</f>
        <v>* group[=].element[=].target.equivalence = #relatedto</v>
      </c>
    </row>
    <row r="86" spans="16:19" ht="29.5">
      <c r="P86" s="11">
        <v>72</v>
      </c>
      <c r="Q86" s="11">
        <f t="shared" si="18"/>
        <v>11</v>
      </c>
      <c r="R86" s="11">
        <f t="shared" si="19"/>
        <v>6</v>
      </c>
      <c r="S86" s="12" t="str" cm="1">
        <f t="array" ref="S86">INDEX('Surgery-ConceptMap-1'!$I$15:$N$124,Q86+1,R86)</f>
        <v>* group[=].element[=].target.comment = ##34#how this differs fomr the dateOfSurgery ?##34#</v>
      </c>
    </row>
    <row r="87" spans="16:19">
      <c r="P87" s="11">
        <v>73</v>
      </c>
      <c r="Q87" s="11">
        <f t="shared" si="18"/>
        <v>12</v>
      </c>
      <c r="R87" s="11">
        <f t="shared" si="19"/>
        <v>1</v>
      </c>
      <c r="S87" s="12" t="str" cm="1">
        <f t="array" ref="S87">INDEX('Surgery-ConceptMap-1'!$I$15:$N$124,Q87+1,R87)</f>
        <v>* group[=].element[+].code = #SurgeryI4rc.siteOfSurgeryOnMetastasis</v>
      </c>
    </row>
    <row r="88" spans="16:19">
      <c r="P88" s="11">
        <v>74</v>
      </c>
      <c r="Q88" s="11">
        <f t="shared" si="18"/>
        <v>12</v>
      </c>
      <c r="R88" s="11">
        <f t="shared" si="19"/>
        <v>2</v>
      </c>
      <c r="S88" s="12" t="str" cm="1">
        <f t="array" ref="S88">INDEX('Surgery-ConceptMap-1'!$I$15:$N$124,Q88+1,R88)</f>
        <v>* group[=].element[=].display = ##34#Site of surgery on metastasis##34#</v>
      </c>
    </row>
    <row r="89" spans="16:19">
      <c r="P89" s="11">
        <v>75</v>
      </c>
      <c r="Q89" s="11">
        <f t="shared" si="18"/>
        <v>12</v>
      </c>
      <c r="R89" s="11">
        <f t="shared" si="19"/>
        <v>3</v>
      </c>
      <c r="S89" s="12" t="str" cm="1">
        <f t="array" ref="S89">INDEX('Surgery-ConceptMap-1'!$I$15:$N$124,Q89+1,R89)</f>
        <v>* group[=].element[=].target.code = #Procedure.bodySite</v>
      </c>
    </row>
    <row r="90" spans="16:19">
      <c r="P90" s="11">
        <v>76</v>
      </c>
      <c r="Q90" s="11">
        <f t="shared" si="18"/>
        <v>12</v>
      </c>
      <c r="R90" s="11">
        <f t="shared" si="19"/>
        <v>4</v>
      </c>
      <c r="S90" s="12" t="str" cm="1">
        <f t="array" ref="S90">INDEX('Surgery-ConceptMap-1'!$I$15:$N$124,Q90+1,R90)</f>
        <v>* group[=].element[=].target.display = ##34###34#</v>
      </c>
    </row>
    <row r="91" spans="16:19">
      <c r="P91" s="11">
        <v>77</v>
      </c>
      <c r="Q91" s="11">
        <f t="shared" si="18"/>
        <v>12</v>
      </c>
      <c r="R91" s="11">
        <f t="shared" si="19"/>
        <v>5</v>
      </c>
      <c r="S91" s="12" t="str" cm="1">
        <f t="array" ref="S91">INDEX('Surgery-ConceptMap-1'!$I$15:$N$124,Q91+1,R91)</f>
        <v>* group[=].element[=].target.equivalence = #equivalent</v>
      </c>
    </row>
    <row r="92" spans="16:19">
      <c r="P92" s="11">
        <v>78</v>
      </c>
      <c r="Q92" s="11">
        <f t="shared" si="18"/>
        <v>12</v>
      </c>
      <c r="R92" s="11">
        <f t="shared" si="19"/>
        <v>6</v>
      </c>
      <c r="S92" s="12" t="str" cm="1">
        <f t="array" ref="S92">INDEX('Surgery-ConceptMap-1'!$I$15:$N$124,Q92+1,R92)</f>
        <v/>
      </c>
    </row>
    <row r="93" spans="16:19">
      <c r="P93" s="11">
        <v>79</v>
      </c>
      <c r="Q93" s="11">
        <f t="shared" si="18"/>
        <v>13</v>
      </c>
      <c r="R93" s="11">
        <f t="shared" si="19"/>
        <v>1</v>
      </c>
      <c r="S93" s="12" t="str" cm="1">
        <f t="array" ref="S93">INDEX('Surgery-ConceptMap-1'!$I$15:$N$124,Q93+1,R93)</f>
        <v>* group[=].element[+].code = #SurgeryI4rc.siteOfSurgeryOnMetastasis.softTissue</v>
      </c>
    </row>
    <row r="94" spans="16:19">
      <c r="P94" s="11">
        <v>80</v>
      </c>
      <c r="Q94" s="11">
        <f t="shared" si="18"/>
        <v>13</v>
      </c>
      <c r="R94" s="11">
        <f t="shared" si="19"/>
        <v>2</v>
      </c>
      <c r="S94" s="12" t="str" cm="1">
        <f t="array" ref="S94">INDEX('Surgery-ConceptMap-1'!$I$15:$N$124,Q94+1,R94)</f>
        <v>* group[=].element[=].display = ##34#Site of surgery on metastasis_soft tissue##34#</v>
      </c>
    </row>
    <row r="95" spans="16:19">
      <c r="P95" s="11">
        <v>81</v>
      </c>
      <c r="Q95" s="11">
        <f t="shared" si="18"/>
        <v>13</v>
      </c>
      <c r="R95" s="11">
        <f t="shared" si="19"/>
        <v>3</v>
      </c>
      <c r="S95" s="12" t="str" cm="1">
        <f t="array" ref="S95">INDEX('Surgery-ConceptMap-1'!$I$15:$N$124,Q95+1,R95)</f>
        <v>* group[=].element[=].target.code = #Procedure.bodySite</v>
      </c>
    </row>
    <row r="96" spans="16:19">
      <c r="P96" s="11">
        <v>82</v>
      </c>
      <c r="Q96" s="11">
        <f t="shared" si="18"/>
        <v>13</v>
      </c>
      <c r="R96" s="11">
        <f t="shared" si="19"/>
        <v>4</v>
      </c>
      <c r="S96" s="12" t="str" cm="1">
        <f t="array" ref="S96">INDEX('Surgery-ConceptMap-1'!$I$15:$N$124,Q96+1,R96)</f>
        <v>* group[=].element[=].target.display = ##34###34#</v>
      </c>
    </row>
    <row r="97" spans="16:19">
      <c r="P97" s="11">
        <v>83</v>
      </c>
      <c r="Q97" s="11">
        <f t="shared" si="18"/>
        <v>13</v>
      </c>
      <c r="R97" s="11">
        <f t="shared" si="19"/>
        <v>5</v>
      </c>
      <c r="S97" s="12" t="str" cm="1">
        <f t="array" ref="S97">INDEX('Surgery-ConceptMap-1'!$I$15:$N$124,Q97+1,R97)</f>
        <v>* group[=].element[=].target.equivalence = #equivalent</v>
      </c>
    </row>
    <row r="98" spans="16:19">
      <c r="P98" s="11">
        <v>84</v>
      </c>
      <c r="Q98" s="11">
        <f t="shared" si="18"/>
        <v>13</v>
      </c>
      <c r="R98" s="11">
        <f t="shared" si="19"/>
        <v>6</v>
      </c>
      <c r="S98" s="12" t="str" cm="1">
        <f t="array" ref="S98">INDEX('Surgery-ConceptMap-1'!$I$15:$N$124,Q98+1,R98)</f>
        <v/>
      </c>
    </row>
    <row r="99" spans="16:19" ht="29.5">
      <c r="P99" s="11">
        <v>85</v>
      </c>
      <c r="Q99" s="11">
        <f t="shared" si="18"/>
        <v>14</v>
      </c>
      <c r="R99" s="11">
        <f t="shared" si="19"/>
        <v>1</v>
      </c>
      <c r="S99" s="12" t="str" cm="1">
        <f t="array" ref="S99">INDEX('Surgery-ConceptMap-1'!$I$15:$N$124,Q99+1,R99)</f>
        <v>* group[=].element[+].code = #SurgeryI4rc.siteOfSurgeryOnMetastasis.distantLymphNodes</v>
      </c>
    </row>
    <row r="100" spans="16:19" ht="29.5">
      <c r="P100" s="11">
        <v>86</v>
      </c>
      <c r="Q100" s="11">
        <f t="shared" si="18"/>
        <v>14</v>
      </c>
      <c r="R100" s="11">
        <f t="shared" si="19"/>
        <v>2</v>
      </c>
      <c r="S100" s="12" t="str" cm="1">
        <f t="array" ref="S100">INDEX('Surgery-ConceptMap-1'!$I$15:$N$124,Q100+1,R100)</f>
        <v>* group[=].element[=].display = ##34#Site of surgery on metastasis_distant lymph nodes##34#</v>
      </c>
    </row>
    <row r="101" spans="16:19">
      <c r="P101" s="11">
        <v>87</v>
      </c>
      <c r="Q101" s="11">
        <f t="shared" si="18"/>
        <v>14</v>
      </c>
      <c r="R101" s="11">
        <f t="shared" si="19"/>
        <v>3</v>
      </c>
      <c r="S101" s="12" t="str" cm="1">
        <f t="array" ref="S101">INDEX('Surgery-ConceptMap-1'!$I$15:$N$124,Q101+1,R101)</f>
        <v>* group[=].element[=].target.code = #Procedure.bodySite</v>
      </c>
    </row>
    <row r="102" spans="16:19">
      <c r="P102" s="11">
        <v>88</v>
      </c>
      <c r="Q102" s="11">
        <f t="shared" si="18"/>
        <v>14</v>
      </c>
      <c r="R102" s="11">
        <f t="shared" si="19"/>
        <v>4</v>
      </c>
      <c r="S102" s="12" t="str" cm="1">
        <f t="array" ref="S102">INDEX('Surgery-ConceptMap-1'!$I$15:$N$124,Q102+1,R102)</f>
        <v>* group[=].element[=].target.display = ##34###34#</v>
      </c>
    </row>
    <row r="103" spans="16:19">
      <c r="P103" s="11">
        <v>89</v>
      </c>
      <c r="Q103" s="11">
        <f t="shared" si="18"/>
        <v>14</v>
      </c>
      <c r="R103" s="11">
        <f t="shared" si="19"/>
        <v>5</v>
      </c>
      <c r="S103" s="12" t="str" cm="1">
        <f t="array" ref="S103">INDEX('Surgery-ConceptMap-1'!$I$15:$N$124,Q103+1,R103)</f>
        <v>* group[=].element[=].target.equivalence = #equivalent</v>
      </c>
    </row>
    <row r="104" spans="16:19">
      <c r="P104" s="11">
        <v>90</v>
      </c>
      <c r="Q104" s="11">
        <f t="shared" si="18"/>
        <v>14</v>
      </c>
      <c r="R104" s="11">
        <f t="shared" si="19"/>
        <v>6</v>
      </c>
      <c r="S104" s="12" t="str" cm="1">
        <f t="array" ref="S104">INDEX('Surgery-ConceptMap-1'!$I$15:$N$124,Q104+1,R104)</f>
        <v/>
      </c>
    </row>
    <row r="105" spans="16:19">
      <c r="P105" s="11">
        <v>91</v>
      </c>
      <c r="Q105" s="11">
        <f t="shared" si="18"/>
        <v>15</v>
      </c>
      <c r="R105" s="11">
        <f t="shared" si="19"/>
        <v>1</v>
      </c>
      <c r="S105" s="12" t="str" cm="1">
        <f t="array" ref="S105">INDEX('Surgery-ConceptMap-1'!$I$15:$N$124,Q105+1,R105)</f>
        <v>* group[=].element[+].code = #SurgeryI4rc.siteOfSurgeryOnMetastasis.lung</v>
      </c>
    </row>
    <row r="106" spans="16:19">
      <c r="P106" s="11">
        <v>92</v>
      </c>
      <c r="Q106" s="11">
        <f t="shared" si="18"/>
        <v>15</v>
      </c>
      <c r="R106" s="11">
        <f t="shared" si="19"/>
        <v>2</v>
      </c>
      <c r="S106" s="12" t="str" cm="1">
        <f t="array" ref="S106">INDEX('Surgery-ConceptMap-1'!$I$15:$N$124,Q106+1,R106)</f>
        <v>* group[=].element[=].display = ##34#Site of surgery on metastasis_lung##34#</v>
      </c>
    </row>
    <row r="107" spans="16:19">
      <c r="P107" s="11">
        <v>93</v>
      </c>
      <c r="Q107" s="11">
        <f t="shared" si="18"/>
        <v>15</v>
      </c>
      <c r="R107" s="11">
        <f t="shared" si="19"/>
        <v>3</v>
      </c>
      <c r="S107" s="12" t="str" cm="1">
        <f t="array" ref="S107">INDEX('Surgery-ConceptMap-1'!$I$15:$N$124,Q107+1,R107)</f>
        <v>* group[=].element[=].target.code = #Procedure.bodySite</v>
      </c>
    </row>
    <row r="108" spans="16:19">
      <c r="P108" s="11">
        <v>94</v>
      </c>
      <c r="Q108" s="11">
        <f t="shared" si="18"/>
        <v>15</v>
      </c>
      <c r="R108" s="11">
        <f t="shared" si="19"/>
        <v>4</v>
      </c>
      <c r="S108" s="12" t="str" cm="1">
        <f t="array" ref="S108">INDEX('Surgery-ConceptMap-1'!$I$15:$N$124,Q108+1,R108)</f>
        <v>* group[=].element[=].target.display = ##34###34#</v>
      </c>
    </row>
    <row r="109" spans="16:19">
      <c r="P109" s="11">
        <v>95</v>
      </c>
      <c r="Q109" s="11">
        <f t="shared" si="18"/>
        <v>15</v>
      </c>
      <c r="R109" s="11">
        <f t="shared" si="19"/>
        <v>5</v>
      </c>
      <c r="S109" s="12" t="str" cm="1">
        <f t="array" ref="S109">INDEX('Surgery-ConceptMap-1'!$I$15:$N$124,Q109+1,R109)</f>
        <v>* group[=].element[=].target.equivalence = #equivalent</v>
      </c>
    </row>
    <row r="110" spans="16:19">
      <c r="P110" s="11">
        <v>96</v>
      </c>
      <c r="Q110" s="11">
        <f t="shared" si="18"/>
        <v>15</v>
      </c>
      <c r="R110" s="11">
        <f t="shared" si="19"/>
        <v>6</v>
      </c>
      <c r="S110" s="12" t="str" cm="1">
        <f t="array" ref="S110">INDEX('Surgery-ConceptMap-1'!$I$15:$N$124,Q110+1,R110)</f>
        <v/>
      </c>
    </row>
    <row r="111" spans="16:19">
      <c r="P111" s="11">
        <v>97</v>
      </c>
      <c r="Q111" s="11">
        <f t="shared" si="18"/>
        <v>16</v>
      </c>
      <c r="R111" s="11">
        <f t="shared" si="19"/>
        <v>1</v>
      </c>
      <c r="S111" s="12" t="str" cm="1">
        <f t="array" ref="S111">INDEX('Surgery-ConceptMap-1'!$I$15:$N$124,Q111+1,R111)</f>
        <v>* group[=].element[+].code = #SurgeryI4rc.siteOfSurgeryOnMetastasis.bone</v>
      </c>
    </row>
    <row r="112" spans="16:19">
      <c r="P112" s="11">
        <v>98</v>
      </c>
      <c r="Q112" s="11">
        <f t="shared" si="18"/>
        <v>16</v>
      </c>
      <c r="R112" s="11">
        <f t="shared" si="19"/>
        <v>2</v>
      </c>
      <c r="S112" s="12" t="str" cm="1">
        <f t="array" ref="S112">INDEX('Surgery-ConceptMap-1'!$I$15:$N$124,Q112+1,R112)</f>
        <v>* group[=].element[=].display = ##34#Site of surgery on metastasis_bone##34#</v>
      </c>
    </row>
    <row r="113" spans="16:19">
      <c r="P113" s="11">
        <v>99</v>
      </c>
      <c r="Q113" s="11">
        <f t="shared" si="18"/>
        <v>16</v>
      </c>
      <c r="R113" s="11">
        <f t="shared" si="19"/>
        <v>3</v>
      </c>
      <c r="S113" s="12" t="str" cm="1">
        <f t="array" ref="S113">INDEX('Surgery-ConceptMap-1'!$I$15:$N$124,Q113+1,R113)</f>
        <v>* group[=].element[=].target.code = #Procedure.bodySite</v>
      </c>
    </row>
    <row r="114" spans="16:19">
      <c r="P114" s="11">
        <v>100</v>
      </c>
      <c r="Q114" s="11">
        <f t="shared" si="18"/>
        <v>16</v>
      </c>
      <c r="R114" s="11">
        <f t="shared" si="19"/>
        <v>4</v>
      </c>
      <c r="S114" s="12" t="str" cm="1">
        <f t="array" ref="S114">INDEX('Surgery-ConceptMap-1'!$I$15:$N$124,Q114+1,R114)</f>
        <v>* group[=].element[=].target.display = ##34###34#</v>
      </c>
    </row>
    <row r="115" spans="16:19">
      <c r="P115" s="11">
        <v>101</v>
      </c>
      <c r="Q115" s="11">
        <f t="shared" si="18"/>
        <v>16</v>
      </c>
      <c r="R115" s="11">
        <f t="shared" si="19"/>
        <v>5</v>
      </c>
      <c r="S115" s="12" t="str" cm="1">
        <f t="array" ref="S115">INDEX('Surgery-ConceptMap-1'!$I$15:$N$124,Q115+1,R115)</f>
        <v>* group[=].element[=].target.equivalence = #equivalent</v>
      </c>
    </row>
    <row r="116" spans="16:19">
      <c r="P116" s="11">
        <v>102</v>
      </c>
      <c r="Q116" s="11">
        <f t="shared" si="18"/>
        <v>16</v>
      </c>
      <c r="R116" s="11">
        <f t="shared" si="19"/>
        <v>6</v>
      </c>
      <c r="S116" s="12" t="str" cm="1">
        <f t="array" ref="S116">INDEX('Surgery-ConceptMap-1'!$I$15:$N$124,Q116+1,R116)</f>
        <v/>
      </c>
    </row>
    <row r="117" spans="16:19">
      <c r="P117" s="11">
        <v>103</v>
      </c>
      <c r="Q117" s="11">
        <f t="shared" si="18"/>
        <v>17</v>
      </c>
      <c r="R117" s="11">
        <f t="shared" si="19"/>
        <v>1</v>
      </c>
      <c r="S117" s="12" t="str" cm="1">
        <f t="array" ref="S117">INDEX('Surgery-ConceptMap-1'!$I$15:$N$124,Q117+1,R117)</f>
        <v>* group[=].element[+].code = #SurgeryI4rc.siteOfSurgeryOnMetastasis.liver</v>
      </c>
    </row>
    <row r="118" spans="16:19">
      <c r="P118" s="11">
        <v>104</v>
      </c>
      <c r="Q118" s="11">
        <f t="shared" si="18"/>
        <v>17</v>
      </c>
      <c r="R118" s="11">
        <f t="shared" si="19"/>
        <v>2</v>
      </c>
      <c r="S118" s="12" t="str" cm="1">
        <f t="array" ref="S118">INDEX('Surgery-ConceptMap-1'!$I$15:$N$124,Q118+1,R118)</f>
        <v>* group[=].element[=].display = ##34#Site of surgery on metastasis_liver##34#</v>
      </c>
    </row>
    <row r="119" spans="16:19">
      <c r="P119" s="11">
        <v>105</v>
      </c>
      <c r="Q119" s="11">
        <f t="shared" si="18"/>
        <v>17</v>
      </c>
      <c r="R119" s="11">
        <f t="shared" si="19"/>
        <v>3</v>
      </c>
      <c r="S119" s="12" t="str" cm="1">
        <f t="array" ref="S119">INDEX('Surgery-ConceptMap-1'!$I$15:$N$124,Q119+1,R119)</f>
        <v>* group[=].element[=].target.code = #Procedure.bodySite</v>
      </c>
    </row>
    <row r="120" spans="16:19">
      <c r="P120" s="11">
        <v>106</v>
      </c>
      <c r="Q120" s="11">
        <f t="shared" si="18"/>
        <v>17</v>
      </c>
      <c r="R120" s="11">
        <f t="shared" si="19"/>
        <v>4</v>
      </c>
      <c r="S120" s="12" t="str" cm="1">
        <f t="array" ref="S120">INDEX('Surgery-ConceptMap-1'!$I$15:$N$124,Q120+1,R120)</f>
        <v>* group[=].element[=].target.display = ##34###34#</v>
      </c>
    </row>
    <row r="121" spans="16:19">
      <c r="P121" s="11">
        <v>107</v>
      </c>
      <c r="Q121" s="11">
        <f t="shared" si="18"/>
        <v>17</v>
      </c>
      <c r="R121" s="11">
        <f t="shared" si="19"/>
        <v>5</v>
      </c>
      <c r="S121" s="12" t="str" cm="1">
        <f t="array" ref="S121">INDEX('Surgery-ConceptMap-1'!$I$15:$N$124,Q121+1,R121)</f>
        <v>* group[=].element[=].target.equivalence = #equivalent</v>
      </c>
    </row>
    <row r="122" spans="16:19">
      <c r="P122" s="11">
        <v>108</v>
      </c>
      <c r="Q122" s="11">
        <f t="shared" si="18"/>
        <v>17</v>
      </c>
      <c r="R122" s="11">
        <f t="shared" si="19"/>
        <v>6</v>
      </c>
      <c r="S122" s="12" t="str" cm="1">
        <f t="array" ref="S122">INDEX('Surgery-ConceptMap-1'!$I$15:$N$124,Q122+1,R122)</f>
        <v/>
      </c>
    </row>
    <row r="123" spans="16:19">
      <c r="P123" s="11">
        <v>109</v>
      </c>
      <c r="Q123" s="11">
        <f t="shared" si="18"/>
        <v>18</v>
      </c>
      <c r="R123" s="11">
        <f t="shared" si="19"/>
        <v>1</v>
      </c>
      <c r="S123" s="12" t="str" cm="1">
        <f t="array" ref="S123">INDEX('Surgery-ConceptMap-1'!$I$15:$N$124,Q123+1,R123)</f>
        <v>* group[=].element[+].code = #SurgeryI4rc.siteOfSurgeryOnMetastasis.pleura</v>
      </c>
    </row>
    <row r="124" spans="16:19">
      <c r="P124" s="11">
        <v>110</v>
      </c>
      <c r="Q124" s="11">
        <f t="shared" si="18"/>
        <v>18</v>
      </c>
      <c r="R124" s="11">
        <f t="shared" si="19"/>
        <v>2</v>
      </c>
      <c r="S124" s="12" t="str" cm="1">
        <f t="array" ref="S124">INDEX('Surgery-ConceptMap-1'!$I$15:$N$124,Q124+1,R124)</f>
        <v>* group[=].element[=].display = ##34#Site of surgery on metastasis_pleura##34#</v>
      </c>
    </row>
    <row r="125" spans="16:19">
      <c r="P125" s="11">
        <v>111</v>
      </c>
      <c r="Q125" s="11">
        <f t="shared" si="18"/>
        <v>18</v>
      </c>
      <c r="R125" s="11">
        <f t="shared" si="19"/>
        <v>3</v>
      </c>
      <c r="S125" s="12" t="str" cm="1">
        <f t="array" ref="S125">INDEX('Surgery-ConceptMap-1'!$I$15:$N$124,Q125+1,R125)</f>
        <v>* group[=].element[=].target.code = #Procedure.bodySite</v>
      </c>
    </row>
    <row r="126" spans="16:19">
      <c r="P126" s="11">
        <v>112</v>
      </c>
      <c r="Q126" s="11">
        <f t="shared" si="18"/>
        <v>18</v>
      </c>
      <c r="R126" s="11">
        <f t="shared" si="19"/>
        <v>4</v>
      </c>
      <c r="S126" s="12" t="str" cm="1">
        <f t="array" ref="S126">INDEX('Surgery-ConceptMap-1'!$I$15:$N$124,Q126+1,R126)</f>
        <v>* group[=].element[=].target.display = ##34###34#</v>
      </c>
    </row>
    <row r="127" spans="16:19">
      <c r="P127" s="11">
        <v>113</v>
      </c>
      <c r="Q127" s="11">
        <f t="shared" si="18"/>
        <v>18</v>
      </c>
      <c r="R127" s="11">
        <f t="shared" si="19"/>
        <v>5</v>
      </c>
      <c r="S127" s="12" t="str" cm="1">
        <f t="array" ref="S127">INDEX('Surgery-ConceptMap-1'!$I$15:$N$124,Q127+1,R127)</f>
        <v>* group[=].element[=].target.equivalence = #equivalent</v>
      </c>
    </row>
    <row r="128" spans="16:19">
      <c r="P128" s="11">
        <v>114</v>
      </c>
      <c r="Q128" s="11">
        <f t="shared" si="18"/>
        <v>18</v>
      </c>
      <c r="R128" s="11">
        <f t="shared" si="19"/>
        <v>6</v>
      </c>
      <c r="S128" s="12" t="str" cm="1">
        <f t="array" ref="S128">INDEX('Surgery-ConceptMap-1'!$I$15:$N$124,Q128+1,R128)</f>
        <v/>
      </c>
    </row>
    <row r="129" spans="16:19">
      <c r="P129" s="11">
        <v>115</v>
      </c>
      <c r="Q129" s="11">
        <f t="shared" si="18"/>
        <v>19</v>
      </c>
      <c r="R129" s="11">
        <f t="shared" si="19"/>
        <v>1</v>
      </c>
      <c r="S129" s="12" t="str" cm="1">
        <f t="array" ref="S129">INDEX('Surgery-ConceptMap-1'!$I$15:$N$124,Q129+1,R129)</f>
        <v>* group[=].element[+].code = #SurgeryI4rc.siteOfSurgeryOnMetastasis.peritoneum</v>
      </c>
    </row>
    <row r="130" spans="16:19" ht="29.5">
      <c r="P130" s="11">
        <v>116</v>
      </c>
      <c r="Q130" s="11">
        <f t="shared" si="18"/>
        <v>19</v>
      </c>
      <c r="R130" s="11">
        <f t="shared" si="19"/>
        <v>2</v>
      </c>
      <c r="S130" s="12" t="str" cm="1">
        <f t="array" ref="S130">INDEX('Surgery-ConceptMap-1'!$I$15:$N$124,Q130+1,R130)</f>
        <v>* group[=].element[=].display = ##34#Site of surgery on metastasis_peritoneum##34#</v>
      </c>
    </row>
    <row r="131" spans="16:19">
      <c r="P131" s="11">
        <v>117</v>
      </c>
      <c r="Q131" s="11">
        <f t="shared" si="18"/>
        <v>19</v>
      </c>
      <c r="R131" s="11">
        <f t="shared" si="19"/>
        <v>3</v>
      </c>
      <c r="S131" s="12" t="str" cm="1">
        <f t="array" ref="S131">INDEX('Surgery-ConceptMap-1'!$I$15:$N$124,Q131+1,R131)</f>
        <v>* group[=].element[=].target.code = #Procedure.bodySite</v>
      </c>
    </row>
    <row r="132" spans="16:19">
      <c r="P132" s="11">
        <v>118</v>
      </c>
      <c r="Q132" s="11">
        <f t="shared" si="18"/>
        <v>19</v>
      </c>
      <c r="R132" s="11">
        <f t="shared" si="19"/>
        <v>4</v>
      </c>
      <c r="S132" s="12" t="str" cm="1">
        <f t="array" ref="S132">INDEX('Surgery-ConceptMap-1'!$I$15:$N$124,Q132+1,R132)</f>
        <v>* group[=].element[=].target.display = ##34###34#</v>
      </c>
    </row>
    <row r="133" spans="16:19">
      <c r="P133" s="11">
        <v>119</v>
      </c>
      <c r="Q133" s="11">
        <f t="shared" si="18"/>
        <v>19</v>
      </c>
      <c r="R133" s="11">
        <f t="shared" si="19"/>
        <v>5</v>
      </c>
      <c r="S133" s="12" t="str" cm="1">
        <f t="array" ref="S133">INDEX('Surgery-ConceptMap-1'!$I$15:$N$124,Q133+1,R133)</f>
        <v>* group[=].element[=].target.equivalence = #equivalent</v>
      </c>
    </row>
    <row r="134" spans="16:19">
      <c r="P134" s="11">
        <v>120</v>
      </c>
      <c r="Q134" s="11">
        <f t="shared" si="18"/>
        <v>19</v>
      </c>
      <c r="R134" s="11">
        <f t="shared" si="19"/>
        <v>6</v>
      </c>
      <c r="S134" s="12" t="str" cm="1">
        <f t="array" ref="S134">INDEX('Surgery-ConceptMap-1'!$I$15:$N$124,Q134+1,R134)</f>
        <v/>
      </c>
    </row>
    <row r="135" spans="16:19">
      <c r="P135" s="11">
        <v>121</v>
      </c>
      <c r="Q135" s="11">
        <f t="shared" si="18"/>
        <v>20</v>
      </c>
      <c r="R135" s="11">
        <f t="shared" si="19"/>
        <v>1</v>
      </c>
      <c r="S135" s="12" t="str" cm="1">
        <f t="array" ref="S135">INDEX('Surgery-ConceptMap-1'!$I$15:$N$124,Q135+1,R135)</f>
        <v>* group[=].element[+].code = #SurgeryI4rc.siteOfSurgeryOnMetastasis.brain</v>
      </c>
    </row>
    <row r="136" spans="16:19">
      <c r="P136" s="11">
        <v>122</v>
      </c>
      <c r="Q136" s="11">
        <f t="shared" si="18"/>
        <v>20</v>
      </c>
      <c r="R136" s="11">
        <f t="shared" si="19"/>
        <v>2</v>
      </c>
      <c r="S136" s="12" t="str" cm="1">
        <f t="array" ref="S136">INDEX('Surgery-ConceptMap-1'!$I$15:$N$124,Q136+1,R136)</f>
        <v>* group[=].element[=].display = ##34#Site of surgery on metastasis_brain##34#</v>
      </c>
    </row>
    <row r="137" spans="16:19">
      <c r="P137" s="11">
        <v>123</v>
      </c>
      <c r="Q137" s="11">
        <f t="shared" si="18"/>
        <v>20</v>
      </c>
      <c r="R137" s="11">
        <f t="shared" si="19"/>
        <v>3</v>
      </c>
      <c r="S137" s="12" t="str" cm="1">
        <f t="array" ref="S137">INDEX('Surgery-ConceptMap-1'!$I$15:$N$124,Q137+1,R137)</f>
        <v>* group[=].element[=].target.code = #Procedure.bodySite</v>
      </c>
    </row>
    <row r="138" spans="16:19">
      <c r="P138" s="11">
        <v>124</v>
      </c>
      <c r="Q138" s="11">
        <f t="shared" si="18"/>
        <v>20</v>
      </c>
      <c r="R138" s="11">
        <f t="shared" si="19"/>
        <v>4</v>
      </c>
      <c r="S138" s="12" t="str" cm="1">
        <f t="array" ref="S138">INDEX('Surgery-ConceptMap-1'!$I$15:$N$124,Q138+1,R138)</f>
        <v>* group[=].element[=].target.display = ##34###34#</v>
      </c>
    </row>
    <row r="139" spans="16:19">
      <c r="P139" s="11">
        <v>125</v>
      </c>
      <c r="Q139" s="11">
        <f t="shared" si="18"/>
        <v>20</v>
      </c>
      <c r="R139" s="11">
        <f t="shared" si="19"/>
        <v>5</v>
      </c>
      <c r="S139" s="12" t="str" cm="1">
        <f t="array" ref="S139">INDEX('Surgery-ConceptMap-1'!$I$15:$N$124,Q139+1,R139)</f>
        <v>* group[=].element[=].target.equivalence = #equivalent</v>
      </c>
    </row>
    <row r="140" spans="16:19">
      <c r="P140" s="11">
        <v>126</v>
      </c>
      <c r="Q140" s="11">
        <f t="shared" si="18"/>
        <v>20</v>
      </c>
      <c r="R140" s="11">
        <f t="shared" si="19"/>
        <v>6</v>
      </c>
      <c r="S140" s="12" t="str" cm="1">
        <f t="array" ref="S140">INDEX('Surgery-ConceptMap-1'!$I$15:$N$124,Q140+1,R140)</f>
        <v/>
      </c>
    </row>
    <row r="141" spans="16:19">
      <c r="P141" s="11">
        <v>127</v>
      </c>
      <c r="Q141" s="11">
        <f t="shared" si="18"/>
        <v>21</v>
      </c>
      <c r="R141" s="11">
        <f t="shared" si="19"/>
        <v>1</v>
      </c>
      <c r="S141" s="12" t="str" cm="1">
        <f t="array" ref="S141">INDEX('Surgery-ConceptMap-1'!$I$15:$N$124,Q141+1,R141)</f>
        <v>* group[=].element[+].code = #SurgeryI4rc.siteOfSurgeryOnMetastasis.otherViscera</v>
      </c>
    </row>
    <row r="142" spans="16:19" ht="29.5">
      <c r="P142" s="11">
        <v>128</v>
      </c>
      <c r="Q142" s="11">
        <f t="shared" si="18"/>
        <v>21</v>
      </c>
      <c r="R142" s="11">
        <f t="shared" si="19"/>
        <v>2</v>
      </c>
      <c r="S142" s="12" t="str" cm="1">
        <f t="array" ref="S142">INDEX('Surgery-ConceptMap-1'!$I$15:$N$124,Q142+1,R142)</f>
        <v>* group[=].element[=].display = ##34#Site of surgery on metastasis_other viscera##34#</v>
      </c>
    </row>
    <row r="143" spans="16:19">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c r="P144" s="11">
        <v>130</v>
      </c>
      <c r="Q144" s="11">
        <f t="shared" si="20"/>
        <v>21</v>
      </c>
      <c r="R144" s="11">
        <f t="shared" si="21"/>
        <v>4</v>
      </c>
      <c r="S144" s="12" t="str" cm="1">
        <f t="array" ref="S144">INDEX('Surgery-ConceptMap-1'!$I$15:$N$124,Q144+1,R144)</f>
        <v>* group[=].element[=].target.display = ##34###34#</v>
      </c>
    </row>
    <row r="145" spans="16:19">
      <c r="P145" s="11">
        <v>131</v>
      </c>
      <c r="Q145" s="11">
        <f t="shared" si="20"/>
        <v>21</v>
      </c>
      <c r="R145" s="11">
        <f t="shared" si="21"/>
        <v>5</v>
      </c>
      <c r="S145" s="12" t="str" cm="1">
        <f t="array" ref="S145">INDEX('Surgery-ConceptMap-1'!$I$15:$N$124,Q145+1,R145)</f>
        <v>* group[=].element[=].target.equivalence = #equivalent</v>
      </c>
    </row>
    <row r="146" spans="16:19">
      <c r="P146" s="11">
        <v>132</v>
      </c>
      <c r="Q146" s="11">
        <f t="shared" si="20"/>
        <v>21</v>
      </c>
      <c r="R146" s="11">
        <f t="shared" si="21"/>
        <v>6</v>
      </c>
      <c r="S146" s="12" t="str" cm="1">
        <f t="array" ref="S146">INDEX('Surgery-ConceptMap-1'!$I$15:$N$124,Q146+1,R146)</f>
        <v/>
      </c>
    </row>
    <row r="147" spans="16:19">
      <c r="P147" s="11">
        <v>133</v>
      </c>
      <c r="Q147" s="11">
        <f t="shared" si="20"/>
        <v>22</v>
      </c>
      <c r="R147" s="11">
        <f t="shared" si="21"/>
        <v>1</v>
      </c>
      <c r="S147" s="12" t="str" cm="1">
        <f t="array" ref="S147">INDEX('Surgery-ConceptMap-1'!$I$15:$N$124,Q147+1,R147)</f>
        <v>* group[=].element[+].code = #SurgeryI4rc.siteOfSurgeryOnMetastasis.unknown</v>
      </c>
    </row>
    <row r="148" spans="16:19">
      <c r="P148" s="11">
        <v>134</v>
      </c>
      <c r="Q148" s="11">
        <f t="shared" si="20"/>
        <v>22</v>
      </c>
      <c r="R148" s="11">
        <f t="shared" si="21"/>
        <v>2</v>
      </c>
      <c r="S148" s="12" t="str" cm="1">
        <f t="array" ref="S148">INDEX('Surgery-ConceptMap-1'!$I$15:$N$124,Q148+1,R148)</f>
        <v>* group[=].element[=].display = ##34#Site of surgery on metastasis_unknown##34#</v>
      </c>
    </row>
    <row r="149" spans="16:19">
      <c r="P149" s="11">
        <v>135</v>
      </c>
      <c r="Q149" s="11">
        <f t="shared" si="20"/>
        <v>22</v>
      </c>
      <c r="R149" s="11">
        <f t="shared" si="21"/>
        <v>3</v>
      </c>
      <c r="S149" s="12" t="str" cm="1">
        <f t="array" ref="S149">INDEX('Surgery-ConceptMap-1'!$I$15:$N$124,Q149+1,R149)</f>
        <v>* group[=].element[=].target.code = #Procedure.bodySite</v>
      </c>
    </row>
    <row r="150" spans="16:19">
      <c r="P150" s="11">
        <v>136</v>
      </c>
      <c r="Q150" s="11">
        <f t="shared" si="20"/>
        <v>22</v>
      </c>
      <c r="R150" s="11">
        <f t="shared" si="21"/>
        <v>4</v>
      </c>
      <c r="S150" s="12" t="str" cm="1">
        <f t="array" ref="S150">INDEX('Surgery-ConceptMap-1'!$I$15:$N$124,Q150+1,R150)</f>
        <v>* group[=].element[=].target.display = ##34###34#</v>
      </c>
    </row>
    <row r="151" spans="16:19">
      <c r="P151" s="11">
        <v>137</v>
      </c>
      <c r="Q151" s="11">
        <f t="shared" si="20"/>
        <v>22</v>
      </c>
      <c r="R151" s="11">
        <f t="shared" si="21"/>
        <v>5</v>
      </c>
      <c r="S151" s="12" t="str" cm="1">
        <f t="array" ref="S151">INDEX('Surgery-ConceptMap-1'!$I$15:$N$124,Q151+1,R151)</f>
        <v>* group[=].element[=].target.equivalence = #equivalent</v>
      </c>
    </row>
    <row r="152" spans="16:19">
      <c r="P152" s="11">
        <v>138</v>
      </c>
      <c r="Q152" s="11">
        <f t="shared" si="20"/>
        <v>22</v>
      </c>
      <c r="R152" s="11">
        <f t="shared" si="21"/>
        <v>6</v>
      </c>
      <c r="S152" s="12" t="str" cm="1">
        <f t="array" ref="S152">INDEX('Surgery-ConceptMap-1'!$I$15:$N$124,Q152+1,R152)</f>
        <v/>
      </c>
    </row>
    <row r="153" spans="16:19" ht="29.5">
      <c r="P153" s="11">
        <v>139</v>
      </c>
      <c r="Q153" s="11">
        <f t="shared" si="20"/>
        <v>23</v>
      </c>
      <c r="R153" s="11">
        <f t="shared" si="21"/>
        <v>1</v>
      </c>
      <c r="S153" s="12" t="str" cm="1">
        <f t="array" ref="S153">INDEX('Surgery-ConceptMap-1'!$I$15:$N$124,Q153+1,R153)</f>
        <v>* group[=].element[+].code = #SurgeryI4rc.surgicalComplicationsClavienDindoClassification</v>
      </c>
    </row>
    <row r="154" spans="16:19" ht="29.5">
      <c r="P154" s="11">
        <v>140</v>
      </c>
      <c r="Q154" s="11">
        <f t="shared" si="20"/>
        <v>23</v>
      </c>
      <c r="R154" s="11">
        <f t="shared" si="21"/>
        <v>2</v>
      </c>
      <c r="S154" s="12" t="str" cm="1">
        <f t="array" ref="S154">INDEX('Surgery-ConceptMap-1'!$I$15:$N$124,Q154+1,R154)</f>
        <v>* group[=].element[=].display = ##34#Surgical complications (Clavien-Dindo Classification)##34#</v>
      </c>
    </row>
    <row r="155" spans="16:19">
      <c r="P155" s="11">
        <v>141</v>
      </c>
      <c r="Q155" s="11">
        <f t="shared" si="20"/>
        <v>23</v>
      </c>
      <c r="R155" s="11">
        <f t="shared" si="21"/>
        <v>3</v>
      </c>
      <c r="S155" s="12" t="str" cm="1">
        <f t="array" ref="S155">INDEX('Surgery-ConceptMap-1'!$I$15:$N$124,Q155+1,R155)</f>
        <v>* group[=].element[=].target.code = #Procedure.complication</v>
      </c>
    </row>
    <row r="156" spans="16:19">
      <c r="P156" s="11">
        <v>142</v>
      </c>
      <c r="Q156" s="11">
        <f t="shared" si="20"/>
        <v>23</v>
      </c>
      <c r="R156" s="11">
        <f t="shared" si="21"/>
        <v>4</v>
      </c>
      <c r="S156" s="12" t="str" cm="1">
        <f t="array" ref="S156">INDEX('Surgery-ConceptMap-1'!$I$15:$N$124,Q156+1,R156)</f>
        <v>* group[=].element[=].target.display = ##34###34#</v>
      </c>
    </row>
    <row r="157" spans="16:19">
      <c r="P157" s="11">
        <v>143</v>
      </c>
      <c r="Q157" s="11">
        <f t="shared" si="20"/>
        <v>23</v>
      </c>
      <c r="R157" s="11">
        <f t="shared" si="21"/>
        <v>5</v>
      </c>
      <c r="S157" s="12" t="str" cm="1">
        <f t="array" ref="S157">INDEX('Surgery-ConceptMap-1'!$I$15:$N$124,Q157+1,R157)</f>
        <v>* group[=].element[=].target.equivalence = #equivalent</v>
      </c>
    </row>
    <row r="158" spans="16:19">
      <c r="P158" s="11">
        <v>144</v>
      </c>
      <c r="Q158" s="11">
        <f t="shared" si="20"/>
        <v>23</v>
      </c>
      <c r="R158" s="11">
        <f t="shared" si="21"/>
        <v>6</v>
      </c>
      <c r="S158" s="12" t="str" cm="1">
        <f t="array" ref="S158">INDEX('Surgery-ConceptMap-1'!$I$15:$N$124,Q158+1,R158)</f>
        <v/>
      </c>
    </row>
    <row r="159" spans="16:19">
      <c r="P159" s="11">
        <v>145</v>
      </c>
      <c r="Q159" s="11">
        <f t="shared" si="20"/>
        <v>24</v>
      </c>
      <c r="R159" s="11">
        <f t="shared" si="21"/>
        <v>1</v>
      </c>
      <c r="S159" s="12" cm="1">
        <f t="array" ref="S159">INDEX('Surgery-ConceptMap-1'!$I$15:$N$124,Q159+1,R159)</f>
        <v>0</v>
      </c>
    </row>
    <row r="160" spans="16:19">
      <c r="P160" s="11">
        <v>146</v>
      </c>
      <c r="Q160" s="11">
        <f t="shared" si="20"/>
        <v>24</v>
      </c>
      <c r="R160" s="11">
        <f t="shared" si="21"/>
        <v>2</v>
      </c>
      <c r="S160" s="12" cm="1">
        <f t="array" ref="S160">INDEX('Surgery-ConceptMap-1'!$I$15:$N$124,Q160+1,R160)</f>
        <v>0</v>
      </c>
    </row>
    <row r="161" spans="16:19">
      <c r="P161" s="11">
        <v>147</v>
      </c>
      <c r="Q161" s="11">
        <f t="shared" si="20"/>
        <v>24</v>
      </c>
      <c r="R161" s="11">
        <f t="shared" si="21"/>
        <v>3</v>
      </c>
      <c r="S161" s="12" cm="1">
        <f t="array" ref="S161">INDEX('Surgery-ConceptMap-1'!$I$15:$N$124,Q161+1,R161)</f>
        <v>0</v>
      </c>
    </row>
    <row r="162" spans="16:19">
      <c r="P162" s="11">
        <v>148</v>
      </c>
      <c r="Q162" s="11">
        <f t="shared" si="20"/>
        <v>24</v>
      </c>
      <c r="R162" s="11">
        <f t="shared" si="21"/>
        <v>4</v>
      </c>
      <c r="S162" s="12" cm="1">
        <f t="array" ref="S162">INDEX('Surgery-ConceptMap-1'!$I$15:$N$124,Q162+1,R162)</f>
        <v>0</v>
      </c>
    </row>
    <row r="163" spans="16:19">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topLeftCell="A3" workbookViewId="0">
      <selection activeCell="C6" sqref="C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2196</v>
      </c>
    </row>
    <row r="3" spans="2:7">
      <c r="B3" s="24" t="s">
        <v>20</v>
      </c>
    </row>
    <row r="4" spans="2:7">
      <c r="B4" s="65" t="str">
        <f>"Instance: "&amp;'Surgery-ConceptMap-1'!C4</f>
        <v>Instance: surgery2FHIR</v>
      </c>
    </row>
    <row r="5" spans="2:7">
      <c r="B5" s="65" t="s">
        <v>1447</v>
      </c>
    </row>
    <row r="6" spans="2:7">
      <c r="B6" s="65" t="s">
        <v>1438</v>
      </c>
    </row>
    <row r="7" spans="2:7">
      <c r="B7" s="65" t="s">
        <v>1776</v>
      </c>
    </row>
    <row r="8" spans="2:7">
      <c r="B8" s="65" t="str">
        <f>"* name = ##34#"&amp;'Surgery-ConceptMap-1'!C3&amp;"##34#"</f>
        <v>* name = ##34#surgery2FHIR##34#</v>
      </c>
    </row>
    <row r="9" spans="2:7">
      <c r="B9" s="65" t="str">
        <f>"* title = ##34#"&amp;'Surgery-ConceptMap-1'!C5&amp;"##34#"</f>
        <v>* title = ##34#Surgery Model to this guide Map##34#</v>
      </c>
    </row>
    <row r="10" spans="2:7">
      <c r="B10" s="65" t="s">
        <v>1439</v>
      </c>
    </row>
    <row r="11" spans="2:7">
      <c r="B11" s="65" t="s">
        <v>1440</v>
      </c>
    </row>
    <row r="12" spans="2:7">
      <c r="B12" s="65" t="str">
        <f>"* description = ##34#"&amp;'Surgery-ConceptMap-1'!C8&amp;"##34#"</f>
        <v>* description = ##34#Surgery Model to this guide Map##34#</v>
      </c>
    </row>
    <row r="13" spans="2:7">
      <c r="B13" s="65" t="str">
        <f>"* purpose = ##34#"&amp;'Surgery-ConceptMap-1'!C9&amp;"##34#"</f>
        <v>* purpose = ##34#It shows how the Surgery model is mapped into this guide##34#</v>
      </c>
    </row>
    <row r="14" spans="2:7">
      <c r="B14" s="69" t="str">
        <f>"* sourceUri = ##34#"&amp;'Surgery-ConceptMap-1'!E3&amp;"##34#"</f>
        <v>* sourceUri = ##34#http://hl7.eu/fhir/ig/idea4rc/StructureDefinition/SurgeryI4rc##34#</v>
      </c>
    </row>
    <row r="15" spans="2:7">
      <c r="B15" s="69" t="str">
        <f>"* targetUri = ##34#"&amp;'Surgery-ConceptMap-1'!E4&amp;"##34#"</f>
        <v>* targetUri = ##34#http://hl7.eu/fhir/ig/idea4rc/StructureDefinition/Procedure-surgery-eu-i4rc##34#</v>
      </c>
    </row>
    <row r="16" spans="2:7">
      <c r="B16" s="68" t="str">
        <f>"* group[+].source = ##34#"&amp;'Surgery-ConceptMap-1'!E6&amp;"##34#"</f>
        <v>* group[+].source = ##34#http://hl7.eu/fhir/ig/idea4rc/StructureDefinition/SurgeryI4rc##34#</v>
      </c>
    </row>
    <row r="17" spans="2:7">
      <c r="B17" s="68" t="str">
        <f>"* group[=].target = ##34#"&amp;'Surgery-ConceptMap-1'!E7&amp;"##34#"</f>
        <v>* group[=].target = ##34#http://hl7.eu/fhir/ig/idea4rc/StructureDefinition/Procedure-surgery-eu-i4rc##34#</v>
      </c>
    </row>
    <row r="18" spans="2:7">
      <c r="B18" s="121"/>
    </row>
    <row r="19" spans="2:7">
      <c r="B19" s="12" t="str">
        <f>IF('Surgery-ConceptMap-1'!S15=0,"//---END",'Surgery-ConceptMap-1'!S15)</f>
        <v>* group[=].element[+].code = #SurgeryI4rc.episodeEventReference</v>
      </c>
    </row>
    <row r="20" spans="2:7">
      <c r="B20" s="12" t="str">
        <f>IF('Surgery-ConceptMap-1'!S16=0,"//---END",'Surgery-ConceptMap-1'!S16)</f>
        <v>* group[=].element[=].display = ##34#Episode Event reference##34#</v>
      </c>
    </row>
    <row r="21" spans="2:7">
      <c r="B21" s="12" t="str">
        <f>IF('Surgery-ConceptMap-1'!S17=0,"//---END",'Surgery-ConceptMap-1'!S17)</f>
        <v>* group[=].element[=].target.code = #Procedure.reasonReference</v>
      </c>
    </row>
    <row r="22" spans="2:7">
      <c r="B22" s="12" t="str">
        <f>IF('Surgery-ConceptMap-1'!S18=0,"//---END",'Surgery-ConceptMap-1'!S18)</f>
        <v>* group[=].element[=].target.display = ##34###34#</v>
      </c>
    </row>
    <row r="23" spans="2:7">
      <c r="B23" s="12" t="str">
        <f>IF('Surgery-ConceptMap-1'!S19=0,"//---END",'Surgery-ConceptMap-1'!S19)</f>
        <v>* group[=].element[=].target.equivalence = #relatedto</v>
      </c>
    </row>
    <row r="24" spans="2:7">
      <c r="B24" s="12" t="str">
        <f>IF('Surgery-ConceptMap-1'!S20=0,"//---END",'Surgery-ConceptMap-1'!S20)</f>
        <v/>
      </c>
      <c r="G24" s="7"/>
    </row>
    <row r="25" spans="2:7">
      <c r="B25" s="12" t="str">
        <f>IF('Surgery-ConceptMap-1'!S21=0,"//---END",'Surgery-ConceptMap-1'!S21)</f>
        <v>* group[=].element[+].code = #SurgeryI4rc.surgery</v>
      </c>
    </row>
    <row r="26" spans="2:7">
      <c r="B26" s="12" t="str">
        <f>IF('Surgery-ConceptMap-1'!S22=0,"//---END",'Surgery-ConceptMap-1'!S22)</f>
        <v>* group[=].element[=].display = ##34#Surgery##34#</v>
      </c>
    </row>
    <row r="27" spans="2:7">
      <c r="B27" s="12" t="str">
        <f>IF('Surgery-ConceptMap-1'!S23=0,"//---END",'Surgery-ConceptMap-1'!S23)</f>
        <v>* group[=].element[=].target.code = #Procedure.extension:ProcedureCategoryR5</v>
      </c>
    </row>
    <row r="28" spans="2:7">
      <c r="B28" s="12" t="str">
        <f>IF('Surgery-ConceptMap-1'!S24=0,"//---END",'Surgery-ConceptMap-1'!S24)</f>
        <v>* group[=].element[=].target.display = ##34###34#</v>
      </c>
    </row>
    <row r="29" spans="2:7">
      <c r="B29" s="12" t="str">
        <f>IF('Surgery-ConceptMap-1'!S25=0,"//---END",'Surgery-ConceptMap-1'!S25)</f>
        <v>* group[=].element[=].target.equivalence = #relatedto</v>
      </c>
    </row>
    <row r="30" spans="2:7" ht="29.5">
      <c r="B30" s="12" t="str">
        <f>IF('Surgery-ConceptMap-1'!S26=0,"//---END",'Surgery-ConceptMap-1'!S26)</f>
        <v>* group[=].element[=].target.comment = ##34#to be analyzed: add a slice to the category.coding or derive this from a combination of elements or use other cathegories (R5 extension)##34#</v>
      </c>
    </row>
    <row r="31" spans="2:7">
      <c r="B31" s="12" t="str">
        <f>IF('Surgery-ConceptMap-1'!S27=0,"//---END",'Surgery-ConceptMap-1'!S27)</f>
        <v>* group[=].element[+].code = #SurgeryI4rc.dateOfSurgery</v>
      </c>
    </row>
    <row r="32" spans="2:7">
      <c r="B32" s="12" t="str">
        <f>IF('Surgery-ConceptMap-1'!S28=0,"//---END",'Surgery-ConceptMap-1'!S28)</f>
        <v>* group[=].element[=].display = ##34#Date of surgery##34#</v>
      </c>
    </row>
    <row r="33" spans="2:2">
      <c r="B33" s="12" t="str">
        <f>IF('Surgery-ConceptMap-1'!S29=0,"//---END",'Surgery-ConceptMap-1'!S29)</f>
        <v>* group[=].element[=].target.code = #Procedure. performedDateTime</v>
      </c>
    </row>
    <row r="34" spans="2:2">
      <c r="B34" s="12" t="str">
        <f>IF('Surgery-ConceptMap-1'!S30=0,"//---END",'Surgery-ConceptMap-1'!S30)</f>
        <v>* group[=].element[=].target.display = ##34###34#</v>
      </c>
    </row>
    <row r="35" spans="2:2">
      <c r="B35" s="12" t="str">
        <f>IF('Surgery-ConceptMap-1'!S31=0,"//---END",'Surgery-ConceptMap-1'!S31)</f>
        <v>* group[=].element[=].target.equivalence = #equal</v>
      </c>
    </row>
    <row r="36" spans="2:2">
      <c r="B36" s="12" t="str">
        <f>IF('Surgery-ConceptMap-1'!S32=0,"//---END",'Surgery-ConceptMap-1'!S32)</f>
        <v/>
      </c>
    </row>
    <row r="37" spans="2:2">
      <c r="B37" s="12" t="str">
        <f>IF('Surgery-ConceptMap-1'!S33=0,"//---END",'Surgery-ConceptMap-1'!S33)</f>
        <v>* group[=].element[+].code = #SurgeryI4rc.surgeryIntention</v>
      </c>
    </row>
    <row r="38" spans="2:2">
      <c r="B38" s="12" t="str">
        <f>IF('Surgery-ConceptMap-1'!S34=0,"//---END",'Surgery-ConceptMap-1'!S34)</f>
        <v>* group[=].element[=].display = ##34#Surgery intention##34#</v>
      </c>
    </row>
    <row r="39" spans="2:2">
      <c r="B39" s="12" t="str">
        <f>IF('Surgery-ConceptMap-1'!S35=0,"//---END",'Surgery-ConceptMap-1'!S35)</f>
        <v>* group[=].element[=].target.code = #Procedure.code</v>
      </c>
    </row>
    <row r="40" spans="2:2">
      <c r="B40" s="12" t="str">
        <f>IF('Surgery-ConceptMap-1'!S36=0,"//---END",'Surgery-ConceptMap-1'!S36)</f>
        <v>* group[=].element[=].target.display = ##34###34#</v>
      </c>
    </row>
    <row r="41" spans="2:2">
      <c r="B41" s="12" t="str">
        <f>IF('Surgery-ConceptMap-1'!S37=0,"//---END",'Surgery-ConceptMap-1'!S37)</f>
        <v>* group[=].element[=].target.equivalence = #relatedto</v>
      </c>
    </row>
    <row r="42" spans="2:2" ht="29.5">
      <c r="B42" s="12" t="str">
        <f>IF('Surgery-ConceptMap-1'!S38=0,"//---END",'Surgery-ConceptMap-1'!S38)</f>
        <v>* group[=].element[=].target.comment = ##34#to be analized: add a slice to code or consider to define an extension for this (or cathegories (R5 extension)) ?##34#</v>
      </c>
    </row>
    <row r="43" spans="2:2">
      <c r="B43" s="12" t="str">
        <f>IF('Surgery-ConceptMap-1'!S39=0,"//---END",'Surgery-ConceptMap-1'!S39)</f>
        <v>* group[=].element[+].code = #SurgeryI4rc.typeOfSurgicalApproachOnTumour</v>
      </c>
    </row>
    <row r="44" spans="2:2">
      <c r="B44" s="12" t="str">
        <f>IF('Surgery-ConceptMap-1'!S40=0,"//---END",'Surgery-ConceptMap-1'!S40)</f>
        <v>* group[=].element[=].display = ##34#Type of surgical approach on Tumour##34#</v>
      </c>
    </row>
    <row r="45" spans="2:2">
      <c r="B45" s="12" t="str">
        <f>IF('Surgery-ConceptMap-1'!S41=0,"//---END",'Surgery-ConceptMap-1'!S41)</f>
        <v>* group[=].element[=].target.code = #Procedure.extension:procedure-approachBodyStructure</v>
      </c>
    </row>
    <row r="46" spans="2:2">
      <c r="B46" s="12" t="str">
        <f>IF('Surgery-ConceptMap-1'!S42=0,"//---END",'Surgery-ConceptMap-1'!S42)</f>
        <v>* group[=].element[=].target.display = ##34###34#</v>
      </c>
    </row>
    <row r="47" spans="2:2">
      <c r="B47" s="12" t="str">
        <f>IF('Surgery-ConceptMap-1'!S43=0,"//---END",'Surgery-ConceptMap-1'!S43)</f>
        <v>* group[=].element[=].target.equivalence = #relatedto</v>
      </c>
    </row>
    <row r="48" spans="2:2">
      <c r="B48" s="12" t="str">
        <f>IF('Surgery-ConceptMap-1'!S44=0,"//---END",'Surgery-ConceptMap-1'!S44)</f>
        <v>* group[=].element[=].target.comment = ##34#to be analized: the traget is a bodyStructure.. Maybe too much for justconveying a code ?##34#</v>
      </c>
    </row>
    <row r="49" spans="2:2">
      <c r="B49" s="12" t="str">
        <f>IF('Surgery-ConceptMap-1'!S45=0,"//---END",'Surgery-ConceptMap-1'!S45)</f>
        <v>* group[=].element[+].code = #SurgeryI4rc.marginsAfterSurgery</v>
      </c>
    </row>
    <row r="50" spans="2:2">
      <c r="B50" s="12" t="str">
        <f>IF('Surgery-ConceptMap-1'!S46=0,"//---END",'Surgery-ConceptMap-1'!S46)</f>
        <v>* group[=].element[=].display = ##34#Margins after surgery##34#</v>
      </c>
    </row>
    <row r="51" spans="2:2">
      <c r="B51" s="12" t="str">
        <f>IF('Surgery-ConceptMap-1'!S47=0,"//---END",'Surgery-ConceptMap-1'!S47)</f>
        <v>* group[=].element[=].target.code = #Procedure.outcome</v>
      </c>
    </row>
    <row r="52" spans="2:2">
      <c r="B52" s="12" t="str">
        <f>IF('Surgery-ConceptMap-1'!S48=0,"//---END",'Surgery-ConceptMap-1'!S48)</f>
        <v>* group[=].element[=].target.display = ##34###34#</v>
      </c>
    </row>
    <row r="53" spans="2:2">
      <c r="B53" s="12" t="str">
        <f>IF('Surgery-ConceptMap-1'!S49=0,"//---END",'Surgery-ConceptMap-1'!S49)</f>
        <v>* group[=].element[=].target.equivalence = #relatedto</v>
      </c>
    </row>
    <row r="54" spans="2:2">
      <c r="B54" s="12" t="str">
        <f>IF('Surgery-ConceptMap-1'!S50=0,"//---END",'Surgery-ConceptMap-1'!S50)</f>
        <v/>
      </c>
    </row>
    <row r="55" spans="2:2">
      <c r="B55" s="12" t="str">
        <f>IF('Surgery-ConceptMap-1'!S51=0,"//---END",'Surgery-ConceptMap-1'!S51)</f>
        <v>* group[=].element[+].code = #SurgeryI4rc.reconstruction</v>
      </c>
    </row>
    <row r="56" spans="2:2">
      <c r="B56" s="12" t="str">
        <f>IF('Surgery-ConceptMap-1'!S52=0,"//---END",'Surgery-ConceptMap-1'!S52)</f>
        <v>* group[=].element[=].display = ##34#Reconstruction##34#</v>
      </c>
    </row>
    <row r="57" spans="2:2">
      <c r="B57" s="12" t="str">
        <f>IF('Surgery-ConceptMap-1'!S53=0,"//---END",'Surgery-ConceptMap-1'!S53)</f>
        <v>* group[=].element[=].target.code = #Procedure.</v>
      </c>
    </row>
    <row r="58" spans="2:2">
      <c r="B58" s="12" t="str">
        <f>IF('Surgery-ConceptMap-1'!S54=0,"//---END",'Surgery-ConceptMap-1'!S54)</f>
        <v>* group[=].element[=].target.display = ##34###34#</v>
      </c>
    </row>
    <row r="59" spans="2:2">
      <c r="B59" s="12" t="str">
        <f>IF('Surgery-ConceptMap-1'!S55=0,"//---END",'Surgery-ConceptMap-1'!S55)</f>
        <v>* group[=].element[=].target.equivalence = #relatedto</v>
      </c>
    </row>
    <row r="60" spans="2:2">
      <c r="B60" s="12" t="str">
        <f>IF('Surgery-ConceptMap-1'!S56=0,"//---END",'Surgery-ConceptMap-1'!S56)</f>
        <v>* group[=].element[=].target.comment = ##34#TO BE ANALIZED##34#</v>
      </c>
    </row>
    <row r="61" spans="2:2">
      <c r="B61" s="12" t="str">
        <f>IF('Surgery-ConceptMap-1'!S57=0,"//---END",'Surgery-ConceptMap-1'!S57)</f>
        <v>* group[=].element[+].code = #SurgeryI4rc.neckSurgery</v>
      </c>
    </row>
    <row r="62" spans="2:2">
      <c r="B62" s="12" t="str">
        <f>IF('Surgery-ConceptMap-1'!S58=0,"//---END",'Surgery-ConceptMap-1'!S58)</f>
        <v>* group[=].element[=].display = ##34#Neck surgery##34#</v>
      </c>
    </row>
    <row r="63" spans="2:2">
      <c r="B63" s="12" t="str">
        <f>IF('Surgery-ConceptMap-1'!S59=0,"//---END",'Surgery-ConceptMap-1'!S59)</f>
        <v>* group[=].element[=].target.code = #Procedure.</v>
      </c>
    </row>
    <row r="64" spans="2:2">
      <c r="B64" s="12" t="str">
        <f>IF('Surgery-ConceptMap-1'!S60=0,"//---END",'Surgery-ConceptMap-1'!S60)</f>
        <v>* group[=].element[=].target.display = ##34###34#</v>
      </c>
    </row>
    <row r="65" spans="2:2">
      <c r="B65" s="12" t="str">
        <f>IF('Surgery-ConceptMap-1'!S61=0,"//---END",'Surgery-ConceptMap-1'!S61)</f>
        <v>* group[=].element[=].target.equivalence = #relatedto</v>
      </c>
    </row>
    <row r="66" spans="2:2">
      <c r="B66" s="12" t="str">
        <f>IF('Surgery-ConceptMap-1'!S62=0,"//---END",'Surgery-ConceptMap-1'!S62)</f>
        <v>* group[=].element[=].target.comment = ##34#a surgical proceudre exists with bodySite = neck##34#</v>
      </c>
    </row>
    <row r="67" spans="2:2">
      <c r="B67" s="12" t="str">
        <f>IF('Surgery-ConceptMap-1'!S63=0,"//---END",'Surgery-ConceptMap-1'!S63)</f>
        <v>* group[=].element[+].code = #SurgeryI4rc.dateOfNeckSurgey</v>
      </c>
    </row>
    <row r="68" spans="2:2">
      <c r="B68" s="12" t="str">
        <f>IF('Surgery-ConceptMap-1'!S64=0,"//---END",'Surgery-ConceptMap-1'!S64)</f>
        <v>* group[=].element[=].display = ##34#Date of Neck surgey##34#</v>
      </c>
    </row>
    <row r="69" spans="2:2">
      <c r="B69" s="12" t="str">
        <f>IF('Surgery-ConceptMap-1'!S65=0,"//---END",'Surgery-ConceptMap-1'!S65)</f>
        <v>* group[=].element[=].target.code = #Procedure. performedDateTime</v>
      </c>
    </row>
    <row r="70" spans="2:2">
      <c r="B70" s="12" t="str">
        <f>IF('Surgery-ConceptMap-1'!S66=0,"//---END",'Surgery-ConceptMap-1'!S66)</f>
        <v>* group[=].element[=].target.display = ##34###34#</v>
      </c>
    </row>
    <row r="71" spans="2:2">
      <c r="B71" s="12" t="str">
        <f>IF('Surgery-ConceptMap-1'!S67=0,"//---END",'Surgery-ConceptMap-1'!S67)</f>
        <v>* group[=].element[=].target.equivalence = #equal</v>
      </c>
    </row>
    <row r="72" spans="2:2">
      <c r="B72" s="12" t="str">
        <f>IF('Surgery-ConceptMap-1'!S68=0,"//---END",'Surgery-ConceptMap-1'!S68)</f>
        <v>* group[=].element[=].target.comment = ##34#how this differs fomr the dateOfSurgery ?##34#</v>
      </c>
    </row>
    <row r="73" spans="2:2">
      <c r="B73" s="12" t="str">
        <f>IF('Surgery-ConceptMap-1'!S69=0,"//---END",'Surgery-ConceptMap-1'!S69)</f>
        <v>* group[=].element[+].code = #SurgeryI4rc.lateralityOfTheDissection</v>
      </c>
    </row>
    <row r="74" spans="2:2">
      <c r="B74" s="12" t="str">
        <f>IF('Surgery-ConceptMap-1'!S70=0,"//---END",'Surgery-ConceptMap-1'!S70)</f>
        <v>* group[=].element[=].display = ##34#Laterality of the dissection##34#</v>
      </c>
    </row>
    <row r="75" spans="2:2">
      <c r="B75" s="12" t="str">
        <f>IF('Surgery-ConceptMap-1'!S71=0,"//---END",'Surgery-ConceptMap-1'!S71)</f>
        <v>* group[=].element[=].target.code = #Procedure.bodySite.extension:laterality</v>
      </c>
    </row>
    <row r="76" spans="2:2">
      <c r="B76" s="12" t="str">
        <f>IF('Surgery-ConceptMap-1'!S72=0,"//---END",'Surgery-ConceptMap-1'!S72)</f>
        <v>* group[=].element[=].target.display = ##34###34#</v>
      </c>
    </row>
    <row r="77" spans="2:2">
      <c r="B77" s="12" t="str">
        <f>IF('Surgery-ConceptMap-1'!S73=0,"//---END",'Surgery-ConceptMap-1'!S73)</f>
        <v>* group[=].element[=].target.equivalence = #relatedto</v>
      </c>
    </row>
    <row r="78" spans="2:2">
      <c r="B78" s="12" t="str">
        <f>IF('Surgery-ConceptMap-1'!S74=0,"//---END",'Surgery-ConceptMap-1'!S74)</f>
        <v/>
      </c>
    </row>
    <row r="79" spans="2:2">
      <c r="B79" s="12" t="str">
        <f>IF('Surgery-ConceptMap-1'!S75=0,"//---END",'Surgery-ConceptMap-1'!S75)</f>
        <v>* group[=].element[+].code = #SurgeryI4rc.surgeryOnM</v>
      </c>
    </row>
    <row r="80" spans="2:2">
      <c r="B80" s="12" t="str">
        <f>IF('Surgery-ConceptMap-1'!S76=0,"//---END",'Surgery-ConceptMap-1'!S76)</f>
        <v>* group[=].element[=].display = ##34#Surgery on M##34#</v>
      </c>
    </row>
    <row r="81" spans="2:2">
      <c r="B81" s="12" t="str">
        <f>IF('Surgery-ConceptMap-1'!S77=0,"//---END",'Surgery-ConceptMap-1'!S77)</f>
        <v>* group[=].element[=].target.code = #Procedure.</v>
      </c>
    </row>
    <row r="82" spans="2:2">
      <c r="B82" s="12" t="str">
        <f>IF('Surgery-ConceptMap-1'!S78=0,"//---END",'Surgery-ConceptMap-1'!S78)</f>
        <v>* group[=].element[=].target.display = ##34###34#</v>
      </c>
    </row>
    <row r="83" spans="2:2">
      <c r="B83" s="12" t="str">
        <f>IF('Surgery-ConceptMap-1'!S79=0,"//---END",'Surgery-ConceptMap-1'!S79)</f>
        <v>* group[=].element[=].target.equivalence = #relatedto</v>
      </c>
    </row>
    <row r="84" spans="2:2" ht="44.25">
      <c r="B84" s="12" t="str">
        <f>IF('Surgery-ConceptMap-1'!S80=0,"//---END",'Surgery-ConceptMap-1'!S80)</f>
        <v>* group[=].element[=].target.comment = ##34#TO BE ANALYZED:
a surgical proceudre exists with resonReference the metstatic condition
or a surgical proceudre exists with  reasonCode = metastatis##34#</v>
      </c>
    </row>
    <row r="85" spans="2:2">
      <c r="B85" s="12" t="str">
        <f>IF('Surgery-ConceptMap-1'!S81=0,"//---END",'Surgery-ConceptMap-1'!S81)</f>
        <v>* group[=].element[+].code = #SurgeryI4rc.dateOfSurgeryOnM</v>
      </c>
    </row>
    <row r="86" spans="2:2">
      <c r="B86" s="12" t="str">
        <f>IF('Surgery-ConceptMap-1'!S82=0,"//---END",'Surgery-ConceptMap-1'!S82)</f>
        <v>* group[=].element[=].display = ##34#Date of surgery on M##34#</v>
      </c>
    </row>
    <row r="87" spans="2:2">
      <c r="B87" s="12" t="str">
        <f>IF('Surgery-ConceptMap-1'!S83=0,"//---END",'Surgery-ConceptMap-1'!S83)</f>
        <v>* group[=].element[=].target.code = #Procedure.</v>
      </c>
    </row>
    <row r="88" spans="2:2">
      <c r="B88" s="12" t="str">
        <f>IF('Surgery-ConceptMap-1'!S84=0,"//---END",'Surgery-ConceptMap-1'!S84)</f>
        <v>* group[=].element[=].target.display = ##34###34#</v>
      </c>
    </row>
    <row r="89" spans="2:2">
      <c r="B89" s="12" t="str">
        <f>IF('Surgery-ConceptMap-1'!S85=0,"//---END",'Surgery-ConceptMap-1'!S85)</f>
        <v>* group[=].element[=].target.equivalence = #relatedto</v>
      </c>
    </row>
    <row r="90" spans="2:2">
      <c r="B90" s="12" t="str">
        <f>IF('Surgery-ConceptMap-1'!S86=0,"//---END",'Surgery-ConceptMap-1'!S86)</f>
        <v>* group[=].element[=].target.comment = ##34#how this differs fomr the dateOfSurgery ?##34#</v>
      </c>
    </row>
    <row r="91" spans="2:2">
      <c r="B91" s="12" t="str">
        <f>IF('Surgery-ConceptMap-1'!S87=0,"//---END",'Surgery-ConceptMap-1'!S87)</f>
        <v>* group[=].element[+].code = #SurgeryI4rc.siteOfSurgeryOnMetastasis</v>
      </c>
    </row>
    <row r="92" spans="2:2">
      <c r="B92" s="12" t="str">
        <f>IF('Surgery-ConceptMap-1'!S88=0,"//---END",'Surgery-ConceptMap-1'!S88)</f>
        <v>* group[=].element[=].display = ##34#Site of surgery on metastasis##34#</v>
      </c>
    </row>
    <row r="93" spans="2:2">
      <c r="B93" s="12" t="str">
        <f>IF('Surgery-ConceptMap-1'!S89=0,"//---END",'Surgery-ConceptMap-1'!S89)</f>
        <v>* group[=].element[=].target.code = #Procedure.bodySite</v>
      </c>
    </row>
    <row r="94" spans="2:2">
      <c r="B94" s="12" t="str">
        <f>IF('Surgery-ConceptMap-1'!S90=0,"//---END",'Surgery-ConceptMap-1'!S90)</f>
        <v>* group[=].element[=].target.display = ##34###34#</v>
      </c>
    </row>
    <row r="95" spans="2:2">
      <c r="B95" s="12" t="str">
        <f>IF('Surgery-ConceptMap-1'!S91=0,"//---END",'Surgery-ConceptMap-1'!S91)</f>
        <v>* group[=].element[=].target.equivalence = #equivalent</v>
      </c>
    </row>
    <row r="96" spans="2:2">
      <c r="B96" s="12" t="str">
        <f>IF('Surgery-ConceptMap-1'!S92=0,"//---END",'Surgery-ConceptMap-1'!S92)</f>
        <v/>
      </c>
    </row>
    <row r="97" spans="2:2">
      <c r="B97" s="12" t="str">
        <f>IF('Surgery-ConceptMap-1'!S93=0,"//---END",'Surgery-ConceptMap-1'!S93)</f>
        <v>* group[=].element[+].code = #SurgeryI4rc.siteOfSurgeryOnMetastasis.softTissue</v>
      </c>
    </row>
    <row r="98" spans="2:2">
      <c r="B98" s="12" t="str">
        <f>IF('Surgery-ConceptMap-1'!S94=0,"//---END",'Surgery-ConceptMap-1'!S94)</f>
        <v>* group[=].element[=].display = ##34#Site of surgery on metastasis_soft tissue##34#</v>
      </c>
    </row>
    <row r="99" spans="2:2">
      <c r="B99" s="12" t="str">
        <f>IF('Surgery-ConceptMap-1'!S95=0,"//---END",'Surgery-ConceptMap-1'!S95)</f>
        <v>* group[=].element[=].target.code = #Procedure.bodySite</v>
      </c>
    </row>
    <row r="100" spans="2:2">
      <c r="B100" s="12" t="str">
        <f>IF('Surgery-ConceptMap-1'!S96=0,"//---END",'Surgery-ConceptMap-1'!S96)</f>
        <v>* group[=].element[=].target.display = ##34###34#</v>
      </c>
    </row>
    <row r="101" spans="2:2">
      <c r="B101" s="12" t="str">
        <f>IF('Surgery-ConceptMap-1'!S97=0,"//---END",'Surgery-ConceptMap-1'!S97)</f>
        <v>* group[=].element[=].target.equivalence = #equivalent</v>
      </c>
    </row>
    <row r="102" spans="2:2">
      <c r="B102" s="12" t="str">
        <f>IF('Surgery-ConceptMap-1'!S98=0,"//---END",'Surgery-ConceptMap-1'!S98)</f>
        <v/>
      </c>
    </row>
    <row r="103" spans="2:2">
      <c r="B103" s="12" t="str">
        <f>IF('Surgery-ConceptMap-1'!S99=0,"//---END",'Surgery-ConceptMap-1'!S99)</f>
        <v>* group[=].element[+].code = #SurgeryI4rc.siteOfSurgeryOnMetastasis.distantLymphNodes</v>
      </c>
    </row>
    <row r="104" spans="2:2">
      <c r="B104" s="12" t="str">
        <f>IF('Surgery-ConceptMap-1'!S100=0,"//---END",'Surgery-ConceptMap-1'!S100)</f>
        <v>* group[=].element[=].display = ##34#Site of surgery on metastasis_distant lymph nodes##34#</v>
      </c>
    </row>
    <row r="105" spans="2:2">
      <c r="B105" s="12" t="str">
        <f>IF('Surgery-ConceptMap-1'!S101=0,"//---END",'Surgery-ConceptMap-1'!S101)</f>
        <v>* group[=].element[=].target.code = #Procedure.bodySite</v>
      </c>
    </row>
    <row r="106" spans="2:2">
      <c r="B106" s="12" t="str">
        <f>IF('Surgery-ConceptMap-1'!S102=0,"//---END",'Surgery-ConceptMap-1'!S102)</f>
        <v>* group[=].element[=].target.display = ##34###34#</v>
      </c>
    </row>
    <row r="107" spans="2:2">
      <c r="B107" s="12" t="str">
        <f>IF('Surgery-ConceptMap-1'!S103=0,"//---END",'Surgery-ConceptMap-1'!S103)</f>
        <v>* group[=].element[=].target.equivalence = #equivalent</v>
      </c>
    </row>
    <row r="108" spans="2:2">
      <c r="B108" s="12" t="str">
        <f>IF('Surgery-ConceptMap-1'!S104=0,"//---END",'Surgery-ConceptMap-1'!S104)</f>
        <v/>
      </c>
    </row>
    <row r="109" spans="2:2">
      <c r="B109" s="12" t="str">
        <f>IF('Surgery-ConceptMap-1'!S105=0,"//---END",'Surgery-ConceptMap-1'!S105)</f>
        <v>* group[=].element[+].code = #SurgeryI4rc.siteOfSurgeryOnMetastasis.lung</v>
      </c>
    </row>
    <row r="110" spans="2:2">
      <c r="B110" s="12" t="str">
        <f>IF('Surgery-ConceptMap-1'!S106=0,"//---END",'Surgery-ConceptMap-1'!S106)</f>
        <v>* group[=].element[=].display = ##34#Site of surgery on metastasis_lung##34#</v>
      </c>
    </row>
    <row r="111" spans="2:2">
      <c r="B111" s="12" t="str">
        <f>IF('Surgery-ConceptMap-1'!S107=0,"//---END",'Surgery-ConceptMap-1'!S107)</f>
        <v>* group[=].element[=].target.code = #Procedure.bodySite</v>
      </c>
    </row>
    <row r="112" spans="2:2">
      <c r="B112" s="12" t="str">
        <f>IF('Surgery-ConceptMap-1'!S108=0,"//---END",'Surgery-ConceptMap-1'!S108)</f>
        <v>* group[=].element[=].target.display = ##34###34#</v>
      </c>
    </row>
    <row r="113" spans="2:2">
      <c r="B113" s="12" t="str">
        <f>IF('Surgery-ConceptMap-1'!S109=0,"//---END",'Surgery-ConceptMap-1'!S109)</f>
        <v>* group[=].element[=].target.equivalence = #equivalent</v>
      </c>
    </row>
    <row r="114" spans="2:2">
      <c r="B114" s="12" t="str">
        <f>IF('Surgery-ConceptMap-1'!S110=0,"//---END",'Surgery-ConceptMap-1'!S110)</f>
        <v/>
      </c>
    </row>
    <row r="115" spans="2:2">
      <c r="B115" s="12" t="str">
        <f>IF('Surgery-ConceptMap-1'!S111=0,"//---END",'Surgery-ConceptMap-1'!S111)</f>
        <v>* group[=].element[+].code = #SurgeryI4rc.siteOfSurgeryOnMetastasis.bone</v>
      </c>
    </row>
    <row r="116" spans="2:2">
      <c r="B116" s="12" t="str">
        <f>IF('Surgery-ConceptMap-1'!S112=0,"//---END",'Surgery-ConceptMap-1'!S112)</f>
        <v>* group[=].element[=].display = ##34#Site of surgery on metastasis_bone##34#</v>
      </c>
    </row>
    <row r="117" spans="2:2">
      <c r="B117" s="12" t="str">
        <f>IF('Surgery-ConceptMap-1'!S113=0,"//---END",'Surgery-ConceptMap-1'!S113)</f>
        <v>* group[=].element[=].target.code = #Procedure.bodySite</v>
      </c>
    </row>
    <row r="118" spans="2:2">
      <c r="B118" s="12" t="str">
        <f>IF('Surgery-ConceptMap-1'!S114=0,"//---END",'Surgery-ConceptMap-1'!S114)</f>
        <v>* group[=].element[=].target.display = ##34###34#</v>
      </c>
    </row>
    <row r="119" spans="2:2">
      <c r="B119" s="12" t="str">
        <f>IF('Surgery-ConceptMap-1'!S115=0,"//---END",'Surgery-ConceptMap-1'!S115)</f>
        <v>* group[=].element[=].target.equivalence = #equivalent</v>
      </c>
    </row>
    <row r="120" spans="2:2">
      <c r="B120" s="12" t="str">
        <f>IF('Surgery-ConceptMap-1'!S116=0,"//---END",'Surgery-ConceptMap-1'!S116)</f>
        <v/>
      </c>
    </row>
    <row r="121" spans="2:2">
      <c r="B121" s="12" t="str">
        <f>IF('Surgery-ConceptMap-1'!S117=0,"//---END",'Surgery-ConceptMap-1'!S117)</f>
        <v>* group[=].element[+].code = #SurgeryI4rc.siteOfSurgeryOnMetastasis.liver</v>
      </c>
    </row>
    <row r="122" spans="2:2">
      <c r="B122" s="12" t="str">
        <f>IF('Surgery-ConceptMap-1'!S118=0,"//---END",'Surgery-ConceptMap-1'!S118)</f>
        <v>* group[=].element[=].display = ##34#Site of surgery on metastasis_liver##34#</v>
      </c>
    </row>
    <row r="123" spans="2:2">
      <c r="B123" s="12" t="str">
        <f>IF('Surgery-ConceptMap-1'!S119=0,"//---END",'Surgery-ConceptMap-1'!S119)</f>
        <v>* group[=].element[=].target.code = #Procedure.bodySite</v>
      </c>
    </row>
    <row r="124" spans="2:2">
      <c r="B124" s="12" t="str">
        <f>IF('Surgery-ConceptMap-1'!S120=0,"//---END",'Surgery-ConceptMap-1'!S120)</f>
        <v>* group[=].element[=].target.display = ##34###34#</v>
      </c>
    </row>
    <row r="125" spans="2:2">
      <c r="B125" s="12" t="str">
        <f>IF('Surgery-ConceptMap-1'!S121=0,"//---END",'Surgery-ConceptMap-1'!S121)</f>
        <v>* group[=].element[=].target.equivalence = #equivalent</v>
      </c>
    </row>
    <row r="126" spans="2:2">
      <c r="B126" s="12" t="str">
        <f>IF('Surgery-ConceptMap-1'!S122=0,"//---END",'Surgery-ConceptMap-1'!S122)</f>
        <v/>
      </c>
    </row>
    <row r="127" spans="2:2">
      <c r="B127" s="12" t="str">
        <f>IF('Surgery-ConceptMap-1'!S123=0,"//---END",'Surgery-ConceptMap-1'!S123)</f>
        <v>* group[=].element[+].code = #SurgeryI4rc.siteOfSurgeryOnMetastasis.pleura</v>
      </c>
    </row>
    <row r="128" spans="2:2">
      <c r="B128" s="12" t="str">
        <f>IF('Surgery-ConceptMap-1'!S124=0,"//---END",'Surgery-ConceptMap-1'!S124)</f>
        <v>* group[=].element[=].display = ##34#Site of surgery on metastasis_pleura##34#</v>
      </c>
    </row>
    <row r="129" spans="2:2">
      <c r="B129" s="12" t="str">
        <f>IF('Surgery-ConceptMap-1'!S125=0,"//---END",'Surgery-ConceptMap-1'!S125)</f>
        <v>* group[=].element[=].target.code = #Procedure.bodySite</v>
      </c>
    </row>
    <row r="130" spans="2:2">
      <c r="B130" s="12" t="str">
        <f>IF('Surgery-ConceptMap-1'!S126=0,"//---END",'Surgery-ConceptMap-1'!S126)</f>
        <v>* group[=].element[=].target.display = ##34###34#</v>
      </c>
    </row>
    <row r="131" spans="2:2">
      <c r="B131" s="12" t="str">
        <f>IF('Surgery-ConceptMap-1'!S127=0,"//---END",'Surgery-ConceptMap-1'!S127)</f>
        <v>* group[=].element[=].target.equivalence = #equivalent</v>
      </c>
    </row>
    <row r="132" spans="2:2">
      <c r="B132" s="12" t="str">
        <f>IF('Surgery-ConceptMap-1'!S128=0,"//---END",'Surgery-ConceptMap-1'!S128)</f>
        <v/>
      </c>
    </row>
    <row r="133" spans="2:2">
      <c r="B133" s="12" t="str">
        <f>IF('Surgery-ConceptMap-1'!S129=0,"//---END",'Surgery-ConceptMap-1'!S129)</f>
        <v>* group[=].element[+].code = #SurgeryI4rc.siteOfSurgeryOnMetastasis.peritoneum</v>
      </c>
    </row>
    <row r="134" spans="2:2">
      <c r="B134" s="12" t="str">
        <f>IF('Surgery-ConceptMap-1'!S130=0,"//---END",'Surgery-ConceptMap-1'!S130)</f>
        <v>* group[=].element[=].display = ##34#Site of surgery on metastasis_peritoneum##34#</v>
      </c>
    </row>
    <row r="135" spans="2:2">
      <c r="B135" s="12" t="str">
        <f>IF('Surgery-ConceptMap-1'!S131=0,"//---END",'Surgery-ConceptMap-1'!S131)</f>
        <v>* group[=].element[=].target.code = #Procedure.bodySite</v>
      </c>
    </row>
    <row r="136" spans="2:2">
      <c r="B136" s="12" t="str">
        <f>IF('Surgery-ConceptMap-1'!S132=0,"//---END",'Surgery-ConceptMap-1'!S132)</f>
        <v>* group[=].element[=].target.display = ##34###34#</v>
      </c>
    </row>
    <row r="137" spans="2:2">
      <c r="B137" s="12" t="str">
        <f>IF('Surgery-ConceptMap-1'!S133=0,"//---END",'Surgery-ConceptMap-1'!S133)</f>
        <v>* group[=].element[=].target.equivalence = #equivalent</v>
      </c>
    </row>
    <row r="138" spans="2:2">
      <c r="B138" s="12" t="str">
        <f>IF('Surgery-ConceptMap-1'!S134=0,"//---END",'Surgery-ConceptMap-1'!S134)</f>
        <v/>
      </c>
    </row>
    <row r="139" spans="2:2">
      <c r="B139" s="12" t="str">
        <f>IF('Surgery-ConceptMap-1'!S135=0,"//---END",'Surgery-ConceptMap-1'!S135)</f>
        <v>* group[=].element[+].code = #SurgeryI4rc.siteOfSurgeryOnMetastasis.brain</v>
      </c>
    </row>
    <row r="140" spans="2:2">
      <c r="B140" s="12" t="str">
        <f>IF('Surgery-ConceptMap-1'!S136=0,"//---END",'Surgery-ConceptMap-1'!S136)</f>
        <v>* group[=].element[=].display = ##34#Site of surgery on metastasis_brain##34#</v>
      </c>
    </row>
    <row r="141" spans="2:2">
      <c r="B141" s="12" t="str">
        <f>IF('Surgery-ConceptMap-1'!S137=0,"//---END",'Surgery-ConceptMap-1'!S137)</f>
        <v>* group[=].element[=].target.code = #Procedure.bodySite</v>
      </c>
    </row>
    <row r="142" spans="2:2">
      <c r="B142" s="12" t="str">
        <f>IF('Surgery-ConceptMap-1'!S138=0,"//---END",'Surgery-ConceptMap-1'!S138)</f>
        <v>* group[=].element[=].target.display = ##34###34#</v>
      </c>
    </row>
    <row r="143" spans="2:2">
      <c r="B143" s="12" t="str">
        <f>IF('Surgery-ConceptMap-1'!S139=0,"//---END",'Surgery-ConceptMap-1'!S139)</f>
        <v>* group[=].element[=].target.equivalence = #equivalent</v>
      </c>
    </row>
    <row r="144" spans="2:2">
      <c r="B144" s="12" t="str">
        <f>IF('Surgery-ConceptMap-1'!S140=0,"//---END",'Surgery-ConceptMap-1'!S140)</f>
        <v/>
      </c>
    </row>
    <row r="145" spans="2:2">
      <c r="B145" s="12" t="str">
        <f>IF('Surgery-ConceptMap-1'!S141=0,"//---END",'Surgery-ConceptMap-1'!S141)</f>
        <v>* group[=].element[+].code = #SurgeryI4rc.siteOfSurgeryOnMetastasis.otherViscera</v>
      </c>
    </row>
    <row r="146" spans="2:2">
      <c r="B146" s="12" t="str">
        <f>IF('Surgery-ConceptMap-1'!S142=0,"//---END",'Surgery-ConceptMap-1'!S142)</f>
        <v>* group[=].element[=].display = ##34#Site of surgery on metastasis_other viscera##34#</v>
      </c>
    </row>
    <row r="147" spans="2:2">
      <c r="B147" s="12" t="str">
        <f>IF('Surgery-ConceptMap-1'!S143=0,"//---END",'Surgery-ConceptMap-1'!S143)</f>
        <v>* group[=].element[=].target.code = #Procedure.bodySite</v>
      </c>
    </row>
    <row r="148" spans="2:2">
      <c r="B148" s="12" t="str">
        <f>IF('Surgery-ConceptMap-1'!S144=0,"//---END",'Surgery-ConceptMap-1'!S144)</f>
        <v>* group[=].element[=].target.display = ##34###34#</v>
      </c>
    </row>
    <row r="149" spans="2:2">
      <c r="B149" s="12" t="str">
        <f>IF('Surgery-ConceptMap-1'!S145=0,"//---END",'Surgery-ConceptMap-1'!S145)</f>
        <v>* group[=].element[=].target.equivalence = #equivalent</v>
      </c>
    </row>
    <row r="150" spans="2:2">
      <c r="B150" s="12" t="str">
        <f>IF('Surgery-ConceptMap-1'!S146=0,"//---END",'Surgery-ConceptMap-1'!S146)</f>
        <v/>
      </c>
    </row>
    <row r="151" spans="2:2">
      <c r="B151" s="12" t="str">
        <f>IF('Surgery-ConceptMap-1'!S147=0,"//---END",'Surgery-ConceptMap-1'!S147)</f>
        <v>* group[=].element[+].code = #SurgeryI4rc.siteOfSurgeryOnMetastasis.unknown</v>
      </c>
    </row>
    <row r="152" spans="2:2">
      <c r="B152" s="12" t="str">
        <f>IF('Surgery-ConceptMap-1'!S148=0,"//---END",'Surgery-ConceptMap-1'!S148)</f>
        <v>* group[=].element[=].display = ##34#Site of surgery on metastasis_unknown##34#</v>
      </c>
    </row>
    <row r="153" spans="2:2">
      <c r="B153" s="12" t="str">
        <f>IF('Surgery-ConceptMap-1'!S149=0,"//---END",'Surgery-ConceptMap-1'!S149)</f>
        <v>* group[=].element[=].target.code = #Procedure.bodySite</v>
      </c>
    </row>
    <row r="154" spans="2:2">
      <c r="B154" s="12" t="str">
        <f>IF('Surgery-ConceptMap-1'!S150=0,"//---END",'Surgery-ConceptMap-1'!S150)</f>
        <v>* group[=].element[=].target.display = ##34###34#</v>
      </c>
    </row>
    <row r="155" spans="2:2">
      <c r="B155" s="12" t="str">
        <f>IF('Surgery-ConceptMap-1'!S151=0,"//---END",'Surgery-ConceptMap-1'!S151)</f>
        <v>* group[=].element[=].target.equivalence = #equivalent</v>
      </c>
    </row>
    <row r="156" spans="2:2">
      <c r="B156" s="12" t="str">
        <f>IF('Surgery-ConceptMap-1'!S152=0,"//---END",'Surgery-ConceptMap-1'!S152)</f>
        <v/>
      </c>
    </row>
    <row r="157" spans="2:2">
      <c r="B157" s="12" t="str">
        <f>IF('Surgery-ConceptMap-1'!S153=0,"//---END",'Surgery-ConceptMap-1'!S153)</f>
        <v>* group[=].element[+].code = #SurgeryI4rc.surgicalComplicationsClavienDindoClassification</v>
      </c>
    </row>
    <row r="158" spans="2:2">
      <c r="B158" s="12" t="str">
        <f>IF('Surgery-ConceptMap-1'!S154=0,"//---END",'Surgery-ConceptMap-1'!S154)</f>
        <v>* group[=].element[=].display = ##34#Surgical complications (Clavien-Dindo Classification)##34#</v>
      </c>
    </row>
    <row r="159" spans="2:2">
      <c r="B159" s="12" t="str">
        <f>IF('Surgery-ConceptMap-1'!S155=0,"//---END",'Surgery-ConceptMap-1'!S155)</f>
        <v>* group[=].element[=].target.code = #Procedure.complication</v>
      </c>
    </row>
    <row r="160" spans="2:2">
      <c r="B160" s="12" t="str">
        <f>IF('Surgery-ConceptMap-1'!S156=0,"//---END",'Surgery-ConceptMap-1'!S156)</f>
        <v>* group[=].element[=].target.display = ##34###34#</v>
      </c>
    </row>
    <row r="161" spans="2:2">
      <c r="B161" s="12" t="str">
        <f>IF('Surgery-ConceptMap-1'!S157=0,"//---END",'Surgery-ConceptMap-1'!S157)</f>
        <v>* group[=].element[=].target.equivalence = #equivalent</v>
      </c>
    </row>
    <row r="162" spans="2:2">
      <c r="B162" s="12" t="str">
        <f>IF('Surgery-ConceptMap-1'!S158=0,"//---END",'Surgery-ConceptMap-1'!S158)</f>
        <v/>
      </c>
    </row>
    <row r="163" spans="2:2">
      <c r="B163" s="12" t="str">
        <f>IF('Surgery-ConceptMap-1'!S159=0,"//---END",'Surgery-ConceptMap-1'!S159)</f>
        <v>//---END</v>
      </c>
    </row>
    <row r="164" spans="2:2">
      <c r="B164" s="12" t="str">
        <f>IF('Surgery-ConceptMap-1'!S160=0,"//---END",'Surgery-ConceptMap-1'!S160)</f>
        <v>//---END</v>
      </c>
    </row>
    <row r="165" spans="2:2">
      <c r="B165" s="12" t="str">
        <f>IF('Surgery-ConceptMap-1'!S161=0,"//---END",'Surgery-ConceptMap-1'!S161)</f>
        <v>//---END</v>
      </c>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M47"/>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2355</v>
      </c>
      <c r="J4" s="16" t="str">
        <f>CONCATENATE("Logical: ",B4)</f>
        <v>Logical: RadiotherapyI4rc</v>
      </c>
    </row>
    <row r="5" spans="1:12" ht="15.5" thickBot="1">
      <c r="A5" s="14" t="s">
        <v>16</v>
      </c>
      <c r="B5" s="45" t="s">
        <v>2101</v>
      </c>
      <c r="J5" s="16" t="str">
        <f>CONCATENATE("Id: ",B5)</f>
        <v>Id: Radiotherapy</v>
      </c>
    </row>
    <row r="6" spans="1:12" ht="15.5" thickBot="1">
      <c r="A6" s="14" t="s">
        <v>10</v>
      </c>
      <c r="B6" s="45" t="s">
        <v>2101</v>
      </c>
      <c r="J6" s="17" t="str">
        <f>CONCATENATE("Title: ##34#",B6,"##34#")</f>
        <v>Title: ##34#Radiotherapy##34#</v>
      </c>
    </row>
    <row r="7" spans="1:12">
      <c r="A7" s="26" t="s">
        <v>2</v>
      </c>
      <c r="B7" s="45" t="s">
        <v>2101</v>
      </c>
      <c r="C7" s="9" t="s">
        <v>3</v>
      </c>
      <c r="D7" s="1" t="s">
        <v>4</v>
      </c>
      <c r="E7" s="3" t="s">
        <v>5</v>
      </c>
      <c r="F7" s="3" t="s">
        <v>6</v>
      </c>
      <c r="G7" s="3" t="s">
        <v>7</v>
      </c>
      <c r="H7" s="105" t="s">
        <v>1610</v>
      </c>
      <c r="J7" s="17" t="str">
        <f>CONCATENATE("Description: "," ##334#",B7,"##334#",)</f>
        <v>Description:  ##334#Radiotherapy##334#</v>
      </c>
    </row>
    <row r="8" spans="1:12" ht="59">
      <c r="A8" s="100">
        <v>0</v>
      </c>
      <c r="B8" s="11" t="s">
        <v>1913</v>
      </c>
      <c r="C8" s="11" t="s">
        <v>2016</v>
      </c>
      <c r="D8" s="11" t="s">
        <v>1872</v>
      </c>
      <c r="E8" s="11">
        <v>1</v>
      </c>
      <c r="F8" s="11">
        <v>1</v>
      </c>
      <c r="G8" s="57" t="s">
        <v>1969</v>
      </c>
      <c r="H8" s="12"/>
      <c r="I8" s="25"/>
      <c r="J8" s="12" t="str">
        <f t="shared" ref="J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2100</v>
      </c>
      <c r="C9" s="11" t="s">
        <v>2101</v>
      </c>
      <c r="D9" s="11" t="s">
        <v>2102</v>
      </c>
      <c r="E9" s="11">
        <v>1</v>
      </c>
      <c r="F9" s="11">
        <v>1</v>
      </c>
      <c r="G9" s="11" t="s">
        <v>1764</v>
      </c>
      <c r="H9" s="12" t="s">
        <v>2040</v>
      </c>
      <c r="I9" s="25"/>
      <c r="J9" s="12" t="str">
        <f t="shared" ref="J9:J39" si="1">CONCATENATE("* ",B9, " ",E9,"..",F9," ",G9," ##34#",C9,"##34# ##334#",D9,"##334#")</f>
        <v>* radiotherapy 1..1 CodeableConcept ##34#Radiotherapy##34# ##334#Whether radiotherapy was delivered to a patient, either curatively or palliatively and whether it was performed at the registering hospital or another hospital.##334#</v>
      </c>
      <c r="L9" s="12" t="str">
        <f t="shared" ref="L9:L39" si="2">IF(H9="",IF(J9="*  ..  ##34###34# ##334###334#",J9,""),IF(J9="*  ..  ##34###34# ##334###334#",J9,CONCATENATE("* ",B9," ^comment = ##334#",H9,"##334#")))</f>
        <v>* radiotherapy ^comment = ##334#Yes done at the hospital; Yes done at a different hospital; Not Done; Unknown.
Custom##334#</v>
      </c>
    </row>
    <row r="10" spans="1:12" ht="59">
      <c r="A10" s="100">
        <v>2</v>
      </c>
      <c r="B10" s="11" t="s">
        <v>1667</v>
      </c>
      <c r="C10" s="11" t="s">
        <v>1654</v>
      </c>
      <c r="D10" s="11" t="s">
        <v>2103</v>
      </c>
      <c r="E10" s="11">
        <v>1</v>
      </c>
      <c r="F10" s="11">
        <v>1</v>
      </c>
      <c r="G10" s="11" t="s">
        <v>1764</v>
      </c>
      <c r="H10" s="12" t="s">
        <v>2022</v>
      </c>
      <c r="I10" s="25"/>
      <c r="J10" s="12" t="str">
        <f t="shared" si="1"/>
        <v>* intent 1..1 CodeableConcept ##34#Intent##34# ##334#Radiotherapy intent refers to whether the intention of treatment is to cure the patient or to treat symptoms and palliate##334#</v>
      </c>
      <c r="L10" s="12" t="str">
        <f t="shared" si="2"/>
        <v>* intent ^comment = ##334#Palliative; Curative; Unknwon
Palliative - 4179711
Curative - 
Unknown - 4129922##334#</v>
      </c>
    </row>
    <row r="11" spans="1:12" ht="191.75">
      <c r="A11" s="100">
        <v>3</v>
      </c>
      <c r="B11" s="11" t="s">
        <v>1668</v>
      </c>
      <c r="C11" s="11" t="s">
        <v>2023</v>
      </c>
      <c r="D11" s="11" t="s">
        <v>2104</v>
      </c>
      <c r="E11" s="11">
        <v>0</v>
      </c>
      <c r="F11" s="11">
        <v>1</v>
      </c>
      <c r="G11" s="11" t="s">
        <v>1764</v>
      </c>
      <c r="H11" s="12" t="s">
        <v>2105</v>
      </c>
      <c r="I11" s="25"/>
      <c r="J11" s="12" t="str">
        <f t="shared" si="1"/>
        <v>* setting 0..1 CodeableConcept ##34#Setting##34# ##334#Whether radiotherapy is delivered as the main treatment modality (definitive) or if it is delivered before or after another treatment such as surgery##334#</v>
      </c>
      <c r="L11" s="12" t="str">
        <f t="shared" si="2"/>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12" spans="1:12" ht="206.5">
      <c r="A12" s="100">
        <v>4</v>
      </c>
      <c r="B12" s="11" t="s">
        <v>2106</v>
      </c>
      <c r="C12" s="11" t="s">
        <v>2107</v>
      </c>
      <c r="D12" s="11" t="s">
        <v>2108</v>
      </c>
      <c r="E12" s="11">
        <v>1</v>
      </c>
      <c r="F12" s="11">
        <v>1</v>
      </c>
      <c r="G12" s="11" t="s">
        <v>1764</v>
      </c>
      <c r="H12" s="12" t="s">
        <v>2109</v>
      </c>
      <c r="I12" s="25"/>
      <c r="J12" s="12" t="str">
        <f t="shared" si="1"/>
        <v>* beamQuality 1..1 CodeableConcept ##34#Beam quality##34# ##334#Describes the type of radiation therapy given. If external beam, please specify if delivered with Photons (most common), electrons, carbon, or protons.##334#</v>
      </c>
      <c r="L12" s="12" t="str">
        <f t="shared" si="2"/>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13" spans="1:12" ht="29.5">
      <c r="A13" s="150">
        <v>5</v>
      </c>
      <c r="B13" s="11" t="s">
        <v>2110</v>
      </c>
      <c r="C13" s="11" t="s">
        <v>2111</v>
      </c>
      <c r="D13" s="6" t="s">
        <v>2111</v>
      </c>
      <c r="E13" s="11">
        <v>0</v>
      </c>
      <c r="F13" s="11">
        <v>1</v>
      </c>
      <c r="G13" s="11" t="s">
        <v>0</v>
      </c>
      <c r="H13" s="12"/>
      <c r="I13" s="25"/>
      <c r="J13" s="12" t="str">
        <f t="shared" si="1"/>
        <v>* otherSpecify 0..1 string ##34#Other; specify##34# ##334#Other; specify##334#</v>
      </c>
      <c r="L13" s="12" t="str">
        <f t="shared" si="2"/>
        <v/>
      </c>
    </row>
    <row r="14" spans="1:12" ht="236">
      <c r="A14" s="101">
        <v>6</v>
      </c>
      <c r="B14" s="11" t="s">
        <v>2112</v>
      </c>
      <c r="C14" s="11" t="s">
        <v>2113</v>
      </c>
      <c r="D14" s="11" t="s">
        <v>2114</v>
      </c>
      <c r="E14" s="11">
        <v>1</v>
      </c>
      <c r="F14" s="11">
        <v>1</v>
      </c>
      <c r="G14" s="11" t="s">
        <v>1764</v>
      </c>
      <c r="H14" s="12" t="s">
        <v>2115</v>
      </c>
      <c r="I14" s="25"/>
      <c r="J14" s="12" t="str">
        <f t="shared" si="1"/>
        <v>* treatmentTechnique 1..1 CodeableConcept ##34#Treatment technique##34# ##334#Refers to the type of radiotherapy treatment delivered##334#</v>
      </c>
      <c r="L14" s="12" t="str">
        <f t="shared" si="2"/>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15" spans="1:12" ht="29.5">
      <c r="A15" s="100">
        <v>7</v>
      </c>
      <c r="B15" s="11" t="s">
        <v>2116</v>
      </c>
      <c r="C15" s="11" t="s">
        <v>2117</v>
      </c>
      <c r="D15" s="11" t="s">
        <v>2118</v>
      </c>
      <c r="E15" s="11">
        <v>1</v>
      </c>
      <c r="F15" s="11">
        <v>1</v>
      </c>
      <c r="G15" s="57" t="s">
        <v>2176</v>
      </c>
      <c r="H15" s="12"/>
      <c r="I15" s="25"/>
      <c r="J15" s="12" t="str">
        <f t="shared" si="1"/>
        <v>* totalDoseTdGy 1..1 decimal ##34#Total Dose (TD) Gy##34# ##334#Refers to the total dose delivered to the patient in Gy##334#</v>
      </c>
      <c r="L15" s="12" t="str">
        <f t="shared" si="2"/>
        <v/>
      </c>
    </row>
    <row r="16" spans="1:12" ht="29.5">
      <c r="A16" s="101">
        <v>8</v>
      </c>
      <c r="B16" s="11" t="s">
        <v>2119</v>
      </c>
      <c r="C16" s="11" t="s">
        <v>2120</v>
      </c>
      <c r="D16" s="11" t="s">
        <v>2121</v>
      </c>
      <c r="E16" s="11">
        <v>1</v>
      </c>
      <c r="F16" s="11">
        <v>1</v>
      </c>
      <c r="G16" s="57" t="s">
        <v>2176</v>
      </c>
      <c r="H16" s="12"/>
      <c r="I16" s="25"/>
      <c r="J16" s="12" t="str">
        <f t="shared" si="1"/>
        <v>* fractionSizeFs 1..1 decimal ##34#Fraction Size (FS)##34# ##334#Refers to the Dose per fraction delivered to the patient.##334#</v>
      </c>
      <c r="L16" s="12" t="str">
        <f t="shared" si="2"/>
        <v/>
      </c>
    </row>
    <row r="17" spans="1:13" ht="29.5">
      <c r="A17" s="100">
        <v>9</v>
      </c>
      <c r="B17" s="11" t="s">
        <v>2122</v>
      </c>
      <c r="C17" s="11" t="s">
        <v>2123</v>
      </c>
      <c r="D17" s="11" t="s">
        <v>2124</v>
      </c>
      <c r="E17" s="11">
        <v>1</v>
      </c>
      <c r="F17" s="11">
        <v>1</v>
      </c>
      <c r="G17" s="57" t="s">
        <v>2176</v>
      </c>
      <c r="H17" s="12"/>
      <c r="I17" s="25"/>
      <c r="J17" s="12" t="str">
        <f t="shared" si="1"/>
        <v>* numberOfFractions 1..1 decimal ##34#Number of fractions##34# ##334#Refers to the total number of fractions delivered to the patient##334#</v>
      </c>
      <c r="L17" s="12" t="str">
        <f t="shared" si="2"/>
        <v/>
      </c>
    </row>
    <row r="18" spans="1:13" ht="59">
      <c r="A18" s="101">
        <v>10</v>
      </c>
      <c r="B18" s="11" t="s">
        <v>2125</v>
      </c>
      <c r="C18" s="11" t="s">
        <v>2126</v>
      </c>
      <c r="D18" s="11" t="s">
        <v>2127</v>
      </c>
      <c r="E18" s="11">
        <v>0</v>
      </c>
      <c r="F18" s="11">
        <v>1</v>
      </c>
      <c r="G18" s="11" t="s">
        <v>1764</v>
      </c>
      <c r="H18" s="12" t="s">
        <v>2063</v>
      </c>
      <c r="J18" s="12" t="str">
        <f t="shared" si="1"/>
        <v>* adaptiveRt 0..1 CodeableConcept ##34#Adaptive RT##34# ##334#Refers to whether treatment planning was changed or adapted after the initial radiation plan was developed. This could be due to a change in the patient’s anatomy or if the tumor changed in size.##334#</v>
      </c>
      <c r="L18" s="12" t="str">
        <f t="shared" si="2"/>
        <v>* adaptiveRt ^comment = ##334#Yes; No; Unknown.
Yes - 4188539
No -  4188540
Unknown - 4129922##334#</v>
      </c>
    </row>
    <row r="19" spans="1:13" ht="73.75">
      <c r="A19" s="100">
        <v>11</v>
      </c>
      <c r="B19" s="11" t="s">
        <v>2128</v>
      </c>
      <c r="C19" s="11" t="s">
        <v>2129</v>
      </c>
      <c r="D19" s="11" t="s">
        <v>2130</v>
      </c>
      <c r="E19" s="11">
        <v>0</v>
      </c>
      <c r="F19" s="11">
        <v>1</v>
      </c>
      <c r="G19" s="11" t="s">
        <v>1764</v>
      </c>
      <c r="H19" s="12" t="s">
        <v>2063</v>
      </c>
      <c r="J19" s="12" t="str">
        <f t="shared" si="1"/>
        <v>* igrtImageGuideRadiotherapy 0..1 CodeableConcept ##34#IGRT  (image guide radiotherapy)##34# ##334#Refers to whether image guided radiotherapy was used for delivery of radiotherapy and to check the patient set up. This includes MV, KV, or Cone Beam CT imaging.##334#</v>
      </c>
      <c r="L19" s="12" t="str">
        <f t="shared" si="2"/>
        <v>* igrtImageGuideRadiotherapy ^comment = ##334#Yes; No; Unknown.
Yes - 4188539
No -  4188540
Unknown - 4129922##334#</v>
      </c>
    </row>
    <row r="20" spans="1:13" ht="29.5">
      <c r="A20" s="100">
        <v>12</v>
      </c>
      <c r="B20" s="11" t="s">
        <v>2131</v>
      </c>
      <c r="C20" s="11" t="s">
        <v>2132</v>
      </c>
      <c r="D20" s="11" t="s">
        <v>2133</v>
      </c>
      <c r="E20" s="11">
        <v>1</v>
      </c>
      <c r="F20" s="11">
        <v>1</v>
      </c>
      <c r="G20" s="11" t="s">
        <v>156</v>
      </c>
      <c r="H20" s="12"/>
      <c r="J20" s="12" t="str">
        <f t="shared" si="1"/>
        <v>* startDate 1..1 date ##34#Start date##34# ##334#Date when  the first radiation treatment was delivered##334#</v>
      </c>
      <c r="L20" s="12" t="str">
        <f t="shared" si="2"/>
        <v/>
      </c>
    </row>
    <row r="21" spans="1:13" ht="29.5">
      <c r="A21" s="100">
        <v>13</v>
      </c>
      <c r="B21" s="11" t="s">
        <v>2134</v>
      </c>
      <c r="C21" s="11" t="s">
        <v>2135</v>
      </c>
      <c r="D21" s="11" t="s">
        <v>2136</v>
      </c>
      <c r="E21" s="11">
        <v>1</v>
      </c>
      <c r="F21" s="11">
        <v>1</v>
      </c>
      <c r="G21" s="11" t="s">
        <v>156</v>
      </c>
      <c r="H21" s="12"/>
      <c r="J21" s="12" t="str">
        <f t="shared" si="1"/>
        <v>* endDate 1..1 date ##34#End  date##34# ##334#Date when the last radiation treatment ended##334#</v>
      </c>
      <c r="L21" s="12" t="str">
        <f t="shared" si="2"/>
        <v/>
      </c>
      <c r="M21"/>
    </row>
    <row r="22" spans="1:13" ht="59">
      <c r="A22" s="100">
        <v>14</v>
      </c>
      <c r="B22" s="11" t="s">
        <v>2137</v>
      </c>
      <c r="C22" s="11" t="s">
        <v>2138</v>
      </c>
      <c r="D22" s="11" t="s">
        <v>2139</v>
      </c>
      <c r="E22" s="11">
        <v>0</v>
      </c>
      <c r="F22" s="11">
        <v>1</v>
      </c>
      <c r="G22" s="6" t="s">
        <v>1</v>
      </c>
      <c r="H22" s="12"/>
      <c r="J22" s="12" t="str">
        <f t="shared" si="1"/>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L22" s="12" t="str">
        <f t="shared" si="2"/>
        <v/>
      </c>
      <c r="M22"/>
    </row>
    <row r="23" spans="1:13" ht="29.5">
      <c r="A23" s="101">
        <v>15</v>
      </c>
      <c r="B23" s="57" t="s">
        <v>2158</v>
      </c>
      <c r="C23" s="11" t="s">
        <v>2140</v>
      </c>
      <c r="D23" s="147" t="s">
        <v>2140</v>
      </c>
      <c r="E23" s="11">
        <v>0</v>
      </c>
      <c r="F23" s="11">
        <v>1</v>
      </c>
      <c r="G23" s="11" t="s">
        <v>157</v>
      </c>
      <c r="H23" s="12"/>
      <c r="J23" s="12" t="str">
        <f t="shared" si="1"/>
        <v>* treatmentSites.primary 0..1 boolean ##34#Primary##34# ##334#Primary##334#</v>
      </c>
      <c r="L23" s="12" t="str">
        <f t="shared" si="2"/>
        <v/>
      </c>
      <c r="M23"/>
    </row>
    <row r="24" spans="1:13">
      <c r="A24" s="100">
        <v>16</v>
      </c>
      <c r="B24" s="57" t="s">
        <v>2159</v>
      </c>
      <c r="C24" s="11" t="s">
        <v>2141</v>
      </c>
      <c r="D24" s="147" t="s">
        <v>2141</v>
      </c>
      <c r="E24" s="11">
        <v>0</v>
      </c>
      <c r="F24" s="11">
        <v>1</v>
      </c>
      <c r="G24" s="11" t="s">
        <v>157</v>
      </c>
      <c r="H24" s="12"/>
      <c r="J24" s="12" t="str">
        <f t="shared" si="1"/>
        <v>* treatmentSites.neck 0..1 boolean ##34#Neck##34# ##334#Neck##334#</v>
      </c>
      <c r="L24" s="12" t="str">
        <f t="shared" si="2"/>
        <v/>
      </c>
      <c r="M24"/>
    </row>
    <row r="25" spans="1:13" ht="29.5">
      <c r="A25" s="101">
        <v>17</v>
      </c>
      <c r="B25" s="57" t="s">
        <v>2160</v>
      </c>
      <c r="C25" s="11" t="s">
        <v>2142</v>
      </c>
      <c r="D25" s="147" t="s">
        <v>2142</v>
      </c>
      <c r="E25" s="11">
        <v>1</v>
      </c>
      <c r="F25" s="11">
        <v>1</v>
      </c>
      <c r="G25" s="11" t="s">
        <v>157</v>
      </c>
      <c r="H25" s="12"/>
      <c r="J25" s="12" t="str">
        <f t="shared" si="1"/>
        <v>* treatmentSites.primaryAndIpsilateralNeck 1..1 boolean ##34#Primary and Ipsilateral Neck##34# ##334#Primary and Ipsilateral Neck##334#</v>
      </c>
      <c r="L25" s="12" t="str">
        <f t="shared" si="2"/>
        <v/>
      </c>
      <c r="M25"/>
    </row>
    <row r="26" spans="1:13" ht="29.5">
      <c r="A26" s="101">
        <v>18</v>
      </c>
      <c r="B26" s="57" t="s">
        <v>2161</v>
      </c>
      <c r="C26" s="11" t="s">
        <v>2143</v>
      </c>
      <c r="D26" s="147" t="s">
        <v>2143</v>
      </c>
      <c r="E26" s="11">
        <v>1</v>
      </c>
      <c r="F26" s="11">
        <v>1</v>
      </c>
      <c r="G26" s="11" t="s">
        <v>157</v>
      </c>
      <c r="H26" s="12"/>
      <c r="J26" s="12" t="str">
        <f t="shared" si="1"/>
        <v>* treatmentSites.primaryAndBilateralNeck 1..1 boolean ##34#Primary and Bilateral Neck##34# ##334#Primary and Bilateral Neck##334#</v>
      </c>
      <c r="L26" s="12" t="str">
        <f t="shared" si="2"/>
        <v/>
      </c>
      <c r="M26"/>
    </row>
    <row r="27" spans="1:13" ht="29.5">
      <c r="A27" s="101">
        <v>19</v>
      </c>
      <c r="B27" s="57" t="s">
        <v>2162</v>
      </c>
      <c r="C27" s="11" t="s">
        <v>2144</v>
      </c>
      <c r="D27" s="147" t="s">
        <v>2144</v>
      </c>
      <c r="E27" s="11">
        <v>1</v>
      </c>
      <c r="F27" s="11">
        <v>1</v>
      </c>
      <c r="G27" s="11" t="s">
        <v>157</v>
      </c>
      <c r="H27" s="12"/>
      <c r="J27" s="12" t="str">
        <f t="shared" si="1"/>
        <v>* treatmentSites.distantMetastasis 1..1 boolean ##34#Distant Metastasis##34# ##334#Distant Metastasis##334#</v>
      </c>
      <c r="L27" s="12" t="str">
        <f t="shared" si="2"/>
        <v/>
      </c>
      <c r="M27"/>
    </row>
    <row r="28" spans="1:13" ht="44.25">
      <c r="A28" s="100">
        <v>20</v>
      </c>
      <c r="B28" s="11" t="s">
        <v>2145</v>
      </c>
      <c r="C28" s="11" t="s">
        <v>2146</v>
      </c>
      <c r="D28" s="11" t="s">
        <v>2147</v>
      </c>
      <c r="E28" s="11">
        <v>0</v>
      </c>
      <c r="F28" s="11">
        <v>1</v>
      </c>
      <c r="G28" s="6" t="s">
        <v>1</v>
      </c>
      <c r="H28" s="12"/>
      <c r="J28" s="12" t="str">
        <f t="shared" si="1"/>
        <v>* metastaticTreatmentSites 0..1 BackboneElement ##34#Metastatic Treatment Sites:##34# ##334#Designates which treatment sites were irradiated. Lung Vs Mediastinum Vs Bone Vs soft tissue vs liver Vs other.##334#</v>
      </c>
      <c r="L28" s="12" t="str">
        <f t="shared" si="2"/>
        <v/>
      </c>
    </row>
    <row r="29" spans="1:13" ht="44.25">
      <c r="A29" s="100">
        <v>21</v>
      </c>
      <c r="B29" s="57" t="s">
        <v>2163</v>
      </c>
      <c r="C29" s="11" t="s">
        <v>2148</v>
      </c>
      <c r="D29" s="147" t="s">
        <v>2148</v>
      </c>
      <c r="E29" s="11">
        <v>0</v>
      </c>
      <c r="F29" s="11">
        <v>1</v>
      </c>
      <c r="G29" s="11" t="s">
        <v>157</v>
      </c>
      <c r="H29" s="12"/>
      <c r="J29" s="12" t="str">
        <f t="shared" si="1"/>
        <v>* metastaticTreatmentSites.lung 0..1 boolean ##34#Lung
##34# ##334#Lung
##334#</v>
      </c>
      <c r="L29" s="12" t="str">
        <f t="shared" si="2"/>
        <v/>
      </c>
    </row>
    <row r="30" spans="1:13" ht="44.25">
      <c r="A30" s="100">
        <v>22</v>
      </c>
      <c r="B30" s="57" t="s">
        <v>2164</v>
      </c>
      <c r="C30" s="11" t="s">
        <v>2150</v>
      </c>
      <c r="D30" s="147" t="s">
        <v>2150</v>
      </c>
      <c r="E30" s="11">
        <v>0</v>
      </c>
      <c r="F30" s="11">
        <v>1</v>
      </c>
      <c r="G30" s="11" t="s">
        <v>157</v>
      </c>
      <c r="H30" s="12"/>
      <c r="J30" s="12" t="str">
        <f t="shared" si="1"/>
        <v>* metastaticTreatmentSites.mediastinum 0..1 boolean ##34#Mediastinum
##34# ##334#Mediastinum
##334#</v>
      </c>
      <c r="L30" s="12" t="str">
        <f t="shared" si="2"/>
        <v/>
      </c>
    </row>
    <row r="31" spans="1:13" ht="44.25">
      <c r="A31" s="11">
        <v>23</v>
      </c>
      <c r="B31" s="57" t="s">
        <v>2165</v>
      </c>
      <c r="C31" s="12" t="s">
        <v>2151</v>
      </c>
      <c r="D31" s="13" t="s">
        <v>2151</v>
      </c>
      <c r="E31" s="11">
        <v>0</v>
      </c>
      <c r="F31" s="11">
        <v>1</v>
      </c>
      <c r="G31" s="11" t="s">
        <v>157</v>
      </c>
      <c r="H31" s="12"/>
      <c r="J31" s="12" t="str">
        <f t="shared" si="1"/>
        <v>* metastaticTreatmentSites.bone 0..1 boolean ##34#Bone
##34# ##334#Bone
##334#</v>
      </c>
      <c r="L31" s="12" t="str">
        <f t="shared" si="2"/>
        <v/>
      </c>
    </row>
    <row r="32" spans="1:13" ht="44.25">
      <c r="A32" s="11">
        <v>24</v>
      </c>
      <c r="B32" s="57" t="s">
        <v>2166</v>
      </c>
      <c r="C32" s="12" t="s">
        <v>2152</v>
      </c>
      <c r="D32" s="13" t="s">
        <v>2152</v>
      </c>
      <c r="E32" s="11">
        <v>0</v>
      </c>
      <c r="F32" s="11">
        <v>1</v>
      </c>
      <c r="G32" s="11" t="s">
        <v>157</v>
      </c>
      <c r="H32" s="12"/>
      <c r="J32" s="12" t="str">
        <f t="shared" si="1"/>
        <v>* metastaticTreatmentSites.softTissue 0..1 boolean ##34#Soft Tissue
##34# ##334#Soft Tissue
##334#</v>
      </c>
      <c r="L32" s="12" t="str">
        <f t="shared" si="2"/>
        <v/>
      </c>
    </row>
    <row r="33" spans="1:12" ht="44.25">
      <c r="A33" s="11">
        <v>25</v>
      </c>
      <c r="B33" s="57" t="s">
        <v>2167</v>
      </c>
      <c r="C33" s="12" t="s">
        <v>2153</v>
      </c>
      <c r="D33" s="13" t="s">
        <v>2153</v>
      </c>
      <c r="E33" s="11">
        <v>0</v>
      </c>
      <c r="F33" s="11">
        <v>1</v>
      </c>
      <c r="G33" s="11" t="s">
        <v>157</v>
      </c>
      <c r="H33" s="12"/>
      <c r="J33" s="12" t="str">
        <f t="shared" si="1"/>
        <v>* metastaticTreatmentSites.liver 0..1 boolean ##34#Liver
##34# ##334#Liver
##334#</v>
      </c>
      <c r="L33" s="12" t="str">
        <f t="shared" si="2"/>
        <v/>
      </c>
    </row>
    <row r="34" spans="1:12" ht="147.5">
      <c r="A34" s="6">
        <v>26</v>
      </c>
      <c r="B34" s="11" t="s">
        <v>2154</v>
      </c>
      <c r="C34" s="12" t="s">
        <v>2155</v>
      </c>
      <c r="D34" s="11" t="s">
        <v>2156</v>
      </c>
      <c r="E34" s="11">
        <v>1</v>
      </c>
      <c r="F34" s="11">
        <v>1</v>
      </c>
      <c r="G34" s="11" t="s">
        <v>1764</v>
      </c>
      <c r="H34" s="12" t="s">
        <v>2157</v>
      </c>
      <c r="J34" s="12" t="str">
        <f t="shared" si="1"/>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34" s="12" t="str">
        <f t="shared" si="2"/>
        <v>* treatmentCompletedAsPlanned ^comment = ##334#Completion; Toxicity; Comorbidity; Patient  intolerance; Patient decision; Death;  Unknown.
Completion - 4058777 
Toxicity - 438028
Comorbidity - 4162706 
Patient  intolerance -  4105297
Patients decision - 
Death - 4306655
Unknown - 4129922##334#</v>
      </c>
    </row>
    <row r="35" spans="1:12">
      <c r="J35" s="12" t="str">
        <f t="shared" si="1"/>
        <v>*  ..  ##34###34# ##334###334#</v>
      </c>
      <c r="L35" s="12" t="str">
        <f t="shared" si="2"/>
        <v>*  ..  ##34###34# ##334###334#</v>
      </c>
    </row>
    <row r="36" spans="1:12">
      <c r="J36" s="12" t="str">
        <f t="shared" si="1"/>
        <v>*  ..  ##34###34# ##334###334#</v>
      </c>
      <c r="L36" s="12" t="str">
        <f t="shared" si="2"/>
        <v>*  ..  ##34###34# ##334###334#</v>
      </c>
    </row>
    <row r="37" spans="1:12">
      <c r="J37" s="12" t="str">
        <f t="shared" si="1"/>
        <v>*  ..  ##34###34# ##334###334#</v>
      </c>
      <c r="L37" s="12" t="str">
        <f t="shared" si="2"/>
        <v>*  ..  ##34###34# ##334###334#</v>
      </c>
    </row>
    <row r="38" spans="1:12">
      <c r="J38" s="12" t="str">
        <f t="shared" si="1"/>
        <v>*  ..  ##34###34# ##334###334#</v>
      </c>
      <c r="L38" s="12" t="str">
        <f t="shared" si="2"/>
        <v>*  ..  ##34###34# ##334###334#</v>
      </c>
    </row>
    <row r="39" spans="1:12">
      <c r="J39" s="12" t="str">
        <f t="shared" si="1"/>
        <v>*  ..  ##34###34# ##334###334#</v>
      </c>
      <c r="L39" s="12" t="str">
        <f t="shared" si="2"/>
        <v>*  ..  ##34###34# ##334###334#</v>
      </c>
    </row>
    <row r="43" spans="1:12">
      <c r="B43" s="11" t="s">
        <v>1628</v>
      </c>
      <c r="C43" s="2" t="str">
        <f>$B$29&amp;"."&amp;B43</f>
        <v>metastaticTreatmentSites.lung.lung</v>
      </c>
    </row>
    <row r="44" spans="1:12">
      <c r="B44" s="11" t="s">
        <v>2149</v>
      </c>
      <c r="C44" s="2" t="str">
        <f t="shared" ref="C44:C47" si="3">$B$29&amp;"."&amp;B44</f>
        <v>metastaticTreatmentSites.lung.mediastinum</v>
      </c>
    </row>
    <row r="45" spans="1:12">
      <c r="B45" s="11" t="s">
        <v>1630</v>
      </c>
      <c r="C45" s="2" t="str">
        <f t="shared" si="3"/>
        <v>metastaticTreatmentSites.lung.bone</v>
      </c>
    </row>
    <row r="46" spans="1:12">
      <c r="B46" s="11" t="s">
        <v>1648</v>
      </c>
      <c r="C46" s="2" t="str">
        <f t="shared" si="3"/>
        <v>metastaticTreatmentSites.lung.softTissue</v>
      </c>
    </row>
    <row r="47" spans="1:12">
      <c r="B47" s="11" t="s">
        <v>1632</v>
      </c>
      <c r="C47" s="2" t="str">
        <f t="shared" si="3"/>
        <v>metastaticTreatmentSites.lung.liver</v>
      </c>
    </row>
  </sheetData>
  <autoFilter ref="A7:M34" xr:uid="{B4529E72-7D4B-41AB-8D18-AE7DE90F3BA4}"/>
  <pageMargins left="0.7" right="0.7" top="0.75" bottom="0.75" header="0.3" footer="0.3"/>
  <pageSetup paperSize="9" orientation="portrait" r:id="rId1"/>
  <legacyDrawing r:id="rId2"/>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4"/>
  <sheetViews>
    <sheetView workbookViewId="0">
      <selection activeCell="C47" sqref="C47:C53"/>
    </sheetView>
  </sheetViews>
  <sheetFormatPr defaultRowHeight="14.75"/>
  <cols>
    <col min="3" max="3" width="108.2265625" style="12" customWidth="1"/>
    <col min="7" max="7" width="29.54296875" customWidth="1"/>
    <col min="8" max="8" width="54.90625" customWidth="1"/>
  </cols>
  <sheetData>
    <row r="1" spans="3:7" ht="15.5" thickBot="1">
      <c r="C1" s="23" t="str">
        <f>Radiotherapy!J1</f>
        <v>//===================================================</v>
      </c>
    </row>
    <row r="2" spans="3:7" ht="16.75" thickBot="1">
      <c r="C2" s="24" t="str">
        <f>Radiotherapy!J2</f>
        <v>//  Logical Model</v>
      </c>
      <c r="G2" s="29" t="s">
        <v>2177</v>
      </c>
    </row>
    <row r="3" spans="3:7">
      <c r="C3" s="24" t="str">
        <f>Radiotherapy!J3</f>
        <v>//===================================================</v>
      </c>
    </row>
    <row r="4" spans="3:7">
      <c r="C4" s="16" t="str">
        <f>Radiotherapy!J4</f>
        <v>Logical: RadiotherapyI4rc</v>
      </c>
    </row>
    <row r="5" spans="3:7">
      <c r="C5" s="16" t="str">
        <f>Radiotherapy!J5</f>
        <v>Id: Radiotherapy</v>
      </c>
    </row>
    <row r="6" spans="3:7">
      <c r="C6" s="16" t="str">
        <f>Radiotherapy!J6</f>
        <v>Title: ##34#Radiotherapy##34#</v>
      </c>
    </row>
    <row r="7" spans="3:7">
      <c r="C7" s="16" t="str">
        <f>Radiotherapy!J7</f>
        <v>Description:  ##334#Radiotherapy##334#</v>
      </c>
    </row>
    <row r="8" spans="3:7" ht="29.5">
      <c r="C8" s="12" t="str">
        <f>IF(Radiotherapy!J8="*  ..  ##34###34# ##334###334#","//--- END",Radiotherapy!J8)</f>
        <v>* episodeEventReference 1..1 http://hl7.eu/fhir/ig/idea4rc/StructureDefinition/EpisodeEvent ##34#Episode Event reference##34# ##334#EpisodeEvent element containing the data regarding the patient's cancer##334#</v>
      </c>
    </row>
    <row r="9" spans="3:7" ht="29.5">
      <c r="C9" s="12" t="str">
        <f>IF(Radiotherapy!J9="*  ..  ##34###34# ##334###334#","//--- END",Radiotherapy!J9)</f>
        <v>* radiotherapy 1..1 CodeableConcept ##34#Radiotherapy##34# ##334#Whether radiotherapy was delivered to a patient, either curatively or palliatively and whether it was performed at the registering hospital or another hospital.##334#</v>
      </c>
    </row>
    <row r="10" spans="3:7" ht="29.5">
      <c r="C10" s="12" t="str">
        <f>IF(Radiotherapy!J10="*  ..  ##34###34# ##334###334#","//--- END",Radiotherapy!J10)</f>
        <v>* intent 1..1 CodeableConcept ##34#Intent##34# ##334#Radiotherapy intent refers to whether the intention of treatment is to cure the patient or to treat symptoms and palliate##334#</v>
      </c>
    </row>
    <row r="11" spans="3:7" ht="29.5">
      <c r="C11" s="12" t="str">
        <f>IF(Radiotherapy!J11="*  ..  ##34###34# ##334###334#","//--- END",Radiotherapy!J11)</f>
        <v>* setting 0..1 CodeableConcept ##34#Setting##34# ##334#Whether radiotherapy is delivered as the main treatment modality (definitive) or if it is delivered before or after another treatment such as surgery##334#</v>
      </c>
    </row>
    <row r="12" spans="3:7" ht="29.5">
      <c r="C12" s="12" t="str">
        <f>IF(Radiotherapy!J12="*  ..  ##34###34# ##334###334#","//--- END",Radiotherapy!J12)</f>
        <v>* beamQuality 1..1 CodeableConcept ##34#Beam quality##34# ##334#Describes the type of radiation therapy given. If external beam, please specify if delivered with Photons (most common), electrons, carbon, or protons.##334#</v>
      </c>
    </row>
    <row r="13" spans="3:7">
      <c r="C13" s="12" t="str">
        <f>IF(Radiotherapy!J13="*  ..  ##34###34# ##334###334#","//--- END",Radiotherapy!J13)</f>
        <v>* otherSpecify 0..1 string ##34#Other; specify##34# ##334#Other; specify##334#</v>
      </c>
    </row>
    <row r="14" spans="3:7" ht="29.5">
      <c r="C14" s="12" t="str">
        <f>IF(Radiotherapy!J14="*  ..  ##34###34# ##334###334#","//--- END",Radiotherapy!J14)</f>
        <v>* treatmentTechnique 1..1 CodeableConcept ##34#Treatment technique##34# ##334#Refers to the type of radiotherapy treatment delivered##334#</v>
      </c>
    </row>
    <row r="15" spans="3:7" ht="29.5">
      <c r="C15" s="12" t="str">
        <f>IF(Radiotherapy!J15="*  ..  ##34###34# ##334###334#","//--- END",Radiotherapy!J15)</f>
        <v>* totalDoseTdGy 1..1 decimal ##34#Total Dose (TD) Gy##34# ##334#Refers to the total dose delivered to the patient in Gy##334#</v>
      </c>
    </row>
    <row r="16" spans="3:7" ht="29.5">
      <c r="C16" s="12" t="str">
        <f>IF(Radiotherapy!J16="*  ..  ##34###34# ##334###334#","//--- END",Radiotherapy!J16)</f>
        <v>* fractionSizeFs 1..1 decimal ##34#Fraction Size (FS)##34# ##334#Refers to the Dose per fraction delivered to the patient.##334#</v>
      </c>
    </row>
    <row r="17" spans="3:3" ht="29.5">
      <c r="C17" s="12" t="str">
        <f>IF(Radiotherapy!J17="*  ..  ##34###34# ##334###334#","//--- END",Radiotherapy!J17)</f>
        <v>* numberOfFractions 1..1 decimal ##34#Number of fractions##34# ##334#Refers to the total number of fractions delivered to the patient##334#</v>
      </c>
    </row>
    <row r="18" spans="3:3" ht="44.25">
      <c r="C18" s="12" t="str">
        <f>IF(Radiotherapy!J18="*  ..  ##34###34# ##334###334#","//--- END",Radiotherapy!J18)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c r="C19" s="12" t="str">
        <f>IF(Radiotherapy!J19="*  ..  ##34###34# ##334###334#","//--- END",Radiotherapy!J19)</f>
        <v>* igrtImageGuideRadiotherapy 0..1 CodeableConcept ##34#IGRT  (image guide radiotherapy)##34# ##334#Refers to whether image guided radiotherapy was used for delivery of radiotherapy and to check the patient set up. This includes MV, KV, or Cone Beam CT imaging.##334#</v>
      </c>
    </row>
    <row r="20" spans="3:3">
      <c r="C20" s="12" t="str">
        <f>IF(Radiotherapy!J20="*  ..  ##34###34# ##334###334#","//--- END",Radiotherapy!J20)</f>
        <v>* startDate 1..1 date ##34#Start date##34# ##334#Date when  the first radiation treatment was delivered##334#</v>
      </c>
    </row>
    <row r="21" spans="3:3">
      <c r="C21" s="12" t="str">
        <f>IF(Radiotherapy!J21="*  ..  ##34###34# ##334###334#","//--- END",Radiotherapy!J21)</f>
        <v>* endDate 1..1 date ##34#End  date##34# ##334#Date when the last radiation treatment ended##334#</v>
      </c>
    </row>
    <row r="22" spans="3:3" ht="44.25">
      <c r="C22" s="12" t="str">
        <f>IF(Radiotherapy!J22="*  ..  ##34###34# ##334###334#","//--- END",Radiotherapy!J22)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c r="C23" s="12" t="str">
        <f>IF(Radiotherapy!J23="*  ..  ##34###34# ##334###334#","//--- END",Radiotherapy!J23)</f>
        <v>* treatmentSites.primary 0..1 boolean ##34#Primary##34# ##334#Primary##334#</v>
      </c>
    </row>
    <row r="24" spans="3:3">
      <c r="C24" s="12" t="str">
        <f>IF(Radiotherapy!J24="*  ..  ##34###34# ##334###334#","//--- END",Radiotherapy!J24)</f>
        <v>* treatmentSites.neck 0..1 boolean ##34#Neck##34# ##334#Neck##334#</v>
      </c>
    </row>
    <row r="25" spans="3:3" ht="29.5">
      <c r="C25" s="12" t="str">
        <f>IF(Radiotherapy!J25="*  ..  ##34###34# ##334###334#","//--- END",Radiotherapy!J25)</f>
        <v>* treatmentSites.primaryAndIpsilateralNeck 1..1 boolean ##34#Primary and Ipsilateral Neck##34# ##334#Primary and Ipsilateral Neck##334#</v>
      </c>
    </row>
    <row r="26" spans="3:3" ht="29.5">
      <c r="C26" s="12" t="str">
        <f>IF(Radiotherapy!J26="*  ..  ##34###34# ##334###334#","//--- END",Radiotherapy!J26)</f>
        <v>* treatmentSites.primaryAndBilateralNeck 1..1 boolean ##34#Primary and Bilateral Neck##34# ##334#Primary and Bilateral Neck##334#</v>
      </c>
    </row>
    <row r="27" spans="3:3">
      <c r="C27" s="12" t="str">
        <f>IF(Radiotherapy!J27="*  ..  ##34###34# ##334###334#","//--- END",Radiotherapy!J27)</f>
        <v>* treatmentSites.distantMetastasis 1..1 boolean ##34#Distant Metastasis##34# ##334#Distant Metastasis##334#</v>
      </c>
    </row>
    <row r="28" spans="3:3" ht="29.5">
      <c r="C28" s="12" t="str">
        <f>IF(Radiotherapy!J28="*  ..  ##34###34# ##334###334#","//--- END",Radiotherapy!J28)</f>
        <v>* metastaticTreatmentSites 0..1 BackboneElement ##34#Metastatic Treatment Sites:##34# ##334#Designates which treatment sites were irradiated. Lung Vs Mediastinum Vs Bone Vs soft tissue vs liver Vs other.##334#</v>
      </c>
    </row>
    <row r="29" spans="3:3" ht="44.25">
      <c r="C29" s="12" t="str">
        <f>IF(Radiotherapy!J29="*  ..  ##34###34# ##334###334#","//--- END",Radiotherapy!J29)</f>
        <v>* metastaticTreatmentSites.lung 0..1 boolean ##34#Lung
##34# ##334#Lung
##334#</v>
      </c>
    </row>
    <row r="30" spans="3:3" ht="44.25">
      <c r="C30" s="12" t="str">
        <f>IF(Radiotherapy!J30="*  ..  ##34###34# ##334###334#","//--- END",Radiotherapy!J30)</f>
        <v>* metastaticTreatmentSites.mediastinum 0..1 boolean ##34#Mediastinum
##34# ##334#Mediastinum
##334#</v>
      </c>
    </row>
    <row r="31" spans="3:3" ht="44.25">
      <c r="C31" s="12" t="str">
        <f>IF(Radiotherapy!J31="*  ..  ##34###34# ##334###334#","//--- END",Radiotherapy!J31)</f>
        <v>* metastaticTreatmentSites.bone 0..1 boolean ##34#Bone
##34# ##334#Bone
##334#</v>
      </c>
    </row>
    <row r="32" spans="3:3" ht="44.25">
      <c r="C32" s="12" t="str">
        <f>IF(Radiotherapy!J32="*  ..  ##34###34# ##334###334#","//--- END",Radiotherapy!J32)</f>
        <v>* metastaticTreatmentSites.softTissue 0..1 boolean ##34#Soft Tissue
##34# ##334#Soft Tissue
##334#</v>
      </c>
    </row>
    <row r="33" spans="3:3" ht="44.25">
      <c r="C33" s="12" t="str">
        <f>IF(Radiotherapy!J33="*  ..  ##34###34# ##334###334#","//--- END",Radiotherapy!J33)</f>
        <v>* metastaticTreatmentSites.liver 0..1 boolean ##34#Liver
##34# ##334#Liver
##334#</v>
      </c>
    </row>
    <row r="34" spans="3:3" ht="59">
      <c r="C34" s="12" t="str">
        <f>IF(Radiotherapy!J34="*  ..  ##34###34# ##334###334#","//--- END",Radiotherapy!J34)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c r="C35" s="12" t="str">
        <f>IF(Radiotherapy!J35="*  ..  ##34###34# ##334###334#","//--- END",Radiotherapy!J35)</f>
        <v>//--- END</v>
      </c>
    </row>
    <row r="36" spans="3:3">
      <c r="C36" s="12" t="str">
        <f>IF(Radiotherapy!J36="*  ..  ##34###34# ##334###334#","//--- END",Radiotherapy!J36)</f>
        <v>//--- END</v>
      </c>
    </row>
    <row r="37" spans="3:3">
      <c r="C37" s="12" t="str">
        <f>IF(Radiotherapy!J37="*  ..  ##34###34# ##334###334#","//--- END",Radiotherapy!J37)</f>
        <v>//--- END</v>
      </c>
    </row>
    <row r="38" spans="3:3">
      <c r="C38" s="12" t="str">
        <f>IF(Radiotherapy!J38="*  ..  ##34###34# ##334###334#","//--- END",Radiotherapy!J38)</f>
        <v>//--- END</v>
      </c>
    </row>
    <row r="48" spans="3:3">
      <c r="C48" s="23" t="s">
        <v>1613</v>
      </c>
    </row>
    <row r="49" spans="3:3">
      <c r="C49" s="24" t="s">
        <v>1651</v>
      </c>
    </row>
    <row r="50" spans="3:3">
      <c r="C50" s="24" t="s">
        <v>1613</v>
      </c>
    </row>
    <row r="51" spans="3:3">
      <c r="C51" s="12" t="str">
        <f>IF(Radiotherapy!L8="*  ..  ##34###34# ##334###334#","//--- END",Radiotherapy!L8)</f>
        <v/>
      </c>
    </row>
    <row r="52" spans="3:3" ht="29.5">
      <c r="C52" s="12" t="str">
        <f>IF(Radiotherapy!L9="*  ..  ##34###34# ##334###334#","//--- END",Radiotherapy!L9)</f>
        <v>* radiotherapy ^comment = ##334#Yes done at the hospital; Yes done at a different hospital; Not Done; Unknown.
Custom##334#</v>
      </c>
    </row>
    <row r="53" spans="3:3" ht="59">
      <c r="C53" s="12" t="str">
        <f>IF(Radiotherapy!L10="*  ..  ##34###34# ##334###334#","//--- END",Radiotherapy!L10)</f>
        <v>* intent ^comment = ##334#Palliative; Curative; Unknwon
Palliative - 4179711
Curative - 
Unknown - 4129922##334#</v>
      </c>
    </row>
    <row r="54" spans="3:3" ht="147.5">
      <c r="C54" s="12" t="str">
        <f>IF(Radiotherapy!L11="*  ..  ##34###34# ##334###334#","//--- END",Radiotherapy!L11)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5" spans="3:3" ht="177">
      <c r="C55" s="12" t="str">
        <f>IF(Radiotherapy!L12="*  ..  ##34###34# ##334###334#","//--- END",Radiotherapy!L12)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6" spans="3:3">
      <c r="C56" s="12" t="str">
        <f>IF(Radiotherapy!L13="*  ..  ##34###34# ##334###334#","//--- END",Radiotherapy!L13)</f>
        <v/>
      </c>
    </row>
    <row r="57" spans="3:3" ht="206.5">
      <c r="C57" s="12" t="str">
        <f>IF(Radiotherapy!L14="*  ..  ##34###34# ##334###334#","//--- END",Radiotherapy!L14)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8" spans="3:3">
      <c r="C58" s="12" t="str">
        <f>IF(Radiotherapy!L15="*  ..  ##34###34# ##334###334#","//--- END",Radiotherapy!L15)</f>
        <v/>
      </c>
    </row>
    <row r="59" spans="3:3">
      <c r="C59" s="12" t="str">
        <f>IF(Radiotherapy!L16="*  ..  ##34###34# ##334###334#","//--- END",Radiotherapy!L16)</f>
        <v/>
      </c>
    </row>
    <row r="60" spans="3:3">
      <c r="C60" s="12" t="str">
        <f>IF(Radiotherapy!L17="*  ..  ##34###34# ##334###334#","//--- END",Radiotherapy!L17)</f>
        <v/>
      </c>
    </row>
    <row r="61" spans="3:3" ht="59">
      <c r="C61" s="12" t="str">
        <f>IF(Radiotherapy!L18="*  ..  ##34###34# ##334###334#","//--- END",Radiotherapy!L18)</f>
        <v>* adaptiveRt ^comment = ##334#Yes; No; Unknown.
Yes - 4188539
No -  4188540
Unknown - 4129922##334#</v>
      </c>
    </row>
    <row r="62" spans="3:3" ht="59">
      <c r="C62" s="12" t="str">
        <f>IF(Radiotherapy!L19="*  ..  ##34###34# ##334###334#","//--- END",Radiotherapy!L19)</f>
        <v>* igrtImageGuideRadiotherapy ^comment = ##334#Yes; No; Unknown.
Yes - 4188539
No -  4188540
Unknown - 4129922##334#</v>
      </c>
    </row>
    <row r="63" spans="3:3">
      <c r="C63" s="12" t="str">
        <f>IF(Radiotherapy!L20="*  ..  ##34###34# ##334###334#","//--- END",Radiotherapy!L20)</f>
        <v/>
      </c>
    </row>
    <row r="64" spans="3:3">
      <c r="C64" s="12" t="str">
        <f>IF(Radiotherapy!L21="*  ..  ##34###34# ##334###334#","//--- END",Radiotherapy!L21)</f>
        <v/>
      </c>
    </row>
    <row r="65" spans="3:3">
      <c r="C65" s="12" t="str">
        <f>IF(Radiotherapy!L22="*  ..  ##34###34# ##334###334#","//--- END",Radiotherapy!L22)</f>
        <v/>
      </c>
    </row>
    <row r="66" spans="3:3">
      <c r="C66" s="12" t="str">
        <f>IF(Radiotherapy!L23="*  ..  ##34###34# ##334###334#","//--- END",Radiotherapy!L23)</f>
        <v/>
      </c>
    </row>
    <row r="67" spans="3:3">
      <c r="C67" s="12" t="str">
        <f>IF(Radiotherapy!L24="*  ..  ##34###34# ##334###334#","//--- END",Radiotherapy!L24)</f>
        <v/>
      </c>
    </row>
    <row r="68" spans="3:3">
      <c r="C68" s="12" t="str">
        <f>IF(Radiotherapy!L25="*  ..  ##34###34# ##334###334#","//--- END",Radiotherapy!L25)</f>
        <v/>
      </c>
    </row>
    <row r="69" spans="3:3">
      <c r="C69" s="12" t="str">
        <f>IF(Radiotherapy!L26="*  ..  ##34###34# ##334###334#","//--- END",Radiotherapy!L26)</f>
        <v/>
      </c>
    </row>
    <row r="70" spans="3:3">
      <c r="C70" s="12" t="str">
        <f>IF(Radiotherapy!L27="*  ..  ##34###34# ##334###334#","//--- END",Radiotherapy!L27)</f>
        <v/>
      </c>
    </row>
    <row r="71" spans="3:3">
      <c r="C71" s="12" t="str">
        <f>IF(Radiotherapy!L28="*  ..  ##34###34# ##334###334#","//--- END",Radiotherapy!L28)</f>
        <v/>
      </c>
    </row>
    <row r="72" spans="3:3">
      <c r="C72" s="12" t="str">
        <f>IF(Radiotherapy!L29="*  ..  ##34###34# ##334###334#","//--- END",Radiotherapy!L29)</f>
        <v/>
      </c>
    </row>
    <row r="73" spans="3:3">
      <c r="C73" s="12" t="str">
        <f>IF(Radiotherapy!L30="*  ..  ##34###34# ##334###334#","//--- END",Radiotherapy!L30)</f>
        <v/>
      </c>
    </row>
    <row r="74" spans="3:3">
      <c r="C74" s="12" t="str">
        <f>IF(Radiotherapy!L31="*  ..  ##34###34# ##334###334#","//--- END",Radiotherapy!L31)</f>
        <v/>
      </c>
    </row>
    <row r="75" spans="3:3">
      <c r="C75" s="12" t="str">
        <f>IF(Radiotherapy!L32="*  ..  ##34###34# ##334###334#","//--- END",Radiotherapy!L32)</f>
        <v/>
      </c>
    </row>
    <row r="76" spans="3:3">
      <c r="C76" s="12" t="str">
        <f>IF(Radiotherapy!L33="*  ..  ##34###34# ##334###334#","//--- END",Radiotherapy!L33)</f>
        <v/>
      </c>
    </row>
    <row r="77" spans="3:3" ht="132.75">
      <c r="C77" s="12" t="str">
        <f>IF(Radiotherapy!L34="*  ..  ##34###34# ##334###334#","//--- END",Radiotherapy!L34)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8" spans="3:3">
      <c r="C78" s="12" t="str">
        <f>IF(Radiotherapy!L35="*  ..  ##34###34# ##334###334#","//--- END",Radiotherapy!L35)</f>
        <v>//--- END</v>
      </c>
    </row>
    <row r="79" spans="3:3">
      <c r="C79" s="12" t="str">
        <f>IF(Radiotherapy!L36="*  ..  ##34###34# ##334###334#","//--- END",Radiotherapy!L36)</f>
        <v>//--- END</v>
      </c>
    </row>
    <row r="80" spans="3:3">
      <c r="C80" s="12" t="str">
        <f>IF(Radiotherapy!L37="*  ..  ##34###34# ##334###334#","//--- END",Radiotherapy!L37)</f>
        <v>//--- END</v>
      </c>
    </row>
    <row r="81" spans="3:3">
      <c r="C81" s="12" t="str">
        <f>IF(Radiotherapy!L38="*  ..  ##34###34# ##334###334#","//--- END",Radiotherapy!L38)</f>
        <v>//--- END</v>
      </c>
    </row>
    <row r="222" spans="3:3">
      <c r="C222" s="2"/>
    </row>
    <row r="223" spans="3:3">
      <c r="C223"/>
    </row>
    <row r="225" spans="3:3">
      <c r="C225" s="23"/>
    </row>
    <row r="226" spans="3:3">
      <c r="C226" s="24"/>
    </row>
    <row r="227" spans="3:3">
      <c r="C227" s="24"/>
    </row>
    <row r="234" spans="3:3">
      <c r="C234"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234</xdr:row>
                    <xdr:rowOff>171450</xdr:rowOff>
                  </from>
                  <to>
                    <xdr:col>2</xdr:col>
                    <xdr:colOff>1117600</xdr:colOff>
                    <xdr:row>236</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4"/>
  <sheetViews>
    <sheetView workbookViewId="0">
      <selection activeCell="D18" sqref="D18"/>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2198</v>
      </c>
      <c r="D3" s="62" t="s">
        <v>1769</v>
      </c>
      <c r="E3" s="117" t="str">
        <f>$C$1&amp;B14</f>
        <v>http://hl7.eu/fhir/ig/idea4rc/StructureDefinition/RadiotherapyI4rc</v>
      </c>
    </row>
    <row r="4" spans="1:19">
      <c r="B4" s="62" t="s">
        <v>16</v>
      </c>
      <c r="C4" s="28" t="s">
        <v>2198</v>
      </c>
      <c r="D4" s="62" t="s">
        <v>1770</v>
      </c>
      <c r="E4" s="184" t="s">
        <v>2242</v>
      </c>
      <c r="F4" s="185"/>
      <c r="G4" s="185"/>
    </row>
    <row r="5" spans="1:19">
      <c r="B5" s="62" t="s">
        <v>10</v>
      </c>
      <c r="C5" s="7" t="s">
        <v>2199</v>
      </c>
      <c r="D5" s="62"/>
      <c r="E5" s="7"/>
    </row>
    <row r="6" spans="1:19">
      <c r="B6" s="62" t="s">
        <v>18</v>
      </c>
      <c r="C6" s="56"/>
      <c r="D6" s="62" t="s">
        <v>1771</v>
      </c>
      <c r="E6" s="184" t="str">
        <f>E3</f>
        <v>http://hl7.eu/fhir/ig/idea4rc/StructureDefinition/RadiotherapyI4rc</v>
      </c>
      <c r="F6" s="185"/>
      <c r="G6" s="185"/>
    </row>
    <row r="7" spans="1:19">
      <c r="B7" s="62" t="s">
        <v>15</v>
      </c>
      <c r="C7" s="118"/>
      <c r="D7" s="62" t="s">
        <v>1772</v>
      </c>
      <c r="E7" s="184" t="str">
        <f>E4</f>
        <v>http://hl7.eu/fhir/ig/idea4rc/StructureDefinition/Procedure-radiotheraphy-eu-i4rc</v>
      </c>
      <c r="F7" s="185"/>
      <c r="G7" s="185"/>
    </row>
    <row r="8" spans="1:19" ht="45" thickBot="1">
      <c r="B8" s="62" t="s">
        <v>1773</v>
      </c>
      <c r="C8" s="7" t="s">
        <v>2199</v>
      </c>
      <c r="D8" s="62"/>
      <c r="E8" s="7"/>
      <c r="I8" s="12" t="s">
        <v>1402</v>
      </c>
      <c r="J8" s="12" t="s">
        <v>1403</v>
      </c>
      <c r="K8" s="12" t="s">
        <v>1404</v>
      </c>
      <c r="L8" s="12" t="s">
        <v>1405</v>
      </c>
      <c r="M8" s="11" t="s">
        <v>1406</v>
      </c>
      <c r="P8" s="49" t="s">
        <v>1441</v>
      </c>
      <c r="Q8" s="49">
        <v>6</v>
      </c>
    </row>
    <row r="9" spans="1:19" ht="30.25" thickBot="1">
      <c r="B9" s="62" t="s">
        <v>1774</v>
      </c>
      <c r="C9" s="12" t="s">
        <v>2200</v>
      </c>
      <c r="D9" s="143"/>
      <c r="E9" s="186"/>
      <c r="F9" s="187"/>
      <c r="G9" s="18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Radiotherapy!B4</f>
        <v>RadiotherapyI4rc</v>
      </c>
      <c r="C14" s="11"/>
      <c r="D14" s="4" t="s">
        <v>2182</v>
      </c>
      <c r="E14" s="6"/>
      <c r="F14" s="64"/>
      <c r="G14" s="64"/>
      <c r="I14" s="12"/>
      <c r="J14" s="11"/>
      <c r="K14" s="11"/>
      <c r="L14" s="11"/>
      <c r="M14" s="63"/>
      <c r="N14" s="66"/>
    </row>
    <row r="15" spans="1:19" ht="44.25">
      <c r="A15" s="59"/>
      <c r="B15" s="11" t="str">
        <f>Radiotherapy!B8</f>
        <v>episodeEventReference</v>
      </c>
      <c r="C15" s="11" t="str">
        <f>Radiotherapy!C8</f>
        <v>Episode Event reference</v>
      </c>
      <c r="D15" s="12" t="s">
        <v>2183</v>
      </c>
      <c r="E15" s="12"/>
      <c r="F15" s="64" t="s">
        <v>1407</v>
      </c>
      <c r="G15" s="123"/>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INDEX('Radiotherapy-ConceptMap-1'!$I$15:$N$124,Q15+1,R15)</f>
        <v>* group[=].element[+].code = #RadiotherapyI4rc.episodeEventReference</v>
      </c>
    </row>
    <row r="16" spans="1:19" ht="88.5">
      <c r="A16" s="59"/>
      <c r="B16" s="11" t="str">
        <f>Radiotherapy!B9</f>
        <v>radiotherapy</v>
      </c>
      <c r="C16" s="11" t="str">
        <f>Radiotherapy!C9</f>
        <v>Radiotherapy</v>
      </c>
      <c r="D16" s="12" t="s">
        <v>2226</v>
      </c>
      <c r="E16" s="12"/>
      <c r="F16" s="64" t="s">
        <v>1407</v>
      </c>
      <c r="G16" s="122" t="s">
        <v>2201</v>
      </c>
      <c r="I16" s="12" t="str">
        <f t="shared" ref="I16:I38" si="7">"* group[=].element[+].code = #"&amp;$B$14&amp;"."&amp;B16</f>
        <v>* group[=].element[+].code = #RadiotherapyI4rc.radiotherapy</v>
      </c>
      <c r="J16" s="12" t="str">
        <f t="shared" ref="J16:J39" si="8">"* group[=].element[=].display = ##34#"&amp;C16&amp;"##34#"</f>
        <v>* group[=].element[=].display = ##34#Radiotherapy##34#</v>
      </c>
      <c r="K16" s="12" t="str">
        <f t="shared" ref="K16:K39" si="9">IF(F16="unmatched","//-- unmatched","* group[=].element[=].target.code = #"&amp;$D$14&amp;"."&amp;D16)</f>
        <v>* group[=].element[=].target.code = #Procedure.extension:procedureCategoryR5</v>
      </c>
      <c r="L16" s="12" t="str">
        <f t="shared" ref="L16:L39" si="10">IF(F16="unmatched","//-- unmatched","* group[=].element[=].target.display = ##34#"&amp;E16&amp;"##34#")</f>
        <v>* group[=].element[=].target.display = ##34###34#</v>
      </c>
      <c r="M16" s="12" t="str">
        <f t="shared" ref="M16:M39" si="11">"* group[=].element[=].target.equivalence = #"&amp;F16</f>
        <v>* group[=].element[=].target.equivalence = #relatedto</v>
      </c>
      <c r="N16" s="12" t="str">
        <f t="shared" ref="N16:N39" si="12">IF(G16&lt;&gt;"",CONCATENATE("* group[=].element[=].target.comment = ","##34#",G16,"##34#"),"")</f>
        <v>* group[=].element[=].target.comment = ##34#to be analyzed: derive this from a combination of elements or use other cathegories (R5 extension)##34#</v>
      </c>
      <c r="P16" s="11">
        <v>2</v>
      </c>
      <c r="Q16" s="11">
        <f t="shared" ref="Q16:Q79" si="13">IF(MOD(P16,$Q$8)=0,P16/$Q$8-1,INT(P16/$Q$8))</f>
        <v>0</v>
      </c>
      <c r="R16" s="11">
        <f t="shared" ref="R16:R79" si="14">IF(MOD(P16,$Q$8)=0,$Q$8,MOD(P16,$Q$8))</f>
        <v>2</v>
      </c>
      <c r="S16" s="12" t="str" cm="1">
        <f t="array" ref="S16">INDEX('Radiotherapy-ConceptMap-1'!$I$15:$N$124,Q16+1,R16)</f>
        <v>* group[=].element[=].display = ##34#Episode Event reference##34#</v>
      </c>
    </row>
    <row r="17" spans="1:19" ht="59" customHeight="1">
      <c r="A17" s="59"/>
      <c r="B17" s="11" t="str">
        <f>Radiotherapy!B10</f>
        <v>intent</v>
      </c>
      <c r="C17" s="11" t="str">
        <f>Radiotherapy!C10</f>
        <v>Intent</v>
      </c>
      <c r="D17" s="12" t="s">
        <v>2214</v>
      </c>
      <c r="E17" s="12"/>
      <c r="F17" s="64" t="s">
        <v>1407</v>
      </c>
      <c r="G17" s="122" t="s">
        <v>1775</v>
      </c>
      <c r="H17" s="58"/>
      <c r="I17" s="12" t="str">
        <f t="shared" si="7"/>
        <v>* group[=].element[+].code = #RadiotherapyI4rc.intent</v>
      </c>
      <c r="J17" s="12" t="str">
        <f t="shared" si="8"/>
        <v>* group[=].element[=].display = ##34#Intent##34#</v>
      </c>
      <c r="K17" s="12" t="str">
        <f t="shared" si="9"/>
        <v>* group[=].element[=].target.code = #Procedure.extension:procedureIntent.valueCodeableConcept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INDEX('Radiotherapy-ConceptMap-1'!$I$15:$N$124,Q17+1,R17)</f>
        <v>* group[=].element[=].target.code = #Procedure.reasonReference</v>
      </c>
    </row>
    <row r="18" spans="1:19" ht="88.5">
      <c r="A18" s="59"/>
      <c r="B18" s="11" t="str">
        <f>Radiotherapy!B11</f>
        <v>setting</v>
      </c>
      <c r="C18" s="11" t="str">
        <f>Radiotherapy!C11</f>
        <v>Setting</v>
      </c>
      <c r="D18" s="12" t="s">
        <v>2226</v>
      </c>
      <c r="E18" s="12"/>
      <c r="F18" s="64" t="s">
        <v>1407</v>
      </c>
      <c r="G18" s="122" t="s">
        <v>2201</v>
      </c>
      <c r="H18" s="58"/>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group[=].element[=].target.comment = ##34#to be analyzed: derive this from a combination of elements or use other cathegories (R5 extension)##34#</v>
      </c>
      <c r="P18" s="11">
        <v>4</v>
      </c>
      <c r="Q18" s="11">
        <f t="shared" si="13"/>
        <v>0</v>
      </c>
      <c r="R18" s="11">
        <f t="shared" si="14"/>
        <v>4</v>
      </c>
      <c r="S18" s="12" t="str" cm="1">
        <f t="array" ref="S18">INDEX('Radiotherapy-ConceptMap-1'!$I$15:$N$124,Q18+1,R18)</f>
        <v>* group[=].element[=].target.display = ##34###34#</v>
      </c>
    </row>
    <row r="19" spans="1:19" ht="88.5">
      <c r="A19" s="59"/>
      <c r="B19" s="11" t="str">
        <f>Radiotherapy!B12</f>
        <v>beamQuality</v>
      </c>
      <c r="C19" s="11" t="str">
        <f>Radiotherapy!C12</f>
        <v>Beam quality</v>
      </c>
      <c r="D19" s="12" t="s">
        <v>2221</v>
      </c>
      <c r="E19" s="12"/>
      <c r="F19" s="64" t="s">
        <v>1407</v>
      </c>
      <c r="G19" s="123" t="s">
        <v>1775</v>
      </c>
      <c r="H19" s="58"/>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INDEX('Radiotherapy-ConceptMap-1'!$I$15:$N$124,Q19+1,R19)</f>
        <v>* group[=].element[=].target.equivalence = #relatedto</v>
      </c>
    </row>
    <row r="20" spans="1:19" ht="44.25">
      <c r="A20" s="59"/>
      <c r="B20" s="11" t="str">
        <f>Radiotherapy!B13</f>
        <v>otherSpecify</v>
      </c>
      <c r="C20" s="11" t="str">
        <f>Radiotherapy!C13</f>
        <v>Other; specify</v>
      </c>
      <c r="D20" s="12" t="s">
        <v>2222</v>
      </c>
      <c r="E20" s="12"/>
      <c r="F20" s="64" t="s">
        <v>1424</v>
      </c>
      <c r="G20" s="123" t="s">
        <v>1775</v>
      </c>
      <c r="H20" s="58"/>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INDEX('Radiotherapy-ConceptMap-1'!$I$15:$N$124,Q20+1,R20)</f>
        <v/>
      </c>
    </row>
    <row r="21" spans="1:19" ht="88.5">
      <c r="A21" s="59"/>
      <c r="B21" s="11" t="str">
        <f>Radiotherapy!B14</f>
        <v>treatmentTechnique</v>
      </c>
      <c r="C21" s="11" t="str">
        <f>Radiotherapy!C14</f>
        <v>Treatment technique</v>
      </c>
      <c r="D21" s="12" t="s">
        <v>2215</v>
      </c>
      <c r="E21" s="12"/>
      <c r="F21" s="64" t="s">
        <v>1407</v>
      </c>
      <c r="G21" s="123" t="s">
        <v>1775</v>
      </c>
      <c r="H21" s="58"/>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INDEX('Radiotherapy-ConceptMap-1'!$I$15:$N$124,Q21+1,R21)</f>
        <v>* group[=].element[+].code = #RadiotherapyI4rc.radiotherapy</v>
      </c>
    </row>
    <row r="22" spans="1:19" ht="88.5">
      <c r="A22" s="59"/>
      <c r="B22" s="11" t="str">
        <f>Radiotherapy!B15</f>
        <v>totalDoseTdGy</v>
      </c>
      <c r="C22" s="11" t="str">
        <f>Radiotherapy!C15</f>
        <v>Total Dose (TD) Gy</v>
      </c>
      <c r="D22" s="12" t="s">
        <v>2216</v>
      </c>
      <c r="E22" s="12"/>
      <c r="F22" s="64" t="s">
        <v>1429</v>
      </c>
      <c r="G22" s="123"/>
      <c r="H22" s="58"/>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INDEX('Radiotherapy-ConceptMap-1'!$I$15:$N$124,Q22+1,R22)</f>
        <v>* group[=].element[=].display = ##34#Radiotherapy##34#</v>
      </c>
    </row>
    <row r="23" spans="1:19" ht="73.75">
      <c r="A23" s="59"/>
      <c r="B23" s="11" t="str">
        <f>Radiotherapy!B16</f>
        <v>fractionSizeFs</v>
      </c>
      <c r="C23" s="11" t="str">
        <f>Radiotherapy!C16</f>
        <v>Fraction Size (FS)</v>
      </c>
      <c r="D23" s="12"/>
      <c r="E23" s="11"/>
      <c r="F23" s="64" t="s">
        <v>1424</v>
      </c>
      <c r="G23" s="122" t="s">
        <v>2218</v>
      </c>
      <c r="H23" s="58"/>
      <c r="I23" s="12" t="str">
        <f t="shared" si="7"/>
        <v>* group[=].element[+].code = #RadiotherapyI4rc.fractionSizeFs</v>
      </c>
      <c r="J23" s="12" t="str">
        <f t="shared" si="8"/>
        <v>* group[=].element[=].display = ##34#Fraction Size (FS)##34#</v>
      </c>
      <c r="K23" s="12" t="str">
        <f t="shared" si="9"/>
        <v>//-- unmatched</v>
      </c>
      <c r="L23" s="12" t="str">
        <f t="shared" si="10"/>
        <v>//-- unmatched</v>
      </c>
      <c r="M23" s="12" t="str">
        <f t="shared" si="11"/>
        <v>* group[=].element[=].target.equivalence = #unmatched</v>
      </c>
      <c r="N23" s="12" t="str">
        <f t="shared" si="12"/>
        <v>* group[=].element[=].target.comment = ##34#check if this can be derived form TD and number of fractions##34#</v>
      </c>
      <c r="P23" s="11">
        <v>9</v>
      </c>
      <c r="Q23" s="11">
        <f t="shared" si="13"/>
        <v>1</v>
      </c>
      <c r="R23" s="11">
        <f t="shared" si="14"/>
        <v>3</v>
      </c>
      <c r="S23" s="12" t="str" cm="1">
        <f t="array" ref="S23">INDEX('Radiotherapy-ConceptMap-1'!$I$15:$N$124,Q23+1,R23)</f>
        <v>* group[=].element[=].target.code = #Procedure.extension:procedureCategoryR5</v>
      </c>
    </row>
    <row r="24" spans="1:19" ht="29.5" customHeight="1">
      <c r="A24" s="59"/>
      <c r="B24" s="11" t="str">
        <f>Radiotherapy!B17</f>
        <v>numberOfFractions</v>
      </c>
      <c r="C24" s="11" t="str">
        <f>Radiotherapy!C17</f>
        <v>Number of fractions</v>
      </c>
      <c r="D24" s="12" t="s">
        <v>2217</v>
      </c>
      <c r="E24" s="11"/>
      <c r="F24" s="64" t="s">
        <v>1407</v>
      </c>
      <c r="G24" s="123"/>
      <c r="H24" s="58"/>
      <c r="I24" s="12" t="str">
        <f t="shared" si="7"/>
        <v>* group[=].element[+].code = #RadiotherapyI4rc.numberOfFractions</v>
      </c>
      <c r="J24" s="12" t="str">
        <f t="shared" si="8"/>
        <v>* group[=].element[=].display = ##34#Number of fractions##34#</v>
      </c>
      <c r="K24" s="12" t="str">
        <f t="shared" si="9"/>
        <v>* group[=].element[=].target.code = #Procedure.fractionsDelivered</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INDEX('Radiotherapy-ConceptMap-1'!$I$15:$N$124,Q24+1,R24)</f>
        <v>* group[=].element[=].target.display = ##34###34#</v>
      </c>
    </row>
    <row r="25" spans="1:19" ht="73.75">
      <c r="A25" s="59"/>
      <c r="B25" s="11" t="str">
        <f>Radiotherapy!B18</f>
        <v>adaptiveRt</v>
      </c>
      <c r="C25" s="11" t="str">
        <f>Radiotherapy!C18</f>
        <v>Adaptive RT</v>
      </c>
      <c r="D25" s="12" t="s">
        <v>2219</v>
      </c>
      <c r="E25" s="11"/>
      <c r="F25" s="64" t="s">
        <v>1407</v>
      </c>
      <c r="G25" s="122" t="s">
        <v>2220</v>
      </c>
      <c r="H25" s="58"/>
      <c r="I25" s="12" t="str">
        <f t="shared" si="7"/>
        <v>* group[=].element[+].code = #RadiotherapyI4rc.adaptiveRt</v>
      </c>
      <c r="J25" s="12" t="str">
        <f t="shared" si="8"/>
        <v>* group[=].element[=].display = ##34#Adaptive RT##34#</v>
      </c>
      <c r="K25" s="12" t="str">
        <f t="shared" si="9"/>
        <v>* group[=].element[=].target.code = #Procedure.extension:terminationReason</v>
      </c>
      <c r="L25" s="12" t="str">
        <f t="shared" si="10"/>
        <v>* group[=].element[=].target.display = ##34###34#</v>
      </c>
      <c r="M25" s="12" t="str">
        <f t="shared" si="11"/>
        <v>* group[=].element[=].target.equivalence = #relatedto</v>
      </c>
      <c r="N25" s="12" t="str">
        <f t="shared" si="12"/>
        <v>* group[=].element[=].target.comment = ##34#to be reviewed; extension to be localized to change the used value set##34#</v>
      </c>
      <c r="P25" s="11">
        <v>11</v>
      </c>
      <c r="Q25" s="11">
        <f t="shared" si="13"/>
        <v>1</v>
      </c>
      <c r="R25" s="11">
        <f t="shared" si="14"/>
        <v>5</v>
      </c>
      <c r="S25" s="12" t="str" cm="1">
        <f t="array" ref="S25">INDEX('Radiotherapy-ConceptMap-1'!$I$15:$N$124,Q25+1,R25)</f>
        <v>* group[=].element[=].target.equivalence = #relatedto</v>
      </c>
    </row>
    <row r="26" spans="1:19" ht="88.5">
      <c r="A26" s="59"/>
      <c r="B26" s="11" t="str">
        <f>Radiotherapy!B19</f>
        <v>igrtImageGuideRadiotherapy</v>
      </c>
      <c r="C26" s="11" t="str">
        <f>Radiotherapy!C19</f>
        <v>IGRT  (image guide radiotherapy)</v>
      </c>
      <c r="D26" s="12" t="s">
        <v>2215</v>
      </c>
      <c r="E26" s="12"/>
      <c r="F26" s="64" t="s">
        <v>1407</v>
      </c>
      <c r="G26" s="122" t="s">
        <v>1775</v>
      </c>
      <c r="H26" s="58"/>
      <c r="I26" s="12" t="str">
        <f t="shared" si="7"/>
        <v>* group[=].element[+].code = #RadiotherapyI4rc.igrtImageGuideRadiotherapy</v>
      </c>
      <c r="J26" s="12" t="str">
        <f t="shared" si="8"/>
        <v>* group[=].element[=].display = ##34#IGRT  (image guide radiotherapy)##34#</v>
      </c>
      <c r="K26" s="12" t="str">
        <f t="shared" si="9"/>
        <v>* group[=].element[=].target.code = #Procedure.extension:modalityAndTechnique.extension:technique.valueCodeableConcept</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INDEX('Radiotherapy-ConceptMap-1'!$I$15:$N$124,Q26+1,R26)</f>
        <v>* group[=].element[=].target.comment = ##34#to be analyzed: derive this from a combination of elements or use other cathegories (R5 extension)##34#</v>
      </c>
    </row>
    <row r="27" spans="1:19" ht="73.75">
      <c r="A27" s="59"/>
      <c r="B27" s="11" t="str">
        <f>Radiotherapy!B20</f>
        <v>startDate</v>
      </c>
      <c r="C27" s="11" t="str">
        <f>Radiotherapy!C20</f>
        <v>Start date</v>
      </c>
      <c r="D27" s="12" t="s">
        <v>2223</v>
      </c>
      <c r="E27" s="12"/>
      <c r="F27" s="64" t="s">
        <v>1430</v>
      </c>
      <c r="G27" s="123"/>
      <c r="H27" s="58"/>
      <c r="I27" s="12" t="str">
        <f t="shared" si="7"/>
        <v>* group[=].element[+].code = #RadiotherapyI4rc.startDate</v>
      </c>
      <c r="J27" s="12" t="str">
        <f t="shared" si="8"/>
        <v>* group[=].element[=].display = ##34#Start date##34#</v>
      </c>
      <c r="K27" s="12" t="str">
        <f t="shared" si="9"/>
        <v>* group[=].element[=].target.code = #Procedure.performedPeriod.start</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INDEX('Radiotherapy-ConceptMap-1'!$I$15:$N$124,Q27+1,R27)</f>
        <v>* group[=].element[+].code = #RadiotherapyI4rc.intent</v>
      </c>
    </row>
    <row r="28" spans="1:19" ht="59">
      <c r="B28" s="11" t="str">
        <f>Radiotherapy!B21</f>
        <v>endDate</v>
      </c>
      <c r="C28" s="11" t="str">
        <f>Radiotherapy!C21</f>
        <v>End  date</v>
      </c>
      <c r="D28" s="12" t="s">
        <v>2224</v>
      </c>
      <c r="E28" s="12"/>
      <c r="F28" s="64" t="s">
        <v>1430</v>
      </c>
      <c r="G28" s="123"/>
      <c r="H28" s="58"/>
      <c r="I28" s="12" t="str">
        <f t="shared" si="7"/>
        <v>* group[=].element[+].code = #RadiotherapyI4rc.endDate</v>
      </c>
      <c r="J28" s="12" t="str">
        <f t="shared" si="8"/>
        <v>* group[=].element[=].display = ##34#End  date##34#</v>
      </c>
      <c r="K28" s="12" t="str">
        <f t="shared" si="9"/>
        <v>* group[=].element[=].target.code = #Procedure.performedPeriod.end</v>
      </c>
      <c r="L28" s="12" t="str">
        <f t="shared" si="10"/>
        <v>* group[=].element[=].target.display = ##34###34#</v>
      </c>
      <c r="M28" s="12" t="str">
        <f t="shared" si="11"/>
        <v>* group[=].element[=].target.equivalence = #equal</v>
      </c>
      <c r="N28" s="12" t="str">
        <f t="shared" si="12"/>
        <v/>
      </c>
      <c r="P28" s="11">
        <v>14</v>
      </c>
      <c r="Q28" s="11">
        <f t="shared" si="13"/>
        <v>2</v>
      </c>
      <c r="R28" s="11">
        <f t="shared" si="14"/>
        <v>2</v>
      </c>
      <c r="S28" s="12" t="str" cm="1">
        <f t="array" ref="S28">INDEX('Radiotherapy-ConceptMap-1'!$I$15:$N$124,Q28+1,R28)</f>
        <v>* group[=].element[=].display = ##34#Intent##34#</v>
      </c>
    </row>
    <row r="29" spans="1:19" ht="44.25">
      <c r="B29" s="11" t="str">
        <f>Radiotherapy!B22</f>
        <v>treatmentSites</v>
      </c>
      <c r="C29" s="11" t="str">
        <f>Radiotherapy!C22</f>
        <v>Treatment Sites:</v>
      </c>
      <c r="D29" s="12" t="s">
        <v>1977</v>
      </c>
      <c r="E29" s="12"/>
      <c r="F29" s="64" t="s">
        <v>1429</v>
      </c>
      <c r="G29" s="123"/>
      <c r="H29" s="58"/>
      <c r="I29" s="12" t="str">
        <f t="shared" si="7"/>
        <v>* group[=].element[+].code = #RadiotherapyI4rc.treatmentSites</v>
      </c>
      <c r="J29" s="12" t="str">
        <f t="shared" si="8"/>
        <v>* group[=].element[=].display = ##34#Treatment Sites:##34#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INDEX('Radiotherapy-ConceptMap-1'!$I$15:$N$124,Q29+1,R29)</f>
        <v>* group[=].element[=].target.code = #Procedure.extension:procedureIntent.valueCodeableConcept</v>
      </c>
    </row>
    <row r="30" spans="1:19" ht="44.25">
      <c r="B30" s="11" t="str">
        <f>Radiotherapy!B23</f>
        <v>treatmentSites.primary</v>
      </c>
      <c r="C30" s="11" t="str">
        <f>Radiotherapy!C23</f>
        <v>Primary</v>
      </c>
      <c r="D30" s="12" t="s">
        <v>1977</v>
      </c>
      <c r="E30" s="12"/>
      <c r="F30" s="64" t="s">
        <v>1407</v>
      </c>
      <c r="G30" s="122" t="s">
        <v>1775</v>
      </c>
      <c r="H30" s="58"/>
      <c r="I30" s="12" t="str">
        <f t="shared" si="7"/>
        <v>* group[=].element[+].code = #RadiotherapyI4rc.treatmentSites.primary</v>
      </c>
      <c r="J30" s="12" t="str">
        <f t="shared" si="8"/>
        <v>* group[=].element[=].display = ##34#Primary##34#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##34#to be checked##34#</v>
      </c>
      <c r="P30" s="11">
        <v>16</v>
      </c>
      <c r="Q30" s="11">
        <f t="shared" si="13"/>
        <v>2</v>
      </c>
      <c r="R30" s="11">
        <f t="shared" si="14"/>
        <v>4</v>
      </c>
      <c r="S30" s="12" t="str" cm="1">
        <f t="array" ref="S30">INDEX('Radiotherapy-ConceptMap-1'!$I$15:$N$124,Q30+1,R30)</f>
        <v>* group[=].element[=].target.display = ##34###34#</v>
      </c>
    </row>
    <row r="31" spans="1:19" ht="44.25">
      <c r="B31" s="11" t="str">
        <f>Radiotherapy!B24</f>
        <v>treatmentSites.neck</v>
      </c>
      <c r="C31" s="11" t="str">
        <f>Radiotherapy!C24</f>
        <v>Neck</v>
      </c>
      <c r="D31" s="12" t="s">
        <v>1977</v>
      </c>
      <c r="E31" s="12"/>
      <c r="F31" s="64" t="s">
        <v>1407</v>
      </c>
      <c r="G31" s="122" t="s">
        <v>1775</v>
      </c>
      <c r="H31" s="58"/>
      <c r="I31" s="12" t="str">
        <f t="shared" si="7"/>
        <v>* group[=].element[+].code = #RadiotherapyI4rc.treatmentSites.neck</v>
      </c>
      <c r="J31" s="12" t="str">
        <f t="shared" si="8"/>
        <v>* group[=].element[=].display = ##34#Neck##34#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##34#to be checked##34#</v>
      </c>
      <c r="P31" s="11">
        <v>17</v>
      </c>
      <c r="Q31" s="11">
        <f t="shared" si="13"/>
        <v>2</v>
      </c>
      <c r="R31" s="11">
        <f t="shared" si="14"/>
        <v>5</v>
      </c>
      <c r="S31" s="12" t="str" cm="1">
        <f t="array" ref="S31">INDEX('Radiotherapy-ConceptMap-1'!$I$15:$N$124,Q31+1,R31)</f>
        <v>* group[=].element[=].target.equivalence = #relatedto</v>
      </c>
    </row>
    <row r="32" spans="1:19" ht="44.25">
      <c r="B32" s="11" t="str">
        <f>Radiotherapy!B25</f>
        <v>treatmentSites.primaryAndIpsilateralNeck</v>
      </c>
      <c r="C32" s="11" t="str">
        <f>Radiotherapy!C25</f>
        <v>Primary and Ipsilateral Neck</v>
      </c>
      <c r="D32" s="12" t="s">
        <v>1977</v>
      </c>
      <c r="E32" s="12"/>
      <c r="F32" s="64" t="s">
        <v>1407</v>
      </c>
      <c r="G32" s="122" t="s">
        <v>1775</v>
      </c>
      <c r="H32" s="58"/>
      <c r="I32" s="12" t="str">
        <f t="shared" si="7"/>
        <v>* group[=].element[+].code = #RadiotherapyI4rc.treatmentSites.primaryAndIpsilateralNeck</v>
      </c>
      <c r="J32" s="12" t="str">
        <f t="shared" si="8"/>
        <v>* group[=].element[=].display = ##34#Primary and Ipsilateral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##34#to be checked##34#</v>
      </c>
      <c r="P32" s="11">
        <v>18</v>
      </c>
      <c r="Q32" s="11">
        <f t="shared" si="13"/>
        <v>2</v>
      </c>
      <c r="R32" s="11">
        <f t="shared" si="14"/>
        <v>6</v>
      </c>
      <c r="S32" s="12" t="str" cm="1">
        <f t="array" ref="S32">INDEX('Radiotherapy-ConceptMap-1'!$I$15:$N$124,Q32+1,R32)</f>
        <v>* group[=].element[=].target.comment = ##34#to be checked##34#</v>
      </c>
    </row>
    <row r="33" spans="1:19" ht="44.25">
      <c r="B33" s="11" t="str">
        <f>Radiotherapy!B26</f>
        <v>treatmentSites.primaryAndBilateralNeck</v>
      </c>
      <c r="C33" s="11" t="str">
        <f>Radiotherapy!C26</f>
        <v>Primary and Bilateral Neck</v>
      </c>
      <c r="D33" s="12" t="s">
        <v>1977</v>
      </c>
      <c r="E33" s="12"/>
      <c r="F33" s="64" t="s">
        <v>1407</v>
      </c>
      <c r="G33" s="122" t="s">
        <v>1775</v>
      </c>
      <c r="H33" s="58"/>
      <c r="I33" s="12" t="str">
        <f t="shared" si="7"/>
        <v>* group[=].element[+].code = #RadiotherapyI4rc.treatmentSites.primaryAndBilateralNeck</v>
      </c>
      <c r="J33" s="12" t="str">
        <f t="shared" si="8"/>
        <v>* group[=].element[=].display = ##34#Primary and Bilateral Neck##34#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##34#to be checked##34#</v>
      </c>
      <c r="P33" s="11">
        <v>19</v>
      </c>
      <c r="Q33" s="11">
        <f t="shared" si="13"/>
        <v>3</v>
      </c>
      <c r="R33" s="11">
        <f t="shared" si="14"/>
        <v>1</v>
      </c>
      <c r="S33" s="12" t="str" cm="1">
        <f t="array" ref="S33">INDEX('Radiotherapy-ConceptMap-1'!$I$15:$N$124,Q33+1,R33)</f>
        <v>* group[=].element[+].code = #RadiotherapyI4rc.setting</v>
      </c>
    </row>
    <row r="34" spans="1:19" ht="44.25">
      <c r="B34" s="11" t="str">
        <f>Radiotherapy!B27</f>
        <v>treatmentSites.distantMetastasis</v>
      </c>
      <c r="C34" s="11" t="str">
        <f>Radiotherapy!C27</f>
        <v>Distant Metastasis</v>
      </c>
      <c r="D34" s="12" t="s">
        <v>1977</v>
      </c>
      <c r="E34" s="12"/>
      <c r="F34" s="64" t="s">
        <v>1407</v>
      </c>
      <c r="G34" s="122" t="s">
        <v>1775</v>
      </c>
      <c r="H34" s="58"/>
      <c r="I34" s="12" t="str">
        <f t="shared" si="7"/>
        <v>* group[=].element[+].code = #RadiotherapyI4rc.treatmentSites.distantMetastasis</v>
      </c>
      <c r="J34" s="12" t="str">
        <f t="shared" si="8"/>
        <v>* group[=].element[=].display = ##34#Distant Metastasis##34#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##34#to be checked##34#</v>
      </c>
      <c r="P34" s="11">
        <v>20</v>
      </c>
      <c r="Q34" s="11">
        <f t="shared" si="13"/>
        <v>3</v>
      </c>
      <c r="R34" s="11">
        <f t="shared" si="14"/>
        <v>2</v>
      </c>
      <c r="S34" s="12" t="str" cm="1">
        <f t="array" ref="S34">INDEX('Radiotherapy-ConceptMap-1'!$I$15:$N$124,Q34+1,R34)</f>
        <v>* group[=].element[=].display = ##34#Setting##34#</v>
      </c>
    </row>
    <row r="35" spans="1:19" ht="44.25">
      <c r="B35" s="11" t="str">
        <f>Radiotherapy!B28</f>
        <v>metastaticTreatmentSites</v>
      </c>
      <c r="C35" s="11" t="str">
        <f>Radiotherapy!C28</f>
        <v>Metastatic Treatment Sites:</v>
      </c>
      <c r="D35" s="12" t="s">
        <v>1977</v>
      </c>
      <c r="E35" s="12"/>
      <c r="F35" s="64" t="s">
        <v>1407</v>
      </c>
      <c r="G35" s="122" t="s">
        <v>1775</v>
      </c>
      <c r="H35" s="58"/>
      <c r="I35" s="12" t="str">
        <f t="shared" si="7"/>
        <v>* group[=].element[+].code = #RadiotherapyI4rc.metastaticTreatmentSites</v>
      </c>
      <c r="J35" s="12" t="str">
        <f t="shared" si="8"/>
        <v>* group[=].element[=].display = ##34#Metastatic Treatment Sites:##34#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##34#to be checked##34#</v>
      </c>
      <c r="P35" s="11">
        <v>21</v>
      </c>
      <c r="Q35" s="11">
        <f t="shared" si="13"/>
        <v>3</v>
      </c>
      <c r="R35" s="11">
        <f t="shared" si="14"/>
        <v>3</v>
      </c>
      <c r="S35" s="12" t="str" cm="1">
        <f t="array" ref="S35">INDEX('Radiotherapy-ConceptMap-1'!$I$15:$N$124,Q35+1,R35)</f>
        <v>* group[=].element[=].target.code = #Procedure.extension:procedureCategoryR5</v>
      </c>
    </row>
    <row r="36" spans="1:19" ht="44.25">
      <c r="B36" s="11" t="str">
        <f>Radiotherapy!B29</f>
        <v>metastaticTreatmentSites.lung</v>
      </c>
      <c r="C36" s="11" t="str">
        <f>Radiotherapy!C29</f>
        <v xml:space="preserve">Lung
</v>
      </c>
      <c r="D36" s="12" t="s">
        <v>1977</v>
      </c>
      <c r="E36" s="12"/>
      <c r="F36" s="64" t="s">
        <v>1407</v>
      </c>
      <c r="G36" s="122" t="s">
        <v>1775</v>
      </c>
      <c r="H36" s="58"/>
      <c r="I36" s="12" t="str">
        <f t="shared" si="7"/>
        <v>* group[=].element[+].code = #RadiotherapyI4rc.metastaticTreatmentSites.lung</v>
      </c>
      <c r="J36" s="12" t="str">
        <f t="shared" si="8"/>
        <v>* group[=].element[=].display = ##34#Lung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##34#to be checked##34#</v>
      </c>
      <c r="P36" s="11">
        <v>22</v>
      </c>
      <c r="Q36" s="11">
        <f t="shared" si="13"/>
        <v>3</v>
      </c>
      <c r="R36" s="11">
        <f t="shared" si="14"/>
        <v>4</v>
      </c>
      <c r="S36" s="12" t="str" cm="1">
        <f t="array" ref="S36">INDEX('Radiotherapy-ConceptMap-1'!$I$15:$N$124,Q36+1,R36)</f>
        <v>* group[=].element[=].target.display = ##34###34#</v>
      </c>
    </row>
    <row r="37" spans="1:19" ht="44.25">
      <c r="B37" s="11" t="str">
        <f>Radiotherapy!B30</f>
        <v>metastaticTreatmentSites.mediastinum</v>
      </c>
      <c r="C37" s="11" t="str">
        <f>Radiotherapy!C30</f>
        <v xml:space="preserve">Mediastinum
</v>
      </c>
      <c r="D37" s="12" t="s">
        <v>1977</v>
      </c>
      <c r="E37" s="12"/>
      <c r="F37" s="64" t="s">
        <v>1407</v>
      </c>
      <c r="G37" s="122" t="s">
        <v>1775</v>
      </c>
      <c r="H37" s="58"/>
      <c r="I37" s="12" t="str">
        <f t="shared" si="7"/>
        <v>* group[=].element[+].code = #RadiotherapyI4rc.metastaticTreatmentSites.mediastinum</v>
      </c>
      <c r="J37" s="12" t="str">
        <f t="shared" si="8"/>
        <v>* group[=].element[=].display = ##34#Mediastinum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##34#to be checked##34#</v>
      </c>
      <c r="P37" s="11">
        <v>23</v>
      </c>
      <c r="Q37" s="11">
        <f t="shared" si="13"/>
        <v>3</v>
      </c>
      <c r="R37" s="11">
        <f t="shared" si="14"/>
        <v>5</v>
      </c>
      <c r="S37" s="12" t="str" cm="1">
        <f t="array" ref="S37">INDEX('Radiotherapy-ConceptMap-1'!$I$15:$N$124,Q37+1,R37)</f>
        <v>* group[=].element[=].target.equivalence = #relatedto</v>
      </c>
    </row>
    <row r="38" spans="1:19" ht="14.75" customHeight="1">
      <c r="B38" s="11" t="str">
        <f>Radiotherapy!B31</f>
        <v>metastaticTreatmentSites.bone</v>
      </c>
      <c r="C38" s="11" t="str">
        <f>Radiotherapy!C31</f>
        <v xml:space="preserve">Bone
</v>
      </c>
      <c r="D38" s="12" t="s">
        <v>1977</v>
      </c>
      <c r="E38" s="12"/>
      <c r="F38" s="64" t="s">
        <v>1407</v>
      </c>
      <c r="G38" s="122" t="s">
        <v>1775</v>
      </c>
      <c r="H38" s="58"/>
      <c r="I38" s="12" t="str">
        <f t="shared" si="7"/>
        <v>* group[=].element[+].code = #RadiotherapyI4rc.metastaticTreatmentSites.bone</v>
      </c>
      <c r="J38" s="12" t="str">
        <f t="shared" si="8"/>
        <v>* group[=].element[=].display = ##34#Bone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##34#to be checked##34#</v>
      </c>
      <c r="P38" s="11">
        <v>24</v>
      </c>
      <c r="Q38" s="11">
        <f t="shared" si="13"/>
        <v>3</v>
      </c>
      <c r="R38" s="11">
        <f t="shared" si="14"/>
        <v>6</v>
      </c>
      <c r="S38" s="12" t="str" cm="1">
        <f t="array" ref="S38">INDEX('Radiotherapy-ConceptMap-1'!$I$15:$N$124,Q38+1,R38)</f>
        <v>* group[=].element[=].target.comment = ##34#to be analyzed: derive this from a combination of elements or use other cathegories (R5 extension)##34#</v>
      </c>
    </row>
    <row r="39" spans="1:19" ht="44.25">
      <c r="B39" s="11" t="str">
        <f>Radiotherapy!B32</f>
        <v>metastaticTreatmentSites.softTissue</v>
      </c>
      <c r="C39" s="11" t="str">
        <f>Radiotherapy!C32</f>
        <v xml:space="preserve">Soft Tissue
</v>
      </c>
      <c r="D39" s="12" t="s">
        <v>1977</v>
      </c>
      <c r="E39" s="12"/>
      <c r="F39" s="64" t="s">
        <v>1407</v>
      </c>
      <c r="G39" s="122" t="s">
        <v>1775</v>
      </c>
      <c r="H39" s="58"/>
      <c r="I39" s="12" t="str">
        <f>"* group[=].element[+].code = #"&amp;$B$14&amp;"."&amp;B39</f>
        <v>* group[=].element[+].code = #RadiotherapyI4rc.metastaticTreatmentSites.softTissue</v>
      </c>
      <c r="J39" s="12" t="str">
        <f t="shared" si="8"/>
        <v>* group[=].element[=].display = ##34#Soft Tissue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##34#to be checked##34#</v>
      </c>
      <c r="P39" s="11">
        <v>25</v>
      </c>
      <c r="Q39" s="11">
        <f t="shared" si="13"/>
        <v>4</v>
      </c>
      <c r="R39" s="11">
        <f t="shared" si="14"/>
        <v>1</v>
      </c>
      <c r="S39" s="12" t="str" cm="1">
        <f t="array" ref="S39">INDEX('Radiotherapy-ConceptMap-1'!$I$15:$N$124,Q39+1,R39)</f>
        <v>* group[=].element[+].code = #RadiotherapyI4rc.beamQuality</v>
      </c>
    </row>
    <row r="40" spans="1:19" s="2" customFormat="1" ht="44.25">
      <c r="A40"/>
      <c r="B40" s="11" t="str">
        <f>Radiotherapy!B33</f>
        <v>metastaticTreatmentSites.liver</v>
      </c>
      <c r="C40" s="11" t="str">
        <f>Radiotherapy!C33</f>
        <v xml:space="preserve">Liver
</v>
      </c>
      <c r="D40" s="12" t="s">
        <v>1977</v>
      </c>
      <c r="E40" s="12"/>
      <c r="F40" s="64" t="s">
        <v>1407</v>
      </c>
      <c r="G40" s="122" t="s">
        <v>1775</v>
      </c>
      <c r="H40" s="58"/>
      <c r="I40" s="12" t="str">
        <f t="shared" ref="I40:I41" si="15">"* group[=].element[+].code = #"&amp;$B$14&amp;"."&amp;B40</f>
        <v>* group[=].element[+].code = #RadiotherapyI4rc.metastaticTreatmentSites.liver</v>
      </c>
      <c r="J40" s="12" t="str">
        <f t="shared" ref="J40:J41" si="16">"* group[=].element[=].display = ##34#"&amp;C40&amp;"##34#"</f>
        <v>* group[=].element[=].display = ##34#Liver
##34#</v>
      </c>
      <c r="K40" s="12" t="str">
        <f t="shared" ref="K40:K41" si="17">IF(F40="unmatched","//-- unmatched","* group[=].element[=].target.code = #"&amp;$D$14&amp;"."&amp;D40)</f>
        <v>* group[=].element[=].target.code = #Procedure.bodySite</v>
      </c>
      <c r="L40" s="12" t="str">
        <f t="shared" ref="L40:L41" si="18">IF(F40="unmatched","//-- unmatched","* group[=].element[=].target.display = ##34#"&amp;E40&amp;"##34#")</f>
        <v>* group[=].element[=].target.display = ##34###34#</v>
      </c>
      <c r="M40" s="12" t="str">
        <f t="shared" ref="M40:M41" si="19">"* group[=].element[=].target.equivalence = #"&amp;F40</f>
        <v>* group[=].element[=].target.equivalence = #relatedto</v>
      </c>
      <c r="N40" s="12" t="str">
        <f t="shared" ref="N40:N41" si="20">IF(G40&lt;&gt;"",CONCATENATE("* group[=].element[=].target.comment = ","##34#",G40,"##34#"),"")</f>
        <v>* group[=].element[=].target.comment = ##34#to be checked##34#</v>
      </c>
      <c r="P40" s="11">
        <v>26</v>
      </c>
      <c r="Q40" s="11">
        <f t="shared" si="13"/>
        <v>4</v>
      </c>
      <c r="R40" s="11">
        <f t="shared" si="14"/>
        <v>2</v>
      </c>
      <c r="S40" s="12" t="str" cm="1">
        <f t="array" ref="S40">INDEX('Radiotherapy-ConceptMap-1'!$I$15:$N$124,Q40+1,R40)</f>
        <v>* group[=].element[=].display = ##34#Beam quality##34#</v>
      </c>
    </row>
    <row r="41" spans="1:19" s="2" customFormat="1" ht="103.25">
      <c r="A41"/>
      <c r="B41" s="11" t="str">
        <f>Radiotherapy!B34</f>
        <v>treatmentCompletedAsPlanned</v>
      </c>
      <c r="C41" s="11" t="str">
        <f>Radiotherapy!C34</f>
        <v>Treatment Completed as Planned?</v>
      </c>
      <c r="D41" s="12" t="s">
        <v>2219</v>
      </c>
      <c r="E41" s="11"/>
      <c r="F41" s="64" t="s">
        <v>1407</v>
      </c>
      <c r="G41" s="122" t="s">
        <v>2225</v>
      </c>
      <c r="H41" s="58"/>
      <c r="I41" s="12" t="str">
        <f t="shared" si="15"/>
        <v>* group[=].element[+].code = #RadiotherapyI4rc.treatmentCompletedAsPlanned</v>
      </c>
      <c r="J41" s="12" t="str">
        <f t="shared" si="16"/>
        <v>* group[=].element[=].display = ##34#Treatment Completed as Planned?##34#</v>
      </c>
      <c r="K41" s="12" t="str">
        <f t="shared" si="17"/>
        <v>* group[=].element[=].target.code = #Procedure.extension:terminationReason</v>
      </c>
      <c r="L41" s="12" t="str">
        <f t="shared" si="18"/>
        <v>* group[=].element[=].target.display = ##34###34#</v>
      </c>
      <c r="M41" s="12" t="str">
        <f t="shared" si="19"/>
        <v>* group[=].element[=].target.equivalence = #relatedto</v>
      </c>
      <c r="N41" s="12" t="str">
        <f t="shared" si="20"/>
        <v>* group[=].element[=].target.comment = ##34#to be reviewed; extension to be localized to change the used value set. Chack if the statusReason can be sued for this scope##34#</v>
      </c>
      <c r="P41" s="11">
        <v>27</v>
      </c>
      <c r="Q41" s="11">
        <f t="shared" si="13"/>
        <v>4</v>
      </c>
      <c r="R41" s="11">
        <f t="shared" si="14"/>
        <v>3</v>
      </c>
      <c r="S41" s="12" t="str" cm="1">
        <f t="array" ref="S41">INDEX('Radiotherapy-ConceptMap-1'!$I$15:$N$124,Q41+1,R41)</f>
        <v>* group[=].element[=].target.code = #Procedure.extension:modalityAndTechnique.extension:modality.valueCodeableConcept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INDEX('Radiotherapy-ConceptMap-1'!$I$15:$N$124,Q42+1,R42)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INDEX('Radiotherapy-ConceptMap-1'!$I$15:$N$124,Q43+1,R43)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INDEX('Radiotherapy-ConceptMap-1'!$I$15:$N$124,Q44+1,R44)</f>
        <v>* group[=].element[=].target.comment = ##34#to be checked##34#</v>
      </c>
    </row>
    <row r="45" spans="1:19">
      <c r="B45" s="11"/>
      <c r="C45" s="11"/>
      <c r="P45" s="11">
        <v>31</v>
      </c>
      <c r="Q45" s="11">
        <f t="shared" si="13"/>
        <v>5</v>
      </c>
      <c r="R45" s="11">
        <f t="shared" si="14"/>
        <v>1</v>
      </c>
      <c r="S45" s="12" t="str" cm="1">
        <f t="array" ref="S45">INDEX('Radiotherapy-ConceptMap-1'!$I$15:$N$124,Q45+1,R45)</f>
        <v>* group[=].element[+].code = #RadiotherapyI4rc.otherSpecify</v>
      </c>
    </row>
    <row r="46" spans="1:19">
      <c r="B46" s="11"/>
      <c r="C46" s="11"/>
      <c r="P46" s="11">
        <v>32</v>
      </c>
      <c r="Q46" s="11">
        <f t="shared" si="13"/>
        <v>5</v>
      </c>
      <c r="R46" s="11">
        <f t="shared" si="14"/>
        <v>2</v>
      </c>
      <c r="S46" s="12" t="str" cm="1">
        <f t="array" ref="S46">INDEX('Radiotherapy-ConceptMap-1'!$I$15:$N$124,Q46+1,R46)</f>
        <v>* group[=].element[=].display = ##34#Other; specify##34#</v>
      </c>
    </row>
    <row r="47" spans="1:19">
      <c r="P47" s="11">
        <v>33</v>
      </c>
      <c r="Q47" s="11">
        <f t="shared" si="13"/>
        <v>5</v>
      </c>
      <c r="R47" s="11">
        <f t="shared" si="14"/>
        <v>3</v>
      </c>
      <c r="S47" s="12" t="str" cm="1">
        <f t="array" ref="S47">INDEX('Radiotherapy-ConceptMap-1'!$I$15:$N$124,Q47+1,R47)</f>
        <v>//-- unmatched</v>
      </c>
    </row>
    <row r="48" spans="1:19">
      <c r="P48" s="11">
        <v>34</v>
      </c>
      <c r="Q48" s="11">
        <f t="shared" si="13"/>
        <v>5</v>
      </c>
      <c r="R48" s="11">
        <f t="shared" si="14"/>
        <v>4</v>
      </c>
      <c r="S48" s="12" t="str" cm="1">
        <f t="array" ref="S48">INDEX('Radiotherapy-ConceptMap-1'!$I$15:$N$124,Q48+1,R48)</f>
        <v>//-- unmatched</v>
      </c>
    </row>
    <row r="49" spans="16:19">
      <c r="P49" s="11">
        <v>35</v>
      </c>
      <c r="Q49" s="11">
        <f t="shared" si="13"/>
        <v>5</v>
      </c>
      <c r="R49" s="11">
        <f t="shared" si="14"/>
        <v>5</v>
      </c>
      <c r="S49" s="12" t="str" cm="1">
        <f t="array" ref="S49">INDEX('Radiotherapy-ConceptMap-1'!$I$15:$N$124,Q49+1,R49)</f>
        <v>* group[=].element[=].target.equivalence = #unmatched</v>
      </c>
    </row>
    <row r="50" spans="16:19">
      <c r="P50" s="11">
        <v>36</v>
      </c>
      <c r="Q50" s="11">
        <f t="shared" si="13"/>
        <v>5</v>
      </c>
      <c r="R50" s="11">
        <f t="shared" si="14"/>
        <v>6</v>
      </c>
      <c r="S50" s="12" t="str" cm="1">
        <f t="array" ref="S50">INDEX('Radiotherapy-ConceptMap-1'!$I$15:$N$124,Q50+1,R50)</f>
        <v>* group[=].element[=].target.comment = ##34#to be checked##34#</v>
      </c>
    </row>
    <row r="51" spans="16:19">
      <c r="P51" s="11">
        <v>37</v>
      </c>
      <c r="Q51" s="11">
        <f t="shared" si="13"/>
        <v>6</v>
      </c>
      <c r="R51" s="11">
        <f t="shared" si="14"/>
        <v>1</v>
      </c>
      <c r="S51" s="12" t="str" cm="1">
        <f t="array" ref="S51">INDEX('Radiotherapy-ConceptMap-1'!$I$15:$N$124,Q51+1,R51)</f>
        <v>* group[=].element[+].code = #RadiotherapyI4rc.treatmentTechnique</v>
      </c>
    </row>
    <row r="52" spans="16:19">
      <c r="P52" s="11">
        <v>38</v>
      </c>
      <c r="Q52" s="11">
        <f t="shared" si="13"/>
        <v>6</v>
      </c>
      <c r="R52" s="11">
        <f t="shared" si="14"/>
        <v>2</v>
      </c>
      <c r="S52" s="12" t="str" cm="1">
        <f t="array" ref="S52">INDEX('Radiotherapy-ConceptMap-1'!$I$15:$N$124,Q52+1,R52)</f>
        <v>* group[=].element[=].display = ##34#Treatment technique##34#</v>
      </c>
    </row>
    <row r="53" spans="16:19" ht="44.25">
      <c r="P53" s="11">
        <v>39</v>
      </c>
      <c r="Q53" s="11">
        <f t="shared" si="13"/>
        <v>6</v>
      </c>
      <c r="R53" s="11">
        <f t="shared" si="14"/>
        <v>3</v>
      </c>
      <c r="S53" s="12" t="str" cm="1">
        <f t="array" ref="S53">INDEX('Radiotherapy-ConceptMap-1'!$I$15:$N$124,Q53+1,R53)</f>
        <v>* group[=].element[=].target.code = #Procedure.extension:modalityAndTechnique.extension:technique.valueCodeableConcept</v>
      </c>
    </row>
    <row r="54" spans="16:19">
      <c r="P54" s="11">
        <v>40</v>
      </c>
      <c r="Q54" s="11">
        <f t="shared" si="13"/>
        <v>6</v>
      </c>
      <c r="R54" s="11">
        <f t="shared" si="14"/>
        <v>4</v>
      </c>
      <c r="S54" s="12" t="str" cm="1">
        <f t="array" ref="S54">INDEX('Radiotherapy-ConceptMap-1'!$I$15:$N$124,Q54+1,R54)</f>
        <v>* group[=].element[=].target.display = ##34###34#</v>
      </c>
    </row>
    <row r="55" spans="16:19">
      <c r="P55" s="11">
        <v>41</v>
      </c>
      <c r="Q55" s="11">
        <f t="shared" si="13"/>
        <v>6</v>
      </c>
      <c r="R55" s="11">
        <f t="shared" si="14"/>
        <v>5</v>
      </c>
      <c r="S55" s="12" t="str" cm="1">
        <f t="array" ref="S55">INDEX('Radiotherapy-ConceptMap-1'!$I$15:$N$124,Q55+1,R55)</f>
        <v>* group[=].element[=].target.equivalence = #relatedto</v>
      </c>
    </row>
    <row r="56" spans="16:19">
      <c r="P56" s="11">
        <v>42</v>
      </c>
      <c r="Q56" s="11">
        <f t="shared" si="13"/>
        <v>6</v>
      </c>
      <c r="R56" s="11">
        <f t="shared" si="14"/>
        <v>6</v>
      </c>
      <c r="S56" s="12" t="str" cm="1">
        <f t="array" ref="S56">INDEX('Radiotherapy-ConceptMap-1'!$I$15:$N$124,Q56+1,R56)</f>
        <v>* group[=].element[=].target.comment = ##34#to be checked##34#</v>
      </c>
    </row>
    <row r="57" spans="16:19">
      <c r="P57" s="11">
        <v>43</v>
      </c>
      <c r="Q57" s="11">
        <f t="shared" si="13"/>
        <v>7</v>
      </c>
      <c r="R57" s="11">
        <f t="shared" si="14"/>
        <v>1</v>
      </c>
      <c r="S57" s="12" t="str" cm="1">
        <f t="array" ref="S57">INDEX('Radiotherapy-ConceptMap-1'!$I$15:$N$124,Q57+1,R57)</f>
        <v>* group[=].element[+].code = #RadiotherapyI4rc.totalDoseTdGy</v>
      </c>
    </row>
    <row r="58" spans="16:19">
      <c r="P58" s="11">
        <v>44</v>
      </c>
      <c r="Q58" s="11">
        <f t="shared" si="13"/>
        <v>7</v>
      </c>
      <c r="R58" s="11">
        <f t="shared" si="14"/>
        <v>2</v>
      </c>
      <c r="S58" s="12" t="str" cm="1">
        <f t="array" ref="S58">INDEX('Radiotherapy-ConceptMap-1'!$I$15:$N$124,Q58+1,R58)</f>
        <v>* group[=].element[=].display = ##34#Total Dose (TD) Gy##34#</v>
      </c>
    </row>
    <row r="59" spans="16:19" ht="29.5">
      <c r="P59" s="11">
        <v>45</v>
      </c>
      <c r="Q59" s="11">
        <f t="shared" si="13"/>
        <v>7</v>
      </c>
      <c r="R59" s="11">
        <f t="shared" si="14"/>
        <v>3</v>
      </c>
      <c r="S59" s="12" t="str" cm="1">
        <f t="array" ref="S59">INDEX('Radiotherapy-ConceptMap-1'!$I$15:$N$124,Q59+1,R59)</f>
        <v>* group[=].element[=].target.code = #Procedure.extension:doseToVolume.extension:totalDoseDelivered</v>
      </c>
    </row>
    <row r="60" spans="16:19">
      <c r="P60" s="11">
        <v>46</v>
      </c>
      <c r="Q60" s="11">
        <f t="shared" si="13"/>
        <v>7</v>
      </c>
      <c r="R60" s="11">
        <f t="shared" si="14"/>
        <v>4</v>
      </c>
      <c r="S60" s="12" t="str" cm="1">
        <f t="array" ref="S60">INDEX('Radiotherapy-ConceptMap-1'!$I$15:$N$124,Q60+1,R60)</f>
        <v>* group[=].element[=].target.display = ##34###34#</v>
      </c>
    </row>
    <row r="61" spans="16:19">
      <c r="P61" s="11">
        <v>47</v>
      </c>
      <c r="Q61" s="11">
        <f t="shared" si="13"/>
        <v>7</v>
      </c>
      <c r="R61" s="11">
        <f t="shared" si="14"/>
        <v>5</v>
      </c>
      <c r="S61" s="12" t="str" cm="1">
        <f t="array" ref="S61">INDEX('Radiotherapy-ConceptMap-1'!$I$15:$N$124,Q61+1,R61)</f>
        <v>* group[=].element[=].target.equivalence = #equivalent</v>
      </c>
    </row>
    <row r="62" spans="16:19">
      <c r="P62" s="11">
        <v>48</v>
      </c>
      <c r="Q62" s="11">
        <f t="shared" si="13"/>
        <v>7</v>
      </c>
      <c r="R62" s="11">
        <f t="shared" si="14"/>
        <v>6</v>
      </c>
      <c r="S62" s="12" t="str" cm="1">
        <f t="array" ref="S62">INDEX('Radiotherapy-ConceptMap-1'!$I$15:$N$124,Q62+1,R62)</f>
        <v/>
      </c>
    </row>
    <row r="63" spans="16:19">
      <c r="P63" s="11">
        <v>49</v>
      </c>
      <c r="Q63" s="11">
        <f t="shared" si="13"/>
        <v>8</v>
      </c>
      <c r="R63" s="11">
        <f t="shared" si="14"/>
        <v>1</v>
      </c>
      <c r="S63" s="12" t="str" cm="1">
        <f t="array" ref="S63">INDEX('Radiotherapy-ConceptMap-1'!$I$15:$N$124,Q63+1,R63)</f>
        <v>* group[=].element[+].code = #RadiotherapyI4rc.fractionSizeFs</v>
      </c>
    </row>
    <row r="64" spans="16:19">
      <c r="P64" s="11">
        <v>50</v>
      </c>
      <c r="Q64" s="11">
        <f t="shared" si="13"/>
        <v>8</v>
      </c>
      <c r="R64" s="11">
        <f t="shared" si="14"/>
        <v>2</v>
      </c>
      <c r="S64" s="12" t="str" cm="1">
        <f t="array" ref="S64">INDEX('Radiotherapy-ConceptMap-1'!$I$15:$N$124,Q64+1,R64)</f>
        <v>* group[=].element[=].display = ##34#Fraction Size (FS)##34#</v>
      </c>
    </row>
    <row r="65" spans="16:19">
      <c r="P65" s="11">
        <v>51</v>
      </c>
      <c r="Q65" s="11">
        <f t="shared" si="13"/>
        <v>8</v>
      </c>
      <c r="R65" s="11">
        <f t="shared" si="14"/>
        <v>3</v>
      </c>
      <c r="S65" s="12" t="str" cm="1">
        <f t="array" ref="S65">INDEX('Radiotherapy-ConceptMap-1'!$I$15:$N$124,Q65+1,R65)</f>
        <v>//-- unmatched</v>
      </c>
    </row>
    <row r="66" spans="16:19">
      <c r="P66" s="11">
        <v>52</v>
      </c>
      <c r="Q66" s="11">
        <f t="shared" si="13"/>
        <v>8</v>
      </c>
      <c r="R66" s="11">
        <f t="shared" si="14"/>
        <v>4</v>
      </c>
      <c r="S66" s="12" t="str" cm="1">
        <f t="array" ref="S66">INDEX('Radiotherapy-ConceptMap-1'!$I$15:$N$124,Q66+1,R66)</f>
        <v>//-- unmatched</v>
      </c>
    </row>
    <row r="67" spans="16:19">
      <c r="P67" s="11">
        <v>53</v>
      </c>
      <c r="Q67" s="11">
        <f t="shared" si="13"/>
        <v>8</v>
      </c>
      <c r="R67" s="11">
        <f t="shared" si="14"/>
        <v>5</v>
      </c>
      <c r="S67" s="12" t="str" cm="1">
        <f t="array" ref="S67">INDEX('Radiotherapy-ConceptMap-1'!$I$15:$N$124,Q67+1,R67)</f>
        <v>* group[=].element[=].target.equivalence = #unmatched</v>
      </c>
    </row>
    <row r="68" spans="16:19" ht="29.5">
      <c r="P68" s="11">
        <v>54</v>
      </c>
      <c r="Q68" s="11">
        <f t="shared" si="13"/>
        <v>8</v>
      </c>
      <c r="R68" s="11">
        <f t="shared" si="14"/>
        <v>6</v>
      </c>
      <c r="S68" s="12" t="str" cm="1">
        <f t="array" ref="S68">INDEX('Radiotherapy-ConceptMap-1'!$I$15:$N$124,Q68+1,R68)</f>
        <v>* group[=].element[=].target.comment = ##34#check if this can be derived form TD and number of fractions##34#</v>
      </c>
    </row>
    <row r="69" spans="16:19">
      <c r="P69" s="11">
        <v>55</v>
      </c>
      <c r="Q69" s="11">
        <f t="shared" si="13"/>
        <v>9</v>
      </c>
      <c r="R69" s="11">
        <f t="shared" si="14"/>
        <v>1</v>
      </c>
      <c r="S69" s="12" t="str" cm="1">
        <f t="array" ref="S69">INDEX('Radiotherapy-ConceptMap-1'!$I$15:$N$124,Q69+1,R69)</f>
        <v>* group[=].element[+].code = #RadiotherapyI4rc.numberOfFractions</v>
      </c>
    </row>
    <row r="70" spans="16:19">
      <c r="P70" s="11">
        <v>56</v>
      </c>
      <c r="Q70" s="11">
        <f t="shared" si="13"/>
        <v>9</v>
      </c>
      <c r="R70" s="11">
        <f t="shared" si="14"/>
        <v>2</v>
      </c>
      <c r="S70" s="12" t="str" cm="1">
        <f t="array" ref="S70">INDEX('Radiotherapy-ConceptMap-1'!$I$15:$N$124,Q70+1,R70)</f>
        <v>* group[=].element[=].display = ##34#Number of fractions##34#</v>
      </c>
    </row>
    <row r="71" spans="16:19">
      <c r="P71" s="11">
        <v>57</v>
      </c>
      <c r="Q71" s="11">
        <f t="shared" si="13"/>
        <v>9</v>
      </c>
      <c r="R71" s="11">
        <f t="shared" si="14"/>
        <v>3</v>
      </c>
      <c r="S71" s="12" t="str" cm="1">
        <f t="array" ref="S71">INDEX('Radiotherapy-ConceptMap-1'!$I$15:$N$124,Q71+1,R71)</f>
        <v>* group[=].element[=].target.code = #Procedure.fractionsDelivered</v>
      </c>
    </row>
    <row r="72" spans="16:19">
      <c r="P72" s="11">
        <v>58</v>
      </c>
      <c r="Q72" s="11">
        <f t="shared" si="13"/>
        <v>9</v>
      </c>
      <c r="R72" s="11">
        <f t="shared" si="14"/>
        <v>4</v>
      </c>
      <c r="S72" s="12" t="str" cm="1">
        <f t="array" ref="S72">INDEX('Radiotherapy-ConceptMap-1'!$I$15:$N$124,Q72+1,R72)</f>
        <v>* group[=].element[=].target.display = ##34###34#</v>
      </c>
    </row>
    <row r="73" spans="16:19">
      <c r="P73" s="11">
        <v>59</v>
      </c>
      <c r="Q73" s="11">
        <f t="shared" si="13"/>
        <v>9</v>
      </c>
      <c r="R73" s="11">
        <f t="shared" si="14"/>
        <v>5</v>
      </c>
      <c r="S73" s="12" t="str" cm="1">
        <f t="array" ref="S73">INDEX('Radiotherapy-ConceptMap-1'!$I$15:$N$124,Q73+1,R73)</f>
        <v>* group[=].element[=].target.equivalence = #relatedto</v>
      </c>
    </row>
    <row r="74" spans="16:19">
      <c r="P74" s="11">
        <v>60</v>
      </c>
      <c r="Q74" s="11">
        <f t="shared" si="13"/>
        <v>9</v>
      </c>
      <c r="R74" s="11">
        <f t="shared" si="14"/>
        <v>6</v>
      </c>
      <c r="S74" s="12" t="str" cm="1">
        <f t="array" ref="S74">INDEX('Radiotherapy-ConceptMap-1'!$I$15:$N$124,Q74+1,R74)</f>
        <v/>
      </c>
    </row>
    <row r="75" spans="16:19">
      <c r="P75" s="11">
        <v>61</v>
      </c>
      <c r="Q75" s="11">
        <f t="shared" si="13"/>
        <v>10</v>
      </c>
      <c r="R75" s="11">
        <f t="shared" si="14"/>
        <v>1</v>
      </c>
      <c r="S75" s="12" t="str" cm="1">
        <f t="array" ref="S75">INDEX('Radiotherapy-ConceptMap-1'!$I$15:$N$124,Q75+1,R75)</f>
        <v>* group[=].element[+].code = #RadiotherapyI4rc.adaptiveRt</v>
      </c>
    </row>
    <row r="76" spans="16:19">
      <c r="P76" s="11">
        <v>62</v>
      </c>
      <c r="Q76" s="11">
        <f t="shared" si="13"/>
        <v>10</v>
      </c>
      <c r="R76" s="11">
        <f t="shared" si="14"/>
        <v>2</v>
      </c>
      <c r="S76" s="12" t="str" cm="1">
        <f t="array" ref="S76">INDEX('Radiotherapy-ConceptMap-1'!$I$15:$N$124,Q76+1,R76)</f>
        <v>* group[=].element[=].display = ##34#Adaptive RT##34#</v>
      </c>
    </row>
    <row r="77" spans="16:19">
      <c r="P77" s="11">
        <v>63</v>
      </c>
      <c r="Q77" s="11">
        <f t="shared" si="13"/>
        <v>10</v>
      </c>
      <c r="R77" s="11">
        <f t="shared" si="14"/>
        <v>3</v>
      </c>
      <c r="S77" s="12" t="str" cm="1">
        <f t="array" ref="S77">INDEX('Radiotherapy-ConceptMap-1'!$I$15:$N$124,Q77+1,R77)</f>
        <v>* group[=].element[=].target.code = #Procedure.extension:terminationReason</v>
      </c>
    </row>
    <row r="78" spans="16:19">
      <c r="P78" s="11">
        <v>64</v>
      </c>
      <c r="Q78" s="11">
        <f t="shared" si="13"/>
        <v>10</v>
      </c>
      <c r="R78" s="11">
        <f t="shared" si="14"/>
        <v>4</v>
      </c>
      <c r="S78" s="12" t="str" cm="1">
        <f t="array" ref="S78">INDEX('Radiotherapy-ConceptMap-1'!$I$15:$N$124,Q78+1,R78)</f>
        <v>* group[=].element[=].target.display = ##34###34#</v>
      </c>
    </row>
    <row r="79" spans="16:19">
      <c r="P79" s="11">
        <v>65</v>
      </c>
      <c r="Q79" s="11">
        <f t="shared" si="13"/>
        <v>10</v>
      </c>
      <c r="R79" s="11">
        <f t="shared" si="14"/>
        <v>5</v>
      </c>
      <c r="S79" s="12" t="str" cm="1">
        <f t="array" ref="S79">INDEX('Radiotherapy-ConceptMap-1'!$I$15:$N$124,Q79+1,R79)</f>
        <v>* group[=].element[=].target.equivalence = #relatedto</v>
      </c>
    </row>
    <row r="80" spans="16:19" ht="29.5">
      <c r="P80" s="11">
        <v>66</v>
      </c>
      <c r="Q80" s="11">
        <f t="shared" ref="Q80:Q143" si="21">IF(MOD(P80,$Q$8)=0,P80/$Q$8-1,INT(P80/$Q$8))</f>
        <v>10</v>
      </c>
      <c r="R80" s="11">
        <f t="shared" ref="R80:R143" si="22">IF(MOD(P80,$Q$8)=0,$Q$8,MOD(P80,$Q$8))</f>
        <v>6</v>
      </c>
      <c r="S80" s="12" t="str" cm="1">
        <f t="array" ref="S80">INDEX('Radiotherapy-ConceptMap-1'!$I$15:$N$124,Q80+1,R80)</f>
        <v>* group[=].element[=].target.comment = ##34#to be reviewed; extension to be localized to change the used value set##34#</v>
      </c>
    </row>
    <row r="81" spans="16:19">
      <c r="P81" s="11">
        <v>67</v>
      </c>
      <c r="Q81" s="11">
        <f t="shared" si="21"/>
        <v>11</v>
      </c>
      <c r="R81" s="11">
        <f t="shared" si="22"/>
        <v>1</v>
      </c>
      <c r="S81" s="12" t="str" cm="1">
        <f t="array" ref="S81">INDEX('Radiotherapy-ConceptMap-1'!$I$15:$N$124,Q81+1,R81)</f>
        <v>* group[=].element[+].code = #RadiotherapyI4rc.igrtImageGuideRadiotherapy</v>
      </c>
    </row>
    <row r="82" spans="16:19">
      <c r="P82" s="11">
        <v>68</v>
      </c>
      <c r="Q82" s="11">
        <f t="shared" si="21"/>
        <v>11</v>
      </c>
      <c r="R82" s="11">
        <f t="shared" si="22"/>
        <v>2</v>
      </c>
      <c r="S82" s="12" t="str" cm="1">
        <f t="array" ref="S82">INDEX('Radiotherapy-ConceptMap-1'!$I$15:$N$124,Q82+1,R82)</f>
        <v>* group[=].element[=].display = ##34#IGRT  (image guide radiotherapy)##34#</v>
      </c>
    </row>
    <row r="83" spans="16:19" ht="44.25">
      <c r="P83" s="11">
        <v>69</v>
      </c>
      <c r="Q83" s="11">
        <f t="shared" si="21"/>
        <v>11</v>
      </c>
      <c r="R83" s="11">
        <f t="shared" si="22"/>
        <v>3</v>
      </c>
      <c r="S83" s="12" t="str" cm="1">
        <f t="array" ref="S83">INDEX('Radiotherapy-ConceptMap-1'!$I$15:$N$124,Q83+1,R83)</f>
        <v>* group[=].element[=].target.code = #Procedure.extension:modalityAndTechnique.extension:technique.valueCodeableConcept</v>
      </c>
    </row>
    <row r="84" spans="16:19">
      <c r="P84" s="11">
        <v>70</v>
      </c>
      <c r="Q84" s="11">
        <f t="shared" si="21"/>
        <v>11</v>
      </c>
      <c r="R84" s="11">
        <f t="shared" si="22"/>
        <v>4</v>
      </c>
      <c r="S84" s="12" t="str" cm="1">
        <f t="array" ref="S84">INDEX('Radiotherapy-ConceptMap-1'!$I$15:$N$124,Q84+1,R84)</f>
        <v>* group[=].element[=].target.display = ##34###34#</v>
      </c>
    </row>
    <row r="85" spans="16:19">
      <c r="P85" s="11">
        <v>71</v>
      </c>
      <c r="Q85" s="11">
        <f t="shared" si="21"/>
        <v>11</v>
      </c>
      <c r="R85" s="11">
        <f t="shared" si="22"/>
        <v>5</v>
      </c>
      <c r="S85" s="12" t="str" cm="1">
        <f t="array" ref="S85">INDEX('Radiotherapy-ConceptMap-1'!$I$15:$N$124,Q85+1,R85)</f>
        <v>* group[=].element[=].target.equivalence = #relatedto</v>
      </c>
    </row>
    <row r="86" spans="16:19">
      <c r="P86" s="11">
        <v>72</v>
      </c>
      <c r="Q86" s="11">
        <f t="shared" si="21"/>
        <v>11</v>
      </c>
      <c r="R86" s="11">
        <f t="shared" si="22"/>
        <v>6</v>
      </c>
      <c r="S86" s="12" t="str" cm="1">
        <f t="array" ref="S86">INDEX('Radiotherapy-ConceptMap-1'!$I$15:$N$124,Q86+1,R86)</f>
        <v>* group[=].element[=].target.comment = ##34#to be checked##34#</v>
      </c>
    </row>
    <row r="87" spans="16:19">
      <c r="P87" s="11">
        <v>73</v>
      </c>
      <c r="Q87" s="11">
        <f t="shared" si="21"/>
        <v>12</v>
      </c>
      <c r="R87" s="11">
        <f t="shared" si="22"/>
        <v>1</v>
      </c>
      <c r="S87" s="12" t="str" cm="1">
        <f t="array" ref="S87">INDEX('Radiotherapy-ConceptMap-1'!$I$15:$N$124,Q87+1,R87)</f>
        <v>* group[=].element[+].code = #RadiotherapyI4rc.startDate</v>
      </c>
    </row>
    <row r="88" spans="16:19">
      <c r="P88" s="11">
        <v>74</v>
      </c>
      <c r="Q88" s="11">
        <f t="shared" si="21"/>
        <v>12</v>
      </c>
      <c r="R88" s="11">
        <f t="shared" si="22"/>
        <v>2</v>
      </c>
      <c r="S88" s="12" t="str" cm="1">
        <f t="array" ref="S88">INDEX('Radiotherapy-ConceptMap-1'!$I$15:$N$124,Q88+1,R88)</f>
        <v>* group[=].element[=].display = ##34#Start date##34#</v>
      </c>
    </row>
    <row r="89" spans="16:19">
      <c r="P89" s="11">
        <v>75</v>
      </c>
      <c r="Q89" s="11">
        <f t="shared" si="21"/>
        <v>12</v>
      </c>
      <c r="R89" s="11">
        <f t="shared" si="22"/>
        <v>3</v>
      </c>
      <c r="S89" s="12" t="str" cm="1">
        <f t="array" ref="S89">INDEX('Radiotherapy-ConceptMap-1'!$I$15:$N$124,Q89+1,R89)</f>
        <v>* group[=].element[=].target.code = #Procedure.performedPeriod.start</v>
      </c>
    </row>
    <row r="90" spans="16:19">
      <c r="P90" s="11">
        <v>76</v>
      </c>
      <c r="Q90" s="11">
        <f t="shared" si="21"/>
        <v>12</v>
      </c>
      <c r="R90" s="11">
        <f t="shared" si="22"/>
        <v>4</v>
      </c>
      <c r="S90" s="12" t="str" cm="1">
        <f t="array" ref="S90">INDEX('Radiotherapy-ConceptMap-1'!$I$15:$N$124,Q90+1,R90)</f>
        <v>* group[=].element[=].target.display = ##34###34#</v>
      </c>
    </row>
    <row r="91" spans="16:19">
      <c r="P91" s="11">
        <v>77</v>
      </c>
      <c r="Q91" s="11">
        <f t="shared" si="21"/>
        <v>12</v>
      </c>
      <c r="R91" s="11">
        <f t="shared" si="22"/>
        <v>5</v>
      </c>
      <c r="S91" s="12" t="str" cm="1">
        <f t="array" ref="S91">INDEX('Radiotherapy-ConceptMap-1'!$I$15:$N$124,Q91+1,R91)</f>
        <v>* group[=].element[=].target.equivalence = #equal</v>
      </c>
    </row>
    <row r="92" spans="16:19">
      <c r="P92" s="11">
        <v>78</v>
      </c>
      <c r="Q92" s="11">
        <f t="shared" si="21"/>
        <v>12</v>
      </c>
      <c r="R92" s="11">
        <f t="shared" si="22"/>
        <v>6</v>
      </c>
      <c r="S92" s="12" t="str" cm="1">
        <f t="array" ref="S92">INDEX('Radiotherapy-ConceptMap-1'!$I$15:$N$124,Q92+1,R92)</f>
        <v/>
      </c>
    </row>
    <row r="93" spans="16:19">
      <c r="P93" s="11">
        <v>79</v>
      </c>
      <c r="Q93" s="11">
        <f t="shared" si="21"/>
        <v>13</v>
      </c>
      <c r="R93" s="11">
        <f t="shared" si="22"/>
        <v>1</v>
      </c>
      <c r="S93" s="12" t="str" cm="1">
        <f t="array" ref="S93">INDEX('Radiotherapy-ConceptMap-1'!$I$15:$N$124,Q93+1,R93)</f>
        <v>* group[=].element[+].code = #RadiotherapyI4rc.endDate</v>
      </c>
    </row>
    <row r="94" spans="16:19">
      <c r="P94" s="11">
        <v>80</v>
      </c>
      <c r="Q94" s="11">
        <f t="shared" si="21"/>
        <v>13</v>
      </c>
      <c r="R94" s="11">
        <f t="shared" si="22"/>
        <v>2</v>
      </c>
      <c r="S94" s="12" t="str" cm="1">
        <f t="array" ref="S94">INDEX('Radiotherapy-ConceptMap-1'!$I$15:$N$124,Q94+1,R94)</f>
        <v>* group[=].element[=].display = ##34#End  date##34#</v>
      </c>
    </row>
    <row r="95" spans="16:19">
      <c r="P95" s="11">
        <v>81</v>
      </c>
      <c r="Q95" s="11">
        <f t="shared" si="21"/>
        <v>13</v>
      </c>
      <c r="R95" s="11">
        <f t="shared" si="22"/>
        <v>3</v>
      </c>
      <c r="S95" s="12" t="str" cm="1">
        <f t="array" ref="S95">INDEX('Radiotherapy-ConceptMap-1'!$I$15:$N$124,Q95+1,R95)</f>
        <v>* group[=].element[=].target.code = #Procedure.performedPeriod.end</v>
      </c>
    </row>
    <row r="96" spans="16:19">
      <c r="P96" s="11">
        <v>82</v>
      </c>
      <c r="Q96" s="11">
        <f t="shared" si="21"/>
        <v>13</v>
      </c>
      <c r="R96" s="11">
        <f t="shared" si="22"/>
        <v>4</v>
      </c>
      <c r="S96" s="12" t="str" cm="1">
        <f t="array" ref="S96">INDEX('Radiotherapy-ConceptMap-1'!$I$15:$N$124,Q96+1,R96)</f>
        <v>* group[=].element[=].target.display = ##34###34#</v>
      </c>
    </row>
    <row r="97" spans="16:19">
      <c r="P97" s="11">
        <v>83</v>
      </c>
      <c r="Q97" s="11">
        <f t="shared" si="21"/>
        <v>13</v>
      </c>
      <c r="R97" s="11">
        <f t="shared" si="22"/>
        <v>5</v>
      </c>
      <c r="S97" s="12" t="str" cm="1">
        <f t="array" ref="S97">INDEX('Radiotherapy-ConceptMap-1'!$I$15:$N$124,Q97+1,R97)</f>
        <v>* group[=].element[=].target.equivalence = #equal</v>
      </c>
    </row>
    <row r="98" spans="16:19">
      <c r="P98" s="11">
        <v>84</v>
      </c>
      <c r="Q98" s="11">
        <f t="shared" si="21"/>
        <v>13</v>
      </c>
      <c r="R98" s="11">
        <f t="shared" si="22"/>
        <v>6</v>
      </c>
      <c r="S98" s="12" t="str" cm="1">
        <f t="array" ref="S98">INDEX('Radiotherapy-ConceptMap-1'!$I$15:$N$124,Q98+1,R98)</f>
        <v/>
      </c>
    </row>
    <row r="99" spans="16:19">
      <c r="P99" s="11">
        <v>85</v>
      </c>
      <c r="Q99" s="11">
        <f t="shared" si="21"/>
        <v>14</v>
      </c>
      <c r="R99" s="11">
        <f t="shared" si="22"/>
        <v>1</v>
      </c>
      <c r="S99" s="12" t="str" cm="1">
        <f t="array" ref="S99">INDEX('Radiotherapy-ConceptMap-1'!$I$15:$N$124,Q99+1,R99)</f>
        <v>* group[=].element[+].code = #RadiotherapyI4rc.treatmentSites</v>
      </c>
    </row>
    <row r="100" spans="16:19">
      <c r="P100" s="11">
        <v>86</v>
      </c>
      <c r="Q100" s="11">
        <f t="shared" si="21"/>
        <v>14</v>
      </c>
      <c r="R100" s="11">
        <f t="shared" si="22"/>
        <v>2</v>
      </c>
      <c r="S100" s="12" t="str" cm="1">
        <f t="array" ref="S100">INDEX('Radiotherapy-ConceptMap-1'!$I$15:$N$124,Q100+1,R100)</f>
        <v>* group[=].element[=].display = ##34#Treatment Sites:##34#</v>
      </c>
    </row>
    <row r="101" spans="16:19">
      <c r="P101" s="11">
        <v>87</v>
      </c>
      <c r="Q101" s="11">
        <f t="shared" si="21"/>
        <v>14</v>
      </c>
      <c r="R101" s="11">
        <f t="shared" si="22"/>
        <v>3</v>
      </c>
      <c r="S101" s="12" t="str" cm="1">
        <f t="array" ref="S101">INDEX('Radiotherapy-ConceptMap-1'!$I$15:$N$124,Q101+1,R101)</f>
        <v>* group[=].element[=].target.code = #Procedure.bodySite</v>
      </c>
    </row>
    <row r="102" spans="16:19">
      <c r="P102" s="11">
        <v>88</v>
      </c>
      <c r="Q102" s="11">
        <f t="shared" si="21"/>
        <v>14</v>
      </c>
      <c r="R102" s="11">
        <f t="shared" si="22"/>
        <v>4</v>
      </c>
      <c r="S102" s="12" t="str" cm="1">
        <f t="array" ref="S102">INDEX('Radiotherapy-ConceptMap-1'!$I$15:$N$124,Q102+1,R102)</f>
        <v>* group[=].element[=].target.display = ##34###34#</v>
      </c>
    </row>
    <row r="103" spans="16:19">
      <c r="P103" s="11">
        <v>89</v>
      </c>
      <c r="Q103" s="11">
        <f t="shared" si="21"/>
        <v>14</v>
      </c>
      <c r="R103" s="11">
        <f t="shared" si="22"/>
        <v>5</v>
      </c>
      <c r="S103" s="12" t="str" cm="1">
        <f t="array" ref="S103">INDEX('Radiotherapy-ConceptMap-1'!$I$15:$N$124,Q103+1,R103)</f>
        <v>* group[=].element[=].target.equivalence = #equivalent</v>
      </c>
    </row>
    <row r="104" spans="16:19">
      <c r="P104" s="11">
        <v>90</v>
      </c>
      <c r="Q104" s="11">
        <f t="shared" si="21"/>
        <v>14</v>
      </c>
      <c r="R104" s="11">
        <f t="shared" si="22"/>
        <v>6</v>
      </c>
      <c r="S104" s="12" t="str" cm="1">
        <f t="array" ref="S104">INDEX('Radiotherapy-ConceptMap-1'!$I$15:$N$124,Q104+1,R104)</f>
        <v/>
      </c>
    </row>
    <row r="105" spans="16:19">
      <c r="P105" s="11">
        <v>91</v>
      </c>
      <c r="Q105" s="11">
        <f t="shared" si="21"/>
        <v>15</v>
      </c>
      <c r="R105" s="11">
        <f t="shared" si="22"/>
        <v>1</v>
      </c>
      <c r="S105" s="12" t="str" cm="1">
        <f t="array" ref="S105">INDEX('Radiotherapy-ConceptMap-1'!$I$15:$N$124,Q105+1,R105)</f>
        <v>* group[=].element[+].code = #RadiotherapyI4rc.treatmentSites.primary</v>
      </c>
    </row>
    <row r="106" spans="16:19">
      <c r="P106" s="11">
        <v>92</v>
      </c>
      <c r="Q106" s="11">
        <f t="shared" si="21"/>
        <v>15</v>
      </c>
      <c r="R106" s="11">
        <f t="shared" si="22"/>
        <v>2</v>
      </c>
      <c r="S106" s="12" t="str" cm="1">
        <f t="array" ref="S106">INDEX('Radiotherapy-ConceptMap-1'!$I$15:$N$124,Q106+1,R106)</f>
        <v>* group[=].element[=].display = ##34#Primary##34#</v>
      </c>
    </row>
    <row r="107" spans="16:19">
      <c r="P107" s="11">
        <v>93</v>
      </c>
      <c r="Q107" s="11">
        <f t="shared" si="21"/>
        <v>15</v>
      </c>
      <c r="R107" s="11">
        <f t="shared" si="22"/>
        <v>3</v>
      </c>
      <c r="S107" s="12" t="str" cm="1">
        <f t="array" ref="S107">INDEX('Radiotherapy-ConceptMap-1'!$I$15:$N$124,Q107+1,R107)</f>
        <v>* group[=].element[=].target.code = #Procedure.bodySite</v>
      </c>
    </row>
    <row r="108" spans="16:19">
      <c r="P108" s="11">
        <v>94</v>
      </c>
      <c r="Q108" s="11">
        <f t="shared" si="21"/>
        <v>15</v>
      </c>
      <c r="R108" s="11">
        <f t="shared" si="22"/>
        <v>4</v>
      </c>
      <c r="S108" s="12" t="str" cm="1">
        <f t="array" ref="S108">INDEX('Radiotherapy-ConceptMap-1'!$I$15:$N$124,Q108+1,R108)</f>
        <v>* group[=].element[=].target.display = ##34###34#</v>
      </c>
    </row>
    <row r="109" spans="16:19">
      <c r="P109" s="11">
        <v>95</v>
      </c>
      <c r="Q109" s="11">
        <f t="shared" si="21"/>
        <v>15</v>
      </c>
      <c r="R109" s="11">
        <f t="shared" si="22"/>
        <v>5</v>
      </c>
      <c r="S109" s="12" t="str" cm="1">
        <f t="array" ref="S109">INDEX('Radiotherapy-ConceptMap-1'!$I$15:$N$124,Q109+1,R109)</f>
        <v>* group[=].element[=].target.equivalence = #relatedto</v>
      </c>
    </row>
    <row r="110" spans="16:19">
      <c r="P110" s="11">
        <v>96</v>
      </c>
      <c r="Q110" s="11">
        <f t="shared" si="21"/>
        <v>15</v>
      </c>
      <c r="R110" s="11">
        <f t="shared" si="22"/>
        <v>6</v>
      </c>
      <c r="S110" s="12" t="str" cm="1">
        <f t="array" ref="S110">INDEX('Radiotherapy-ConceptMap-1'!$I$15:$N$124,Q110+1,R110)</f>
        <v>* group[=].element[=].target.comment = ##34#to be checked##34#</v>
      </c>
    </row>
    <row r="111" spans="16:19">
      <c r="P111" s="11">
        <v>97</v>
      </c>
      <c r="Q111" s="11">
        <f t="shared" si="21"/>
        <v>16</v>
      </c>
      <c r="R111" s="11">
        <f t="shared" si="22"/>
        <v>1</v>
      </c>
      <c r="S111" s="12" t="str" cm="1">
        <f t="array" ref="S111">INDEX('Radiotherapy-ConceptMap-1'!$I$15:$N$124,Q111+1,R111)</f>
        <v>* group[=].element[+].code = #RadiotherapyI4rc.treatmentSites.neck</v>
      </c>
    </row>
    <row r="112" spans="16:19">
      <c r="P112" s="11">
        <v>98</v>
      </c>
      <c r="Q112" s="11">
        <f t="shared" si="21"/>
        <v>16</v>
      </c>
      <c r="R112" s="11">
        <f t="shared" si="22"/>
        <v>2</v>
      </c>
      <c r="S112" s="12" t="str" cm="1">
        <f t="array" ref="S112">INDEX('Radiotherapy-ConceptMap-1'!$I$15:$N$124,Q112+1,R112)</f>
        <v>* group[=].element[=].display = ##34#Neck##34#</v>
      </c>
    </row>
    <row r="113" spans="16:19">
      <c r="P113" s="11">
        <v>99</v>
      </c>
      <c r="Q113" s="11">
        <f t="shared" si="21"/>
        <v>16</v>
      </c>
      <c r="R113" s="11">
        <f t="shared" si="22"/>
        <v>3</v>
      </c>
      <c r="S113" s="12" t="str" cm="1">
        <f t="array" ref="S113">INDEX('Radiotherapy-ConceptMap-1'!$I$15:$N$124,Q113+1,R113)</f>
        <v>* group[=].element[=].target.code = #Procedure.bodySite</v>
      </c>
    </row>
    <row r="114" spans="16:19">
      <c r="P114" s="11">
        <v>100</v>
      </c>
      <c r="Q114" s="11">
        <f t="shared" si="21"/>
        <v>16</v>
      </c>
      <c r="R114" s="11">
        <f t="shared" si="22"/>
        <v>4</v>
      </c>
      <c r="S114" s="12" t="str" cm="1">
        <f t="array" ref="S114">INDEX('Radiotherapy-ConceptMap-1'!$I$15:$N$124,Q114+1,R114)</f>
        <v>* group[=].element[=].target.display = ##34###34#</v>
      </c>
    </row>
    <row r="115" spans="16:19">
      <c r="P115" s="11">
        <v>101</v>
      </c>
      <c r="Q115" s="11">
        <f t="shared" si="21"/>
        <v>16</v>
      </c>
      <c r="R115" s="11">
        <f t="shared" si="22"/>
        <v>5</v>
      </c>
      <c r="S115" s="12" t="str" cm="1">
        <f t="array" ref="S115">INDEX('Radiotherapy-ConceptMap-1'!$I$15:$N$124,Q115+1,R115)</f>
        <v>* group[=].element[=].target.equivalence = #relatedto</v>
      </c>
    </row>
    <row r="116" spans="16:19">
      <c r="P116" s="11">
        <v>102</v>
      </c>
      <c r="Q116" s="11">
        <f t="shared" si="21"/>
        <v>16</v>
      </c>
      <c r="R116" s="11">
        <f t="shared" si="22"/>
        <v>6</v>
      </c>
      <c r="S116" s="12" t="str" cm="1">
        <f t="array" ref="S116">INDEX('Radiotherapy-ConceptMap-1'!$I$15:$N$124,Q116+1,R116)</f>
        <v>* group[=].element[=].target.comment = ##34#to be checked##34#</v>
      </c>
    </row>
    <row r="117" spans="16:19" ht="29.5">
      <c r="P117" s="11">
        <v>103</v>
      </c>
      <c r="Q117" s="11">
        <f t="shared" si="21"/>
        <v>17</v>
      </c>
      <c r="R117" s="11">
        <f t="shared" si="22"/>
        <v>1</v>
      </c>
      <c r="S117" s="12" t="str" cm="1">
        <f t="array" ref="S117">INDEX('Radiotherapy-ConceptMap-1'!$I$15:$N$124,Q117+1,R117)</f>
        <v>* group[=].element[+].code = #RadiotherapyI4rc.treatmentSites.primaryAndIpsilateralNeck</v>
      </c>
    </row>
    <row r="118" spans="16:19">
      <c r="P118" s="11">
        <v>104</v>
      </c>
      <c r="Q118" s="11">
        <f t="shared" si="21"/>
        <v>17</v>
      </c>
      <c r="R118" s="11">
        <f t="shared" si="22"/>
        <v>2</v>
      </c>
      <c r="S118" s="12" t="str" cm="1">
        <f t="array" ref="S118">INDEX('Radiotherapy-ConceptMap-1'!$I$15:$N$124,Q118+1,R118)</f>
        <v>* group[=].element[=].display = ##34#Primary and Ipsilateral Neck##34#</v>
      </c>
    </row>
    <row r="119" spans="16:19">
      <c r="P119" s="11">
        <v>105</v>
      </c>
      <c r="Q119" s="11">
        <f t="shared" si="21"/>
        <v>17</v>
      </c>
      <c r="R119" s="11">
        <f t="shared" si="22"/>
        <v>3</v>
      </c>
      <c r="S119" s="12" t="str" cm="1">
        <f t="array" ref="S119">INDEX('Radiotherapy-ConceptMap-1'!$I$15:$N$124,Q119+1,R119)</f>
        <v>* group[=].element[=].target.code = #Procedure.bodySite</v>
      </c>
    </row>
    <row r="120" spans="16:19">
      <c r="P120" s="11">
        <v>106</v>
      </c>
      <c r="Q120" s="11">
        <f t="shared" si="21"/>
        <v>17</v>
      </c>
      <c r="R120" s="11">
        <f t="shared" si="22"/>
        <v>4</v>
      </c>
      <c r="S120" s="12" t="str" cm="1">
        <f t="array" ref="S120">INDEX('Radiotherapy-ConceptMap-1'!$I$15:$N$124,Q120+1,R120)</f>
        <v>* group[=].element[=].target.display = ##34###34#</v>
      </c>
    </row>
    <row r="121" spans="16:19">
      <c r="P121" s="11">
        <v>107</v>
      </c>
      <c r="Q121" s="11">
        <f t="shared" si="21"/>
        <v>17</v>
      </c>
      <c r="R121" s="11">
        <f t="shared" si="22"/>
        <v>5</v>
      </c>
      <c r="S121" s="12" t="str" cm="1">
        <f t="array" ref="S121">INDEX('Radiotherapy-ConceptMap-1'!$I$15:$N$124,Q121+1,R121)</f>
        <v>* group[=].element[=].target.equivalence = #relatedto</v>
      </c>
    </row>
    <row r="122" spans="16:19">
      <c r="P122" s="11">
        <v>108</v>
      </c>
      <c r="Q122" s="11">
        <f t="shared" si="21"/>
        <v>17</v>
      </c>
      <c r="R122" s="11">
        <f t="shared" si="22"/>
        <v>6</v>
      </c>
      <c r="S122" s="12" t="str" cm="1">
        <f t="array" ref="S122">INDEX('Radiotherapy-ConceptMap-1'!$I$15:$N$124,Q122+1,R122)</f>
        <v>* group[=].element[=].target.comment = ##34#to be checked##34#</v>
      </c>
    </row>
    <row r="123" spans="16:19" ht="29.5">
      <c r="P123" s="11">
        <v>109</v>
      </c>
      <c r="Q123" s="11">
        <f t="shared" si="21"/>
        <v>18</v>
      </c>
      <c r="R123" s="11">
        <f t="shared" si="22"/>
        <v>1</v>
      </c>
      <c r="S123" s="12" t="str" cm="1">
        <f t="array" ref="S123">INDEX('Radiotherapy-ConceptMap-1'!$I$15:$N$124,Q123+1,R123)</f>
        <v>* group[=].element[+].code = #RadiotherapyI4rc.treatmentSites.primaryAndBilateralNeck</v>
      </c>
    </row>
    <row r="124" spans="16:19">
      <c r="P124" s="11">
        <v>110</v>
      </c>
      <c r="Q124" s="11">
        <f t="shared" si="21"/>
        <v>18</v>
      </c>
      <c r="R124" s="11">
        <f t="shared" si="22"/>
        <v>2</v>
      </c>
      <c r="S124" s="12" t="str" cm="1">
        <f t="array" ref="S124">INDEX('Radiotherapy-ConceptMap-1'!$I$15:$N$124,Q124+1,R124)</f>
        <v>* group[=].element[=].display = ##34#Primary and Bilateral Neck##34#</v>
      </c>
    </row>
    <row r="125" spans="16:19">
      <c r="P125" s="11">
        <v>111</v>
      </c>
      <c r="Q125" s="11">
        <f t="shared" si="21"/>
        <v>18</v>
      </c>
      <c r="R125" s="11">
        <f t="shared" si="22"/>
        <v>3</v>
      </c>
      <c r="S125" s="12" t="str" cm="1">
        <f t="array" ref="S125">INDEX('Radiotherapy-ConceptMap-1'!$I$15:$N$124,Q125+1,R125)</f>
        <v>* group[=].element[=].target.code = #Procedure.bodySite</v>
      </c>
    </row>
    <row r="126" spans="16:19">
      <c r="P126" s="11">
        <v>112</v>
      </c>
      <c r="Q126" s="11">
        <f t="shared" si="21"/>
        <v>18</v>
      </c>
      <c r="R126" s="11">
        <f t="shared" si="22"/>
        <v>4</v>
      </c>
      <c r="S126" s="12" t="str" cm="1">
        <f t="array" ref="S126">INDEX('Radiotherapy-ConceptMap-1'!$I$15:$N$124,Q126+1,R126)</f>
        <v>* group[=].element[=].target.display = ##34###34#</v>
      </c>
    </row>
    <row r="127" spans="16:19">
      <c r="P127" s="11">
        <v>113</v>
      </c>
      <c r="Q127" s="11">
        <f t="shared" si="21"/>
        <v>18</v>
      </c>
      <c r="R127" s="11">
        <f t="shared" si="22"/>
        <v>5</v>
      </c>
      <c r="S127" s="12" t="str" cm="1">
        <f t="array" ref="S127">INDEX('Radiotherapy-ConceptMap-1'!$I$15:$N$124,Q127+1,R127)</f>
        <v>* group[=].element[=].target.equivalence = #relatedto</v>
      </c>
    </row>
    <row r="128" spans="16:19">
      <c r="P128" s="11">
        <v>114</v>
      </c>
      <c r="Q128" s="11">
        <f t="shared" si="21"/>
        <v>18</v>
      </c>
      <c r="R128" s="11">
        <f t="shared" si="22"/>
        <v>6</v>
      </c>
      <c r="S128" s="12" t="str" cm="1">
        <f t="array" ref="S128">INDEX('Radiotherapy-ConceptMap-1'!$I$15:$N$124,Q128+1,R128)</f>
        <v>* group[=].element[=].target.comment = ##34#to be checked##34#</v>
      </c>
    </row>
    <row r="129" spans="16:19">
      <c r="P129" s="11">
        <v>115</v>
      </c>
      <c r="Q129" s="11">
        <f t="shared" si="21"/>
        <v>19</v>
      </c>
      <c r="R129" s="11">
        <f t="shared" si="22"/>
        <v>1</v>
      </c>
      <c r="S129" s="12" t="str" cm="1">
        <f t="array" ref="S129">INDEX('Radiotherapy-ConceptMap-1'!$I$15:$N$124,Q129+1,R129)</f>
        <v>* group[=].element[+].code = #RadiotherapyI4rc.treatmentSites.distantMetastasis</v>
      </c>
    </row>
    <row r="130" spans="16:19">
      <c r="P130" s="11">
        <v>116</v>
      </c>
      <c r="Q130" s="11">
        <f t="shared" si="21"/>
        <v>19</v>
      </c>
      <c r="R130" s="11">
        <f t="shared" si="22"/>
        <v>2</v>
      </c>
      <c r="S130" s="12" t="str" cm="1">
        <f t="array" ref="S130">INDEX('Radiotherapy-ConceptMap-1'!$I$15:$N$124,Q130+1,R130)</f>
        <v>* group[=].element[=].display = ##34#Distant Metastasis##34#</v>
      </c>
    </row>
    <row r="131" spans="16:19">
      <c r="P131" s="11">
        <v>117</v>
      </c>
      <c r="Q131" s="11">
        <f t="shared" si="21"/>
        <v>19</v>
      </c>
      <c r="R131" s="11">
        <f t="shared" si="22"/>
        <v>3</v>
      </c>
      <c r="S131" s="12" t="str" cm="1">
        <f t="array" ref="S131">INDEX('Radiotherapy-ConceptMap-1'!$I$15:$N$124,Q131+1,R131)</f>
        <v>* group[=].element[=].target.code = #Procedure.bodySite</v>
      </c>
    </row>
    <row r="132" spans="16:19">
      <c r="P132" s="11">
        <v>118</v>
      </c>
      <c r="Q132" s="11">
        <f t="shared" si="21"/>
        <v>19</v>
      </c>
      <c r="R132" s="11">
        <f t="shared" si="22"/>
        <v>4</v>
      </c>
      <c r="S132" s="12" t="str" cm="1">
        <f t="array" ref="S132">INDEX('Radiotherapy-ConceptMap-1'!$I$15:$N$124,Q132+1,R132)</f>
        <v>* group[=].element[=].target.display = ##34###34#</v>
      </c>
    </row>
    <row r="133" spans="16:19">
      <c r="P133" s="11">
        <v>119</v>
      </c>
      <c r="Q133" s="11">
        <f t="shared" si="21"/>
        <v>19</v>
      </c>
      <c r="R133" s="11">
        <f t="shared" si="22"/>
        <v>5</v>
      </c>
      <c r="S133" s="12" t="str" cm="1">
        <f t="array" ref="S133">INDEX('Radiotherapy-ConceptMap-1'!$I$15:$N$124,Q133+1,R133)</f>
        <v>* group[=].element[=].target.equivalence = #relatedto</v>
      </c>
    </row>
    <row r="134" spans="16:19">
      <c r="P134" s="11">
        <v>120</v>
      </c>
      <c r="Q134" s="11">
        <f t="shared" si="21"/>
        <v>19</v>
      </c>
      <c r="R134" s="11">
        <f t="shared" si="22"/>
        <v>6</v>
      </c>
      <c r="S134" s="12" t="str" cm="1">
        <f t="array" ref="S134">INDEX('Radiotherapy-ConceptMap-1'!$I$15:$N$124,Q134+1,R134)</f>
        <v>* group[=].element[=].target.comment = ##34#to be checked##34#</v>
      </c>
    </row>
    <row r="135" spans="16:19">
      <c r="P135" s="11">
        <v>121</v>
      </c>
      <c r="Q135" s="11">
        <f t="shared" si="21"/>
        <v>20</v>
      </c>
      <c r="R135" s="11">
        <f t="shared" si="22"/>
        <v>1</v>
      </c>
      <c r="S135" s="12" t="str" cm="1">
        <f t="array" ref="S135">INDEX('Radiotherapy-ConceptMap-1'!$I$15:$N$124,Q135+1,R135)</f>
        <v>* group[=].element[+].code = #RadiotherapyI4rc.metastaticTreatmentSites</v>
      </c>
    </row>
    <row r="136" spans="16:19">
      <c r="P136" s="11">
        <v>122</v>
      </c>
      <c r="Q136" s="11">
        <f t="shared" si="21"/>
        <v>20</v>
      </c>
      <c r="R136" s="11">
        <f t="shared" si="22"/>
        <v>2</v>
      </c>
      <c r="S136" s="12" t="str" cm="1">
        <f t="array" ref="S136">INDEX('Radiotherapy-ConceptMap-1'!$I$15:$N$124,Q136+1,R136)</f>
        <v>* group[=].element[=].display = ##34#Metastatic Treatment Sites:##34#</v>
      </c>
    </row>
    <row r="137" spans="16:19">
      <c r="P137" s="11">
        <v>123</v>
      </c>
      <c r="Q137" s="11">
        <f t="shared" si="21"/>
        <v>20</v>
      </c>
      <c r="R137" s="11">
        <f t="shared" si="22"/>
        <v>3</v>
      </c>
      <c r="S137" s="12" t="str" cm="1">
        <f t="array" ref="S137">INDEX('Radiotherapy-ConceptMap-1'!$I$15:$N$124,Q137+1,R137)</f>
        <v>* group[=].element[=].target.code = #Procedure.bodySite</v>
      </c>
    </row>
    <row r="138" spans="16:19">
      <c r="P138" s="11">
        <v>124</v>
      </c>
      <c r="Q138" s="11">
        <f t="shared" si="21"/>
        <v>20</v>
      </c>
      <c r="R138" s="11">
        <f t="shared" si="22"/>
        <v>4</v>
      </c>
      <c r="S138" s="12" t="str" cm="1">
        <f t="array" ref="S138">INDEX('Radiotherapy-ConceptMap-1'!$I$15:$N$124,Q138+1,R138)</f>
        <v>* group[=].element[=].target.display = ##34###34#</v>
      </c>
    </row>
    <row r="139" spans="16:19">
      <c r="P139" s="11">
        <v>125</v>
      </c>
      <c r="Q139" s="11">
        <f t="shared" si="21"/>
        <v>20</v>
      </c>
      <c r="R139" s="11">
        <f t="shared" si="22"/>
        <v>5</v>
      </c>
      <c r="S139" s="12" t="str" cm="1">
        <f t="array" ref="S139">INDEX('Radiotherapy-ConceptMap-1'!$I$15:$N$124,Q139+1,R139)</f>
        <v>* group[=].element[=].target.equivalence = #relatedto</v>
      </c>
    </row>
    <row r="140" spans="16:19">
      <c r="P140" s="11">
        <v>126</v>
      </c>
      <c r="Q140" s="11">
        <f t="shared" si="21"/>
        <v>20</v>
      </c>
      <c r="R140" s="11">
        <f t="shared" si="22"/>
        <v>6</v>
      </c>
      <c r="S140" s="12" t="str" cm="1">
        <f t="array" ref="S140">INDEX('Radiotherapy-ConceptMap-1'!$I$15:$N$124,Q140+1,R140)</f>
        <v>* group[=].element[=].target.comment = ##34#to be checked##34#</v>
      </c>
    </row>
    <row r="141" spans="16:19">
      <c r="P141" s="11">
        <v>127</v>
      </c>
      <c r="Q141" s="11">
        <f t="shared" si="21"/>
        <v>21</v>
      </c>
      <c r="R141" s="11">
        <f t="shared" si="22"/>
        <v>1</v>
      </c>
      <c r="S141" s="12" t="str" cm="1">
        <f t="array" ref="S141">INDEX('Radiotherapy-ConceptMap-1'!$I$15:$N$124,Q141+1,R141)</f>
        <v>* group[=].element[+].code = #RadiotherapyI4rc.metastaticTreatmentSites.lung</v>
      </c>
    </row>
    <row r="142" spans="16:19" ht="29.5">
      <c r="P142" s="11">
        <v>128</v>
      </c>
      <c r="Q142" s="11">
        <f t="shared" si="21"/>
        <v>21</v>
      </c>
      <c r="R142" s="11">
        <f t="shared" si="22"/>
        <v>2</v>
      </c>
      <c r="S142" s="12" t="str" cm="1">
        <f t="array" ref="S142">INDEX('Radiotherapy-ConceptMap-1'!$I$15:$N$124,Q142+1,R142)</f>
        <v>* group[=].element[=].display = ##34#Lung
##34#</v>
      </c>
    </row>
    <row r="143" spans="16:19">
      <c r="P143" s="11">
        <v>129</v>
      </c>
      <c r="Q143" s="11">
        <f t="shared" si="21"/>
        <v>21</v>
      </c>
      <c r="R143" s="11">
        <f t="shared" si="22"/>
        <v>3</v>
      </c>
      <c r="S143" s="12" t="str" cm="1">
        <f t="array" ref="S143">INDEX('Radiotherapy-ConceptMap-1'!$I$15:$N$124,Q143+1,R143)</f>
        <v>* group[=].element[=].target.code = #Procedure.bodySite</v>
      </c>
    </row>
    <row r="144" spans="16:19">
      <c r="P144" s="11">
        <v>130</v>
      </c>
      <c r="Q144" s="11">
        <f t="shared" ref="Q144:Q184" si="23">IF(MOD(P144,$Q$8)=0,P144/$Q$8-1,INT(P144/$Q$8))</f>
        <v>21</v>
      </c>
      <c r="R144" s="11">
        <f t="shared" ref="R144:R184" si="24">IF(MOD(P144,$Q$8)=0,$Q$8,MOD(P144,$Q$8))</f>
        <v>4</v>
      </c>
      <c r="S144" s="12" t="str" cm="1">
        <f t="array" ref="S144">INDEX('Radiotherapy-ConceptMap-1'!$I$15:$N$124,Q144+1,R144)</f>
        <v>* group[=].element[=].target.display = ##34###34#</v>
      </c>
    </row>
    <row r="145" spans="16:19">
      <c r="P145" s="11">
        <v>131</v>
      </c>
      <c r="Q145" s="11">
        <f t="shared" si="23"/>
        <v>21</v>
      </c>
      <c r="R145" s="11">
        <f t="shared" si="24"/>
        <v>5</v>
      </c>
      <c r="S145" s="12" t="str" cm="1">
        <f t="array" ref="S145">INDEX('Radiotherapy-ConceptMap-1'!$I$15:$N$124,Q145+1,R145)</f>
        <v>* group[=].element[=].target.equivalence = #relatedto</v>
      </c>
    </row>
    <row r="146" spans="16:19">
      <c r="P146" s="11">
        <v>132</v>
      </c>
      <c r="Q146" s="11">
        <f t="shared" si="23"/>
        <v>21</v>
      </c>
      <c r="R146" s="11">
        <f t="shared" si="24"/>
        <v>6</v>
      </c>
      <c r="S146" s="12" t="str" cm="1">
        <f t="array" ref="S146">INDEX('Radiotherapy-ConceptMap-1'!$I$15:$N$124,Q146+1,R146)</f>
        <v>* group[=].element[=].target.comment = ##34#to be checked##34#</v>
      </c>
    </row>
    <row r="147" spans="16:19" ht="29.5">
      <c r="P147" s="11">
        <v>133</v>
      </c>
      <c r="Q147" s="11">
        <f t="shared" si="23"/>
        <v>22</v>
      </c>
      <c r="R147" s="11">
        <f t="shared" si="24"/>
        <v>1</v>
      </c>
      <c r="S147" s="12" t="str" cm="1">
        <f t="array" ref="S147">INDEX('Radiotherapy-ConceptMap-1'!$I$15:$N$124,Q147+1,R147)</f>
        <v>* group[=].element[+].code = #RadiotherapyI4rc.metastaticTreatmentSites.mediastinum</v>
      </c>
    </row>
    <row r="148" spans="16:19" ht="29.5">
      <c r="P148" s="11">
        <v>134</v>
      </c>
      <c r="Q148" s="11">
        <f t="shared" si="23"/>
        <v>22</v>
      </c>
      <c r="R148" s="11">
        <f t="shared" si="24"/>
        <v>2</v>
      </c>
      <c r="S148" s="12" t="str" cm="1">
        <f t="array" ref="S148">INDEX('Radiotherapy-ConceptMap-1'!$I$15:$N$124,Q148+1,R148)</f>
        <v>* group[=].element[=].display = ##34#Mediastinum
##34#</v>
      </c>
    </row>
    <row r="149" spans="16:19">
      <c r="P149" s="11">
        <v>135</v>
      </c>
      <c r="Q149" s="11">
        <f t="shared" si="23"/>
        <v>22</v>
      </c>
      <c r="R149" s="11">
        <f t="shared" si="24"/>
        <v>3</v>
      </c>
      <c r="S149" s="12" t="str" cm="1">
        <f t="array" ref="S149">INDEX('Radiotherapy-ConceptMap-1'!$I$15:$N$124,Q149+1,R149)</f>
        <v>* group[=].element[=].target.code = #Procedure.bodySite</v>
      </c>
    </row>
    <row r="150" spans="16:19">
      <c r="P150" s="11">
        <v>136</v>
      </c>
      <c r="Q150" s="11">
        <f t="shared" si="23"/>
        <v>22</v>
      </c>
      <c r="R150" s="11">
        <f t="shared" si="24"/>
        <v>4</v>
      </c>
      <c r="S150" s="12" t="str" cm="1">
        <f t="array" ref="S150">INDEX('Radiotherapy-ConceptMap-1'!$I$15:$N$124,Q150+1,R150)</f>
        <v>* group[=].element[=].target.display = ##34###34#</v>
      </c>
    </row>
    <row r="151" spans="16:19">
      <c r="P151" s="11">
        <v>137</v>
      </c>
      <c r="Q151" s="11">
        <f t="shared" si="23"/>
        <v>22</v>
      </c>
      <c r="R151" s="11">
        <f t="shared" si="24"/>
        <v>5</v>
      </c>
      <c r="S151" s="12" t="str" cm="1">
        <f t="array" ref="S151">INDEX('Radiotherapy-ConceptMap-1'!$I$15:$N$124,Q151+1,R151)</f>
        <v>* group[=].element[=].target.equivalence = #relatedto</v>
      </c>
    </row>
    <row r="152" spans="16:19">
      <c r="P152" s="11">
        <v>138</v>
      </c>
      <c r="Q152" s="11">
        <f t="shared" si="23"/>
        <v>22</v>
      </c>
      <c r="R152" s="11">
        <f t="shared" si="24"/>
        <v>6</v>
      </c>
      <c r="S152" s="12" t="str" cm="1">
        <f t="array" ref="S152">INDEX('Radiotherapy-ConceptMap-1'!$I$15:$N$124,Q152+1,R152)</f>
        <v>* group[=].element[=].target.comment = ##34#to be checked##34#</v>
      </c>
    </row>
    <row r="153" spans="16:19">
      <c r="P153" s="11">
        <v>139</v>
      </c>
      <c r="Q153" s="11">
        <f t="shared" si="23"/>
        <v>23</v>
      </c>
      <c r="R153" s="11">
        <f t="shared" si="24"/>
        <v>1</v>
      </c>
      <c r="S153" s="12" t="str" cm="1">
        <f t="array" ref="S153">INDEX('Radiotherapy-ConceptMap-1'!$I$15:$N$124,Q153+1,R153)</f>
        <v>* group[=].element[+].code = #RadiotherapyI4rc.metastaticTreatmentSites.bone</v>
      </c>
    </row>
    <row r="154" spans="16:19" ht="29.5">
      <c r="P154" s="11">
        <v>140</v>
      </c>
      <c r="Q154" s="11">
        <f t="shared" si="23"/>
        <v>23</v>
      </c>
      <c r="R154" s="11">
        <f t="shared" si="24"/>
        <v>2</v>
      </c>
      <c r="S154" s="12" t="str" cm="1">
        <f t="array" ref="S154">INDEX('Radiotherapy-ConceptMap-1'!$I$15:$N$124,Q154+1,R154)</f>
        <v>* group[=].element[=].display = ##34#Bone
##34#</v>
      </c>
    </row>
    <row r="155" spans="16:19">
      <c r="P155" s="11">
        <v>141</v>
      </c>
      <c r="Q155" s="11">
        <f t="shared" si="23"/>
        <v>23</v>
      </c>
      <c r="R155" s="11">
        <f t="shared" si="24"/>
        <v>3</v>
      </c>
      <c r="S155" s="12" t="str" cm="1">
        <f t="array" ref="S155">INDEX('Radiotherapy-ConceptMap-1'!$I$15:$N$124,Q155+1,R155)</f>
        <v>* group[=].element[=].target.code = #Procedure.bodySite</v>
      </c>
    </row>
    <row r="156" spans="16:19">
      <c r="P156" s="11">
        <v>142</v>
      </c>
      <c r="Q156" s="11">
        <f t="shared" si="23"/>
        <v>23</v>
      </c>
      <c r="R156" s="11">
        <f t="shared" si="24"/>
        <v>4</v>
      </c>
      <c r="S156" s="12" t="str" cm="1">
        <f t="array" ref="S156">INDEX('Radiotherapy-ConceptMap-1'!$I$15:$N$124,Q156+1,R156)</f>
        <v>* group[=].element[=].target.display = ##34###34#</v>
      </c>
    </row>
    <row r="157" spans="16:19">
      <c r="P157" s="11">
        <v>143</v>
      </c>
      <c r="Q157" s="11">
        <f t="shared" si="23"/>
        <v>23</v>
      </c>
      <c r="R157" s="11">
        <f t="shared" si="24"/>
        <v>5</v>
      </c>
      <c r="S157" s="12" t="str" cm="1">
        <f t="array" ref="S157">INDEX('Radiotherapy-ConceptMap-1'!$I$15:$N$124,Q157+1,R157)</f>
        <v>* group[=].element[=].target.equivalence = #relatedto</v>
      </c>
    </row>
    <row r="158" spans="16:19">
      <c r="P158" s="11">
        <v>144</v>
      </c>
      <c r="Q158" s="11">
        <f t="shared" si="23"/>
        <v>23</v>
      </c>
      <c r="R158" s="11">
        <f t="shared" si="24"/>
        <v>6</v>
      </c>
      <c r="S158" s="12" t="str" cm="1">
        <f t="array" ref="S158">INDEX('Radiotherapy-ConceptMap-1'!$I$15:$N$124,Q158+1,R158)</f>
        <v>* group[=].element[=].target.comment = ##34#to be checked##34#</v>
      </c>
    </row>
    <row r="159" spans="16:19">
      <c r="P159" s="11">
        <v>145</v>
      </c>
      <c r="Q159" s="11">
        <f t="shared" si="23"/>
        <v>24</v>
      </c>
      <c r="R159" s="11">
        <f t="shared" si="24"/>
        <v>1</v>
      </c>
      <c r="S159" s="12" t="str" cm="1">
        <f t="array" ref="S159">INDEX('Radiotherapy-ConceptMap-1'!$I$15:$N$124,Q159+1,R159)</f>
        <v>* group[=].element[+].code = #RadiotherapyI4rc.metastaticTreatmentSites.softTissue</v>
      </c>
    </row>
    <row r="160" spans="16:19" ht="29.5">
      <c r="P160" s="11">
        <v>146</v>
      </c>
      <c r="Q160" s="11">
        <f t="shared" si="23"/>
        <v>24</v>
      </c>
      <c r="R160" s="11">
        <f t="shared" si="24"/>
        <v>2</v>
      </c>
      <c r="S160" s="12" t="str" cm="1">
        <f t="array" ref="S160">INDEX('Radiotherapy-ConceptMap-1'!$I$15:$N$124,Q160+1,R160)</f>
        <v>* group[=].element[=].display = ##34#Soft Tissue
##34#</v>
      </c>
    </row>
    <row r="161" spans="16:19">
      <c r="P161" s="11">
        <v>147</v>
      </c>
      <c r="Q161" s="11">
        <f t="shared" si="23"/>
        <v>24</v>
      </c>
      <c r="R161" s="11">
        <f t="shared" si="24"/>
        <v>3</v>
      </c>
      <c r="S161" s="12" t="str" cm="1">
        <f t="array" ref="S161">INDEX('Radiotherapy-ConceptMap-1'!$I$15:$N$124,Q161+1,R161)</f>
        <v>* group[=].element[=].target.code = #Procedure.bodySite</v>
      </c>
    </row>
    <row r="162" spans="16:19">
      <c r="P162" s="11">
        <v>148</v>
      </c>
      <c r="Q162" s="11">
        <f t="shared" si="23"/>
        <v>24</v>
      </c>
      <c r="R162" s="11">
        <f t="shared" si="24"/>
        <v>4</v>
      </c>
      <c r="S162" s="12" t="str" cm="1">
        <f t="array" ref="S162">INDEX('Radiotherapy-ConceptMap-1'!$I$15:$N$124,Q162+1,R162)</f>
        <v>* group[=].element[=].target.display = ##34###34#</v>
      </c>
    </row>
    <row r="163" spans="16:19">
      <c r="P163" s="11">
        <v>149</v>
      </c>
      <c r="Q163" s="11">
        <f t="shared" si="23"/>
        <v>24</v>
      </c>
      <c r="R163" s="11">
        <f t="shared" si="24"/>
        <v>5</v>
      </c>
      <c r="S163" s="12" t="str" cm="1">
        <f t="array" ref="S163">INDEX('Radiotherapy-ConceptMap-1'!$I$15:$N$124,Q163+1,R163)</f>
        <v>* group[=].element[=].target.equivalence = #relatedto</v>
      </c>
    </row>
    <row r="164" spans="16:19">
      <c r="P164" s="11">
        <v>150</v>
      </c>
      <c r="Q164" s="11">
        <f t="shared" si="23"/>
        <v>24</v>
      </c>
      <c r="R164" s="11">
        <f t="shared" si="24"/>
        <v>6</v>
      </c>
      <c r="S164" s="12" t="str" cm="1">
        <f t="array" ref="S164">INDEX('Radiotherapy-ConceptMap-1'!$I$15:$N$124,Q164+1,R164)</f>
        <v>* group[=].element[=].target.comment = ##34#to be checked##34#</v>
      </c>
    </row>
    <row r="165" spans="16:19">
      <c r="P165" s="11">
        <v>151</v>
      </c>
      <c r="Q165" s="11">
        <f t="shared" si="23"/>
        <v>25</v>
      </c>
      <c r="R165" s="11">
        <f t="shared" si="24"/>
        <v>1</v>
      </c>
      <c r="S165" s="12" t="str" cm="1">
        <f t="array" ref="S165">INDEX('Radiotherapy-ConceptMap-1'!$I$15:$N$124,Q165+1,R165)</f>
        <v>* group[=].element[+].code = #RadiotherapyI4rc.metastaticTreatmentSites.liver</v>
      </c>
    </row>
    <row r="166" spans="16:19" ht="29.5">
      <c r="P166" s="11">
        <v>152</v>
      </c>
      <c r="Q166" s="11">
        <f t="shared" si="23"/>
        <v>25</v>
      </c>
      <c r="R166" s="11">
        <f t="shared" si="24"/>
        <v>2</v>
      </c>
      <c r="S166" s="12" t="str" cm="1">
        <f t="array" ref="S166">INDEX('Radiotherapy-ConceptMap-1'!$I$15:$N$124,Q166+1,R166)</f>
        <v>* group[=].element[=].display = ##34#Liver
##34#</v>
      </c>
    </row>
    <row r="167" spans="16:19">
      <c r="P167" s="11">
        <v>153</v>
      </c>
      <c r="Q167" s="11">
        <f t="shared" si="23"/>
        <v>25</v>
      </c>
      <c r="R167" s="11">
        <f t="shared" si="24"/>
        <v>3</v>
      </c>
      <c r="S167" s="12" t="str" cm="1">
        <f t="array" ref="S167">INDEX('Radiotherapy-ConceptMap-1'!$I$15:$N$124,Q167+1,R167)</f>
        <v>* group[=].element[=].target.code = #Procedure.bodySite</v>
      </c>
    </row>
    <row r="168" spans="16:19">
      <c r="P168" s="11">
        <v>154</v>
      </c>
      <c r="Q168" s="11">
        <f t="shared" si="23"/>
        <v>25</v>
      </c>
      <c r="R168" s="11">
        <f t="shared" si="24"/>
        <v>4</v>
      </c>
      <c r="S168" s="12" t="str" cm="1">
        <f t="array" ref="S168">INDEX('Radiotherapy-ConceptMap-1'!$I$15:$N$124,Q168+1,R168)</f>
        <v>* group[=].element[=].target.display = ##34###34#</v>
      </c>
    </row>
    <row r="169" spans="16:19">
      <c r="P169" s="11">
        <v>155</v>
      </c>
      <c r="Q169" s="11">
        <f t="shared" si="23"/>
        <v>25</v>
      </c>
      <c r="R169" s="11">
        <f t="shared" si="24"/>
        <v>5</v>
      </c>
      <c r="S169" s="12" t="str" cm="1">
        <f t="array" ref="S169">INDEX('Radiotherapy-ConceptMap-1'!$I$15:$N$124,Q169+1,R169)</f>
        <v>* group[=].element[=].target.equivalence = #relatedto</v>
      </c>
    </row>
    <row r="170" spans="16:19">
      <c r="P170" s="11">
        <v>156</v>
      </c>
      <c r="Q170" s="11">
        <f t="shared" si="23"/>
        <v>25</v>
      </c>
      <c r="R170" s="11">
        <f t="shared" si="24"/>
        <v>6</v>
      </c>
      <c r="S170" s="12" t="str" cm="1">
        <f t="array" ref="S170">INDEX('Radiotherapy-ConceptMap-1'!$I$15:$N$124,Q170+1,R170)</f>
        <v>* group[=].element[=].target.comment = ##34#to be checked##34#</v>
      </c>
    </row>
    <row r="171" spans="16:19">
      <c r="P171" s="11">
        <v>157</v>
      </c>
      <c r="Q171" s="11">
        <f t="shared" si="23"/>
        <v>26</v>
      </c>
      <c r="R171" s="11">
        <f t="shared" si="24"/>
        <v>1</v>
      </c>
      <c r="S171" s="12" t="str" cm="1">
        <f t="array" ref="S171">INDEX('Radiotherapy-ConceptMap-1'!$I$15:$N$124,Q171+1,R171)</f>
        <v>* group[=].element[+].code = #RadiotherapyI4rc.treatmentCompletedAsPlanned</v>
      </c>
    </row>
    <row r="172" spans="16:19">
      <c r="P172" s="11">
        <v>158</v>
      </c>
      <c r="Q172" s="11">
        <f t="shared" si="23"/>
        <v>26</v>
      </c>
      <c r="R172" s="11">
        <f t="shared" si="24"/>
        <v>2</v>
      </c>
      <c r="S172" s="12" t="str" cm="1">
        <f t="array" ref="S172">INDEX('Radiotherapy-ConceptMap-1'!$I$15:$N$124,Q172+1,R172)</f>
        <v>* group[=].element[=].display = ##34#Treatment Completed as Planned?##34#</v>
      </c>
    </row>
    <row r="173" spans="16:19">
      <c r="P173" s="11">
        <v>159</v>
      </c>
      <c r="Q173" s="11">
        <f t="shared" si="23"/>
        <v>26</v>
      </c>
      <c r="R173" s="11">
        <f t="shared" si="24"/>
        <v>3</v>
      </c>
      <c r="S173" s="12" t="str" cm="1">
        <f t="array" ref="S173">INDEX('Radiotherapy-ConceptMap-1'!$I$15:$N$124,Q173+1,R173)</f>
        <v>* group[=].element[=].target.code = #Procedure.extension:terminationReason</v>
      </c>
    </row>
    <row r="174" spans="16:19">
      <c r="P174" s="11">
        <v>160</v>
      </c>
      <c r="Q174" s="11">
        <f t="shared" si="23"/>
        <v>26</v>
      </c>
      <c r="R174" s="11">
        <f t="shared" si="24"/>
        <v>4</v>
      </c>
      <c r="S174" s="12" t="str" cm="1">
        <f t="array" ref="S174">INDEX('Radiotherapy-ConceptMap-1'!$I$15:$N$124,Q174+1,R174)</f>
        <v>* group[=].element[=].target.display = ##34###34#</v>
      </c>
    </row>
    <row r="175" spans="16:19">
      <c r="P175" s="11">
        <v>161</v>
      </c>
      <c r="Q175" s="11">
        <f t="shared" si="23"/>
        <v>26</v>
      </c>
      <c r="R175" s="11">
        <f t="shared" si="24"/>
        <v>5</v>
      </c>
      <c r="S175" s="12" t="str" cm="1">
        <f t="array" ref="S175">INDEX('Radiotherapy-ConceptMap-1'!$I$15:$N$124,Q175+1,R175)</f>
        <v>* group[=].element[=].target.equivalence = #relatedto</v>
      </c>
    </row>
    <row r="176" spans="16:19" ht="44.25">
      <c r="P176" s="11">
        <v>162</v>
      </c>
      <c r="Q176" s="11">
        <f t="shared" si="23"/>
        <v>26</v>
      </c>
      <c r="R176" s="11">
        <f t="shared" si="24"/>
        <v>6</v>
      </c>
      <c r="S176" s="12" t="str" cm="1">
        <f t="array" ref="S176">INDEX('Radiotherapy-ConceptMap-1'!$I$15:$N$124,Q176+1,R176)</f>
        <v>* group[=].element[=].target.comment = ##34#to be reviewed; extension to be localized to change the used value set. Chack if the statusReason can be sued for this scope##34#</v>
      </c>
    </row>
    <row r="177" spans="16:19">
      <c r="P177" s="11">
        <v>163</v>
      </c>
      <c r="Q177" s="11">
        <f t="shared" si="23"/>
        <v>27</v>
      </c>
      <c r="R177" s="11">
        <f t="shared" si="24"/>
        <v>1</v>
      </c>
      <c r="S177" s="12" cm="1">
        <f t="array" ref="S177">INDEX('Radiotherapy-ConceptMap-1'!$I$15:$N$124,Q177+1,R177)</f>
        <v>0</v>
      </c>
    </row>
    <row r="178" spans="16:19">
      <c r="P178" s="11">
        <v>164</v>
      </c>
      <c r="Q178" s="11">
        <f t="shared" si="23"/>
        <v>27</v>
      </c>
      <c r="R178" s="11">
        <f t="shared" si="24"/>
        <v>2</v>
      </c>
      <c r="S178" s="12" cm="1">
        <f t="array" ref="S178">INDEX('Radiotherapy-ConceptMap-1'!$I$15:$N$124,Q178+1,R178)</f>
        <v>0</v>
      </c>
    </row>
    <row r="179" spans="16:19">
      <c r="P179" s="11">
        <v>165</v>
      </c>
      <c r="Q179" s="11">
        <f t="shared" si="23"/>
        <v>27</v>
      </c>
      <c r="R179" s="11">
        <f t="shared" si="24"/>
        <v>3</v>
      </c>
      <c r="S179" s="12" cm="1">
        <f t="array" ref="S179">INDEX('Radiotherapy-ConceptMap-1'!$I$15:$N$124,Q179+1,R179)</f>
        <v>0</v>
      </c>
    </row>
    <row r="180" spans="16:19">
      <c r="P180" s="11">
        <v>166</v>
      </c>
      <c r="Q180" s="11">
        <f t="shared" si="23"/>
        <v>27</v>
      </c>
      <c r="R180" s="11">
        <f t="shared" si="24"/>
        <v>4</v>
      </c>
      <c r="S180" s="12" cm="1">
        <f t="array" ref="S180">INDEX('Radiotherapy-ConceptMap-1'!$I$15:$N$124,Q180+1,R180)</f>
        <v>0</v>
      </c>
    </row>
    <row r="181" spans="16:19">
      <c r="P181" s="11">
        <v>167</v>
      </c>
      <c r="Q181" s="11">
        <f t="shared" si="23"/>
        <v>27</v>
      </c>
      <c r="R181" s="11">
        <f t="shared" si="24"/>
        <v>5</v>
      </c>
      <c r="S181" s="12" cm="1">
        <f t="array" ref="S181">INDEX('Radiotherapy-ConceptMap-1'!$I$15:$N$124,Q181+1,R181)</f>
        <v>0</v>
      </c>
    </row>
    <row r="182" spans="16:19">
      <c r="P182" s="11">
        <v>168</v>
      </c>
      <c r="Q182" s="11">
        <f t="shared" si="23"/>
        <v>27</v>
      </c>
      <c r="R182" s="11">
        <f t="shared" si="24"/>
        <v>6</v>
      </c>
      <c r="S182" s="12" cm="1">
        <f t="array" ref="S182">INDEX('Radiotherapy-ConceptMap-1'!$I$15:$N$124,Q182+1,R182)</f>
        <v>0</v>
      </c>
    </row>
    <row r="183" spans="16:19">
      <c r="P183" s="11">
        <v>169</v>
      </c>
      <c r="Q183" s="11">
        <f t="shared" si="23"/>
        <v>28</v>
      </c>
      <c r="R183" s="11">
        <f t="shared" si="24"/>
        <v>1</v>
      </c>
      <c r="S183" s="12" cm="1">
        <f t="array" ref="S183">INDEX('Radiotherapy-ConceptMap-1'!$I$15:$N$124,Q183+1,R183)</f>
        <v>0</v>
      </c>
    </row>
    <row r="184" spans="16:19">
      <c r="P184" s="11">
        <v>170</v>
      </c>
      <c r="Q184" s="11">
        <f t="shared" si="23"/>
        <v>28</v>
      </c>
      <c r="R184" s="11">
        <f t="shared" si="24"/>
        <v>2</v>
      </c>
      <c r="S184" s="12" cm="1">
        <f t="array" ref="S184">INDEX('Radiotherapy-ConceptMap-1'!$I$15:$N$124,Q184+1,R184)</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F15:F41</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D18" sqref="D18"/>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2227</v>
      </c>
    </row>
    <row r="3" spans="2:7">
      <c r="B3" s="24" t="s">
        <v>20</v>
      </c>
    </row>
    <row r="4" spans="2:7">
      <c r="B4" s="65" t="str">
        <f>"Instance: "&amp;'Radiotherapy-ConceptMap-1'!C4</f>
        <v>Instance: radiotherapy2FHIR</v>
      </c>
    </row>
    <row r="5" spans="2:7">
      <c r="B5" s="65" t="s">
        <v>1447</v>
      </c>
    </row>
    <row r="6" spans="2:7">
      <c r="B6" s="65" t="s">
        <v>1438</v>
      </c>
    </row>
    <row r="7" spans="2:7">
      <c r="B7" s="65" t="s">
        <v>1776</v>
      </c>
    </row>
    <row r="8" spans="2:7">
      <c r="B8" s="65" t="str">
        <f>"* name = ##34#"&amp;'Radiotherapy-ConceptMap-1'!C3&amp;"##34#"</f>
        <v>* name = ##34#radiotherapy2FHIR##34#</v>
      </c>
    </row>
    <row r="9" spans="2:7">
      <c r="B9" s="65" t="str">
        <f>"* title = ##34#"&amp;'Radiotherapy-ConceptMap-1'!C5&amp;"##34#"</f>
        <v>* title = ##34#Radiotherapy Model to this guide Map##34#</v>
      </c>
    </row>
    <row r="10" spans="2:7">
      <c r="B10" s="65" t="s">
        <v>1439</v>
      </c>
    </row>
    <row r="11" spans="2:7">
      <c r="B11" s="65" t="s">
        <v>1440</v>
      </c>
    </row>
    <row r="12" spans="2:7">
      <c r="B12" s="65" t="str">
        <f>"* description = ##34#"&amp;'Radiotherapy-ConceptMap-1'!C8&amp;"##34#"</f>
        <v>* description = ##34#Radiotherapy Model to this guide Map##34#</v>
      </c>
    </row>
    <row r="13" spans="2:7">
      <c r="B13" s="65" t="str">
        <f>"* purpose = ##34#"&amp;'Radiotherapy-ConceptMap-1'!C9&amp;"##34#"</f>
        <v>* purpose = ##34#It shows how the Radiotherapy model is mapped into this guide##34#</v>
      </c>
    </row>
    <row r="14" spans="2:7">
      <c r="B14" s="69" t="str">
        <f>"* sourceUri = ##34#"&amp;'Radiotherapy-ConceptMap-1'!E3&amp;"##34#"</f>
        <v>* sourceUri = ##34#http://hl7.eu/fhir/ig/idea4rc/StructureDefinition/RadiotherapyI4rc##34#</v>
      </c>
    </row>
    <row r="15" spans="2:7">
      <c r="B15" s="69" t="str">
        <f>"* targetUri = ##34#"&amp;'Radiotherapy-ConceptMap-1'!E4&amp;"##34#"</f>
        <v>* targetUri = ##34#http://hl7.eu/fhir/ig/idea4rc/StructureDefinition/Procedure-radiotheraphy-eu-i4rc##34#</v>
      </c>
    </row>
    <row r="16" spans="2:7">
      <c r="B16" s="68" t="str">
        <f>"* group[+].source = ##34#"&amp;'Radiotherapy-ConceptMap-1'!E6&amp;"##34#"</f>
        <v>* group[+].source = ##34#http://hl7.eu/fhir/ig/idea4rc/StructureDefinition/RadiotherapyI4rc##34#</v>
      </c>
    </row>
    <row r="17" spans="2:7">
      <c r="B17" s="68" t="str">
        <f>"* group[=].target = ##34#"&amp;'Radiotherapy-ConceptMap-1'!E7&amp;"##34#"</f>
        <v>* group[=].target = ##34#http://hl7.eu/fhir/ig/idea4rc/StructureDefinition/Procedure-radiotheraphy-eu-i4rc##34#</v>
      </c>
    </row>
    <row r="18" spans="2:7">
      <c r="B18" s="121"/>
    </row>
    <row r="19" spans="2:7">
      <c r="B19" s="12" t="str">
        <f>IF('Radiotherapy-ConceptMap-1'!S15=0,"//---END",'Radiotherapy-ConceptMap-1'!S15)</f>
        <v>* group[=].element[+].code = #RadiotherapyI4rc.episodeEventReference</v>
      </c>
    </row>
    <row r="20" spans="2:7">
      <c r="B20" s="12" t="str">
        <f>IF('Radiotherapy-ConceptMap-1'!S16=0,"//---END",'Radiotherapy-ConceptMap-1'!S16)</f>
        <v>* group[=].element[=].display = ##34#Episode Event reference##34#</v>
      </c>
    </row>
    <row r="21" spans="2:7">
      <c r="B21" s="12" t="str">
        <f>IF('Radiotherapy-ConceptMap-1'!S17=0,"//---END",'Radiotherapy-ConceptMap-1'!S17)</f>
        <v>* group[=].element[=].target.code = #Procedure.reasonReference</v>
      </c>
    </row>
    <row r="22" spans="2:7">
      <c r="B22" s="12" t="str">
        <f>IF('Radiotherapy-ConceptMap-1'!S18=0,"//---END",'Radiotherapy-ConceptMap-1'!S18)</f>
        <v>* group[=].element[=].target.display = ##34###34#</v>
      </c>
    </row>
    <row r="23" spans="2:7">
      <c r="B23" s="12" t="str">
        <f>IF('Radiotherapy-ConceptMap-1'!S19=0,"//---END",'Radiotherapy-ConceptMap-1'!S19)</f>
        <v>* group[=].element[=].target.equivalence = #relatedto</v>
      </c>
    </row>
    <row r="24" spans="2:7">
      <c r="B24" s="12" t="str">
        <f>IF('Radiotherapy-ConceptMap-1'!S20=0,"//---END",'Radiotherapy-ConceptMap-1'!S20)</f>
        <v/>
      </c>
      <c r="G24" s="7"/>
    </row>
    <row r="25" spans="2:7">
      <c r="B25" s="12" t="str">
        <f>IF('Radiotherapy-ConceptMap-1'!S21=0,"//---END",'Radiotherapy-ConceptMap-1'!S21)</f>
        <v>* group[=].element[+].code = #RadiotherapyI4rc.radiotherapy</v>
      </c>
    </row>
    <row r="26" spans="2:7">
      <c r="B26" s="12" t="str">
        <f>IF('Radiotherapy-ConceptMap-1'!S22=0,"//---END",'Radiotherapy-ConceptMap-1'!S22)</f>
        <v>* group[=].element[=].display = ##34#Radiotherapy##34#</v>
      </c>
    </row>
    <row r="27" spans="2:7">
      <c r="B27" s="12" t="str">
        <f>IF('Radiotherapy-ConceptMap-1'!S23=0,"//---END",'Radiotherapy-ConceptMap-1'!S23)</f>
        <v>* group[=].element[=].target.code = #Procedure.extension:procedureCategoryR5</v>
      </c>
    </row>
    <row r="28" spans="2:7">
      <c r="B28" s="12" t="str">
        <f>IF('Radiotherapy-ConceptMap-1'!S24=0,"//---END",'Radiotherapy-ConceptMap-1'!S24)</f>
        <v>* group[=].element[=].target.display = ##34###34#</v>
      </c>
    </row>
    <row r="29" spans="2:7">
      <c r="B29" s="12" t="str">
        <f>IF('Radiotherapy-ConceptMap-1'!S25=0,"//---END",'Radiotherapy-ConceptMap-1'!S25)</f>
        <v>* group[=].element[=].target.equivalence = #relatedto</v>
      </c>
    </row>
    <row r="30" spans="2:7">
      <c r="B30" s="12" t="str">
        <f>IF('Radiotherapy-ConceptMap-1'!S26=0,"//---END",'Radiotherapy-ConceptMap-1'!S26)</f>
        <v>* group[=].element[=].target.comment = ##34#to be analyzed: derive this from a combination of elements or use other cathegories (R5 extension)##34#</v>
      </c>
    </row>
    <row r="31" spans="2:7">
      <c r="B31" s="12" t="str">
        <f>IF('Radiotherapy-ConceptMap-1'!S27=0,"//---END",'Radiotherapy-ConceptMap-1'!S27)</f>
        <v>* group[=].element[+].code = #RadiotherapyI4rc.intent</v>
      </c>
    </row>
    <row r="32" spans="2:7">
      <c r="B32" s="12" t="str">
        <f>IF('Radiotherapy-ConceptMap-1'!S28=0,"//---END",'Radiotherapy-ConceptMap-1'!S28)</f>
        <v>* group[=].element[=].display = ##34#Intent##34#</v>
      </c>
    </row>
    <row r="33" spans="2:2">
      <c r="B33" s="12" t="str">
        <f>IF('Radiotherapy-ConceptMap-1'!S29=0,"//---END",'Radiotherapy-ConceptMap-1'!S29)</f>
        <v>* group[=].element[=].target.code = #Procedure.extension:procedureIntent.valueCodeableConcept</v>
      </c>
    </row>
    <row r="34" spans="2:2">
      <c r="B34" s="12" t="str">
        <f>IF('Radiotherapy-ConceptMap-1'!S30=0,"//---END",'Radiotherapy-ConceptMap-1'!S30)</f>
        <v>* group[=].element[=].target.display = ##34###34#</v>
      </c>
    </row>
    <row r="35" spans="2:2">
      <c r="B35" s="12" t="str">
        <f>IF('Radiotherapy-ConceptMap-1'!S31=0,"//---END",'Radiotherapy-ConceptMap-1'!S31)</f>
        <v>* group[=].element[=].target.equivalence = #relatedto</v>
      </c>
    </row>
    <row r="36" spans="2:2">
      <c r="B36" s="12" t="str">
        <f>IF('Radiotherapy-ConceptMap-1'!S32=0,"//---END",'Radiotherapy-ConceptMap-1'!S32)</f>
        <v>* group[=].element[=].target.comment = ##34#to be checked##34#</v>
      </c>
    </row>
    <row r="37" spans="2:2">
      <c r="B37" s="12" t="str">
        <f>IF('Radiotherapy-ConceptMap-1'!S33=0,"//---END",'Radiotherapy-ConceptMap-1'!S33)</f>
        <v>* group[=].element[+].code = #RadiotherapyI4rc.setting</v>
      </c>
    </row>
    <row r="38" spans="2:2">
      <c r="B38" s="12" t="str">
        <f>IF('Radiotherapy-ConceptMap-1'!S34=0,"//---END",'Radiotherapy-ConceptMap-1'!S34)</f>
        <v>* group[=].element[=].display = ##34#Setting##34#</v>
      </c>
    </row>
    <row r="39" spans="2:2">
      <c r="B39" s="12" t="str">
        <f>IF('Radiotherapy-ConceptMap-1'!S35=0,"//---END",'Radiotherapy-ConceptMap-1'!S35)</f>
        <v>* group[=].element[=].target.code = #Procedure.extension:procedureCategoryR5</v>
      </c>
    </row>
    <row r="40" spans="2:2">
      <c r="B40" s="12" t="str">
        <f>IF('Radiotherapy-ConceptMap-1'!S36=0,"//---END",'Radiotherapy-ConceptMap-1'!S36)</f>
        <v>* group[=].element[=].target.display = ##34###34#</v>
      </c>
    </row>
    <row r="41" spans="2:2">
      <c r="B41" s="12" t="str">
        <f>IF('Radiotherapy-ConceptMap-1'!S37=0,"//---END",'Radiotherapy-ConceptMap-1'!S37)</f>
        <v>* group[=].element[=].target.equivalence = #relatedto</v>
      </c>
    </row>
    <row r="42" spans="2:2">
      <c r="B42" s="12" t="str">
        <f>IF('Radiotherapy-ConceptMap-1'!S38=0,"//---END",'Radiotherapy-ConceptMap-1'!S38)</f>
        <v>* group[=].element[=].target.comment = ##34#to be analyzed: derive this from a combination of elements or use other cathegories (R5 extension)##34#</v>
      </c>
    </row>
    <row r="43" spans="2:2">
      <c r="B43" s="12" t="str">
        <f>IF('Radiotherapy-ConceptMap-1'!S39=0,"//---END",'Radiotherapy-ConceptMap-1'!S39)</f>
        <v>* group[=].element[+].code = #RadiotherapyI4rc.beamQuality</v>
      </c>
    </row>
    <row r="44" spans="2:2">
      <c r="B44" s="12" t="str">
        <f>IF('Radiotherapy-ConceptMap-1'!S40=0,"//---END",'Radiotherapy-ConceptMap-1'!S40)</f>
        <v>* group[=].element[=].display = ##34#Beam quality##34#</v>
      </c>
    </row>
    <row r="45" spans="2:2">
      <c r="B45" s="12" t="str">
        <f>IF('Radiotherapy-ConceptMap-1'!S41=0,"//---END",'Radiotherapy-ConceptMap-1'!S41)</f>
        <v>* group[=].element[=].target.code = #Procedure.extension:modalityAndTechnique.extension:modality.valueCodeableConcept</v>
      </c>
    </row>
    <row r="46" spans="2:2">
      <c r="B46" s="12" t="str">
        <f>IF('Radiotherapy-ConceptMap-1'!S42=0,"//---END",'Radiotherapy-ConceptMap-1'!S42)</f>
        <v>* group[=].element[=].target.display = ##34###34#</v>
      </c>
    </row>
    <row r="47" spans="2:2">
      <c r="B47" s="12" t="str">
        <f>IF('Radiotherapy-ConceptMap-1'!S43=0,"//---END",'Radiotherapy-ConceptMap-1'!S43)</f>
        <v>* group[=].element[=].target.equivalence = #relatedto</v>
      </c>
    </row>
    <row r="48" spans="2:2">
      <c r="B48" s="12" t="str">
        <f>IF('Radiotherapy-ConceptMap-1'!S44=0,"//---END",'Radiotherapy-ConceptMap-1'!S44)</f>
        <v>* group[=].element[=].target.comment = ##34#to be checked##34#</v>
      </c>
    </row>
    <row r="49" spans="2:2">
      <c r="B49" s="12" t="str">
        <f>IF('Radiotherapy-ConceptMap-1'!S45=0,"//---END",'Radiotherapy-ConceptMap-1'!S45)</f>
        <v>* group[=].element[+].code = #RadiotherapyI4rc.otherSpecify</v>
      </c>
    </row>
    <row r="50" spans="2:2">
      <c r="B50" s="12" t="str">
        <f>IF('Radiotherapy-ConceptMap-1'!S46=0,"//---END",'Radiotherapy-ConceptMap-1'!S46)</f>
        <v>* group[=].element[=].display = ##34#Other; specify##34#</v>
      </c>
    </row>
    <row r="51" spans="2:2">
      <c r="B51" s="12" t="str">
        <f>IF('Radiotherapy-ConceptMap-1'!S47=0,"//---END",'Radiotherapy-ConceptMap-1'!S47)</f>
        <v>//-- unmatched</v>
      </c>
    </row>
    <row r="52" spans="2:2">
      <c r="B52" s="12" t="str">
        <f>IF('Radiotherapy-ConceptMap-1'!S48=0,"//---END",'Radiotherapy-ConceptMap-1'!S48)</f>
        <v>//-- unmatched</v>
      </c>
    </row>
    <row r="53" spans="2:2">
      <c r="B53" s="12" t="str">
        <f>IF('Radiotherapy-ConceptMap-1'!S49=0,"//---END",'Radiotherapy-ConceptMap-1'!S49)</f>
        <v>* group[=].element[=].target.equivalence = #unmatched</v>
      </c>
    </row>
    <row r="54" spans="2:2">
      <c r="B54" s="12" t="str">
        <f>IF('Radiotherapy-ConceptMap-1'!S50=0,"//---END",'Radiotherapy-ConceptMap-1'!S50)</f>
        <v>* group[=].element[=].target.comment = ##34#to be checked##34#</v>
      </c>
    </row>
    <row r="55" spans="2:2">
      <c r="B55" s="12" t="str">
        <f>IF('Radiotherapy-ConceptMap-1'!S51=0,"//---END",'Radiotherapy-ConceptMap-1'!S51)</f>
        <v>* group[=].element[+].code = #RadiotherapyI4rc.treatmentTechnique</v>
      </c>
    </row>
    <row r="56" spans="2:2">
      <c r="B56" s="12" t="str">
        <f>IF('Radiotherapy-ConceptMap-1'!S52=0,"//---END",'Radiotherapy-ConceptMap-1'!S52)</f>
        <v>* group[=].element[=].display = ##34#Treatment technique##34#</v>
      </c>
    </row>
    <row r="57" spans="2:2">
      <c r="B57" s="12" t="str">
        <f>IF('Radiotherapy-ConceptMap-1'!S53=0,"//---END",'Radiotherapy-ConceptMap-1'!S53)</f>
        <v>* group[=].element[=].target.code = #Procedure.extension:modalityAndTechnique.extension:technique.valueCodeableConcept</v>
      </c>
    </row>
    <row r="58" spans="2:2">
      <c r="B58" s="12" t="str">
        <f>IF('Radiotherapy-ConceptMap-1'!S54=0,"//---END",'Radiotherapy-ConceptMap-1'!S54)</f>
        <v>* group[=].element[=].target.display = ##34###34#</v>
      </c>
    </row>
    <row r="59" spans="2:2">
      <c r="B59" s="12" t="str">
        <f>IF('Radiotherapy-ConceptMap-1'!S55=0,"//---END",'Radiotherapy-ConceptMap-1'!S55)</f>
        <v>* group[=].element[=].target.equivalence = #relatedto</v>
      </c>
    </row>
    <row r="60" spans="2:2">
      <c r="B60" s="12" t="str">
        <f>IF('Radiotherapy-ConceptMap-1'!S56=0,"//---END",'Radiotherapy-ConceptMap-1'!S56)</f>
        <v>* group[=].element[=].target.comment = ##34#to be checked##34#</v>
      </c>
    </row>
    <row r="61" spans="2:2">
      <c r="B61" s="12" t="str">
        <f>IF('Radiotherapy-ConceptMap-1'!S57=0,"//---END",'Radiotherapy-ConceptMap-1'!S57)</f>
        <v>* group[=].element[+].code = #RadiotherapyI4rc.totalDoseTdGy</v>
      </c>
    </row>
    <row r="62" spans="2:2">
      <c r="B62" s="12" t="str">
        <f>IF('Radiotherapy-ConceptMap-1'!S58=0,"//---END",'Radiotherapy-ConceptMap-1'!S58)</f>
        <v>* group[=].element[=].display = ##34#Total Dose (TD) Gy##34#</v>
      </c>
    </row>
    <row r="63" spans="2:2">
      <c r="B63" s="12" t="str">
        <f>IF('Radiotherapy-ConceptMap-1'!S59=0,"//---END",'Radiotherapy-ConceptMap-1'!S59)</f>
        <v>* group[=].element[=].target.code = #Procedure.extension:doseToVolume.extension:totalDoseDelivered</v>
      </c>
    </row>
    <row r="64" spans="2:2">
      <c r="B64" s="12" t="str">
        <f>IF('Radiotherapy-ConceptMap-1'!S60=0,"//---END",'Radiotherapy-ConceptMap-1'!S60)</f>
        <v>* group[=].element[=].target.display = ##34###34#</v>
      </c>
    </row>
    <row r="65" spans="2:2">
      <c r="B65" s="12" t="str">
        <f>IF('Radiotherapy-ConceptMap-1'!S61=0,"//---END",'Radiotherapy-ConceptMap-1'!S61)</f>
        <v>* group[=].element[=].target.equivalence = #equivalent</v>
      </c>
    </row>
    <row r="66" spans="2:2">
      <c r="B66" s="12" t="str">
        <f>IF('Radiotherapy-ConceptMap-1'!S62=0,"//---END",'Radiotherapy-ConceptMap-1'!S62)</f>
        <v/>
      </c>
    </row>
    <row r="67" spans="2:2">
      <c r="B67" s="12" t="str">
        <f>IF('Radiotherapy-ConceptMap-1'!S63=0,"//---END",'Radiotherapy-ConceptMap-1'!S63)</f>
        <v>* group[=].element[+].code = #RadiotherapyI4rc.fractionSizeFs</v>
      </c>
    </row>
    <row r="68" spans="2:2">
      <c r="B68" s="12" t="str">
        <f>IF('Radiotherapy-ConceptMap-1'!S64=0,"//---END",'Radiotherapy-ConceptMap-1'!S64)</f>
        <v>* group[=].element[=].display = ##34#Fraction Size (FS)##34#</v>
      </c>
    </row>
    <row r="69" spans="2:2">
      <c r="B69" s="12" t="str">
        <f>IF('Radiotherapy-ConceptMap-1'!S65=0,"//---END",'Radiotherapy-ConceptMap-1'!S65)</f>
        <v>//-- unmatched</v>
      </c>
    </row>
    <row r="70" spans="2:2">
      <c r="B70" s="12" t="str">
        <f>IF('Radiotherapy-ConceptMap-1'!S66=0,"//---END",'Radiotherapy-ConceptMap-1'!S66)</f>
        <v>//-- unmatched</v>
      </c>
    </row>
    <row r="71" spans="2:2">
      <c r="B71" s="12" t="str">
        <f>IF('Radiotherapy-ConceptMap-1'!S67=0,"//---END",'Radiotherapy-ConceptMap-1'!S67)</f>
        <v>* group[=].element[=].target.equivalence = #unmatched</v>
      </c>
    </row>
    <row r="72" spans="2:2">
      <c r="B72" s="12" t="str">
        <f>IF('Radiotherapy-ConceptMap-1'!S68=0,"//---END",'Radiotherapy-ConceptMap-1'!S68)</f>
        <v>* group[=].element[=].target.comment = ##34#check if this can be derived form TD and number of fractions##34#</v>
      </c>
    </row>
    <row r="73" spans="2:2">
      <c r="B73" s="12" t="str">
        <f>IF('Radiotherapy-ConceptMap-1'!S69=0,"//---END",'Radiotherapy-ConceptMap-1'!S69)</f>
        <v>* group[=].element[+].code = #RadiotherapyI4rc.numberOfFractions</v>
      </c>
    </row>
    <row r="74" spans="2:2">
      <c r="B74" s="12" t="str">
        <f>IF('Radiotherapy-ConceptMap-1'!S70=0,"//---END",'Radiotherapy-ConceptMap-1'!S70)</f>
        <v>* group[=].element[=].display = ##34#Number of fractions##34#</v>
      </c>
    </row>
    <row r="75" spans="2:2">
      <c r="B75" s="12" t="str">
        <f>IF('Radiotherapy-ConceptMap-1'!S71=0,"//---END",'Radiotherapy-ConceptMap-1'!S71)</f>
        <v>* group[=].element[=].target.code = #Procedure.fractionsDelivered</v>
      </c>
    </row>
    <row r="76" spans="2:2">
      <c r="B76" s="12" t="str">
        <f>IF('Radiotherapy-ConceptMap-1'!S72=0,"//---END",'Radiotherapy-ConceptMap-1'!S72)</f>
        <v>* group[=].element[=].target.display = ##34###34#</v>
      </c>
    </row>
    <row r="77" spans="2:2">
      <c r="B77" s="12" t="str">
        <f>IF('Radiotherapy-ConceptMap-1'!S73=0,"//---END",'Radiotherapy-ConceptMap-1'!S73)</f>
        <v>* group[=].element[=].target.equivalence = #relatedto</v>
      </c>
    </row>
    <row r="78" spans="2:2">
      <c r="B78" s="12" t="str">
        <f>IF('Radiotherapy-ConceptMap-1'!S74=0,"//---END",'Radiotherapy-ConceptMap-1'!S74)</f>
        <v/>
      </c>
    </row>
    <row r="79" spans="2:2">
      <c r="B79" s="12" t="str">
        <f>IF('Radiotherapy-ConceptMap-1'!S75=0,"//---END",'Radiotherapy-ConceptMap-1'!S75)</f>
        <v>* group[=].element[+].code = #RadiotherapyI4rc.adaptiveRt</v>
      </c>
    </row>
    <row r="80" spans="2:2">
      <c r="B80" s="12" t="str">
        <f>IF('Radiotherapy-ConceptMap-1'!S76=0,"//---END",'Radiotherapy-ConceptMap-1'!S76)</f>
        <v>* group[=].element[=].display = ##34#Adaptive RT##34#</v>
      </c>
    </row>
    <row r="81" spans="2:2">
      <c r="B81" s="12" t="str">
        <f>IF('Radiotherapy-ConceptMap-1'!S77=0,"//---END",'Radiotherapy-ConceptMap-1'!S77)</f>
        <v>* group[=].element[=].target.code = #Procedure.extension:terminationReason</v>
      </c>
    </row>
    <row r="82" spans="2:2">
      <c r="B82" s="12" t="str">
        <f>IF('Radiotherapy-ConceptMap-1'!S78=0,"//---END",'Radiotherapy-ConceptMap-1'!S78)</f>
        <v>* group[=].element[=].target.display = ##34###34#</v>
      </c>
    </row>
    <row r="83" spans="2:2">
      <c r="B83" s="12" t="str">
        <f>IF('Radiotherapy-ConceptMap-1'!S79=0,"//---END",'Radiotherapy-ConceptMap-1'!S79)</f>
        <v>* group[=].element[=].target.equivalence = #relatedto</v>
      </c>
    </row>
    <row r="84" spans="2:2">
      <c r="B84" s="12" t="str">
        <f>IF('Radiotherapy-ConceptMap-1'!S80=0,"//---END",'Radiotherapy-ConceptMap-1'!S80)</f>
        <v>* group[=].element[=].target.comment = ##34#to be reviewed; extension to be localized to change the used value set##34#</v>
      </c>
    </row>
    <row r="85" spans="2:2">
      <c r="B85" s="12" t="str">
        <f>IF('Radiotherapy-ConceptMap-1'!S81=0,"//---END",'Radiotherapy-ConceptMap-1'!S81)</f>
        <v>* group[=].element[+].code = #RadiotherapyI4rc.igrtImageGuideRadiotherapy</v>
      </c>
    </row>
    <row r="86" spans="2:2">
      <c r="B86" s="12" t="str">
        <f>IF('Radiotherapy-ConceptMap-1'!S82=0,"//---END",'Radiotherapy-ConceptMap-1'!S82)</f>
        <v>* group[=].element[=].display = ##34#IGRT  (image guide radiotherapy)##34#</v>
      </c>
    </row>
    <row r="87" spans="2:2">
      <c r="B87" s="12" t="str">
        <f>IF('Radiotherapy-ConceptMap-1'!S83=0,"//---END",'Radiotherapy-ConceptMap-1'!S83)</f>
        <v>* group[=].element[=].target.code = #Procedure.extension:modalityAndTechnique.extension:technique.valueCodeableConcept</v>
      </c>
    </row>
    <row r="88" spans="2:2">
      <c r="B88" s="12" t="str">
        <f>IF('Radiotherapy-ConceptMap-1'!S84=0,"//---END",'Radiotherapy-ConceptMap-1'!S84)</f>
        <v>* group[=].element[=].target.display = ##34###34#</v>
      </c>
    </row>
    <row r="89" spans="2:2">
      <c r="B89" s="12" t="str">
        <f>IF('Radiotherapy-ConceptMap-1'!S85=0,"//---END",'Radiotherapy-ConceptMap-1'!S85)</f>
        <v>* group[=].element[=].target.equivalence = #relatedto</v>
      </c>
    </row>
    <row r="90" spans="2:2">
      <c r="B90" s="12" t="str">
        <f>IF('Radiotherapy-ConceptMap-1'!S86=0,"//---END",'Radiotherapy-ConceptMap-1'!S86)</f>
        <v>* group[=].element[=].target.comment = ##34#to be checked##34#</v>
      </c>
    </row>
    <row r="91" spans="2:2">
      <c r="B91" s="12" t="str">
        <f>IF('Radiotherapy-ConceptMap-1'!S87=0,"//---END",'Radiotherapy-ConceptMap-1'!S87)</f>
        <v>* group[=].element[+].code = #RadiotherapyI4rc.startDate</v>
      </c>
    </row>
    <row r="92" spans="2:2">
      <c r="B92" s="12" t="str">
        <f>IF('Radiotherapy-ConceptMap-1'!S88=0,"//---END",'Radiotherapy-ConceptMap-1'!S88)</f>
        <v>* group[=].element[=].display = ##34#Start date##34#</v>
      </c>
    </row>
    <row r="93" spans="2:2">
      <c r="B93" s="12" t="str">
        <f>IF('Radiotherapy-ConceptMap-1'!S89=0,"//---END",'Radiotherapy-ConceptMap-1'!S89)</f>
        <v>* group[=].element[=].target.code = #Procedure.performedPeriod.start</v>
      </c>
    </row>
    <row r="94" spans="2:2">
      <c r="B94" s="12" t="str">
        <f>IF('Radiotherapy-ConceptMap-1'!S90=0,"//---END",'Radiotherapy-ConceptMap-1'!S90)</f>
        <v>* group[=].element[=].target.display = ##34###34#</v>
      </c>
    </row>
    <row r="95" spans="2:2">
      <c r="B95" s="12" t="str">
        <f>IF('Radiotherapy-ConceptMap-1'!S91=0,"//---END",'Radiotherapy-ConceptMap-1'!S91)</f>
        <v>* group[=].element[=].target.equivalence = #equal</v>
      </c>
    </row>
    <row r="96" spans="2:2">
      <c r="B96" s="12" t="str">
        <f>IF('Radiotherapy-ConceptMap-1'!S92=0,"//---END",'Radiotherapy-ConceptMap-1'!S92)</f>
        <v/>
      </c>
    </row>
    <row r="97" spans="2:2">
      <c r="B97" s="12" t="str">
        <f>IF('Radiotherapy-ConceptMap-1'!S93=0,"//---END",'Radiotherapy-ConceptMap-1'!S93)</f>
        <v>* group[=].element[+].code = #RadiotherapyI4rc.endDate</v>
      </c>
    </row>
    <row r="98" spans="2:2">
      <c r="B98" s="12" t="str">
        <f>IF('Radiotherapy-ConceptMap-1'!S94=0,"//---END",'Radiotherapy-ConceptMap-1'!S94)</f>
        <v>* group[=].element[=].display = ##34#End  date##34#</v>
      </c>
    </row>
    <row r="99" spans="2:2">
      <c r="B99" s="12" t="str">
        <f>IF('Radiotherapy-ConceptMap-1'!S95=0,"//---END",'Radiotherapy-ConceptMap-1'!S95)</f>
        <v>* group[=].element[=].target.code = #Procedure.performedPeriod.end</v>
      </c>
    </row>
    <row r="100" spans="2:2">
      <c r="B100" s="12" t="str">
        <f>IF('Radiotherapy-ConceptMap-1'!S96=0,"//---END",'Radiotherapy-ConceptMap-1'!S96)</f>
        <v>* group[=].element[=].target.display = ##34###34#</v>
      </c>
    </row>
    <row r="101" spans="2:2">
      <c r="B101" s="12" t="str">
        <f>IF('Radiotherapy-ConceptMap-1'!S97=0,"//---END",'Radiotherapy-ConceptMap-1'!S97)</f>
        <v>* group[=].element[=].target.equivalence = #equal</v>
      </c>
    </row>
    <row r="102" spans="2:2">
      <c r="B102" s="12" t="str">
        <f>IF('Radiotherapy-ConceptMap-1'!S98=0,"//---END",'Radiotherapy-ConceptMap-1'!S98)</f>
        <v/>
      </c>
    </row>
    <row r="103" spans="2:2">
      <c r="B103" s="12" t="str">
        <f>IF('Radiotherapy-ConceptMap-1'!S99=0,"//---END",'Radiotherapy-ConceptMap-1'!S99)</f>
        <v>* group[=].element[+].code = #RadiotherapyI4rc.treatmentSites</v>
      </c>
    </row>
    <row r="104" spans="2:2">
      <c r="B104" s="12" t="str">
        <f>IF('Radiotherapy-ConceptMap-1'!S100=0,"//---END",'Radiotherapy-ConceptMap-1'!S100)</f>
        <v>* group[=].element[=].display = ##34#Treatment Sites:##34#</v>
      </c>
    </row>
    <row r="105" spans="2:2">
      <c r="B105" s="12" t="str">
        <f>IF('Radiotherapy-ConceptMap-1'!S101=0,"//---END",'Radiotherapy-ConceptMap-1'!S101)</f>
        <v>* group[=].element[=].target.code = #Procedure.bodySite</v>
      </c>
    </row>
    <row r="106" spans="2:2">
      <c r="B106" s="12" t="str">
        <f>IF('Radiotherapy-ConceptMap-1'!S102=0,"//---END",'Radiotherapy-ConceptMap-1'!S102)</f>
        <v>* group[=].element[=].target.display = ##34###34#</v>
      </c>
    </row>
    <row r="107" spans="2:2">
      <c r="B107" s="12" t="str">
        <f>IF('Radiotherapy-ConceptMap-1'!S103=0,"//---END",'Radiotherapy-ConceptMap-1'!S103)</f>
        <v>* group[=].element[=].target.equivalence = #equivalent</v>
      </c>
    </row>
    <row r="108" spans="2:2">
      <c r="B108" s="12" t="str">
        <f>IF('Radiotherapy-ConceptMap-1'!S104=0,"//---END",'Radiotherapy-ConceptMap-1'!S104)</f>
        <v/>
      </c>
    </row>
    <row r="109" spans="2:2">
      <c r="B109" s="12" t="str">
        <f>IF('Radiotherapy-ConceptMap-1'!S105=0,"//---END",'Radiotherapy-ConceptMap-1'!S105)</f>
        <v>* group[=].element[+].code = #RadiotherapyI4rc.treatmentSites.primary</v>
      </c>
    </row>
    <row r="110" spans="2:2">
      <c r="B110" s="12" t="str">
        <f>IF('Radiotherapy-ConceptMap-1'!S106=0,"//---END",'Radiotherapy-ConceptMap-1'!S106)</f>
        <v>* group[=].element[=].display = ##34#Primary##34#</v>
      </c>
    </row>
    <row r="111" spans="2:2">
      <c r="B111" s="12" t="str">
        <f>IF('Radiotherapy-ConceptMap-1'!S107=0,"//---END",'Radiotherapy-ConceptMap-1'!S107)</f>
        <v>* group[=].element[=].target.code = #Procedure.bodySite</v>
      </c>
    </row>
    <row r="112" spans="2:2">
      <c r="B112" s="12" t="str">
        <f>IF('Radiotherapy-ConceptMap-1'!S108=0,"//---END",'Radiotherapy-ConceptMap-1'!S108)</f>
        <v>* group[=].element[=].target.display = ##34###34#</v>
      </c>
    </row>
    <row r="113" spans="2:2">
      <c r="B113" s="12" t="str">
        <f>IF('Radiotherapy-ConceptMap-1'!S109=0,"//---END",'Radiotherapy-ConceptMap-1'!S109)</f>
        <v>* group[=].element[=].target.equivalence = #relatedto</v>
      </c>
    </row>
    <row r="114" spans="2:2">
      <c r="B114" s="12" t="str">
        <f>IF('Radiotherapy-ConceptMap-1'!S110=0,"//---END",'Radiotherapy-ConceptMap-1'!S110)</f>
        <v>* group[=].element[=].target.comment = ##34#to be checked##34#</v>
      </c>
    </row>
    <row r="115" spans="2:2">
      <c r="B115" s="12" t="str">
        <f>IF('Radiotherapy-ConceptMap-1'!S111=0,"//---END",'Radiotherapy-ConceptMap-1'!S111)</f>
        <v>* group[=].element[+].code = #RadiotherapyI4rc.treatmentSites.neck</v>
      </c>
    </row>
    <row r="116" spans="2:2">
      <c r="B116" s="12" t="str">
        <f>IF('Radiotherapy-ConceptMap-1'!S112=0,"//---END",'Radiotherapy-ConceptMap-1'!S112)</f>
        <v>* group[=].element[=].display = ##34#Neck##34#</v>
      </c>
    </row>
    <row r="117" spans="2:2">
      <c r="B117" s="12" t="str">
        <f>IF('Radiotherapy-ConceptMap-1'!S113=0,"//---END",'Radiotherapy-ConceptMap-1'!S113)</f>
        <v>* group[=].element[=].target.code = #Procedure.bodySite</v>
      </c>
    </row>
    <row r="118" spans="2:2">
      <c r="B118" s="12" t="str">
        <f>IF('Radiotherapy-ConceptMap-1'!S114=0,"//---END",'Radiotherapy-ConceptMap-1'!S114)</f>
        <v>* group[=].element[=].target.display = ##34###34#</v>
      </c>
    </row>
    <row r="119" spans="2:2">
      <c r="B119" s="12" t="str">
        <f>IF('Radiotherapy-ConceptMap-1'!S115=0,"//---END",'Radiotherapy-ConceptMap-1'!S115)</f>
        <v>* group[=].element[=].target.equivalence = #relatedto</v>
      </c>
    </row>
    <row r="120" spans="2:2">
      <c r="B120" s="12" t="str">
        <f>IF('Radiotherapy-ConceptMap-1'!S116=0,"//---END",'Radiotherapy-ConceptMap-1'!S116)</f>
        <v>* group[=].element[=].target.comment = ##34#to be checked##34#</v>
      </c>
    </row>
    <row r="121" spans="2:2">
      <c r="B121" s="12" t="str">
        <f>IF('Radiotherapy-ConceptMap-1'!S117=0,"//---END",'Radiotherapy-ConceptMap-1'!S117)</f>
        <v>* group[=].element[+].code = #RadiotherapyI4rc.treatmentSites.primaryAndIpsilateralNeck</v>
      </c>
    </row>
    <row r="122" spans="2:2">
      <c r="B122" s="12" t="str">
        <f>IF('Radiotherapy-ConceptMap-1'!S118=0,"//---END",'Radiotherapy-ConceptMap-1'!S118)</f>
        <v>* group[=].element[=].display = ##34#Primary and Ipsilateral Neck##34#</v>
      </c>
    </row>
    <row r="123" spans="2:2">
      <c r="B123" s="12" t="str">
        <f>IF('Radiotherapy-ConceptMap-1'!S119=0,"//---END",'Radiotherapy-ConceptMap-1'!S119)</f>
        <v>* group[=].element[=].target.code = #Procedure.bodySite</v>
      </c>
    </row>
    <row r="124" spans="2:2">
      <c r="B124" s="12" t="str">
        <f>IF('Radiotherapy-ConceptMap-1'!S120=0,"//---END",'Radiotherapy-ConceptMap-1'!S120)</f>
        <v>* group[=].element[=].target.display = ##34###34#</v>
      </c>
    </row>
    <row r="125" spans="2:2">
      <c r="B125" s="12" t="str">
        <f>IF('Radiotherapy-ConceptMap-1'!S121=0,"//---END",'Radiotherapy-ConceptMap-1'!S121)</f>
        <v>* group[=].element[=].target.equivalence = #relatedto</v>
      </c>
    </row>
    <row r="126" spans="2:2">
      <c r="B126" s="12" t="str">
        <f>IF('Radiotherapy-ConceptMap-1'!S122=0,"//---END",'Radiotherapy-ConceptMap-1'!S122)</f>
        <v>* group[=].element[=].target.comment = ##34#to be checked##34#</v>
      </c>
    </row>
    <row r="127" spans="2:2">
      <c r="B127" s="12" t="str">
        <f>IF('Radiotherapy-ConceptMap-1'!S123=0,"//---END",'Radiotherapy-ConceptMap-1'!S123)</f>
        <v>* group[=].element[+].code = #RadiotherapyI4rc.treatmentSites.primaryAndBilateralNeck</v>
      </c>
    </row>
    <row r="128" spans="2:2">
      <c r="B128" s="12" t="str">
        <f>IF('Radiotherapy-ConceptMap-1'!S124=0,"//---END",'Radiotherapy-ConceptMap-1'!S124)</f>
        <v>* group[=].element[=].display = ##34#Primary and Bilateral Neck##34#</v>
      </c>
    </row>
    <row r="129" spans="2:2">
      <c r="B129" s="12" t="str">
        <f>IF('Radiotherapy-ConceptMap-1'!S125=0,"//---END",'Radiotherapy-ConceptMap-1'!S125)</f>
        <v>* group[=].element[=].target.code = #Procedure.bodySite</v>
      </c>
    </row>
    <row r="130" spans="2:2">
      <c r="B130" s="12" t="str">
        <f>IF('Radiotherapy-ConceptMap-1'!S126=0,"//---END",'Radiotherapy-ConceptMap-1'!S126)</f>
        <v>* group[=].element[=].target.display = ##34###34#</v>
      </c>
    </row>
    <row r="131" spans="2:2">
      <c r="B131" s="12" t="str">
        <f>IF('Radiotherapy-ConceptMap-1'!S127=0,"//---END",'Radiotherapy-ConceptMap-1'!S127)</f>
        <v>* group[=].element[=].target.equivalence = #relatedto</v>
      </c>
    </row>
    <row r="132" spans="2:2">
      <c r="B132" s="12" t="str">
        <f>IF('Radiotherapy-ConceptMap-1'!S128=0,"//---END",'Radiotherapy-ConceptMap-1'!S128)</f>
        <v>* group[=].element[=].target.comment = ##34#to be checked##34#</v>
      </c>
    </row>
    <row r="133" spans="2:2">
      <c r="B133" s="12" t="str">
        <f>IF('Radiotherapy-ConceptMap-1'!S129=0,"//---END",'Radiotherapy-ConceptMap-1'!S129)</f>
        <v>* group[=].element[+].code = #RadiotherapyI4rc.treatmentSites.distantMetastasis</v>
      </c>
    </row>
    <row r="134" spans="2:2">
      <c r="B134" s="12" t="str">
        <f>IF('Radiotherapy-ConceptMap-1'!S130=0,"//---END",'Radiotherapy-ConceptMap-1'!S130)</f>
        <v>* group[=].element[=].display = ##34#Distant Metastasis##34#</v>
      </c>
    </row>
    <row r="135" spans="2:2">
      <c r="B135" s="12" t="str">
        <f>IF('Radiotherapy-ConceptMap-1'!S131=0,"//---END",'Radiotherapy-ConceptMap-1'!S131)</f>
        <v>* group[=].element[=].target.code = #Procedure.bodySite</v>
      </c>
    </row>
    <row r="136" spans="2:2">
      <c r="B136" s="12" t="str">
        <f>IF('Radiotherapy-ConceptMap-1'!S132=0,"//---END",'Radiotherapy-ConceptMap-1'!S132)</f>
        <v>* group[=].element[=].target.display = ##34###34#</v>
      </c>
    </row>
    <row r="137" spans="2:2">
      <c r="B137" s="12" t="str">
        <f>IF('Radiotherapy-ConceptMap-1'!S133=0,"//---END",'Radiotherapy-ConceptMap-1'!S133)</f>
        <v>* group[=].element[=].target.equivalence = #relatedto</v>
      </c>
    </row>
    <row r="138" spans="2:2">
      <c r="B138" s="12" t="str">
        <f>IF('Radiotherapy-ConceptMap-1'!S134=0,"//---END",'Radiotherapy-ConceptMap-1'!S134)</f>
        <v>* group[=].element[=].target.comment = ##34#to be checked##34#</v>
      </c>
    </row>
    <row r="139" spans="2:2">
      <c r="B139" s="12" t="str">
        <f>IF('Radiotherapy-ConceptMap-1'!S135=0,"//---END",'Radiotherapy-ConceptMap-1'!S135)</f>
        <v>* group[=].element[+].code = #RadiotherapyI4rc.metastaticTreatmentSites</v>
      </c>
    </row>
    <row r="140" spans="2:2">
      <c r="B140" s="12" t="str">
        <f>IF('Radiotherapy-ConceptMap-1'!S136=0,"//---END",'Radiotherapy-ConceptMap-1'!S136)</f>
        <v>* group[=].element[=].display = ##34#Metastatic Treatment Sites:##34#</v>
      </c>
    </row>
    <row r="141" spans="2:2">
      <c r="B141" s="12" t="str">
        <f>IF('Radiotherapy-ConceptMap-1'!S137=0,"//---END",'Radiotherapy-ConceptMap-1'!S137)</f>
        <v>* group[=].element[=].target.code = #Procedure.bodySite</v>
      </c>
    </row>
    <row r="142" spans="2:2">
      <c r="B142" s="12" t="str">
        <f>IF('Radiotherapy-ConceptMap-1'!S138=0,"//---END",'Radiotherapy-ConceptMap-1'!S138)</f>
        <v>* group[=].element[=].target.display = ##34###34#</v>
      </c>
    </row>
    <row r="143" spans="2:2">
      <c r="B143" s="12" t="str">
        <f>IF('Radiotherapy-ConceptMap-1'!S139=0,"//---END",'Radiotherapy-ConceptMap-1'!S139)</f>
        <v>* group[=].element[=].target.equivalence = #relatedto</v>
      </c>
    </row>
    <row r="144" spans="2:2">
      <c r="B144" s="12" t="str">
        <f>IF('Radiotherapy-ConceptMap-1'!S140=0,"//---END",'Radiotherapy-ConceptMap-1'!S140)</f>
        <v>* group[=].element[=].target.comment = ##34#to be checked##34#</v>
      </c>
    </row>
    <row r="145" spans="2:2">
      <c r="B145" s="12" t="str">
        <f>IF('Radiotherapy-ConceptMap-1'!S141=0,"//---END",'Radiotherapy-ConceptMap-1'!S141)</f>
        <v>* group[=].element[+].code = #RadiotherapyI4rc.metastaticTreatmentSites.lung</v>
      </c>
    </row>
    <row r="146" spans="2:2" ht="29.5">
      <c r="B146" s="12" t="str">
        <f>IF('Radiotherapy-ConceptMap-1'!S142=0,"//---END",'Radiotherapy-ConceptMap-1'!S142)</f>
        <v>* group[=].element[=].display = ##34#Lung
##34#</v>
      </c>
    </row>
    <row r="147" spans="2:2">
      <c r="B147" s="12" t="str">
        <f>IF('Radiotherapy-ConceptMap-1'!S143=0,"//---END",'Radiotherapy-ConceptMap-1'!S143)</f>
        <v>* group[=].element[=].target.code = #Procedure.bodySite</v>
      </c>
    </row>
    <row r="148" spans="2:2">
      <c r="B148" s="12" t="str">
        <f>IF('Radiotherapy-ConceptMap-1'!S144=0,"//---END",'Radiotherapy-ConceptMap-1'!S144)</f>
        <v>* group[=].element[=].target.display = ##34###34#</v>
      </c>
    </row>
    <row r="149" spans="2:2">
      <c r="B149" s="12" t="str">
        <f>IF('Radiotherapy-ConceptMap-1'!S145=0,"//---END",'Radiotherapy-ConceptMap-1'!S145)</f>
        <v>* group[=].element[=].target.equivalence = #relatedto</v>
      </c>
    </row>
    <row r="150" spans="2:2">
      <c r="B150" s="12" t="str">
        <f>IF('Radiotherapy-ConceptMap-1'!S146=0,"//---END",'Radiotherapy-ConceptMap-1'!S146)</f>
        <v>* group[=].element[=].target.comment = ##34#to be checked##34#</v>
      </c>
    </row>
    <row r="151" spans="2:2">
      <c r="B151" s="12" t="str">
        <f>IF('Radiotherapy-ConceptMap-1'!S147=0,"//---END",'Radiotherapy-ConceptMap-1'!S147)</f>
        <v>* group[=].element[+].code = #RadiotherapyI4rc.metastaticTreatmentSites.mediastinum</v>
      </c>
    </row>
    <row r="152" spans="2:2" ht="29.5">
      <c r="B152" s="12" t="str">
        <f>IF('Radiotherapy-ConceptMap-1'!S148=0,"//---END",'Radiotherapy-ConceptMap-1'!S148)</f>
        <v>* group[=].element[=].display = ##34#Mediastinum
##34#</v>
      </c>
    </row>
    <row r="153" spans="2:2">
      <c r="B153" s="12" t="str">
        <f>IF('Radiotherapy-ConceptMap-1'!S149=0,"//---END",'Radiotherapy-ConceptMap-1'!S149)</f>
        <v>* group[=].element[=].target.code = #Procedure.bodySite</v>
      </c>
    </row>
    <row r="154" spans="2:2">
      <c r="B154" s="12" t="str">
        <f>IF('Radiotherapy-ConceptMap-1'!S150=0,"//---END",'Radiotherapy-ConceptMap-1'!S150)</f>
        <v>* group[=].element[=].target.display = ##34###34#</v>
      </c>
    </row>
    <row r="155" spans="2:2">
      <c r="B155" s="12" t="str">
        <f>IF('Radiotherapy-ConceptMap-1'!S151=0,"//---END",'Radiotherapy-ConceptMap-1'!S151)</f>
        <v>* group[=].element[=].target.equivalence = #relatedto</v>
      </c>
    </row>
    <row r="156" spans="2:2">
      <c r="B156" s="12" t="str">
        <f>IF('Radiotherapy-ConceptMap-1'!S152=0,"//---END",'Radiotherapy-ConceptMap-1'!S152)</f>
        <v>* group[=].element[=].target.comment = ##34#to be checked##34#</v>
      </c>
    </row>
    <row r="157" spans="2:2">
      <c r="B157" s="12" t="str">
        <f>IF('Radiotherapy-ConceptMap-1'!S153=0,"//---END",'Radiotherapy-ConceptMap-1'!S153)</f>
        <v>* group[=].element[+].code = #RadiotherapyI4rc.metastaticTreatmentSites.bone</v>
      </c>
    </row>
    <row r="158" spans="2:2" ht="29.5">
      <c r="B158" s="12" t="str">
        <f>IF('Radiotherapy-ConceptMap-1'!S154=0,"//---END",'Radiotherapy-ConceptMap-1'!S154)</f>
        <v>* group[=].element[=].display = ##34#Bone
##34#</v>
      </c>
    </row>
    <row r="159" spans="2:2">
      <c r="B159" s="12" t="str">
        <f>IF('Radiotherapy-ConceptMap-1'!S155=0,"//---END",'Radiotherapy-ConceptMap-1'!S155)</f>
        <v>* group[=].element[=].target.code = #Procedure.bodySite</v>
      </c>
    </row>
    <row r="160" spans="2:2">
      <c r="B160" s="12" t="str">
        <f>IF('Radiotherapy-ConceptMap-1'!S156=0,"//---END",'Radiotherapy-ConceptMap-1'!S156)</f>
        <v>* group[=].element[=].target.display = ##34###34#</v>
      </c>
    </row>
    <row r="161" spans="2:2">
      <c r="B161" s="12" t="str">
        <f>IF('Radiotherapy-ConceptMap-1'!S157=0,"//---END",'Radiotherapy-ConceptMap-1'!S157)</f>
        <v>* group[=].element[=].target.equivalence = #relatedto</v>
      </c>
    </row>
    <row r="162" spans="2:2">
      <c r="B162" s="12" t="str">
        <f>IF('Radiotherapy-ConceptMap-1'!S158=0,"//---END",'Radiotherapy-ConceptMap-1'!S158)</f>
        <v>* group[=].element[=].target.comment = ##34#to be checked##34#</v>
      </c>
    </row>
    <row r="163" spans="2:2">
      <c r="B163" s="12" t="str">
        <f>IF('Radiotherapy-ConceptMap-1'!S159=0,"//---END",'Radiotherapy-ConceptMap-1'!S159)</f>
        <v>* group[=].element[+].code = #RadiotherapyI4rc.metastaticTreatmentSites.softTissue</v>
      </c>
    </row>
    <row r="164" spans="2:2" ht="29.5">
      <c r="B164" s="12" t="str">
        <f>IF('Radiotherapy-ConceptMap-1'!S160=0,"//---END",'Radiotherapy-ConceptMap-1'!S160)</f>
        <v>* group[=].element[=].display = ##34#Soft Tissue
##34#</v>
      </c>
    </row>
    <row r="165" spans="2:2">
      <c r="B165" s="12" t="str">
        <f>IF('Radiotherapy-ConceptMap-1'!S161=0,"//---END",'Radiotherapy-ConceptMap-1'!S161)</f>
        <v>* group[=].element[=].target.code = #Procedure.bodySite</v>
      </c>
    </row>
    <row r="166" spans="2:2">
      <c r="B166" s="12" t="str">
        <f>IF('Radiotherapy-ConceptMap-1'!S162=0,"//---END",'Radiotherapy-ConceptMap-1'!S162)</f>
        <v>* group[=].element[=].target.display = ##34###34#</v>
      </c>
    </row>
    <row r="167" spans="2:2">
      <c r="B167" s="12" t="str">
        <f>IF('Radiotherapy-ConceptMap-1'!S163=0,"//---END",'Radiotherapy-ConceptMap-1'!S163)</f>
        <v>* group[=].element[=].target.equivalence = #relatedto</v>
      </c>
    </row>
    <row r="168" spans="2:2">
      <c r="B168" s="12" t="str">
        <f>IF('Radiotherapy-ConceptMap-1'!S164=0,"//---END",'Radiotherapy-ConceptMap-1'!S164)</f>
        <v>* group[=].element[=].target.comment = ##34#to be checked##34#</v>
      </c>
    </row>
    <row r="169" spans="2:2">
      <c r="B169" s="12" t="str">
        <f>IF('Radiotherapy-ConceptMap-1'!S165=0,"//---END",'Radiotherapy-ConceptMap-1'!S165)</f>
        <v>* group[=].element[+].code = #RadiotherapyI4rc.metastaticTreatmentSites.liver</v>
      </c>
    </row>
    <row r="170" spans="2:2" ht="29.5">
      <c r="B170" s="12" t="str">
        <f>IF('Radiotherapy-ConceptMap-1'!S166=0,"//---END",'Radiotherapy-ConceptMap-1'!S166)</f>
        <v>* group[=].element[=].display = ##34#Liver
##34#</v>
      </c>
    </row>
    <row r="171" spans="2:2">
      <c r="B171" s="12" t="str">
        <f>IF('Radiotherapy-ConceptMap-1'!S167=0,"//---END",'Radiotherapy-ConceptMap-1'!S167)</f>
        <v>* group[=].element[=].target.code = #Procedure.bodySite</v>
      </c>
    </row>
    <row r="172" spans="2:2">
      <c r="B172" s="12" t="str">
        <f>IF('Radiotherapy-ConceptMap-1'!S168=0,"//---END",'Radiotherapy-ConceptMap-1'!S168)</f>
        <v>* group[=].element[=].target.display = ##34###34#</v>
      </c>
    </row>
    <row r="173" spans="2:2">
      <c r="B173" s="12" t="str">
        <f>IF('Radiotherapy-ConceptMap-1'!S169=0,"//---END",'Radiotherapy-ConceptMap-1'!S169)</f>
        <v>* group[=].element[=].target.equivalence = #relatedto</v>
      </c>
    </row>
    <row r="174" spans="2:2">
      <c r="B174" s="12" t="str">
        <f>IF('Radiotherapy-ConceptMap-1'!S170=0,"//---END",'Radiotherapy-ConceptMap-1'!S170)</f>
        <v>* group[=].element[=].target.comment = ##34#to be checked##34#</v>
      </c>
    </row>
    <row r="175" spans="2:2">
      <c r="B175" s="12" t="str">
        <f>IF('Radiotherapy-ConceptMap-1'!S171=0,"//---END",'Radiotherapy-ConceptMap-1'!S171)</f>
        <v>* group[=].element[+].code = #RadiotherapyI4rc.treatmentCompletedAsPlanned</v>
      </c>
    </row>
    <row r="176" spans="2:2">
      <c r="B176" s="12" t="str">
        <f>IF('Radiotherapy-ConceptMap-1'!S172=0,"//---END",'Radiotherapy-ConceptMap-1'!S172)</f>
        <v>* group[=].element[=].display = ##34#Treatment Completed as Planned?##34#</v>
      </c>
    </row>
    <row r="177" spans="2:2">
      <c r="B177" s="12" t="str">
        <f>IF('Radiotherapy-ConceptMap-1'!S173=0,"//---END",'Radiotherapy-ConceptMap-1'!S173)</f>
        <v>* group[=].element[=].target.code = #Procedure.extension:terminationReason</v>
      </c>
    </row>
    <row r="178" spans="2:2">
      <c r="B178" s="12" t="str">
        <f>IF('Radiotherapy-ConceptMap-1'!S174=0,"//---END",'Radiotherapy-ConceptMap-1'!S174)</f>
        <v>* group[=].element[=].target.display = ##34###34#</v>
      </c>
    </row>
    <row r="179" spans="2:2">
      <c r="B179" s="12" t="str">
        <f>IF('Radiotherapy-ConceptMap-1'!S175=0,"//---END",'Radiotherapy-ConceptMap-1'!S175)</f>
        <v>* group[=].element[=].target.equivalence = #relatedto</v>
      </c>
    </row>
    <row r="180" spans="2:2" ht="29.5">
      <c r="B180" s="12" t="str">
        <f>IF('Radiotherapy-ConceptMap-1'!S176=0,"//---END",'Radiotherapy-ConceptMap-1'!S176)</f>
        <v>* group[=].element[=].target.comment = ##34#to be reviewed; extension to be localized to change the used value set. Chack if the statusReason can be sued for this scope##34#</v>
      </c>
    </row>
    <row r="181" spans="2:2">
      <c r="B181" s="12" t="str">
        <f>IF('Radiotherapy-ConceptMap-1'!S177=0,"//---END",'Radiotherapy-ConceptMap-1'!S177)</f>
        <v>//---END</v>
      </c>
    </row>
    <row r="182" spans="2:2">
      <c r="B182" s="12" t="str">
        <f>IF('Radiotherapy-ConceptMap-1'!S178=0,"//---END",'Radiotherapy-ConceptMap-1'!S178)</f>
        <v>//---END</v>
      </c>
    </row>
    <row r="183" spans="2:2">
      <c r="B183" s="12" t="str">
        <f>IF('Radiotherapy-ConceptMap-1'!S179=0,"//---END",'Radiotherapy-ConceptMap-1'!S179)</f>
        <v>//---END</v>
      </c>
    </row>
    <row r="184" spans="2:2">
      <c r="B184" s="12" t="str">
        <f>IF('Radiotherapy-ConceptMap-1'!S180=0,"//---END",'Radiotherapy-ConceptMap-1'!S180)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49" t="str">
        <f>OsirisDataElementConcept[[#Headers],[DataElementConcept]]</f>
        <v>DataElementConcept</v>
      </c>
      <c r="L1" t="s">
        <v>1399</v>
      </c>
    </row>
    <row r="2" spans="4:13">
      <c r="I2" s="51" t="str">
        <f>OsirisDataElementConcept!$A$2</f>
        <v>Patient</v>
      </c>
      <c r="J2" s="51" t="str">
        <f>OsirisDataElementConcept!$A$2</f>
        <v>Patient</v>
      </c>
      <c r="K2" s="51" t="str">
        <f>OsirisDataElementConcept!$A$2</f>
        <v>Patient</v>
      </c>
      <c r="L2" s="53" t="s">
        <v>1400</v>
      </c>
      <c r="M2" s="53" t="s">
        <v>1</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0"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0"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0"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0"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0"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0"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0"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0"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0"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0"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1" t="str">
        <f>OsirisDataElementConcept!$A$12</f>
        <v>Consent</v>
      </c>
      <c r="J13" s="51" t="str">
        <f>OsirisDataElementConcept!$A$12</f>
        <v>Consent</v>
      </c>
      <c r="K13" s="51" t="str">
        <f>OsirisDataElementConcept!$A$12</f>
        <v>Consent</v>
      </c>
      <c r="L13" s="52">
        <v>1</v>
      </c>
      <c r="M13" s="53" t="s">
        <v>1</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0"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0"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1" t="s">
        <v>271</v>
      </c>
      <c r="J16" s="51" t="s">
        <v>271</v>
      </c>
      <c r="K16" s="51" t="s">
        <v>271</v>
      </c>
      <c r="L16" s="52">
        <v>0</v>
      </c>
      <c r="M16" s="53" t="s">
        <v>1</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0"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0"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0"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1" t="s">
        <v>295</v>
      </c>
      <c r="J20" s="51" t="s">
        <v>295</v>
      </c>
      <c r="K20" s="51" t="s">
        <v>295</v>
      </c>
      <c r="L20" s="52">
        <v>0</v>
      </c>
      <c r="M20" s="53" t="s">
        <v>1</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0"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0"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1" t="s">
        <v>310</v>
      </c>
      <c r="J23" s="51" t="s">
        <v>310</v>
      </c>
      <c r="K23" s="51" t="s">
        <v>310</v>
      </c>
      <c r="L23" s="52">
        <v>1</v>
      </c>
      <c r="M23" s="53" t="s">
        <v>1</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0"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0"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0"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0"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0"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0"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0"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0"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0"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0"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0"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0"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0"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1" t="s">
        <v>404</v>
      </c>
      <c r="J37" s="51" t="s">
        <v>404</v>
      </c>
      <c r="K37" s="51" t="s">
        <v>404</v>
      </c>
      <c r="L37" s="52">
        <v>0</v>
      </c>
      <c r="M37" s="53" t="s">
        <v>1</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0"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0"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0"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0"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0"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1" t="s">
        <v>441</v>
      </c>
      <c r="J43" s="51" t="s">
        <v>441</v>
      </c>
      <c r="K43" s="51" t="s">
        <v>441</v>
      </c>
      <c r="L43" s="52">
        <v>0</v>
      </c>
      <c r="M43" s="53" t="s">
        <v>1</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0"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0"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0"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1" t="s">
        <v>456</v>
      </c>
      <c r="J47" s="51" t="s">
        <v>456</v>
      </c>
      <c r="K47" s="51" t="s">
        <v>456</v>
      </c>
      <c r="L47" s="52">
        <v>0</v>
      </c>
      <c r="M47" s="53" t="s">
        <v>1</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0"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0"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1" t="s">
        <v>469</v>
      </c>
      <c r="J50" s="51" t="s">
        <v>469</v>
      </c>
      <c r="K50" s="51" t="s">
        <v>469</v>
      </c>
      <c r="L50" s="52">
        <v>0</v>
      </c>
      <c r="M50" s="53" t="s">
        <v>1</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0"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0"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0"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1" t="s">
        <v>488</v>
      </c>
      <c r="J54" s="51" t="s">
        <v>488</v>
      </c>
      <c r="K54" s="51" t="s">
        <v>488</v>
      </c>
      <c r="L54" s="52">
        <v>0</v>
      </c>
      <c r="M54" s="53" t="s">
        <v>1</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0"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0"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0"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0"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0"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0"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0"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0"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0"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0"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1" t="s">
        <v>553</v>
      </c>
      <c r="J65" s="51" t="s">
        <v>553</v>
      </c>
      <c r="K65" s="51" t="s">
        <v>553</v>
      </c>
      <c r="L65" s="52">
        <v>0</v>
      </c>
      <c r="M65" s="53" t="s">
        <v>1</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0"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0"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0"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0"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1" t="s">
        <v>574</v>
      </c>
      <c r="J70" s="51" t="s">
        <v>574</v>
      </c>
      <c r="K70" s="51" t="s">
        <v>574</v>
      </c>
      <c r="L70" s="52">
        <v>0</v>
      </c>
      <c r="M70" s="53" t="s">
        <v>1</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0"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0"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1" t="s">
        <v>585</v>
      </c>
      <c r="J73" s="51" t="s">
        <v>585</v>
      </c>
      <c r="K73" s="51" t="s">
        <v>585</v>
      </c>
      <c r="L73" s="52">
        <v>0</v>
      </c>
      <c r="M73" s="53" t="s">
        <v>1</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0"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0"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0"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0"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0"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0"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0"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0"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1" t="s">
        <v>637</v>
      </c>
      <c r="J82" s="51" t="s">
        <v>637</v>
      </c>
      <c r="K82" s="51" t="s">
        <v>637</v>
      </c>
      <c r="L82" s="52">
        <v>1</v>
      </c>
      <c r="M82" s="53" t="s">
        <v>1</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0"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0"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0"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0"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1" t="s">
        <v>667</v>
      </c>
      <c r="J87" s="51" t="s">
        <v>667</v>
      </c>
      <c r="K87" s="51" t="s">
        <v>667</v>
      </c>
      <c r="L87" s="52">
        <v>0</v>
      </c>
      <c r="M87" s="53" t="s">
        <v>1</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0"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1" t="s">
        <v>674</v>
      </c>
      <c r="J89" s="51" t="s">
        <v>674</v>
      </c>
      <c r="K89" s="51" t="s">
        <v>674</v>
      </c>
      <c r="L89" s="52">
        <v>1</v>
      </c>
      <c r="M89" s="53" t="s">
        <v>1</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0"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1" t="s">
        <v>682</v>
      </c>
      <c r="J91" s="51" t="s">
        <v>682</v>
      </c>
      <c r="K91" s="51" t="s">
        <v>682</v>
      </c>
      <c r="L91" s="52">
        <v>0</v>
      </c>
      <c r="M91" s="53" t="s">
        <v>1</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0"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0"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0"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1"/>
      <c r="I95" s="51" t="s">
        <v>705</v>
      </c>
      <c r="J95" s="51" t="s">
        <v>705</v>
      </c>
      <c r="K95" s="51" t="s">
        <v>705</v>
      </c>
      <c r="L95" s="52">
        <v>1</v>
      </c>
      <c r="M95" s="53" t="s">
        <v>1</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0"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0"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0"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0"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1" t="s">
        <v>732</v>
      </c>
      <c r="J100" s="51" t="s">
        <v>732</v>
      </c>
      <c r="K100" s="51" t="s">
        <v>732</v>
      </c>
      <c r="L100" s="52">
        <v>0</v>
      </c>
      <c r="M100" s="53" t="s">
        <v>1</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0"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0"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0"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1" t="s">
        <v>750</v>
      </c>
      <c r="J104" s="51" t="s">
        <v>750</v>
      </c>
      <c r="K104" s="51" t="s">
        <v>750</v>
      </c>
      <c r="L104" s="52">
        <v>1</v>
      </c>
      <c r="M104" s="53" t="s">
        <v>1</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0"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0"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0"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0"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0"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1" t="str">
        <f>OsirisDataElementConcept!$A$90</f>
        <v>GenomeEntity</v>
      </c>
      <c r="J110" s="51" t="str">
        <f>OsirisDataElementConcept!$A$90</f>
        <v>GenomeEntity</v>
      </c>
      <c r="K110" s="51" t="str">
        <f>OsirisDataElementConcept!$A$90</f>
        <v>GenomeEntity</v>
      </c>
      <c r="L110" s="52">
        <v>1</v>
      </c>
      <c r="M110" s="53" t="s">
        <v>1</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0"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0"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0"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0"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1" t="str">
        <f>OsirisDataElementConcept!$A$94</f>
        <v>Fusion</v>
      </c>
      <c r="J115" s="51" t="str">
        <f>OsirisDataElementConcept!$A$94</f>
        <v>Fusion</v>
      </c>
      <c r="K115" s="51" t="str">
        <f>OsirisDataElementConcept!$A$94</f>
        <v>Fusion</v>
      </c>
      <c r="L115" s="52">
        <v>1</v>
      </c>
      <c r="M115" s="53" t="s">
        <v>1</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0"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0"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0"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0"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0"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0"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0"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0"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1" t="str">
        <f>OsirisDataElementConcept!$A$102</f>
        <v>CNV</v>
      </c>
      <c r="J124" s="51" t="str">
        <f>OsirisDataElementConcept!$A$102</f>
        <v>CNV</v>
      </c>
      <c r="K124" s="51" t="str">
        <f>OsirisDataElementConcept!$A$102</f>
        <v>CNV</v>
      </c>
      <c r="L124" s="52">
        <v>1</v>
      </c>
      <c r="M124" s="53" t="s">
        <v>1</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0"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0"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0"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0"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0"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1" t="str">
        <f>OsirisDataElementConcept!$A$109</f>
        <v>Variant</v>
      </c>
      <c r="J130" s="51" t="str">
        <f>OsirisDataElementConcept!$A$109</f>
        <v>Variant</v>
      </c>
      <c r="K130" s="51" t="str">
        <f>OsirisDataElementConcept!$A$109</f>
        <v>Variant</v>
      </c>
      <c r="L130" s="52">
        <v>1</v>
      </c>
      <c r="M130" s="53" t="s">
        <v>1</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0"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0"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0"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1" t="str">
        <f>OsirisDataElementConcept!$A$111</f>
        <v>Annotation</v>
      </c>
      <c r="J134" s="51" t="str">
        <f>OsirisDataElementConcept!$A$111</f>
        <v>Annotation</v>
      </c>
      <c r="K134" s="51" t="str">
        <f>OsirisDataElementConcept!$A$111</f>
        <v>Annotation</v>
      </c>
      <c r="L134" s="52">
        <v>0</v>
      </c>
      <c r="M134" s="53" t="s">
        <v>1</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0"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0"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0"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0"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0"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0"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0"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0"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0"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0"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0"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0"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0"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0"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0"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0"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0"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1" t="str">
        <f>OsirisDataElementConcept!$A$128</f>
        <v>VariantInSample</v>
      </c>
      <c r="I152" s="51" t="str">
        <f>OsirisDataElementConcept!$A$128</f>
        <v>VariantInSample</v>
      </c>
      <c r="J152" s="51" t="str">
        <f>OsirisDataElementConcept!$A$128</f>
        <v>VariantInSample</v>
      </c>
      <c r="K152" s="51" t="str">
        <f>OsirisDataElementConcept!$A$128</f>
        <v>VariantInSample</v>
      </c>
      <c r="L152" s="52">
        <v>1</v>
      </c>
      <c r="M152" s="53" t="s">
        <v>1</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0"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0"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0"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0"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0" t="str">
        <f>IF(LEN(OsirisDataElementConcept!I131)=9,"1","0")</f>
        <v>0</v>
      </c>
      <c r="M157" s="71" t="s">
        <v>1</v>
      </c>
    </row>
    <row r="158" spans="4:15">
      <c r="D158" t="str">
        <f>OsirisDataElementConcept!C158</f>
        <v>CommonImage_PixelSpacing</v>
      </c>
      <c r="H158" t="str">
        <f>OsirisDataElementConcept!$A$133</f>
        <v>GeneExpression</v>
      </c>
      <c r="I158" s="51" t="str">
        <f>OsirisDataElementConcept!$A$133</f>
        <v>GeneExpression</v>
      </c>
      <c r="J158" s="51" t="str">
        <f>OsirisDataElementConcept!$A$133</f>
        <v>GeneExpression</v>
      </c>
      <c r="K158" s="51" t="str">
        <f>OsirisDataElementConcept!$A$133</f>
        <v>GeneExpression</v>
      </c>
      <c r="L158" s="52">
        <v>1</v>
      </c>
      <c r="M158" s="53" t="s">
        <v>1</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0" t="str">
        <f>IF(LEN(OsirisDataElementConcept!I132)=9,"1","0")</f>
        <v>1</v>
      </c>
      <c r="M159" s="71" t="s">
        <v>1</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0" t="str">
        <f>IF(LEN(OsirisDataElementConcept!I133)=9,"1","0")</f>
        <v>1</v>
      </c>
      <c r="M160" s="71" t="s">
        <v>1</v>
      </c>
    </row>
    <row r="161" spans="4:13">
      <c r="D161" t="str">
        <f>OsirisDataElementConcept!C161</f>
        <v>CommonImage_Columns</v>
      </c>
      <c r="H161" t="str">
        <f>OsirisDataElementConcept!$A$134</f>
        <v>Equipment</v>
      </c>
      <c r="I161" s="51" t="str">
        <f>OsirisDataElementConcept!$A$134</f>
        <v>Equipment</v>
      </c>
      <c r="J161" s="51" t="str">
        <f>OsirisDataElementConcept!$A$134</f>
        <v>Equipment</v>
      </c>
      <c r="K161" s="51" t="str">
        <f>OsirisDataElementConcept!$A$134</f>
        <v>Equipment</v>
      </c>
      <c r="L161" s="52">
        <v>0</v>
      </c>
      <c r="M161" s="53" t="s">
        <v>1</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0" t="str">
        <f>IF(LEN(OsirisDataElementConcept!I134)=9,"1","0")</f>
        <v>0</v>
      </c>
      <c r="M162" s="71" t="s">
        <v>1</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0" t="str">
        <f>IF(LEN(OsirisDataElementConcept!I135)=9,"1","0")</f>
        <v>0</v>
      </c>
      <c r="M163" s="71" t="s">
        <v>1</v>
      </c>
    </row>
    <row r="164" spans="4:13">
      <c r="D164" t="str">
        <f>OsirisDataElementConcept!C164</f>
        <v>MRImage_MRAcquisitionType</v>
      </c>
      <c r="H164" t="str">
        <f>OsirisDataElementConcept!$A$136</f>
        <v>Study</v>
      </c>
      <c r="I164" s="51" t="str">
        <f>OsirisDataElementConcept!$A$136</f>
        <v>Study</v>
      </c>
      <c r="J164" s="51" t="str">
        <f>OsirisDataElementConcept!$A$136</f>
        <v>Study</v>
      </c>
      <c r="K164" s="51" t="str">
        <f>OsirisDataElementConcept!$A$136</f>
        <v>Study</v>
      </c>
      <c r="L164" s="52">
        <v>0</v>
      </c>
      <c r="M164" s="53" t="s">
        <v>1</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0" t="str">
        <f>IF(LEN(OsirisDataElementConcept!I136)=9,"1","0")</f>
        <v>0</v>
      </c>
      <c r="M165" s="71" t="s">
        <v>1</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0" t="str">
        <f>IF(LEN(OsirisDataElementConcept!I137)=9,"1","0")</f>
        <v>0</v>
      </c>
      <c r="M166" s="71" t="s">
        <v>1</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0" t="str">
        <f>IF(LEN(OsirisDataElementConcept!I138)=9,"1","0")</f>
        <v>0</v>
      </c>
      <c r="M167" s="71" t="s">
        <v>1</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0" t="str">
        <f>IF(LEN(OsirisDataElementConcept!I139)=9,"1","0")</f>
        <v>0</v>
      </c>
      <c r="M168" s="71" t="s">
        <v>1</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0" t="str">
        <f>IF(LEN(OsirisDataElementConcept!I140)=9,"1","0")</f>
        <v>0</v>
      </c>
      <c r="M169" s="71" t="s">
        <v>1</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0" t="str">
        <f>IF(LEN(OsirisDataElementConcept!I141)=9,"1","0")</f>
        <v>0</v>
      </c>
      <c r="M170" s="71" t="s">
        <v>1</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0" t="str">
        <f>IF(LEN(OsirisDataElementConcept!I142)=9,"1","0")</f>
        <v>0</v>
      </c>
      <c r="M171" s="71" t="s">
        <v>1</v>
      </c>
    </row>
    <row r="172" spans="4:13">
      <c r="D172" t="str">
        <f>OsirisDataElementConcept!C172</f>
        <v>CTImage_XRayTubeCurrent</v>
      </c>
      <c r="H172" t="str">
        <f>OsirisDataElementConcept!$A$144</f>
        <v>Series</v>
      </c>
      <c r="I172" s="51" t="str">
        <f>OsirisDataElementConcept!$A$144</f>
        <v>Series</v>
      </c>
      <c r="J172" s="51" t="str">
        <f>OsirisDataElementConcept!$A$144</f>
        <v>Series</v>
      </c>
      <c r="K172" s="51" t="str">
        <f>OsirisDataElementConcept!$A$144</f>
        <v>Series</v>
      </c>
      <c r="L172" s="52">
        <v>0</v>
      </c>
      <c r="M172" s="53" t="s">
        <v>1</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0" t="str">
        <f>IF(LEN(OsirisDataElementConcept!I143)=9,"1","0")</f>
        <v>0</v>
      </c>
      <c r="M173" s="71" t="s">
        <v>1</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0" t="str">
        <f>IF(LEN(OsirisDataElementConcept!I144)=9,"1","0")</f>
        <v>0</v>
      </c>
      <c r="M174" s="71" t="s">
        <v>1</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0" t="str">
        <f>IF(LEN(OsirisDataElementConcept!I145)=9,"1","0")</f>
        <v>0</v>
      </c>
      <c r="M175" s="71" t="s">
        <v>1</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0" t="str">
        <f>IF(LEN(OsirisDataElementConcept!I146)=9,"1","0")</f>
        <v>0</v>
      </c>
      <c r="M176" s="71" t="s">
        <v>1</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0" t="str">
        <f>IF(LEN(OsirisDataElementConcept!I147)=9,"1","0")</f>
        <v>0</v>
      </c>
      <c r="M177" s="71" t="s">
        <v>1</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0" t="str">
        <f>IF(LEN(OsirisDataElementConcept!I148)=9,"1","0")</f>
        <v>0</v>
      </c>
      <c r="M178" s="71" t="s">
        <v>1</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0" t="str">
        <f>IF(LEN(OsirisDataElementConcept!I149)=9,"1","0")</f>
        <v>0</v>
      </c>
      <c r="M179" s="71" t="s">
        <v>1</v>
      </c>
    </row>
    <row r="180" spans="4:13">
      <c r="D180" t="str">
        <f>OsirisDataElementConcept!C180</f>
        <v>NMImage_AttenuationCorrectionMethod</v>
      </c>
      <c r="H180" t="str">
        <f>OsirisDataElementConcept!$A$152</f>
        <v>Injection</v>
      </c>
      <c r="I180" s="51" t="str">
        <f>OsirisDataElementConcept!$A$152</f>
        <v>Injection</v>
      </c>
      <c r="J180" s="51" t="str">
        <f>OsirisDataElementConcept!$A$152</f>
        <v>Injection</v>
      </c>
      <c r="K180" s="51" t="str">
        <f>OsirisDataElementConcept!$A$152</f>
        <v>Injection</v>
      </c>
      <c r="L180" s="52">
        <v>0</v>
      </c>
      <c r="M180" s="53" t="s">
        <v>1</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0" t="str">
        <f>IF(LEN(OsirisDataElementConcept!I150)=9,"1","0")</f>
        <v>0</v>
      </c>
      <c r="M181" s="71" t="s">
        <v>1</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0" t="str">
        <f>IF(LEN(OsirisDataElementConcept!I151)=9,"1","0")</f>
        <v>0</v>
      </c>
      <c r="M182" s="71" t="s">
        <v>1</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0" t="str">
        <f>IF(LEN(OsirisDataElementConcept!I152)=9,"1","0")</f>
        <v>0</v>
      </c>
      <c r="M183" s="71" t="s">
        <v>1</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0" t="str">
        <f>IF(LEN(OsirisDataElementConcept!I153)=9,"1","0")</f>
        <v>0</v>
      </c>
      <c r="M184" s="71" t="s">
        <v>1</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0" t="str">
        <f>IF(LEN(OsirisDataElementConcept!I154)=9,"1","0")</f>
        <v>0</v>
      </c>
      <c r="M185" s="71" t="s">
        <v>1</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0" t="str">
        <f>IF(LEN(OsirisDataElementConcept!I155)=9,"1","0")</f>
        <v>0</v>
      </c>
      <c r="M186" s="71" t="s">
        <v>1</v>
      </c>
    </row>
    <row r="187" spans="4:13">
      <c r="D187" t="str">
        <f>OsirisDataElementConcept!C187</f>
        <v>DXImage_KVP</v>
      </c>
      <c r="H187" t="str">
        <f>OsirisDataElementConcept!$A$159</f>
        <v>CommonImage</v>
      </c>
      <c r="I187" s="51" t="str">
        <f>OsirisDataElementConcept!$A$159</f>
        <v>CommonImage</v>
      </c>
      <c r="J187" s="51" t="str">
        <f>OsirisDataElementConcept!$A$159</f>
        <v>CommonImage</v>
      </c>
      <c r="K187" s="51" t="str">
        <f>OsirisDataElementConcept!$A$159</f>
        <v>CommonImage</v>
      </c>
      <c r="L187" s="52">
        <v>0</v>
      </c>
      <c r="M187" s="52" t="s">
        <v>1</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0" t="str">
        <f>IF(LEN(OsirisDataElementConcept!I156)=9,"1","0")</f>
        <v>0</v>
      </c>
      <c r="M188" s="71" t="s">
        <v>1</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0" t="str">
        <f>IF(LEN(OsirisDataElementConcept!I157)=9,"1","0")</f>
        <v>0</v>
      </c>
      <c r="M189" s="71" t="s">
        <v>1</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0" t="str">
        <f>IF(LEN(OsirisDataElementConcept!I158)=9,"1","0")</f>
        <v>0</v>
      </c>
      <c r="M190" s="71" t="s">
        <v>1</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0" t="str">
        <f>IF(LEN(OsirisDataElementConcept!I159)=9,"1","0")</f>
        <v>0</v>
      </c>
      <c r="M191" s="71" t="s">
        <v>1</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0" t="str">
        <f>IF(LEN(OsirisDataElementConcept!I160)=9,"1","0")</f>
        <v>0</v>
      </c>
      <c r="M192" s="71" t="s">
        <v>1</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0" t="str">
        <f>IF(LEN(OsirisDataElementConcept!I161)=9,"1","0")</f>
        <v>0</v>
      </c>
      <c r="M193" s="71" t="s">
        <v>1</v>
      </c>
    </row>
    <row r="194" spans="4:13">
      <c r="D194" t="str">
        <f>OsirisDataElementConcept!C194</f>
        <v>ROISegmentation_ROIDescription</v>
      </c>
      <c r="H194" t="str">
        <f>OsirisDataElementConcept!$A$166</f>
        <v>MRImage</v>
      </c>
      <c r="I194" s="51" t="str">
        <f>OsirisDataElementConcept!$A$166</f>
        <v>MRImage</v>
      </c>
      <c r="J194" s="51" t="str">
        <f>OsirisDataElementConcept!$A$166</f>
        <v>MRImage</v>
      </c>
      <c r="K194" s="51" t="str">
        <f>OsirisDataElementConcept!$A$166</f>
        <v>MRImage</v>
      </c>
      <c r="L194" s="52">
        <v>0</v>
      </c>
      <c r="M194" s="53" t="s">
        <v>1</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0" t="str">
        <f>IF(LEN(OsirisDataElementConcept!I162)=9,"1","0")</f>
        <v>0</v>
      </c>
      <c r="M195" s="71" t="s">
        <v>1</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0" t="str">
        <f>IF(LEN(OsirisDataElementConcept!I163)=9,"1","0")</f>
        <v>0</v>
      </c>
      <c r="M196" s="71" t="s">
        <v>1</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0" t="str">
        <f>IF(LEN(OsirisDataElementConcept!I164)=9,"1","0")</f>
        <v>0</v>
      </c>
      <c r="M197" s="71" t="s">
        <v>1</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0" t="str">
        <f>IF(LEN(OsirisDataElementConcept!I165)=9,"1","0")</f>
        <v>0</v>
      </c>
      <c r="M198" s="71" t="s">
        <v>1</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0" t="str">
        <f>IF(LEN(OsirisDataElementConcept!I166)=9,"1","0")</f>
        <v>0</v>
      </c>
      <c r="M199" s="71" t="s">
        <v>1</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0" t="str">
        <f>IF(LEN(OsirisDataElementConcept!I167)=9,"1","0")</f>
        <v>0</v>
      </c>
      <c r="M200" s="71" t="s">
        <v>1</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0" t="str">
        <f>IF(LEN(OsirisDataElementConcept!I168)=9,"1","0")</f>
        <v>0</v>
      </c>
      <c r="M201" s="71" t="s">
        <v>1</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0" t="str">
        <f>IF(LEN(OsirisDataElementConcept!I169)=9,"1","0")</f>
        <v>0</v>
      </c>
      <c r="M202" s="71" t="s">
        <v>1</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0" t="str">
        <f>IF(LEN(OsirisDataElementConcept!I170)=9,"1","0")</f>
        <v>0</v>
      </c>
      <c r="M203" s="71" t="s">
        <v>1</v>
      </c>
    </row>
    <row r="204" spans="4:13">
      <c r="D204" t="str">
        <f>OsirisDataElementConcept!C204</f>
        <v>RadiomicsCriteria_IntensityResampling</v>
      </c>
      <c r="H204" s="51" t="str">
        <f>OsirisDataElementConcept!$A$171</f>
        <v>CTImage</v>
      </c>
      <c r="I204" s="51" t="str">
        <f>OsirisDataElementConcept!$A$171</f>
        <v>CTImage</v>
      </c>
      <c r="J204" s="51" t="str">
        <f>OsirisDataElementConcept!$A$171</f>
        <v>CTImage</v>
      </c>
      <c r="K204" s="51" t="str">
        <f>OsirisDataElementConcept!$A$171</f>
        <v>CTImage</v>
      </c>
      <c r="L204" s="52">
        <v>0</v>
      </c>
      <c r="M204" s="53" t="s">
        <v>1</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0" t="str">
        <f>IF(LEN(OsirisDataElementConcept!I171)=9,"1","0")</f>
        <v>0</v>
      </c>
      <c r="M205" s="71" t="s">
        <v>1</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0" t="str">
        <f>IF(LEN(OsirisDataElementConcept!I172)=9,"1","0")</f>
        <v>0</v>
      </c>
      <c r="M206" s="71" t="s">
        <v>1</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0" t="str">
        <f>IF(LEN(OsirisDataElementConcept!I173)=9,"1","0")</f>
        <v>0</v>
      </c>
      <c r="M207" s="71" t="s">
        <v>1</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0" t="str">
        <f>IF(LEN(OsirisDataElementConcept!I174)=9,"1","0")</f>
        <v>0</v>
      </c>
      <c r="M208" s="71" t="s">
        <v>1</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0" t="str">
        <f>IF(LEN(OsirisDataElementConcept!I175)=9,"1","0")</f>
        <v>0</v>
      </c>
      <c r="M209" s="71" t="s">
        <v>1</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0" t="str">
        <f>IF(LEN(OsirisDataElementConcept!I176)=9,"1","0")</f>
        <v>0</v>
      </c>
      <c r="M210" s="71" t="s">
        <v>1</v>
      </c>
    </row>
    <row r="211" spans="4:13">
      <c r="D211" t="str">
        <f>OsirisDataElementConcept!C211</f>
        <v>RadiomicsImageFilter_SoftwareVersion</v>
      </c>
      <c r="H211" s="51" t="str">
        <f>OsirisDataElementConcept!$A$178</f>
        <v>PTImage</v>
      </c>
      <c r="I211" s="51" t="str">
        <f>OsirisDataElementConcept!$A$178</f>
        <v>PTImage</v>
      </c>
      <c r="J211" s="51" t="str">
        <f>OsirisDataElementConcept!$A$178</f>
        <v>PTImage</v>
      </c>
      <c r="K211" s="51" t="str">
        <f>OsirisDataElementConcept!$A$178</f>
        <v>PTImage</v>
      </c>
      <c r="L211" s="52">
        <v>0</v>
      </c>
      <c r="M211" s="51" t="s">
        <v>1</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0" t="str">
        <f>IF(LEN(OsirisDataElementConcept!I177)=9,"1","0")</f>
        <v>0</v>
      </c>
      <c r="M212" s="71" t="s">
        <v>1</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0" t="str">
        <f>IF(LEN(OsirisDataElementConcept!I178)=9,"1","0")</f>
        <v>0</v>
      </c>
      <c r="M213" s="71" t="s">
        <v>1</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0" t="str">
        <f>IF(LEN(OsirisDataElementConcept!I179)=9,"1","0")</f>
        <v>0</v>
      </c>
      <c r="M214" s="71" t="s">
        <v>1</v>
      </c>
    </row>
    <row r="215" spans="4:13">
      <c r="D215" t="str">
        <f>OsirisDataElementConcept!C215</f>
        <v>RadiomicsImageFilter_IntensityRounding</v>
      </c>
      <c r="H215" s="51" t="str">
        <f>OsirisDataElementConcept!$A$182</f>
        <v>NMImage</v>
      </c>
      <c r="I215" s="51" t="str">
        <f>OsirisDataElementConcept!$A$182</f>
        <v>NMImage</v>
      </c>
      <c r="J215" s="51" t="str">
        <f>OsirisDataElementConcept!$A$182</f>
        <v>NMImage</v>
      </c>
      <c r="K215" s="51" t="str">
        <f>OsirisDataElementConcept!$A$182</f>
        <v>NMImage</v>
      </c>
      <c r="L215" s="52">
        <v>0</v>
      </c>
      <c r="M215" s="51" t="s">
        <v>1</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0" t="str">
        <f>IF(LEN(OsirisDataElementConcept!I180)=9,"1","0")</f>
        <v>0</v>
      </c>
      <c r="M216" s="71" t="s">
        <v>1</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0" t="str">
        <f>IF(LEN(OsirisDataElementConcept!I181)=9,"1","0")</f>
        <v>0</v>
      </c>
      <c r="M217" s="71" t="s">
        <v>1</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0" t="str">
        <f>IF(LEN(OsirisDataElementConcept!I182)=9,"1","0")</f>
        <v>0</v>
      </c>
      <c r="M218" s="71" t="s">
        <v>1</v>
      </c>
    </row>
    <row r="219" spans="4:13">
      <c r="D219" t="str">
        <f>OsirisDataElementConcept!C219</f>
        <v>RadiomicsFeature_Value</v>
      </c>
      <c r="H219" s="51" t="str">
        <f>OsirisDataElementConcept!$A$186</f>
        <v>DXImage</v>
      </c>
      <c r="I219" s="51" t="str">
        <f>OsirisDataElementConcept!$A$186</f>
        <v>DXImage</v>
      </c>
      <c r="J219" s="51" t="str">
        <f>OsirisDataElementConcept!$A$186</f>
        <v>DXImage</v>
      </c>
      <c r="K219" s="51" t="str">
        <f>OsirisDataElementConcept!$A$186</f>
        <v>DXImage</v>
      </c>
      <c r="L219" s="52">
        <v>0</v>
      </c>
      <c r="M219" s="51" t="s">
        <v>1</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0" t="str">
        <f>IF(LEN(OsirisDataElementConcept!I183)=9,"1","0")</f>
        <v>0</v>
      </c>
      <c r="M220" s="71" t="s">
        <v>1</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0" t="str">
        <f>IF(LEN(OsirisDataElementConcept!I184)=9,"1","0")</f>
        <v>0</v>
      </c>
      <c r="M221" s="71" t="s">
        <v>1</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0" t="str">
        <f>IF(LEN(OsirisDataElementConcept!I185)=9,"1","0")</f>
        <v>0</v>
      </c>
      <c r="M222" s="71" t="s">
        <v>1</v>
      </c>
    </row>
    <row r="223" spans="4:13" ht="44.25">
      <c r="D223" t="str">
        <f>OsirisDataElementConcept!C223</f>
        <v/>
      </c>
      <c r="H223" t="str">
        <f>OsirisDataElementConcept!A190</f>
        <v>DXImage</v>
      </c>
      <c r="I223" s="73"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0" t="str">
        <f>IF(LEN(OsirisDataElementConcept!I186)=9,"1","0")</f>
        <v>0</v>
      </c>
      <c r="M223" s="71" t="s">
        <v>1</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0" t="str">
        <f>IF(LEN(OsirisDataElementConcept!I187)=9,"1","0")</f>
        <v>0</v>
      </c>
      <c r="M224" s="71" t="s">
        <v>1</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0" t="str">
        <f>IF(LEN(OsirisDataElementConcept!I188)=9,"1","0")</f>
        <v>0</v>
      </c>
      <c r="M225" s="71" t="s">
        <v>1</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0" t="str">
        <f>IF(LEN(OsirisDataElementConcept!I189)=9,"1","0")</f>
        <v>0</v>
      </c>
      <c r="M226" s="71" t="s">
        <v>1</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0" t="str">
        <f>IF(LEN(OsirisDataElementConcept!I190)=9,"1","0")</f>
        <v>0</v>
      </c>
      <c r="M227" s="71" t="s">
        <v>1</v>
      </c>
    </row>
    <row r="228" spans="4:13">
      <c r="D228" t="str">
        <f>OsirisDataElementConcept!C228</f>
        <v/>
      </c>
      <c r="H228" s="51" t="str">
        <f>OsirisDataElementConcept!$A$195</f>
        <v>ROISegmentation</v>
      </c>
      <c r="I228" s="51" t="str">
        <f>OsirisDataElementConcept!$A$195</f>
        <v>ROISegmentation</v>
      </c>
      <c r="J228" s="51" t="str">
        <f>OsirisDataElementConcept!$A$195</f>
        <v>ROISegmentation</v>
      </c>
      <c r="K228" s="51" t="str">
        <f>OsirisDataElementConcept!$A$195</f>
        <v>ROISegmentation</v>
      </c>
      <c r="L228" s="52">
        <v>0</v>
      </c>
      <c r="M228" s="51" t="s">
        <v>1</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0" t="str">
        <f>IF(LEN(OsirisDataElementConcept!I191)=9,"1","0")</f>
        <v>0</v>
      </c>
      <c r="M229" s="71" t="s">
        <v>1</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0" t="str">
        <f>IF(LEN(OsirisDataElementConcept!I192)=9,"1","0")</f>
        <v>0</v>
      </c>
      <c r="M230" s="71" t="s">
        <v>1</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0" t="str">
        <f>IF(LEN(OsirisDataElementConcept!I193)=9,"1","0")</f>
        <v>0</v>
      </c>
      <c r="M231" s="71" t="s">
        <v>1</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0" t="str">
        <f>IF(LEN(OsirisDataElementConcept!I194)=9,"1","0")</f>
        <v>0</v>
      </c>
      <c r="M232" s="71" t="s">
        <v>1</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0" t="str">
        <f>IF(LEN(OsirisDataElementConcept!I195)=9,"1","0")</f>
        <v>0</v>
      </c>
      <c r="M233" s="71" t="s">
        <v>1</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0" t="str">
        <f>IF(LEN(OsirisDataElementConcept!I196)=9,"1","0")</f>
        <v>0</v>
      </c>
      <c r="M234" s="71" t="s">
        <v>1</v>
      </c>
    </row>
    <row r="235" spans="4:13">
      <c r="H235" s="51" t="str">
        <f>OsirisDataElementConcept!$A$197</f>
        <v>RadiomicsCriteria</v>
      </c>
      <c r="I235" s="51" t="str">
        <f>OsirisDataElementConcept!$A$197</f>
        <v>RadiomicsCriteria</v>
      </c>
      <c r="J235" s="51" t="str">
        <f>OsirisDataElementConcept!$A$197</f>
        <v>RadiomicsCriteria</v>
      </c>
      <c r="K235" s="51" t="str">
        <f>OsirisDataElementConcept!$A$197</f>
        <v>RadiomicsCriteria</v>
      </c>
      <c r="L235" s="52">
        <v>0</v>
      </c>
      <c r="M235" s="51" t="s">
        <v>1</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0" t="str">
        <f>IF(LEN(OsirisDataElementConcept!I197)=9,"1","0")</f>
        <v>0</v>
      </c>
      <c r="M236" s="71" t="s">
        <v>1</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0" t="str">
        <f>IF(LEN(OsirisDataElementConcept!I198)=9,"1","0")</f>
        <v>0</v>
      </c>
      <c r="M237" s="71" t="s">
        <v>1</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0" t="str">
        <f>IF(LEN(OsirisDataElementConcept!I199)=9,"1","0")</f>
        <v>0</v>
      </c>
      <c r="M238" s="71" t="s">
        <v>1</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0" t="str">
        <f>IF(LEN(OsirisDataElementConcept!I200)=9,"1","0")</f>
        <v>0</v>
      </c>
      <c r="M239" s="71" t="s">
        <v>1</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0" t="str">
        <f>IF(LEN(OsirisDataElementConcept!I201)=9,"1","0")</f>
        <v>0</v>
      </c>
      <c r="M240" s="71" t="s">
        <v>1</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0" t="str">
        <f>IF(LEN(OsirisDataElementConcept!I202)=9,"1","0")</f>
        <v>0</v>
      </c>
      <c r="M241" s="71" t="s">
        <v>1</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0" t="str">
        <f>IF(LEN(OsirisDataElementConcept!I203)=9,"1","0")</f>
        <v>0</v>
      </c>
      <c r="M242" s="71" t="s">
        <v>1</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0" t="str">
        <f>IF(LEN(OsirisDataElementConcept!I204)=9,"1","0")</f>
        <v>0</v>
      </c>
      <c r="M243" s="71" t="s">
        <v>1</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0" t="str">
        <f>IF(LEN(OsirisDataElementConcept!I205)=9,"1","0")</f>
        <v>0</v>
      </c>
      <c r="M244" s="71" t="s">
        <v>1</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0" t="str">
        <f>IF(LEN(OsirisDataElementConcept!I206)=9,"1","0")</f>
        <v>0</v>
      </c>
      <c r="M245" s="71" t="s">
        <v>1</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0" t="str">
        <f>IF(LEN(OsirisDataElementConcept!I207)=9,"1","0")</f>
        <v>0</v>
      </c>
      <c r="M246" s="71" t="s">
        <v>1</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0" t="str">
        <f>IF(LEN(OsirisDataElementConcept!I208)=9,"1","0")</f>
        <v>0</v>
      </c>
      <c r="M247" s="71" t="s">
        <v>1</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0" t="str">
        <f>IF(LEN(OsirisDataElementConcept!I209)=9,"1","0")</f>
        <v>0</v>
      </c>
      <c r="M248" s="71" t="s">
        <v>1</v>
      </c>
    </row>
    <row r="249" spans="8:13">
      <c r="H249" s="51" t="str">
        <f>OsirisDataElementConcept!$A$210</f>
        <v>RadiomicsImageFilter</v>
      </c>
      <c r="I249" s="51" t="str">
        <f>OsirisDataElementConcept!$A$210</f>
        <v>RadiomicsImageFilter</v>
      </c>
      <c r="J249" s="51" t="str">
        <f>OsirisDataElementConcept!$A$210</f>
        <v>RadiomicsImageFilter</v>
      </c>
      <c r="K249" s="51" t="str">
        <f>OsirisDataElementConcept!$A$210</f>
        <v>RadiomicsImageFilter</v>
      </c>
      <c r="L249" s="52">
        <v>0</v>
      </c>
      <c r="M249" s="51" t="s">
        <v>1</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0" t="str">
        <f>IF(LEN(OsirisDataElementConcept!I210)=9,"1","0")</f>
        <v>0</v>
      </c>
      <c r="M250" s="71" t="s">
        <v>1</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0" t="str">
        <f>IF(LEN(OsirisDataElementConcept!I211)=9,"1","0")</f>
        <v>0</v>
      </c>
      <c r="M251" s="71" t="s">
        <v>1</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0" t="str">
        <f>IF(LEN(OsirisDataElementConcept!I212)=9,"1","0")</f>
        <v>0</v>
      </c>
      <c r="M252" s="71" t="s">
        <v>1</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0" t="str">
        <f>IF(LEN(OsirisDataElementConcept!I213)=9,"1","0")</f>
        <v>0</v>
      </c>
      <c r="M253" s="71" t="s">
        <v>1</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0" t="str">
        <f>IF(LEN(OsirisDataElementConcept!I214)=9,"1","0")</f>
        <v>0</v>
      </c>
      <c r="M254" s="71" t="s">
        <v>1</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0" t="str">
        <f>IF(LEN(OsirisDataElementConcept!I215)=9,"1","0")</f>
        <v>0</v>
      </c>
      <c r="M255" s="71" t="s">
        <v>1</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0" t="str">
        <f>IF(LEN(OsirisDataElementConcept!I216)=9,"1","0")</f>
        <v>0</v>
      </c>
      <c r="M256" s="71" t="s">
        <v>1</v>
      </c>
    </row>
    <row r="257" spans="8:13">
      <c r="H257" s="51" t="str">
        <f>OsirisDataElementConcept!$A$218</f>
        <v>RadiomicsFeature</v>
      </c>
      <c r="I257" s="51" t="str">
        <f>OsirisDataElementConcept!$A$218</f>
        <v>RadiomicsFeature</v>
      </c>
      <c r="J257" s="51" t="str">
        <f>OsirisDataElementConcept!$A$218</f>
        <v>RadiomicsFeature</v>
      </c>
      <c r="K257" s="51" t="str">
        <f>OsirisDataElementConcept!$A$218</f>
        <v>RadiomicsFeature</v>
      </c>
      <c r="L257" s="52">
        <v>0</v>
      </c>
      <c r="M257" s="51" t="s">
        <v>1</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0" t="str">
        <f>IF(LEN(OsirisDataElementConcept!I217)=9,"1","0")</f>
        <v>0</v>
      </c>
      <c r="M258" s="71" t="s">
        <v>1</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0" t="str">
        <f>IF(LEN(OsirisDataElementConcept!I218)=9,"1","0")</f>
        <v>0</v>
      </c>
      <c r="M259" s="71" t="s">
        <v>1</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0" t="str">
        <f>IF(LEN(OsirisDataElementConcept!I219)=9,"1","0")</f>
        <v>0</v>
      </c>
      <c r="M260" s="71" t="s">
        <v>1</v>
      </c>
    </row>
  </sheetData>
  <autoFilter ref="D2:U232" xr:uid="{65625CB6-A4D1-445C-8FA0-02E903280690}"/>
  <pageMargins left="0.7" right="0.7" top="0.75" bottom="0.75" header="0.3" footer="0.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M50"/>
  <sheetViews>
    <sheetView zoomScaleNormal="100" workbookViewId="0">
      <selection activeCell="B4" sqref="B4"/>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2345</v>
      </c>
      <c r="J4" s="16" t="str">
        <f>CONCATENATE("Logical: ",B4)</f>
        <v>Logical: HospitalPatientRecordsI4rc</v>
      </c>
    </row>
    <row r="5" spans="1:12" ht="15.5" thickBot="1">
      <c r="A5" s="14" t="s">
        <v>16</v>
      </c>
      <c r="B5" s="45" t="s">
        <v>2255</v>
      </c>
      <c r="J5" s="16" t="str">
        <f>CONCATENATE("Id: ",B5)</f>
        <v>Id: HospitalPatientRecords</v>
      </c>
    </row>
    <row r="6" spans="1:12" ht="15.5" thickBot="1">
      <c r="A6" s="14" t="s">
        <v>10</v>
      </c>
      <c r="B6" s="45" t="s">
        <v>2256</v>
      </c>
      <c r="J6" s="17" t="str">
        <f>CONCATENATE("Title: ##34#",B6,"##34#")</f>
        <v>Title: ##34#Hospital Patient Records##34#</v>
      </c>
    </row>
    <row r="7" spans="1:12">
      <c r="A7" s="26" t="s">
        <v>2</v>
      </c>
      <c r="B7" s="149" t="s">
        <v>2256</v>
      </c>
      <c r="C7" s="9" t="s">
        <v>3</v>
      </c>
      <c r="D7" s="1" t="s">
        <v>4</v>
      </c>
      <c r="E7" s="3" t="s">
        <v>5</v>
      </c>
      <c r="F7" s="3" t="s">
        <v>6</v>
      </c>
      <c r="G7" s="3" t="s">
        <v>7</v>
      </c>
      <c r="H7" s="105" t="s">
        <v>1610</v>
      </c>
      <c r="J7" s="17" t="str">
        <f>CONCATENATE("Description: "," ##334#",B7,"##334#",)</f>
        <v>Description:  ##334#Hospital Patient Records##334#</v>
      </c>
    </row>
    <row r="8" spans="1:12" ht="44.25">
      <c r="A8" s="100">
        <v>0</v>
      </c>
      <c r="B8" s="11" t="s">
        <v>1783</v>
      </c>
      <c r="C8" s="11" t="s">
        <v>14</v>
      </c>
      <c r="D8" s="11" t="s">
        <v>1755</v>
      </c>
      <c r="E8" s="11">
        <v>1</v>
      </c>
      <c r="F8" s="11">
        <v>1</v>
      </c>
      <c r="G8" s="118" t="s">
        <v>1761</v>
      </c>
      <c r="H8" s="11" t="s">
        <v>2245</v>
      </c>
      <c r="I8" s="25"/>
      <c r="J8" s="12" t="str">
        <f t="shared" ref="J8:J40"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
-##334#</v>
      </c>
    </row>
    <row r="9" spans="1:12" s="2" customFormat="1" ht="29.5">
      <c r="A9" s="100">
        <v>1</v>
      </c>
      <c r="B9" s="11" t="s">
        <v>2246</v>
      </c>
      <c r="C9" s="11" t="s">
        <v>2247</v>
      </c>
      <c r="D9" s="11" t="s">
        <v>2248</v>
      </c>
      <c r="E9" s="11">
        <v>1</v>
      </c>
      <c r="F9" s="11">
        <v>1</v>
      </c>
      <c r="G9" s="119" t="s">
        <v>1</v>
      </c>
      <c r="H9" s="11" t="s">
        <v>2249</v>
      </c>
      <c r="I9" s="25"/>
      <c r="J9" s="12" t="str">
        <f t="shared" ref="J9:J20" si="1">CONCATENATE("* ",B9, " ",E9,"..",F9," ",G9," ##34#",C9,"##34# ##334#",D9,"##334#")</f>
        <v>* hospital 1..1 BackboneElement ##34#Hospital##34# ##334#Hospital element containing the data regarding the patient followed by the hospital##334#</v>
      </c>
      <c r="K9"/>
      <c r="L9" s="12" t="str">
        <f t="shared" ref="L9:L20" si="2">IF(H9="",IF(J9="*  ..  ##34###34# ##334###334#",J9,""),IF(J9="*  ..  ##34###34# ##334###334#",J9,CONCATENATE("* ",B9," ^comment = ##334#",H9,"##334#")))</f>
        <v>* hospital ^comment = ##334#A hospital element data
-##334#</v>
      </c>
    </row>
    <row r="10" spans="1:12" s="2" customFormat="1" ht="29.5">
      <c r="A10" s="100">
        <v>0</v>
      </c>
      <c r="B10" s="11" t="s">
        <v>2254</v>
      </c>
      <c r="C10" s="11" t="s">
        <v>2243</v>
      </c>
      <c r="D10" s="11" t="s">
        <v>2244</v>
      </c>
      <c r="E10" s="11">
        <v>1</v>
      </c>
      <c r="F10" s="11">
        <v>1</v>
      </c>
      <c r="G10" s="11" t="s">
        <v>0</v>
      </c>
      <c r="H10" s="11"/>
      <c r="I10" s="25"/>
      <c r="J10" s="12" t="str">
        <f t="shared" si="1"/>
        <v>* hospital.name 1..1 string ##34#Hospital Name##34# ##334#Hospital where the patients is included in the registry##334#</v>
      </c>
      <c r="K10"/>
      <c r="L10" s="12" t="str">
        <f t="shared" si="2"/>
        <v/>
      </c>
    </row>
    <row r="11" spans="1:12" s="2" customFormat="1" ht="103.25">
      <c r="A11" s="100">
        <v>2</v>
      </c>
      <c r="B11" s="11" t="s">
        <v>2250</v>
      </c>
      <c r="C11" s="11" t="s">
        <v>2251</v>
      </c>
      <c r="D11" s="11" t="s">
        <v>2252</v>
      </c>
      <c r="E11" s="11">
        <v>1</v>
      </c>
      <c r="F11" s="11">
        <v>1</v>
      </c>
      <c r="G11" s="11" t="s">
        <v>156</v>
      </c>
      <c r="H11" s="11" t="s">
        <v>2253</v>
      </c>
      <c r="I11" s="25"/>
      <c r="J11" s="12" t="str">
        <f t="shared" si="1"/>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K11"/>
      <c r="L11" s="12" t="str">
        <f t="shared" si="2"/>
        <v>* firstContactDate ^comment = ##334#Date
-##334#</v>
      </c>
    </row>
    <row r="12" spans="1:12" s="2" customFormat="1">
      <c r="A12" s="100">
        <v>3</v>
      </c>
      <c r="B12" s="11"/>
      <c r="C12" s="11"/>
      <c r="D12" s="11"/>
      <c r="E12" s="11"/>
      <c r="F12" s="11"/>
      <c r="G12" s="11"/>
      <c r="H12" s="12"/>
      <c r="I12" s="25"/>
      <c r="J12" s="12" t="str">
        <f t="shared" si="1"/>
        <v>*  ..  ##34###34# ##334###334#</v>
      </c>
      <c r="K12"/>
      <c r="L12" s="12" t="str">
        <f t="shared" si="2"/>
        <v>*  ..  ##34###34# ##334###334#</v>
      </c>
    </row>
    <row r="13" spans="1:12" s="2" customFormat="1">
      <c r="A13" s="100">
        <v>4</v>
      </c>
      <c r="B13" s="11"/>
      <c r="C13" s="11"/>
      <c r="D13" s="11"/>
      <c r="E13" s="11"/>
      <c r="F13" s="11"/>
      <c r="G13" s="11"/>
      <c r="H13" s="12"/>
      <c r="I13" s="25"/>
      <c r="J13" s="12" t="str">
        <f t="shared" si="1"/>
        <v>*  ..  ##34###34# ##334###334#</v>
      </c>
      <c r="K13"/>
      <c r="L13" s="12" t="str">
        <f t="shared" si="2"/>
        <v>*  ..  ##34###34# ##334###334#</v>
      </c>
    </row>
    <row r="14" spans="1:12" s="2" customFormat="1">
      <c r="A14" s="100">
        <v>5</v>
      </c>
      <c r="B14" s="11"/>
      <c r="C14" s="11"/>
      <c r="D14" s="11"/>
      <c r="E14" s="11"/>
      <c r="F14" s="11"/>
      <c r="G14" s="11"/>
      <c r="H14" s="12"/>
      <c r="I14" s="25"/>
      <c r="J14" s="12" t="str">
        <f t="shared" si="1"/>
        <v>*  ..  ##34###34# ##334###334#</v>
      </c>
      <c r="K14"/>
      <c r="L14" s="12" t="str">
        <f t="shared" si="2"/>
        <v>*  ..  ##34###34# ##334###334#</v>
      </c>
    </row>
    <row r="15" spans="1:12" s="2" customFormat="1">
      <c r="A15" s="100">
        <v>6</v>
      </c>
      <c r="B15" s="11"/>
      <c r="C15" s="11"/>
      <c r="D15" s="11"/>
      <c r="E15" s="11"/>
      <c r="F15" s="11"/>
      <c r="G15" s="11"/>
      <c r="H15" s="12"/>
      <c r="I15" s="25"/>
      <c r="J15" s="12" t="str">
        <f t="shared" si="1"/>
        <v>*  ..  ##34###34# ##334###334#</v>
      </c>
      <c r="K15"/>
      <c r="L15" s="12" t="str">
        <f t="shared" si="2"/>
        <v>*  ..  ##34###34# ##334###334#</v>
      </c>
    </row>
    <row r="16" spans="1:12" s="2" customFormat="1">
      <c r="A16" s="100">
        <v>7</v>
      </c>
      <c r="B16" s="11"/>
      <c r="C16" s="11"/>
      <c r="D16" s="11"/>
      <c r="E16" s="11"/>
      <c r="F16" s="11"/>
      <c r="G16" s="11"/>
      <c r="H16" s="12"/>
      <c r="I16" s="25"/>
      <c r="J16" s="12" t="str">
        <f t="shared" si="1"/>
        <v>*  ..  ##34###34# ##334###334#</v>
      </c>
      <c r="K16"/>
      <c r="L16" s="12" t="str">
        <f t="shared" si="2"/>
        <v>*  ..  ##34###34# ##334###334#</v>
      </c>
    </row>
    <row r="17" spans="1:13" s="2" customFormat="1">
      <c r="A17" s="100">
        <v>8</v>
      </c>
      <c r="B17" s="11"/>
      <c r="C17" s="11"/>
      <c r="D17" s="11"/>
      <c r="E17" s="11"/>
      <c r="F17" s="11"/>
      <c r="G17" s="11"/>
      <c r="H17" s="12"/>
      <c r="I17" s="25"/>
      <c r="J17" s="12" t="str">
        <f t="shared" si="1"/>
        <v>*  ..  ##34###34# ##334###334#</v>
      </c>
      <c r="K17"/>
      <c r="L17" s="12" t="str">
        <f t="shared" si="2"/>
        <v>*  ..  ##34###34# ##334###334#</v>
      </c>
    </row>
    <row r="18" spans="1:13">
      <c r="A18" s="100">
        <v>9</v>
      </c>
      <c r="B18" s="11"/>
      <c r="C18" s="11"/>
      <c r="D18" s="11"/>
      <c r="E18" s="11"/>
      <c r="F18" s="11"/>
      <c r="G18" s="11"/>
      <c r="H18" s="12"/>
      <c r="I18" s="25"/>
      <c r="J18" s="12" t="str">
        <f t="shared" si="1"/>
        <v>*  ..  ##34###34# ##334###334#</v>
      </c>
      <c r="L18" s="12" t="str">
        <f t="shared" si="2"/>
        <v>*  ..  ##34###34# ##334###334#</v>
      </c>
    </row>
    <row r="19" spans="1:13">
      <c r="A19" s="100">
        <v>10</v>
      </c>
      <c r="B19" s="11"/>
      <c r="C19" s="11"/>
      <c r="D19" s="11"/>
      <c r="E19" s="11"/>
      <c r="F19" s="11"/>
      <c r="G19" s="11"/>
      <c r="H19" s="12"/>
      <c r="J19" s="12" t="str">
        <f t="shared" si="1"/>
        <v>*  ..  ##34###34# ##334###334#</v>
      </c>
      <c r="L19" s="12" t="str">
        <f t="shared" si="2"/>
        <v>*  ..  ##34###34# ##334###334#</v>
      </c>
    </row>
    <row r="20" spans="1:13">
      <c r="A20" s="100">
        <v>11</v>
      </c>
      <c r="B20" s="11"/>
      <c r="C20" s="11"/>
      <c r="D20" s="11"/>
      <c r="E20" s="11"/>
      <c r="F20" s="11"/>
      <c r="G20" s="11"/>
      <c r="H20" s="12"/>
      <c r="J20" s="12" t="str">
        <f t="shared" si="1"/>
        <v>*  ..  ##34###34# ##334###334#</v>
      </c>
      <c r="L20" s="12" t="str">
        <f t="shared" si="2"/>
        <v>*  ..  ##34###34# ##334###334#</v>
      </c>
    </row>
    <row r="21" spans="1:13">
      <c r="A21" s="100">
        <v>12</v>
      </c>
      <c r="B21" s="11"/>
      <c r="C21" s="11"/>
      <c r="D21" s="11"/>
      <c r="E21" s="11"/>
      <c r="F21" s="11"/>
      <c r="G21" s="11"/>
      <c r="H21" s="12"/>
      <c r="J21" s="12" t="str">
        <f t="shared" si="0"/>
        <v>*  ..  ##34###34# ##334###334#</v>
      </c>
      <c r="L21" s="12" t="str">
        <f t="shared" ref="L21:L40" si="3">IF(H21="",IF(J21="*  ..  ##34###34# ##334###334#",J21,""),IF(J21="*  ..  ##34###34# ##334###334#",J21,CONCATENATE("* ",B21," ^comment = ##334#",H21,"##334#")))</f>
        <v>*  ..  ##34###34# ##334###334#</v>
      </c>
    </row>
    <row r="22" spans="1:13">
      <c r="A22" s="100">
        <v>13</v>
      </c>
      <c r="B22" s="11"/>
      <c r="C22" s="11"/>
      <c r="D22" s="11"/>
      <c r="E22" s="11"/>
      <c r="F22" s="11"/>
      <c r="G22" s="11"/>
      <c r="H22" s="12"/>
      <c r="J22" s="12" t="str">
        <f t="shared" si="0"/>
        <v>*  ..  ##34###34# ##334###334#</v>
      </c>
      <c r="L22" s="12" t="str">
        <f t="shared" si="3"/>
        <v>*  ..  ##34###34# ##334###334#</v>
      </c>
      <c r="M22"/>
    </row>
    <row r="23" spans="1:13">
      <c r="A23" s="100">
        <v>14</v>
      </c>
      <c r="B23" s="11"/>
      <c r="C23" s="11"/>
      <c r="D23" s="11"/>
      <c r="E23" s="11"/>
      <c r="F23" s="11"/>
      <c r="G23" s="11"/>
      <c r="H23" s="12"/>
      <c r="J23" s="12" t="str">
        <f t="shared" si="0"/>
        <v>*  ..  ##34###34# ##334###334#</v>
      </c>
      <c r="L23" s="12" t="str">
        <f t="shared" si="3"/>
        <v>*  ..  ##34###34# ##334###334#</v>
      </c>
      <c r="M23"/>
    </row>
    <row r="24" spans="1:13">
      <c r="A24" s="100">
        <v>15</v>
      </c>
      <c r="B24" s="11"/>
      <c r="C24" s="11"/>
      <c r="D24" s="11"/>
      <c r="E24" s="11"/>
      <c r="F24" s="11"/>
      <c r="G24" s="11"/>
      <c r="H24" s="12"/>
      <c r="J24" s="12" t="str">
        <f t="shared" si="0"/>
        <v>*  ..  ##34###34# ##334###334#</v>
      </c>
      <c r="L24" s="12" t="str">
        <f t="shared" si="3"/>
        <v>*  ..  ##34###34# ##334###334#</v>
      </c>
      <c r="M24"/>
    </row>
    <row r="25" spans="1:13">
      <c r="A25" s="100">
        <v>16</v>
      </c>
      <c r="B25" s="11"/>
      <c r="C25" s="11"/>
      <c r="D25" s="11"/>
      <c r="E25" s="11"/>
      <c r="F25" s="11"/>
      <c r="G25" s="11"/>
      <c r="H25" s="12"/>
      <c r="J25" s="12" t="str">
        <f t="shared" si="0"/>
        <v>*  ..  ##34###34# ##334###334#</v>
      </c>
      <c r="L25" s="12" t="str">
        <f t="shared" si="3"/>
        <v>*  ..  ##34###34# ##334###334#</v>
      </c>
      <c r="M25"/>
    </row>
    <row r="26" spans="1:13">
      <c r="A26" s="100">
        <v>17</v>
      </c>
      <c r="B26" s="11"/>
      <c r="C26" s="11"/>
      <c r="D26" s="11"/>
      <c r="E26" s="11"/>
      <c r="F26" s="11"/>
      <c r="G26" s="11"/>
      <c r="H26" s="12"/>
      <c r="J26" s="12" t="str">
        <f t="shared" si="0"/>
        <v>*  ..  ##34###34# ##334###334#</v>
      </c>
      <c r="L26" s="12" t="str">
        <f t="shared" si="3"/>
        <v>*  ..  ##34###34# ##334###334#</v>
      </c>
      <c r="M26"/>
    </row>
    <row r="27" spans="1:13">
      <c r="A27" s="100">
        <v>18</v>
      </c>
      <c r="B27" s="11"/>
      <c r="C27" s="11"/>
      <c r="D27" s="11"/>
      <c r="E27" s="11"/>
      <c r="F27" s="11"/>
      <c r="G27" s="11"/>
      <c r="H27" s="12"/>
      <c r="J27" s="12" t="str">
        <f t="shared" si="0"/>
        <v>*  ..  ##34###34# ##334###334#</v>
      </c>
      <c r="L27" s="12" t="str">
        <f t="shared" si="3"/>
        <v>*  ..  ##34###34# ##334###334#</v>
      </c>
      <c r="M27"/>
    </row>
    <row r="28" spans="1:13">
      <c r="A28" s="100">
        <v>19</v>
      </c>
      <c r="B28" s="11"/>
      <c r="C28" s="11"/>
      <c r="D28" s="11"/>
      <c r="E28" s="11"/>
      <c r="F28" s="11"/>
      <c r="G28" s="11"/>
      <c r="H28" s="12"/>
      <c r="J28" s="12" t="str">
        <f t="shared" si="0"/>
        <v>*  ..  ##34###34# ##334###334#</v>
      </c>
      <c r="L28" s="12" t="str">
        <f t="shared" si="3"/>
        <v>*  ..  ##34###34# ##334###334#</v>
      </c>
      <c r="M28"/>
    </row>
    <row r="29" spans="1:13">
      <c r="A29" s="100">
        <v>20</v>
      </c>
      <c r="B29" s="11"/>
      <c r="C29" s="11"/>
      <c r="D29" s="11"/>
      <c r="E29" s="11"/>
      <c r="F29" s="11"/>
      <c r="G29" s="11"/>
      <c r="H29" s="12"/>
      <c r="J29" s="12" t="str">
        <f t="shared" si="0"/>
        <v>*  ..  ##34###34# ##334###334#</v>
      </c>
      <c r="L29" s="12" t="str">
        <f t="shared" si="3"/>
        <v>*  ..  ##34###34# ##334###334#</v>
      </c>
    </row>
    <row r="30" spans="1:13">
      <c r="A30" s="100">
        <v>21</v>
      </c>
      <c r="B30" s="11"/>
      <c r="C30" s="11"/>
      <c r="D30" s="11"/>
      <c r="E30" s="11"/>
      <c r="F30" s="11"/>
      <c r="G30" s="11"/>
      <c r="H30" s="12"/>
      <c r="J30" s="12" t="str">
        <f t="shared" si="0"/>
        <v>*  ..  ##34###34# ##334###334#</v>
      </c>
      <c r="L30" s="12" t="str">
        <f t="shared" si="3"/>
        <v>*  ..  ##34###34# ##334###334#</v>
      </c>
    </row>
    <row r="31" spans="1:13">
      <c r="A31" s="100">
        <v>22</v>
      </c>
      <c r="B31" s="11"/>
      <c r="C31" s="11"/>
      <c r="D31" s="11"/>
      <c r="E31" s="11"/>
      <c r="F31" s="11"/>
      <c r="G31" s="11"/>
      <c r="H31" s="12"/>
      <c r="J31" s="12" t="str">
        <f t="shared" si="0"/>
        <v>*  ..  ##34###34# ##334###334#</v>
      </c>
      <c r="L31" s="12" t="str">
        <f t="shared" si="3"/>
        <v>*  ..  ##34###34# ##334###334#</v>
      </c>
    </row>
    <row r="32" spans="1:13">
      <c r="A32" s="100">
        <v>23</v>
      </c>
      <c r="B32" s="11"/>
      <c r="C32" s="11"/>
      <c r="D32" s="11"/>
      <c r="E32" s="11"/>
      <c r="F32" s="11"/>
      <c r="G32" s="11"/>
      <c r="H32" s="12"/>
      <c r="J32" s="12" t="str">
        <f t="shared" si="0"/>
        <v>*  ..  ##34###34# ##334###334#</v>
      </c>
      <c r="L32" s="12" t="str">
        <f t="shared" si="3"/>
        <v>*  ..  ##34###34# ##334###334#</v>
      </c>
    </row>
    <row r="33" spans="1:12">
      <c r="A33" s="100">
        <v>24</v>
      </c>
      <c r="B33" s="11"/>
      <c r="C33" s="11"/>
      <c r="D33" s="11"/>
      <c r="E33" s="11"/>
      <c r="F33" s="11"/>
      <c r="G33" s="11"/>
      <c r="H33" s="12"/>
      <c r="J33" s="12" t="str">
        <f t="shared" si="0"/>
        <v>*  ..  ##34###34# ##334###334#</v>
      </c>
      <c r="L33" s="12" t="str">
        <f t="shared" si="3"/>
        <v>*  ..  ##34###34# ##334###334#</v>
      </c>
    </row>
    <row r="34" spans="1:12" s="2" customFormat="1">
      <c r="A34" s="100">
        <v>25</v>
      </c>
      <c r="B34" s="11"/>
      <c r="C34" s="11"/>
      <c r="D34" s="11"/>
      <c r="E34" s="11"/>
      <c r="F34" s="11"/>
      <c r="G34" s="11"/>
      <c r="H34" s="12"/>
      <c r="I34"/>
      <c r="J34" s="12" t="str">
        <f t="shared" si="0"/>
        <v>*  ..  ##34###34# ##334###334#</v>
      </c>
      <c r="K34"/>
      <c r="L34" s="12" t="str">
        <f t="shared" si="3"/>
        <v>*  ..  ##34###34# ##334###334#</v>
      </c>
    </row>
    <row r="35" spans="1:12" s="2" customFormat="1">
      <c r="A35" s="100">
        <v>26</v>
      </c>
      <c r="B35" s="11"/>
      <c r="C35" s="11"/>
      <c r="D35" s="11"/>
      <c r="E35" s="11"/>
      <c r="F35" s="11"/>
      <c r="G35" s="11"/>
      <c r="H35" s="12"/>
      <c r="I35"/>
      <c r="J35" s="12" t="str">
        <f t="shared" si="0"/>
        <v>*  ..  ##34###34# ##334###334#</v>
      </c>
      <c r="K35"/>
      <c r="L35" s="12" t="str">
        <f t="shared" si="3"/>
        <v>*  ..  ##34###34# ##334###334#</v>
      </c>
    </row>
    <row r="36" spans="1:12" s="2" customFormat="1">
      <c r="A36" s="100">
        <v>27</v>
      </c>
      <c r="B36" s="11"/>
      <c r="C36" s="11"/>
      <c r="D36" s="11"/>
      <c r="E36" s="11"/>
      <c r="F36" s="11"/>
      <c r="G36" s="11"/>
      <c r="H36" s="12"/>
      <c r="I36"/>
      <c r="J36" s="12" t="str">
        <f t="shared" si="0"/>
        <v>*  ..  ##34###34# ##334###334#</v>
      </c>
      <c r="K36"/>
      <c r="L36" s="12" t="str">
        <f t="shared" si="3"/>
        <v>*  ..  ##34###34# ##334###334#</v>
      </c>
    </row>
    <row r="37" spans="1:12" s="2" customFormat="1">
      <c r="A37" s="100">
        <v>28</v>
      </c>
      <c r="B37" s="11"/>
      <c r="C37" s="11"/>
      <c r="D37" s="11"/>
      <c r="E37" s="11"/>
      <c r="F37" s="11"/>
      <c r="G37" s="11"/>
      <c r="H37" s="12"/>
      <c r="I37"/>
      <c r="J37" s="12" t="str">
        <f t="shared" si="0"/>
        <v>*  ..  ##34###34# ##334###334#</v>
      </c>
      <c r="K37"/>
      <c r="L37" s="12" t="str">
        <f t="shared" si="3"/>
        <v>*  ..  ##34###34# ##334###334#</v>
      </c>
    </row>
    <row r="38" spans="1:12" s="2" customFormat="1">
      <c r="A38" s="100">
        <v>29</v>
      </c>
      <c r="B38" s="11"/>
      <c r="C38" s="11"/>
      <c r="D38" s="11"/>
      <c r="E38" s="11"/>
      <c r="F38" s="11"/>
      <c r="G38" s="11"/>
      <c r="H38" s="12"/>
      <c r="I38"/>
      <c r="J38" s="12" t="str">
        <f t="shared" si="0"/>
        <v>*  ..  ##34###34# ##334###334#</v>
      </c>
      <c r="K38"/>
      <c r="L38" s="12" t="str">
        <f t="shared" si="3"/>
        <v>*  ..  ##34###34# ##334###334#</v>
      </c>
    </row>
    <row r="39" spans="1:12" s="2" customFormat="1">
      <c r="A39" s="100">
        <v>30</v>
      </c>
      <c r="B39" s="11"/>
      <c r="C39" s="11"/>
      <c r="D39" s="11"/>
      <c r="E39" s="11"/>
      <c r="F39" s="11"/>
      <c r="G39" s="11"/>
      <c r="H39" s="12"/>
      <c r="I39"/>
      <c r="J39" s="12" t="str">
        <f t="shared" si="0"/>
        <v>*  ..  ##34###34# ##334###334#</v>
      </c>
      <c r="K39"/>
      <c r="L39" s="12" t="str">
        <f t="shared" si="3"/>
        <v>*  ..  ##34###34# ##334###334#</v>
      </c>
    </row>
    <row r="40" spans="1:12" s="2" customFormat="1">
      <c r="A40" s="100">
        <v>31</v>
      </c>
      <c r="B40" s="11"/>
      <c r="C40" s="11"/>
      <c r="D40" s="11"/>
      <c r="E40" s="11"/>
      <c r="F40" s="11"/>
      <c r="G40" s="11"/>
      <c r="H40" s="12"/>
      <c r="I40"/>
      <c r="J40" s="12" t="str">
        <f t="shared" si="0"/>
        <v>*  ..  ##34###34# ##334###334#</v>
      </c>
      <c r="K40"/>
      <c r="L40" s="12" t="str">
        <f t="shared" si="3"/>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A1:G40"/>
  <sheetViews>
    <sheetView workbookViewId="0">
      <selection activeCell="A11" sqref="A11"/>
    </sheetView>
  </sheetViews>
  <sheetFormatPr defaultRowHeight="14.75"/>
  <cols>
    <col min="1" max="1" width="6.90625" style="156" customWidth="1"/>
    <col min="2" max="2" width="7.36328125" style="156" customWidth="1"/>
    <col min="3" max="3" width="108.2265625" style="154" customWidth="1"/>
    <col min="7" max="7" width="29.54296875" customWidth="1"/>
    <col min="8" max="8" width="54.90625" customWidth="1"/>
  </cols>
  <sheetData>
    <row r="1" spans="3:7" ht="15.5" thickBot="1">
      <c r="C1" s="152" t="str">
        <f>HospitalPatientRecords!J1</f>
        <v>//===================================================</v>
      </c>
    </row>
    <row r="2" spans="3:7" ht="16.75" thickBot="1">
      <c r="C2" s="24" t="str">
        <f>HospitalPatientRecords!J2</f>
        <v>//  Logical Model</v>
      </c>
      <c r="G2" s="29" t="s">
        <v>2257</v>
      </c>
    </row>
    <row r="3" spans="3:7">
      <c r="C3" s="24" t="str">
        <f>HospitalPatientRecords!J3</f>
        <v>//===================================================</v>
      </c>
    </row>
    <row r="4" spans="3:7">
      <c r="C4" s="153" t="str">
        <f>HospitalPatientRecords!J4</f>
        <v>Logical: HospitalPatientRecordsI4rc</v>
      </c>
    </row>
    <row r="5" spans="3:7">
      <c r="C5" s="153" t="str">
        <f>HospitalPatientRecords!J5</f>
        <v>Id: HospitalPatientRecords</v>
      </c>
    </row>
    <row r="6" spans="3:7">
      <c r="C6" s="153" t="str">
        <f>HospitalPatientRecords!J6</f>
        <v>Title: ##34#Hospital Patient Records##34#</v>
      </c>
    </row>
    <row r="7" spans="3:7">
      <c r="C7" s="153" t="str">
        <f>HospitalPatientRecords!J7</f>
        <v>Description:  ##334#Hospital Patient Records##334#</v>
      </c>
    </row>
    <row r="8" spans="3:7" ht="29.5">
      <c r="C8" s="154" t="str">
        <f>IF(HospitalPatientRecords!J8="*  ..  ##34###34# ##334###334#","//--- END",HospitalPatientRecords!J8)</f>
        <v>* patient 1..1 http://hl7.eu/fhir/ig/idea4rc/StructureDefinition/Subject ##34#Patient##34# ##334#Patient element containing the data regarding the patient followed by the hospital##334#</v>
      </c>
    </row>
    <row r="9" spans="3:7" ht="29.5">
      <c r="C9" s="154" t="str">
        <f>IF(HospitalPatientRecords!J9="*  ..  ##34###34# ##334###334#","//--- END",HospitalPatientRecords!J9)</f>
        <v>* hospital 1..1 BackboneElement ##34#Hospital##34# ##334#Hospital element containing the data regarding the patient followed by the hospital##334#</v>
      </c>
    </row>
    <row r="10" spans="3:7">
      <c r="C10" s="154" t="str">
        <f>IF(HospitalPatientRecords!J10="*  ..  ##34###34# ##334###334#","//--- END",HospitalPatientRecords!J10)</f>
        <v>* hospital.name 1..1 string ##34#Hospital Name##34# ##334#Hospital where the patients is included in the registry##334#</v>
      </c>
    </row>
    <row r="11" spans="3:7" ht="59">
      <c r="C11" s="154" t="str">
        <f>IF(HospitalPatientRecords!J11="*  ..  ##34###34# ##334###334#","//--- END",HospitalPatientRecords!J11)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c r="C12" s="154" t="str">
        <f>IF(HospitalPatientRecords!J12="*  ..  ##34###34# ##334###334#","//--- END",HospitalPatientRecords!J12)</f>
        <v>//--- END</v>
      </c>
    </row>
    <row r="13" spans="3:7">
      <c r="C13" s="154" t="str">
        <f>IF(HospitalPatientRecords!J14="*  ..  ##34###34# ##334###334#","//--- END",HospitalPatientRecords!J14)</f>
        <v>//--- END</v>
      </c>
    </row>
    <row r="14" spans="3:7">
      <c r="C14" s="154" t="str">
        <f>IF(HospitalPatientRecords!J15="*  ..  ##34###34# ##334###334#","//--- END",HospitalPatientRecords!J15)</f>
        <v>//--- END</v>
      </c>
    </row>
    <row r="15" spans="3:7">
      <c r="C15" s="154" t="str">
        <f>IF(HospitalPatientRecords!J16="*  ..  ##34###34# ##334###334#","//--- END",HospitalPatientRecords!J16)</f>
        <v>//--- END</v>
      </c>
    </row>
    <row r="16" spans="3:7">
      <c r="C16" s="154" t="str">
        <f>IF(HospitalPatientRecords!J17="*  ..  ##34###34# ##334###334#","//--- END",HospitalPatientRecords!J17)</f>
        <v>//--- END</v>
      </c>
    </row>
    <row r="17" spans="3:3">
      <c r="C17" s="154" t="str">
        <f>IF(HospitalPatientRecords!J18="*  ..  ##34###34# ##334###334#","//--- END",HospitalPatientRecords!J18)</f>
        <v>//--- END</v>
      </c>
    </row>
    <row r="18" spans="3:3">
      <c r="C18" s="154" t="str">
        <f>IF(HospitalPatientRecords!J19="*  ..  ##34###34# ##334###334#","//--- END",HospitalPatientRecords!J19)</f>
        <v>//--- END</v>
      </c>
    </row>
    <row r="19" spans="3:3">
      <c r="C19" s="154" t="str">
        <f>IF(HospitalPatientRecords!J20="*  ..  ##34###34# ##334###334#","//--- END",HospitalPatientRecords!J20)</f>
        <v>//--- END</v>
      </c>
    </row>
    <row r="20" spans="3:3">
      <c r="C20" s="154" t="str">
        <f>IF(HospitalPatientRecords!J21="*  ..  ##34###34# ##334###334#","//--- END",HospitalPatientRecords!J21)</f>
        <v>//--- END</v>
      </c>
    </row>
    <row r="21" spans="3:3">
      <c r="C21" s="154" t="str">
        <f>IF(HospitalPatientRecords!J22="*  ..  ##34###34# ##334###334#","//--- END",HospitalPatientRecords!J22)</f>
        <v>//--- END</v>
      </c>
    </row>
    <row r="22" spans="3:3">
      <c r="C22" s="154" t="str">
        <f>IF(HospitalPatientRecords!J23="*  ..  ##34###34# ##334###334#","//--- END",HospitalPatientRecords!J23)</f>
        <v>//--- END</v>
      </c>
    </row>
    <row r="23" spans="3:3">
      <c r="C23" s="154" t="str">
        <f>IF(HospitalPatientRecords!J24="*  ..  ##34###34# ##334###334#","//--- END",HospitalPatientRecords!J24)</f>
        <v>//--- END</v>
      </c>
    </row>
    <row r="24" spans="3:3">
      <c r="C24" s="154" t="str">
        <f>IF(HospitalPatientRecords!J25="*  ..  ##34###34# ##334###334#","//--- END",HospitalPatientRecords!J25)</f>
        <v>//--- END</v>
      </c>
    </row>
    <row r="31" spans="3:3">
      <c r="C31" s="152" t="s">
        <v>1613</v>
      </c>
    </row>
    <row r="32" spans="3:3">
      <c r="C32" s="24" t="s">
        <v>1651</v>
      </c>
    </row>
    <row r="33" spans="3:3">
      <c r="C33" s="24" t="s">
        <v>1613</v>
      </c>
    </row>
    <row r="34" spans="3:3" ht="29.5">
      <c r="C34" s="154" t="str">
        <f>IF(HospitalPatientRecords!L8="*  ..  ##34###34# ##334###334#","//--- END",HospitalPatientRecords!L8)</f>
        <v>* patient ^comment = ##334#A patient element data
-##334#</v>
      </c>
    </row>
    <row r="35" spans="3:3" ht="29.5">
      <c r="C35" s="154" t="str">
        <f>IF(HospitalPatientRecords!L9="*  ..  ##34###34# ##334###334#","//--- END",HospitalPatientRecords!L9)</f>
        <v>* hospital ^comment = ##334#A hospital element data
-##334#</v>
      </c>
    </row>
    <row r="36" spans="3:3">
      <c r="C36" s="154" t="str">
        <f>IF(HospitalPatientRecords!L10="*  ..  ##34###34# ##334###334#","//--- END",HospitalPatientRecords!L10)</f>
        <v/>
      </c>
    </row>
    <row r="37" spans="3:3" ht="29.5">
      <c r="C37" s="154" t="str">
        <f>IF(HospitalPatientRecords!L11="*  ..  ##34###34# ##334###334#","//--- END",HospitalPatientRecords!L11)</f>
        <v>* firstContactDate ^comment = ##334#Date
-##334#</v>
      </c>
    </row>
    <row r="38" spans="3:3">
      <c r="C38" s="154" t="str">
        <f>IF(HospitalPatientRecords!L13="*  ..  ##34###34# ##334###334#","//--- END",HospitalPatientRecords!L13)</f>
        <v>//--- END</v>
      </c>
    </row>
    <row r="39" spans="3:3">
      <c r="C39" s="154" t="str">
        <f>IF(HospitalPatientRecords!L14="*  ..  ##34###34# ##334###334#","//--- END",HospitalPatientRecords!L14)</f>
        <v>//--- END</v>
      </c>
    </row>
    <row r="40" spans="3:3">
      <c r="C40" s="154" t="str">
        <f>IF(HospitalPatientRecords!L15="*  ..  ##34###34# ##334###334#","//--- END",HospitalPatientRecords!L15)</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P19" sqref="P19"/>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2356</v>
      </c>
      <c r="D3" s="62" t="s">
        <v>1769</v>
      </c>
      <c r="E3" s="117" t="str">
        <f>$C$1&amp;B14</f>
        <v>http://hl7.eu/fhir/ig/idea4rc/StructureDefinition/HospitalPatientRecords</v>
      </c>
    </row>
    <row r="4" spans="1:19">
      <c r="B4" s="62" t="s">
        <v>16</v>
      </c>
      <c r="C4" s="28" t="s">
        <v>2356</v>
      </c>
      <c r="D4" s="62" t="s">
        <v>1770</v>
      </c>
      <c r="E4" s="184" t="s">
        <v>2359</v>
      </c>
      <c r="F4" s="185"/>
      <c r="G4" s="185"/>
    </row>
    <row r="5" spans="1:19">
      <c r="B5" s="62" t="s">
        <v>10</v>
      </c>
      <c r="C5" s="7" t="s">
        <v>2357</v>
      </c>
      <c r="D5" s="62"/>
      <c r="E5" s="7"/>
    </row>
    <row r="6" spans="1:19">
      <c r="B6" s="62" t="s">
        <v>18</v>
      </c>
      <c r="C6" s="56"/>
      <c r="D6" s="62" t="s">
        <v>1771</v>
      </c>
      <c r="E6" s="184" t="str">
        <f>E3</f>
        <v>http://hl7.eu/fhir/ig/idea4rc/StructureDefinition/HospitalPatientRecords</v>
      </c>
      <c r="F6" s="185"/>
      <c r="G6" s="185"/>
    </row>
    <row r="7" spans="1:19">
      <c r="B7" s="62" t="s">
        <v>15</v>
      </c>
      <c r="C7" s="118"/>
      <c r="D7" s="62" t="s">
        <v>1772</v>
      </c>
      <c r="E7" s="184" t="str">
        <f>E4</f>
        <v>http://hl7.eu/fhir/ig/idea4rc/StructureDefinition/episodeOfCare-eu-i4rc</v>
      </c>
      <c r="F7" s="185"/>
      <c r="G7" s="185"/>
    </row>
    <row r="8" spans="1:19" ht="45" thickBot="1">
      <c r="B8" s="62" t="s">
        <v>1773</v>
      </c>
      <c r="C8" t="s">
        <v>2357</v>
      </c>
      <c r="D8" s="62"/>
      <c r="E8" s="7"/>
      <c r="I8" s="12" t="s">
        <v>1402</v>
      </c>
      <c r="J8" s="12" t="s">
        <v>1403</v>
      </c>
      <c r="K8" s="12" t="s">
        <v>1404</v>
      </c>
      <c r="L8" s="12" t="s">
        <v>1405</v>
      </c>
      <c r="M8" s="11" t="s">
        <v>1406</v>
      </c>
      <c r="P8" s="49" t="s">
        <v>1441</v>
      </c>
      <c r="Q8" s="49">
        <v>6</v>
      </c>
    </row>
    <row r="9" spans="1:19" ht="30.25" thickBot="1">
      <c r="B9" s="62" t="s">
        <v>1774</v>
      </c>
      <c r="C9" s="12" t="s">
        <v>2358</v>
      </c>
      <c r="D9" s="143"/>
      <c r="E9" s="186"/>
      <c r="F9" s="187"/>
      <c r="G9" s="18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HospitalPatientRecords!B5</f>
        <v>HospitalPatientRecords</v>
      </c>
      <c r="C14" s="11"/>
      <c r="D14" s="4" t="s">
        <v>2360</v>
      </c>
      <c r="E14" s="6"/>
      <c r="F14" s="64"/>
      <c r="G14" s="64"/>
      <c r="I14" s="12"/>
      <c r="J14" s="11"/>
      <c r="K14" s="11"/>
      <c r="L14" s="11"/>
      <c r="M14" s="63"/>
      <c r="N14" s="66"/>
    </row>
    <row r="15" spans="1:19" ht="44.25">
      <c r="A15" s="59"/>
      <c r="B15" s="11" t="str">
        <f>HospitalPatientRecords!B8</f>
        <v>patient</v>
      </c>
      <c r="C15" s="11" t="str">
        <f>HospitalPatientRecords!C8</f>
        <v>Patient</v>
      </c>
      <c r="D15" s="12" t="s">
        <v>1783</v>
      </c>
      <c r="E15" s="12"/>
      <c r="F15" s="64" t="s">
        <v>1430</v>
      </c>
      <c r="G15" s="123"/>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c r="A16" s="59"/>
      <c r="B16" s="11" t="str">
        <f>HospitalPatientRecords!B9</f>
        <v>hospital</v>
      </c>
      <c r="C16" s="11" t="str">
        <f>HospitalPatientRecords!C9</f>
        <v>Hospital</v>
      </c>
      <c r="D16" s="12" t="s">
        <v>2361</v>
      </c>
      <c r="E16" s="12"/>
      <c r="F16" s="64" t="s">
        <v>1429</v>
      </c>
      <c r="G16" s="123"/>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c r="A17" s="59"/>
      <c r="B17" s="11" t="str">
        <f>HospitalPatientRecords!B10</f>
        <v>hospital.name</v>
      </c>
      <c r="C17" s="11" t="str">
        <f>HospitalPatientRecords!C10</f>
        <v>Hospital Name</v>
      </c>
      <c r="D17" s="12" t="s">
        <v>2362</v>
      </c>
      <c r="E17" s="12"/>
      <c r="F17" s="64" t="s">
        <v>1429</v>
      </c>
      <c r="G17" s="123"/>
      <c r="H17" s="58"/>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c r="A18" s="59"/>
      <c r="B18" s="11" t="str">
        <f>HospitalPatientRecords!B11</f>
        <v>firstContactDate</v>
      </c>
      <c r="C18" s="11" t="str">
        <f>HospitalPatientRecords!C11</f>
        <v>Date of first contact with the hospital</v>
      </c>
      <c r="D18" s="12" t="s">
        <v>2363</v>
      </c>
      <c r="E18" s="12"/>
      <c r="F18" s="64" t="s">
        <v>1430</v>
      </c>
      <c r="G18" s="123"/>
      <c r="H18" s="58"/>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c r="A19" s="59"/>
      <c r="B19" s="11"/>
      <c r="C19" s="11"/>
      <c r="D19" s="12"/>
      <c r="E19" s="12"/>
      <c r="F19" s="64"/>
      <c r="G19" s="123"/>
      <c r="H19" s="58"/>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c r="A20" s="59"/>
      <c r="B20" s="11"/>
      <c r="C20" s="11"/>
      <c r="D20" s="12"/>
      <c r="E20" s="12"/>
      <c r="F20" s="64"/>
      <c r="G20" s="123"/>
      <c r="H20" s="58"/>
      <c r="I20" s="12"/>
      <c r="J20" s="12"/>
      <c r="K20" s="12"/>
      <c r="L20" s="12"/>
      <c r="M20" s="12"/>
      <c r="N20" s="12"/>
      <c r="P20" s="11">
        <v>6</v>
      </c>
      <c r="Q20" s="11">
        <f t="shared" si="13"/>
        <v>0</v>
      </c>
      <c r="R20" s="11">
        <f t="shared" si="14"/>
        <v>6</v>
      </c>
      <c r="S20" s="12" t="str" cm="1">
        <f t="array" ref="S20">INDEX('HospitalPatientRec-ConceptMap-1'!$I$15:$N$124,Q20+1,R20)</f>
        <v/>
      </c>
    </row>
    <row r="21" spans="1:19">
      <c r="A21" s="59"/>
      <c r="B21" s="11"/>
      <c r="C21" s="11"/>
      <c r="D21" s="12"/>
      <c r="E21" s="12"/>
      <c r="F21" s="64"/>
      <c r="G21" s="123"/>
      <c r="H21" s="58"/>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c r="A22" s="59"/>
      <c r="B22" s="11"/>
      <c r="C22" s="11"/>
      <c r="D22" s="12"/>
      <c r="E22" s="12"/>
      <c r="F22" s="64"/>
      <c r="G22" s="123"/>
      <c r="H22" s="58"/>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c r="A23" s="59"/>
      <c r="B23" s="11"/>
      <c r="C23" s="11"/>
      <c r="D23" s="12"/>
      <c r="E23" s="12"/>
      <c r="F23" s="64"/>
      <c r="G23" s="123"/>
      <c r="H23" s="58"/>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c r="A24" s="59"/>
      <c r="B24" s="11"/>
      <c r="C24" s="11"/>
      <c r="D24" s="12"/>
      <c r="E24" s="12"/>
      <c r="F24" s="64"/>
      <c r="G24" s="123"/>
      <c r="H24" s="58"/>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c r="A25" s="59"/>
      <c r="B25" s="11"/>
      <c r="C25" s="11"/>
      <c r="D25" s="12"/>
      <c r="E25" s="12"/>
      <c r="F25" s="64"/>
      <c r="G25" s="123"/>
      <c r="H25" s="58"/>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c r="A26" s="59"/>
      <c r="B26" s="11"/>
      <c r="C26" s="11"/>
      <c r="D26" s="12"/>
      <c r="E26" s="12"/>
      <c r="F26" s="64"/>
      <c r="G26" s="123"/>
      <c r="H26" s="58"/>
      <c r="I26" s="12"/>
      <c r="J26" s="12"/>
      <c r="K26" s="12"/>
      <c r="L26" s="12"/>
      <c r="M26" s="12"/>
      <c r="N26" s="12"/>
      <c r="P26" s="11">
        <v>12</v>
      </c>
      <c r="Q26" s="11">
        <f t="shared" si="13"/>
        <v>1</v>
      </c>
      <c r="R26" s="11">
        <f t="shared" si="14"/>
        <v>6</v>
      </c>
      <c r="S26" s="12" t="str" cm="1">
        <f t="array" ref="S26">INDEX('HospitalPatientRec-ConceptMap-1'!$I$15:$N$124,Q26+1,R26)</f>
        <v/>
      </c>
    </row>
    <row r="27" spans="1:19">
      <c r="A27" s="59"/>
      <c r="B27" s="11"/>
      <c r="C27" s="11"/>
      <c r="D27" s="12"/>
      <c r="E27" s="12"/>
      <c r="F27" s="64"/>
      <c r="G27" s="123"/>
      <c r="H27" s="58"/>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c r="B28" s="11"/>
      <c r="C28" s="11"/>
      <c r="D28" s="12"/>
      <c r="E28" s="12"/>
      <c r="F28" s="64"/>
      <c r="G28" s="123"/>
      <c r="H28" s="58"/>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c r="B29" s="11"/>
      <c r="C29" s="11"/>
      <c r="D29" s="12"/>
      <c r="E29" s="12"/>
      <c r="F29" s="64"/>
      <c r="G29" s="123"/>
      <c r="H29" s="58"/>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c r="B30" s="11"/>
      <c r="C30" s="11"/>
      <c r="D30" s="12"/>
      <c r="E30" s="12"/>
      <c r="F30" s="64"/>
      <c r="G30" s="123"/>
      <c r="H30" s="58"/>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c r="B31" s="11"/>
      <c r="C31" s="11"/>
      <c r="D31" s="12"/>
      <c r="E31" s="12"/>
      <c r="F31" s="64"/>
      <c r="G31" s="123"/>
      <c r="H31" s="58"/>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c r="B32" s="11"/>
      <c r="C32" s="11"/>
      <c r="D32" s="12"/>
      <c r="E32" s="12"/>
      <c r="F32" s="64"/>
      <c r="G32" s="123"/>
      <c r="H32" s="58"/>
      <c r="I32" s="12"/>
      <c r="J32" s="12"/>
      <c r="K32" s="12"/>
      <c r="L32" s="12"/>
      <c r="M32" s="12"/>
      <c r="N32" s="12"/>
      <c r="P32" s="11">
        <v>18</v>
      </c>
      <c r="Q32" s="11">
        <f t="shared" si="13"/>
        <v>2</v>
      </c>
      <c r="R32" s="11">
        <f t="shared" si="14"/>
        <v>6</v>
      </c>
      <c r="S32" s="12" t="str" cm="1">
        <f t="array" ref="S32">INDEX('HospitalPatientRec-ConceptMap-1'!$I$15:$N$124,Q32+1,R32)</f>
        <v/>
      </c>
    </row>
    <row r="33" spans="1:19">
      <c r="B33" s="11"/>
      <c r="C33" s="11"/>
      <c r="D33" s="12"/>
      <c r="E33" s="12"/>
      <c r="F33" s="64"/>
      <c r="G33" s="123"/>
      <c r="H33" s="58"/>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c r="B34" s="11"/>
      <c r="C34" s="11"/>
      <c r="D34" s="12"/>
      <c r="E34" s="12"/>
      <c r="F34" s="64"/>
      <c r="G34" s="123"/>
      <c r="H34" s="58"/>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c r="B35" s="11"/>
      <c r="C35" s="11"/>
      <c r="D35" s="12"/>
      <c r="E35" s="12"/>
      <c r="F35" s="64"/>
      <c r="G35" s="123"/>
      <c r="H35" s="58"/>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c r="B36" s="11"/>
      <c r="C36" s="11"/>
      <c r="D36" s="12"/>
      <c r="E36" s="12"/>
      <c r="F36" s="64"/>
      <c r="G36" s="123"/>
      <c r="H36" s="58"/>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c r="B37" s="11"/>
      <c r="C37" s="11"/>
      <c r="D37" s="12"/>
      <c r="E37" s="12"/>
      <c r="F37" s="64"/>
      <c r="G37" s="123"/>
      <c r="H37" s="58"/>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c r="B38" s="11"/>
      <c r="C38" s="11"/>
      <c r="D38" s="12"/>
      <c r="E38" s="12"/>
      <c r="F38" s="64"/>
      <c r="G38" s="123"/>
      <c r="H38" s="58"/>
      <c r="I38" s="12"/>
      <c r="J38" s="12"/>
      <c r="K38" s="12"/>
      <c r="L38" s="12"/>
      <c r="M38" s="12"/>
      <c r="N38" s="12"/>
      <c r="P38" s="11">
        <v>24</v>
      </c>
      <c r="Q38" s="11">
        <f t="shared" si="13"/>
        <v>3</v>
      </c>
      <c r="R38" s="11">
        <f t="shared" si="14"/>
        <v>6</v>
      </c>
      <c r="S38" s="12" t="str" cm="1">
        <f t="array" ref="S38">INDEX('HospitalPatientRec-ConceptMap-1'!$I$15:$N$124,Q38+1,R38)</f>
        <v/>
      </c>
    </row>
    <row r="39" spans="1:19">
      <c r="B39" s="11"/>
      <c r="C39" s="11"/>
      <c r="D39" s="12"/>
      <c r="E39" s="12"/>
      <c r="F39" s="64"/>
      <c r="G39" s="123"/>
      <c r="H39" s="58"/>
      <c r="I39" s="12"/>
      <c r="J39" s="12"/>
      <c r="K39" s="12"/>
      <c r="L39" s="12"/>
      <c r="M39" s="12"/>
      <c r="N39" s="12"/>
      <c r="P39" s="11">
        <v>25</v>
      </c>
      <c r="Q39" s="11">
        <f t="shared" si="13"/>
        <v>4</v>
      </c>
      <c r="R39" s="11">
        <f t="shared" si="14"/>
        <v>1</v>
      </c>
      <c r="S39" s="12" cm="1">
        <f t="array" ref="S39">INDEX('HospitalPatientRec-ConceptMap-1'!$I$15:$N$124,Q39+1,R39)</f>
        <v>0</v>
      </c>
    </row>
    <row r="40" spans="1:19" s="2" customFormat="1">
      <c r="A40"/>
      <c r="B40" s="11"/>
      <c r="C40" s="11"/>
      <c r="D40" s="12"/>
      <c r="E40" s="12"/>
      <c r="F40" s="64"/>
      <c r="G40" s="123"/>
      <c r="H40" s="58"/>
      <c r="I40" s="12"/>
      <c r="J40" s="12"/>
      <c r="K40" s="12"/>
      <c r="L40" s="12"/>
      <c r="M40" s="12"/>
      <c r="N40" s="12"/>
      <c r="P40" s="11">
        <v>26</v>
      </c>
      <c r="Q40" s="11">
        <f t="shared" si="13"/>
        <v>4</v>
      </c>
      <c r="R40" s="11">
        <f t="shared" si="14"/>
        <v>2</v>
      </c>
      <c r="S40" s="12" cm="1">
        <f t="array" ref="S40">INDEX('HospitalPatientRec-ConceptMap-1'!$I$15:$N$124,Q40+1,R40)</f>
        <v>0</v>
      </c>
    </row>
    <row r="41" spans="1:19" s="2" customFormat="1">
      <c r="A41"/>
      <c r="B41" s="11"/>
      <c r="C41" s="11"/>
      <c r="D41" s="12"/>
      <c r="E41" s="12"/>
      <c r="F41" s="64"/>
      <c r="G41" s="123"/>
      <c r="H41" s="58"/>
      <c r="I41" s="12"/>
      <c r="J41" s="12"/>
      <c r="K41" s="12"/>
      <c r="L41" s="12"/>
      <c r="M41" s="12"/>
      <c r="N41" s="12"/>
      <c r="P41" s="11">
        <v>27</v>
      </c>
      <c r="Q41" s="11">
        <f t="shared" si="13"/>
        <v>4</v>
      </c>
      <c r="R41" s="11">
        <f t="shared" si="14"/>
        <v>3</v>
      </c>
      <c r="S41" s="12" cm="1">
        <f t="array" ref="S41">INDEX('HospitalPatientRec-ConceptMap-1'!$I$15:$N$124,Q41+1,R41)</f>
        <v>0</v>
      </c>
    </row>
    <row r="42" spans="1:19" s="2" customFormat="1">
      <c r="A42"/>
      <c r="B42" s="11"/>
      <c r="C42" s="11"/>
      <c r="D42" s="12"/>
      <c r="E42" s="12"/>
      <c r="F42" s="64"/>
      <c r="G42" s="123"/>
      <c r="H42" s="58"/>
      <c r="J42"/>
      <c r="K42" s="58"/>
      <c r="L42" s="58"/>
      <c r="M42" s="66"/>
      <c r="N42" s="66"/>
      <c r="P42" s="11">
        <v>28</v>
      </c>
      <c r="Q42" s="11">
        <f t="shared" si="13"/>
        <v>4</v>
      </c>
      <c r="R42" s="11">
        <f t="shared" si="14"/>
        <v>4</v>
      </c>
      <c r="S42" s="12" cm="1">
        <f t="array" ref="S42">INDEX('HospitalPatientRec-ConceptMap-1'!$I$15:$N$124,Q42+1,R42)</f>
        <v>0</v>
      </c>
    </row>
    <row r="43" spans="1:19" s="2" customFormat="1">
      <c r="A43"/>
      <c r="B43" s="11"/>
      <c r="C43" s="11"/>
      <c r="D43" s="12"/>
      <c r="E43" s="12"/>
      <c r="F43" s="64"/>
      <c r="G43" s="123"/>
      <c r="H43" s="58"/>
      <c r="J43" s="58"/>
      <c r="K43" s="58"/>
      <c r="L43" s="58"/>
      <c r="M43" s="66"/>
      <c r="N43" s="66"/>
      <c r="P43" s="11">
        <v>29</v>
      </c>
      <c r="Q43" s="11">
        <f t="shared" si="13"/>
        <v>4</v>
      </c>
      <c r="R43" s="11">
        <f t="shared" si="14"/>
        <v>5</v>
      </c>
      <c r="S43" s="12" cm="1">
        <f t="array" ref="S43">INDEX('HospitalPatientRec-ConceptMap-1'!$I$15:$N$124,Q43+1,R43)</f>
        <v>0</v>
      </c>
    </row>
    <row r="44" spans="1:19" s="2" customFormat="1">
      <c r="A44"/>
      <c r="B44" s="11"/>
      <c r="C44" s="11"/>
      <c r="D44" s="12"/>
      <c r="E44" s="12"/>
      <c r="F44" s="64"/>
      <c r="G44" s="123"/>
      <c r="H44" s="58"/>
      <c r="J44" s="58"/>
      <c r="K44" s="58"/>
      <c r="L44" s="58"/>
      <c r="M44" s="66"/>
      <c r="N44" s="66"/>
      <c r="P44" s="11">
        <v>30</v>
      </c>
      <c r="Q44" s="11">
        <f t="shared" si="13"/>
        <v>4</v>
      </c>
      <c r="R44" s="11">
        <f t="shared" si="14"/>
        <v>6</v>
      </c>
      <c r="S44" s="12" cm="1">
        <f t="array" ref="S44">INDEX('HospitalPatientRec-ConceptMap-1'!$I$15:$N$124,Q44+1,R44)</f>
        <v>0</v>
      </c>
    </row>
    <row r="45" spans="1:19">
      <c r="B45" s="11"/>
      <c r="C45" s="11"/>
      <c r="D45" s="12"/>
      <c r="E45" s="12"/>
      <c r="F45" s="64"/>
      <c r="G45" s="123"/>
      <c r="P45" s="11">
        <v>31</v>
      </c>
      <c r="Q45" s="11">
        <f t="shared" si="13"/>
        <v>5</v>
      </c>
      <c r="R45" s="11">
        <f t="shared" si="14"/>
        <v>1</v>
      </c>
      <c r="S45" s="12" cm="1">
        <f t="array" ref="S45">INDEX('HospitalPatientRec-ConceptMap-1'!$I$15:$N$124,Q45+1,R45)</f>
        <v>0</v>
      </c>
    </row>
    <row r="46" spans="1:19">
      <c r="B46" s="11"/>
      <c r="C46" s="11"/>
      <c r="D46" s="12"/>
      <c r="E46" s="12"/>
      <c r="F46" s="64"/>
      <c r="G46" s="123"/>
      <c r="P46" s="11">
        <v>32</v>
      </c>
      <c r="Q46" s="11">
        <f t="shared" si="13"/>
        <v>5</v>
      </c>
      <c r="R46" s="11">
        <f t="shared" si="14"/>
        <v>2</v>
      </c>
      <c r="S46" s="12" cm="1">
        <f t="array" ref="S46">INDEX('HospitalPatientRec-ConceptMap-1'!$I$15:$N$124,Q46+1,R46)</f>
        <v>0</v>
      </c>
    </row>
    <row r="47" spans="1:19">
      <c r="B47" s="11"/>
      <c r="C47" s="11"/>
      <c r="D47" s="12"/>
      <c r="E47" s="12"/>
      <c r="F47" s="64"/>
      <c r="G47" s="123"/>
      <c r="P47" s="11">
        <v>33</v>
      </c>
      <c r="Q47" s="11">
        <f t="shared" si="13"/>
        <v>5</v>
      </c>
      <c r="R47" s="11">
        <f t="shared" si="14"/>
        <v>3</v>
      </c>
      <c r="S47" s="12" cm="1">
        <f t="array" ref="S47">INDEX('HospitalPatientRec-ConceptMap-1'!$I$15:$N$124,Q47+1,R47)</f>
        <v>0</v>
      </c>
    </row>
    <row r="48" spans="1:19">
      <c r="B48" s="11"/>
      <c r="C48" s="11"/>
      <c r="D48" s="12"/>
      <c r="E48" s="12"/>
      <c r="F48" s="64"/>
      <c r="G48" s="123"/>
      <c r="P48" s="11">
        <v>34</v>
      </c>
      <c r="Q48" s="11">
        <f t="shared" si="13"/>
        <v>5</v>
      </c>
      <c r="R48" s="11">
        <f t="shared" si="14"/>
        <v>4</v>
      </c>
      <c r="S48" s="12" cm="1">
        <f t="array" ref="S48">INDEX('HospitalPatientRec-ConceptMap-1'!$I$15:$N$124,Q48+1,R48)</f>
        <v>0</v>
      </c>
    </row>
    <row r="49" spans="2:19">
      <c r="B49" s="11"/>
      <c r="C49" s="11"/>
      <c r="D49" s="12"/>
      <c r="E49" s="12"/>
      <c r="F49" s="64"/>
      <c r="G49" s="123"/>
      <c r="P49" s="11">
        <v>35</v>
      </c>
      <c r="Q49" s="11">
        <f t="shared" si="13"/>
        <v>5</v>
      </c>
      <c r="R49" s="11">
        <f t="shared" si="14"/>
        <v>5</v>
      </c>
      <c r="S49" s="12" cm="1">
        <f t="array" ref="S49">INDEX('HospitalPatientRec-ConceptMap-1'!$I$15:$N$124,Q49+1,R49)</f>
        <v>0</v>
      </c>
    </row>
    <row r="50" spans="2:19">
      <c r="B50" s="11"/>
      <c r="C50" s="11"/>
      <c r="D50" s="12"/>
      <c r="E50" s="12"/>
      <c r="F50" s="64"/>
      <c r="G50" s="123"/>
      <c r="P50" s="11">
        <v>36</v>
      </c>
      <c r="Q50" s="11">
        <f t="shared" si="13"/>
        <v>5</v>
      </c>
      <c r="R50" s="11">
        <f t="shared" si="14"/>
        <v>6</v>
      </c>
      <c r="S50" s="12" cm="1">
        <f t="array" ref="S50">INDEX('HospitalPatientRec-ConceptMap-1'!$I$15:$N$124,Q50+1,R50)</f>
        <v>0</v>
      </c>
    </row>
    <row r="51" spans="2:19">
      <c r="B51" s="11"/>
      <c r="C51" s="11"/>
      <c r="D51" s="12"/>
      <c r="E51" s="12"/>
      <c r="F51" s="64"/>
      <c r="G51" s="123"/>
      <c r="P51" s="11">
        <v>37</v>
      </c>
      <c r="Q51" s="11">
        <f t="shared" si="13"/>
        <v>6</v>
      </c>
      <c r="R51" s="11">
        <f t="shared" si="14"/>
        <v>1</v>
      </c>
      <c r="S51" s="12" cm="1">
        <f t="array" ref="S51">INDEX('HospitalPatientRec-ConceptMap-1'!$I$15:$N$124,Q51+1,R51)</f>
        <v>0</v>
      </c>
    </row>
    <row r="52" spans="2:19">
      <c r="B52" s="11"/>
      <c r="C52" s="11"/>
      <c r="D52" s="12"/>
      <c r="E52" s="12"/>
      <c r="F52" s="64"/>
      <c r="G52" s="123"/>
      <c r="P52" s="11">
        <v>38</v>
      </c>
      <c r="Q52" s="11">
        <f t="shared" si="13"/>
        <v>6</v>
      </c>
      <c r="R52" s="11">
        <f t="shared" si="14"/>
        <v>2</v>
      </c>
      <c r="S52" s="12" cm="1">
        <f t="array" ref="S52">INDEX('HospitalPatientRec-ConceptMap-1'!$I$15:$N$124,Q52+1,R52)</f>
        <v>0</v>
      </c>
    </row>
    <row r="53" spans="2:19">
      <c r="B53" s="11"/>
      <c r="C53" s="11"/>
      <c r="D53" s="12"/>
      <c r="E53" s="12"/>
      <c r="F53" s="64"/>
      <c r="G53" s="123"/>
      <c r="P53" s="11">
        <v>39</v>
      </c>
      <c r="Q53" s="11">
        <f t="shared" si="13"/>
        <v>6</v>
      </c>
      <c r="R53" s="11">
        <f t="shared" si="14"/>
        <v>3</v>
      </c>
      <c r="S53" s="12" cm="1">
        <f t="array" ref="S53">INDEX('HospitalPatientRec-ConceptMap-1'!$I$15:$N$124,Q53+1,R53)</f>
        <v>0</v>
      </c>
    </row>
    <row r="54" spans="2:19">
      <c r="B54" s="11"/>
      <c r="C54" s="11"/>
      <c r="D54" s="12"/>
      <c r="E54" s="12"/>
      <c r="F54" s="64"/>
      <c r="G54" s="123"/>
      <c r="P54" s="11">
        <v>40</v>
      </c>
      <c r="Q54" s="11">
        <f t="shared" si="13"/>
        <v>6</v>
      </c>
      <c r="R54" s="11">
        <f t="shared" si="14"/>
        <v>4</v>
      </c>
      <c r="S54" s="12" cm="1">
        <f t="array" ref="S54">INDEX('HospitalPatientRec-ConceptMap-1'!$I$15:$N$124,Q54+1,R54)</f>
        <v>0</v>
      </c>
    </row>
    <row r="55" spans="2:19">
      <c r="B55" s="11"/>
      <c r="C55" s="11"/>
      <c r="D55" s="12"/>
      <c r="E55" s="12"/>
      <c r="F55" s="64"/>
      <c r="G55" s="123"/>
      <c r="P55" s="11">
        <v>41</v>
      </c>
      <c r="Q55" s="11">
        <f t="shared" si="13"/>
        <v>6</v>
      </c>
      <c r="R55" s="11">
        <f t="shared" si="14"/>
        <v>5</v>
      </c>
      <c r="S55" s="12" cm="1">
        <f t="array" ref="S55">INDEX('HospitalPatientRec-ConceptMap-1'!$I$15:$N$124,Q55+1,R55)</f>
        <v>0</v>
      </c>
    </row>
    <row r="56" spans="2:19">
      <c r="B56" s="11"/>
      <c r="C56" s="11"/>
      <c r="D56" s="12"/>
      <c r="E56" s="12"/>
      <c r="F56" s="64"/>
      <c r="G56" s="123"/>
      <c r="P56" s="11">
        <v>42</v>
      </c>
      <c r="Q56" s="11">
        <f t="shared" si="13"/>
        <v>6</v>
      </c>
      <c r="R56" s="11">
        <f t="shared" si="14"/>
        <v>6</v>
      </c>
      <c r="S56" s="12" cm="1">
        <f t="array" ref="S56">INDEX('HospitalPatientRec-ConceptMap-1'!$I$15:$N$124,Q56+1,R56)</f>
        <v>0</v>
      </c>
    </row>
    <row r="57" spans="2:19">
      <c r="B57" s="11"/>
      <c r="C57" s="11"/>
      <c r="D57" s="12"/>
      <c r="E57" s="12"/>
      <c r="F57" s="64"/>
      <c r="G57" s="123"/>
      <c r="P57" s="11">
        <v>43</v>
      </c>
      <c r="Q57" s="11">
        <f t="shared" si="13"/>
        <v>7</v>
      </c>
      <c r="R57" s="11">
        <f t="shared" si="14"/>
        <v>1</v>
      </c>
      <c r="S57" s="12" cm="1">
        <f t="array" ref="S57">INDEX('HospitalPatientRec-ConceptMap-1'!$I$15:$N$124,Q57+1,R57)</f>
        <v>0</v>
      </c>
    </row>
    <row r="58" spans="2:19">
      <c r="B58" s="11"/>
      <c r="C58" s="11"/>
      <c r="D58" s="12"/>
      <c r="E58" s="12"/>
      <c r="F58" s="64"/>
      <c r="G58" s="123"/>
      <c r="P58" s="11">
        <v>44</v>
      </c>
      <c r="Q58" s="11">
        <f t="shared" si="13"/>
        <v>7</v>
      </c>
      <c r="R58" s="11">
        <f t="shared" si="14"/>
        <v>2</v>
      </c>
      <c r="S58" s="12" cm="1">
        <f t="array" ref="S58">INDEX('HospitalPatientRec-ConceptMap-1'!$I$15:$N$124,Q58+1,R58)</f>
        <v>0</v>
      </c>
    </row>
    <row r="59" spans="2:19">
      <c r="B59" s="11"/>
      <c r="C59" s="11"/>
      <c r="D59" s="12"/>
      <c r="E59" s="12"/>
      <c r="F59" s="64"/>
      <c r="G59" s="123"/>
      <c r="P59" s="11">
        <v>45</v>
      </c>
      <c r="Q59" s="11">
        <f t="shared" si="13"/>
        <v>7</v>
      </c>
      <c r="R59" s="11">
        <f t="shared" si="14"/>
        <v>3</v>
      </c>
      <c r="S59" s="12" cm="1">
        <f t="array" ref="S59">INDEX('HospitalPatientRec-ConceptMap-1'!$I$15:$N$124,Q59+1,R59)</f>
        <v>0</v>
      </c>
    </row>
    <row r="60" spans="2:19">
      <c r="B60" s="11"/>
      <c r="C60" s="11"/>
      <c r="D60" s="12"/>
      <c r="E60" s="12"/>
      <c r="F60" s="64"/>
      <c r="G60" s="123"/>
      <c r="P60" s="11">
        <v>46</v>
      </c>
      <c r="Q60" s="11">
        <f t="shared" si="13"/>
        <v>7</v>
      </c>
      <c r="R60" s="11">
        <f t="shared" si="14"/>
        <v>4</v>
      </c>
      <c r="S60" s="12" cm="1">
        <f t="array" ref="S60">INDEX('HospitalPatientRec-ConceptMap-1'!$I$15:$N$124,Q60+1,R60)</f>
        <v>0</v>
      </c>
    </row>
    <row r="61" spans="2:19">
      <c r="B61" s="11"/>
      <c r="C61" s="11"/>
      <c r="D61" s="12"/>
      <c r="E61" s="12"/>
      <c r="F61" s="64"/>
      <c r="G61" s="123"/>
      <c r="P61" s="11">
        <v>47</v>
      </c>
      <c r="Q61" s="11">
        <f t="shared" si="13"/>
        <v>7</v>
      </c>
      <c r="R61" s="11">
        <f t="shared" si="14"/>
        <v>5</v>
      </c>
      <c r="S61" s="12" cm="1">
        <f t="array" ref="S61">INDEX('HospitalPatientRec-ConceptMap-1'!$I$15:$N$124,Q61+1,R61)</f>
        <v>0</v>
      </c>
    </row>
    <row r="62" spans="2:19">
      <c r="B62" s="11"/>
      <c r="C62" s="11"/>
      <c r="D62" s="12"/>
      <c r="E62" s="12"/>
      <c r="F62" s="64"/>
      <c r="G62" s="123"/>
      <c r="P62" s="11">
        <v>48</v>
      </c>
      <c r="Q62" s="11">
        <f t="shared" si="13"/>
        <v>7</v>
      </c>
      <c r="R62" s="11">
        <f t="shared" si="14"/>
        <v>6</v>
      </c>
      <c r="S62" s="12" cm="1">
        <f t="array" ref="S62">INDEX('HospitalPatientRec-ConceptMap-1'!$I$15:$N$124,Q62+1,R62)</f>
        <v>0</v>
      </c>
    </row>
    <row r="63" spans="2:19">
      <c r="B63" s="11"/>
      <c r="C63" s="11"/>
      <c r="D63" s="12"/>
      <c r="E63" s="12"/>
      <c r="F63" s="64"/>
      <c r="G63" s="123"/>
      <c r="P63" s="11">
        <v>49</v>
      </c>
      <c r="Q63" s="11">
        <f t="shared" si="13"/>
        <v>8</v>
      </c>
      <c r="R63" s="11">
        <f t="shared" si="14"/>
        <v>1</v>
      </c>
      <c r="S63" s="12" cm="1">
        <f t="array" ref="S63">INDEX('HospitalPatientRec-ConceptMap-1'!$I$15:$N$124,Q63+1,R63)</f>
        <v>0</v>
      </c>
    </row>
    <row r="64" spans="2:19">
      <c r="B64" s="11"/>
      <c r="C64" s="11"/>
      <c r="D64" s="12"/>
      <c r="E64" s="12"/>
      <c r="F64" s="64"/>
      <c r="G64" s="123"/>
      <c r="P64" s="11">
        <v>50</v>
      </c>
      <c r="Q64" s="11">
        <f t="shared" si="13"/>
        <v>8</v>
      </c>
      <c r="R64" s="11">
        <f t="shared" si="14"/>
        <v>2</v>
      </c>
      <c r="S64" s="12" cm="1">
        <f t="array" ref="S64">INDEX('HospitalPatientRec-ConceptMap-1'!$I$15:$N$124,Q64+1,R64)</f>
        <v>0</v>
      </c>
    </row>
    <row r="65" spans="2:19">
      <c r="B65" s="11"/>
      <c r="C65" s="11"/>
      <c r="D65" s="12"/>
      <c r="E65" s="12"/>
      <c r="F65" s="64"/>
      <c r="G65" s="123"/>
      <c r="P65" s="11">
        <v>51</v>
      </c>
      <c r="Q65" s="11">
        <f t="shared" si="13"/>
        <v>8</v>
      </c>
      <c r="R65" s="11">
        <f t="shared" si="14"/>
        <v>3</v>
      </c>
      <c r="S65" s="12" cm="1">
        <f t="array" ref="S65">INDEX('HospitalPatientRec-ConceptMap-1'!$I$15:$N$124,Q65+1,R65)</f>
        <v>0</v>
      </c>
    </row>
    <row r="66" spans="2:19">
      <c r="B66" s="11"/>
      <c r="C66" s="11"/>
      <c r="D66" s="12"/>
      <c r="E66" s="12"/>
      <c r="F66" s="64"/>
      <c r="G66" s="123"/>
      <c r="P66" s="11">
        <v>52</v>
      </c>
      <c r="Q66" s="11">
        <f t="shared" si="13"/>
        <v>8</v>
      </c>
      <c r="R66" s="11">
        <f t="shared" si="14"/>
        <v>4</v>
      </c>
      <c r="S66" s="12" cm="1">
        <f t="array" ref="S66">INDEX('HospitalPatientRec-ConceptMap-1'!$I$15:$N$124,Q66+1,R66)</f>
        <v>0</v>
      </c>
    </row>
    <row r="67" spans="2:19">
      <c r="B67" s="11"/>
      <c r="C67" s="11"/>
      <c r="D67" s="12"/>
      <c r="E67" s="12"/>
      <c r="F67" s="64"/>
      <c r="G67" s="123"/>
      <c r="P67" s="11">
        <v>53</v>
      </c>
      <c r="Q67" s="11">
        <f t="shared" si="13"/>
        <v>8</v>
      </c>
      <c r="R67" s="11">
        <f t="shared" si="14"/>
        <v>5</v>
      </c>
      <c r="S67" s="12" cm="1">
        <f t="array" ref="S67">INDEX('HospitalPatientRec-ConceptMap-1'!$I$15:$N$124,Q67+1,R67)</f>
        <v>0</v>
      </c>
    </row>
    <row r="68" spans="2:19">
      <c r="B68" s="11"/>
      <c r="C68" s="11"/>
      <c r="D68" s="12"/>
      <c r="E68" s="12"/>
      <c r="F68" s="64"/>
      <c r="G68" s="123"/>
      <c r="P68" s="11">
        <v>54</v>
      </c>
      <c r="Q68" s="11">
        <f t="shared" si="13"/>
        <v>8</v>
      </c>
      <c r="R68" s="11">
        <f t="shared" si="14"/>
        <v>6</v>
      </c>
      <c r="S68" s="12" cm="1">
        <f t="array" ref="S68">INDEX('HospitalPatientRec-ConceptMap-1'!$I$15:$N$124,Q68+1,R68)</f>
        <v>0</v>
      </c>
    </row>
    <row r="69" spans="2:19">
      <c r="B69" s="11"/>
      <c r="C69" s="11"/>
      <c r="D69" s="12"/>
      <c r="E69" s="12"/>
      <c r="F69" s="64"/>
      <c r="G69" s="123"/>
      <c r="P69" s="11">
        <v>55</v>
      </c>
      <c r="Q69" s="11">
        <f t="shared" si="13"/>
        <v>9</v>
      </c>
      <c r="R69" s="11">
        <f t="shared" si="14"/>
        <v>1</v>
      </c>
      <c r="S69" s="12" cm="1">
        <f t="array" ref="S69">INDEX('HospitalPatientRec-ConceptMap-1'!$I$15:$N$124,Q69+1,R69)</f>
        <v>0</v>
      </c>
    </row>
    <row r="70" spans="2:19">
      <c r="B70" s="11"/>
      <c r="C70" s="11"/>
      <c r="D70" s="12"/>
      <c r="E70" s="12"/>
      <c r="F70" s="64"/>
      <c r="G70" s="123"/>
      <c r="P70" s="11">
        <v>56</v>
      </c>
      <c r="Q70" s="11">
        <f t="shared" si="13"/>
        <v>9</v>
      </c>
      <c r="R70" s="11">
        <f t="shared" si="14"/>
        <v>2</v>
      </c>
      <c r="S70" s="12" cm="1">
        <f t="array" ref="S70">INDEX('HospitalPatientRec-ConceptMap-1'!$I$15:$N$124,Q70+1,R70)</f>
        <v>0</v>
      </c>
    </row>
    <row r="71" spans="2:19">
      <c r="B71" s="11"/>
      <c r="C71" s="11"/>
      <c r="D71" s="12"/>
      <c r="E71" s="12"/>
      <c r="F71" s="64"/>
      <c r="G71" s="123"/>
      <c r="P71" s="11">
        <v>57</v>
      </c>
      <c r="Q71" s="11">
        <f t="shared" si="13"/>
        <v>9</v>
      </c>
      <c r="R71" s="11">
        <f t="shared" si="14"/>
        <v>3</v>
      </c>
      <c r="S71" s="12" cm="1">
        <f t="array" ref="S71">INDEX('HospitalPatientRec-ConceptMap-1'!$I$15:$N$124,Q71+1,R71)</f>
        <v>0</v>
      </c>
    </row>
    <row r="72" spans="2:19">
      <c r="B72" s="11"/>
      <c r="C72" s="11"/>
      <c r="D72" s="12"/>
      <c r="E72" s="12"/>
      <c r="F72" s="64"/>
      <c r="G72" s="123"/>
      <c r="P72" s="11">
        <v>58</v>
      </c>
      <c r="Q72" s="11">
        <f t="shared" si="13"/>
        <v>9</v>
      </c>
      <c r="R72" s="11">
        <f t="shared" si="14"/>
        <v>4</v>
      </c>
      <c r="S72" s="12" cm="1">
        <f t="array" ref="S72">INDEX('HospitalPatientRec-ConceptMap-1'!$I$15:$N$124,Q72+1,R72)</f>
        <v>0</v>
      </c>
    </row>
    <row r="73" spans="2:19">
      <c r="B73" s="11"/>
      <c r="C73" s="11"/>
      <c r="D73" s="12"/>
      <c r="E73" s="12"/>
      <c r="F73" s="64"/>
      <c r="G73" s="123"/>
      <c r="P73" s="11">
        <v>59</v>
      </c>
      <c r="Q73" s="11">
        <f t="shared" si="13"/>
        <v>9</v>
      </c>
      <c r="R73" s="11">
        <f t="shared" si="14"/>
        <v>5</v>
      </c>
      <c r="S73" s="12" cm="1">
        <f t="array" ref="S73">INDEX('HospitalPatientRec-ConceptMap-1'!$I$15:$N$124,Q73+1,R73)</f>
        <v>0</v>
      </c>
    </row>
    <row r="74" spans="2:19">
      <c r="B74" s="11"/>
      <c r="C74" s="11"/>
      <c r="D74" s="12"/>
      <c r="E74" s="12"/>
      <c r="F74" s="64"/>
      <c r="G74" s="123"/>
      <c r="P74" s="11">
        <v>60</v>
      </c>
      <c r="Q74" s="11">
        <f t="shared" si="13"/>
        <v>9</v>
      </c>
      <c r="R74" s="11">
        <f t="shared" si="14"/>
        <v>6</v>
      </c>
      <c r="S74" s="12" cm="1">
        <f t="array" ref="S74">INDEX('HospitalPatientRec-ConceptMap-1'!$I$15:$N$124,Q74+1,R74)</f>
        <v>0</v>
      </c>
    </row>
    <row r="75" spans="2:19">
      <c r="B75" s="11"/>
      <c r="C75" s="11"/>
      <c r="D75" s="12"/>
      <c r="E75" s="12"/>
      <c r="F75" s="64"/>
      <c r="G75" s="123"/>
      <c r="P75" s="11">
        <v>61</v>
      </c>
      <c r="Q75" s="11">
        <f t="shared" si="13"/>
        <v>10</v>
      </c>
      <c r="R75" s="11">
        <f t="shared" si="14"/>
        <v>1</v>
      </c>
      <c r="S75" s="12" cm="1">
        <f t="array" ref="S75">INDEX('HospitalPatientRec-ConceptMap-1'!$I$15:$N$124,Q75+1,R75)</f>
        <v>0</v>
      </c>
    </row>
    <row r="76" spans="2:19">
      <c r="B76" s="11"/>
      <c r="C76" s="11"/>
      <c r="D76" s="12"/>
      <c r="E76" s="12"/>
      <c r="F76" s="64"/>
      <c r="G76" s="123"/>
      <c r="P76" s="11">
        <v>62</v>
      </c>
      <c r="Q76" s="11">
        <f t="shared" si="13"/>
        <v>10</v>
      </c>
      <c r="R76" s="11">
        <f t="shared" si="14"/>
        <v>2</v>
      </c>
      <c r="S76" s="12" cm="1">
        <f t="array" ref="S76">INDEX('HospitalPatientRec-ConceptMap-1'!$I$15:$N$124,Q76+1,R76)</f>
        <v>0</v>
      </c>
    </row>
    <row r="77" spans="2:19">
      <c r="B77" s="11"/>
      <c r="C77" s="11"/>
      <c r="D77" s="12"/>
      <c r="E77" s="12"/>
      <c r="F77" s="64"/>
      <c r="G77" s="123"/>
      <c r="P77" s="11">
        <v>63</v>
      </c>
      <c r="Q77" s="11">
        <f t="shared" si="13"/>
        <v>10</v>
      </c>
      <c r="R77" s="11">
        <f t="shared" si="14"/>
        <v>3</v>
      </c>
      <c r="S77" s="12" cm="1">
        <f t="array" ref="S77">INDEX('HospitalPatientRec-ConceptMap-1'!$I$15:$N$124,Q77+1,R77)</f>
        <v>0</v>
      </c>
    </row>
    <row r="78" spans="2:19">
      <c r="B78" s="11"/>
      <c r="C78" s="11"/>
      <c r="D78" s="12"/>
      <c r="E78" s="12"/>
      <c r="F78" s="64"/>
      <c r="G78" s="123"/>
      <c r="P78" s="11">
        <v>64</v>
      </c>
      <c r="Q78" s="11">
        <f t="shared" si="13"/>
        <v>10</v>
      </c>
      <c r="R78" s="11">
        <f t="shared" si="14"/>
        <v>4</v>
      </c>
      <c r="S78" s="12" cm="1">
        <f t="array" ref="S78">INDEX('HospitalPatientRec-ConceptMap-1'!$I$15:$N$124,Q78+1,R78)</f>
        <v>0</v>
      </c>
    </row>
    <row r="79" spans="2:19">
      <c r="B79" s="11"/>
      <c r="C79" s="11"/>
      <c r="D79" s="12"/>
      <c r="E79" s="12"/>
      <c r="F79" s="64"/>
      <c r="G79" s="123"/>
      <c r="P79" s="11">
        <v>65</v>
      </c>
      <c r="Q79" s="11">
        <f t="shared" si="13"/>
        <v>10</v>
      </c>
      <c r="R79" s="11">
        <f t="shared" si="14"/>
        <v>5</v>
      </c>
      <c r="S79" s="12" cm="1">
        <f t="array" ref="S79">INDEX('HospitalPatientRec-ConceptMap-1'!$I$15:$N$124,Q79+1,R79)</f>
        <v>0</v>
      </c>
    </row>
    <row r="80" spans="2:19">
      <c r="B80" s="11"/>
      <c r="C80" s="11"/>
      <c r="D80" s="12"/>
      <c r="E80" s="12"/>
      <c r="F80" s="64"/>
      <c r="G80" s="123"/>
      <c r="P80" s="11">
        <v>66</v>
      </c>
      <c r="Q80" s="11">
        <f t="shared" ref="Q80:Q143" si="15">IF(MOD(P80,$Q$8)=0,P80/$Q$8-1,INT(P80/$Q$8))</f>
        <v>10</v>
      </c>
      <c r="R80" s="11">
        <f t="shared" ref="R80:R143" si="16">IF(MOD(P80,$Q$8)=0,$Q$8,MOD(P80,$Q$8))</f>
        <v>6</v>
      </c>
      <c r="S80" s="12" cm="1">
        <f t="array" ref="S80">INDEX('HospitalPatientRec-ConceptMap-1'!$I$15:$N$124,Q80+1,R80)</f>
        <v>0</v>
      </c>
    </row>
    <row r="81" spans="2:19">
      <c r="B81" s="11"/>
      <c r="C81" s="11"/>
      <c r="D81" s="12"/>
      <c r="E81" s="12"/>
      <c r="F81" s="64"/>
      <c r="G81" s="123"/>
      <c r="P81" s="11">
        <v>67</v>
      </c>
      <c r="Q81" s="11">
        <f t="shared" si="15"/>
        <v>11</v>
      </c>
      <c r="R81" s="11">
        <f t="shared" si="16"/>
        <v>1</v>
      </c>
      <c r="S81" s="12" cm="1">
        <f t="array" ref="S81">INDEX('HospitalPatientRec-ConceptMap-1'!$I$15:$N$124,Q81+1,R81)</f>
        <v>0</v>
      </c>
    </row>
    <row r="82" spans="2:19">
      <c r="B82" s="11"/>
      <c r="C82" s="11"/>
      <c r="D82" s="12"/>
      <c r="E82" s="12"/>
      <c r="F82" s="64"/>
      <c r="G82" s="123"/>
      <c r="P82" s="11">
        <v>68</v>
      </c>
      <c r="Q82" s="11">
        <f t="shared" si="15"/>
        <v>11</v>
      </c>
      <c r="R82" s="11">
        <f t="shared" si="16"/>
        <v>2</v>
      </c>
      <c r="S82" s="12" cm="1">
        <f t="array" ref="S82">INDEX('HospitalPatientRec-ConceptMap-1'!$I$15:$N$124,Q82+1,R82)</f>
        <v>0</v>
      </c>
    </row>
    <row r="83" spans="2:19">
      <c r="B83" s="11"/>
      <c r="C83" s="11"/>
      <c r="D83" s="12"/>
      <c r="E83" s="12"/>
      <c r="F83" s="64"/>
      <c r="G83" s="123"/>
      <c r="P83" s="11">
        <v>69</v>
      </c>
      <c r="Q83" s="11">
        <f t="shared" si="15"/>
        <v>11</v>
      </c>
      <c r="R83" s="11">
        <f t="shared" si="16"/>
        <v>3</v>
      </c>
      <c r="S83" s="12" cm="1">
        <f t="array" ref="S83">INDEX('HospitalPatientRec-ConceptMap-1'!$I$15:$N$124,Q83+1,R83)</f>
        <v>0</v>
      </c>
    </row>
    <row r="84" spans="2:19">
      <c r="B84" s="11"/>
      <c r="C84" s="11"/>
      <c r="D84" s="12"/>
      <c r="E84" s="12"/>
      <c r="F84" s="64"/>
      <c r="G84" s="123"/>
      <c r="P84" s="11">
        <v>70</v>
      </c>
      <c r="Q84" s="11">
        <f t="shared" si="15"/>
        <v>11</v>
      </c>
      <c r="R84" s="11">
        <f t="shared" si="16"/>
        <v>4</v>
      </c>
      <c r="S84" s="12" cm="1">
        <f t="array" ref="S84">INDEX('HospitalPatientRec-ConceptMap-1'!$I$15:$N$124,Q84+1,R84)</f>
        <v>0</v>
      </c>
    </row>
    <row r="85" spans="2:19">
      <c r="B85" s="11"/>
      <c r="C85" s="11"/>
      <c r="D85" s="12"/>
      <c r="E85" s="12"/>
      <c r="F85" s="64"/>
      <c r="G85" s="123"/>
      <c r="P85" s="11">
        <v>71</v>
      </c>
      <c r="Q85" s="11">
        <f t="shared" si="15"/>
        <v>11</v>
      </c>
      <c r="R85" s="11">
        <f t="shared" si="16"/>
        <v>5</v>
      </c>
      <c r="S85" s="12" cm="1">
        <f t="array" ref="S85">INDEX('HospitalPatientRec-ConceptMap-1'!$I$15:$N$124,Q85+1,R85)</f>
        <v>0</v>
      </c>
    </row>
    <row r="86" spans="2:19">
      <c r="B86" s="11"/>
      <c r="C86" s="11"/>
      <c r="D86" s="12"/>
      <c r="E86" s="12"/>
      <c r="F86" s="64"/>
      <c r="G86" s="123"/>
      <c r="P86" s="11">
        <v>72</v>
      </c>
      <c r="Q86" s="11">
        <f t="shared" si="15"/>
        <v>11</v>
      </c>
      <c r="R86" s="11">
        <f t="shared" si="16"/>
        <v>6</v>
      </c>
      <c r="S86" s="12" cm="1">
        <f t="array" ref="S86">INDEX('HospitalPatientRec-ConceptMap-1'!$I$15:$N$124,Q86+1,R86)</f>
        <v>0</v>
      </c>
    </row>
    <row r="87" spans="2:19">
      <c r="B87" s="11"/>
      <c r="C87" s="11"/>
      <c r="D87" s="12"/>
      <c r="E87" s="12"/>
      <c r="F87" s="64"/>
      <c r="G87" s="123"/>
      <c r="P87" s="11">
        <v>73</v>
      </c>
      <c r="Q87" s="11">
        <f t="shared" si="15"/>
        <v>12</v>
      </c>
      <c r="R87" s="11">
        <f t="shared" si="16"/>
        <v>1</v>
      </c>
      <c r="S87" s="12" cm="1">
        <f t="array" ref="S87">INDEX('HospitalPatientRec-ConceptMap-1'!$I$15:$N$124,Q87+1,R87)</f>
        <v>0</v>
      </c>
    </row>
    <row r="88" spans="2:19">
      <c r="B88" s="11"/>
      <c r="C88" s="11"/>
      <c r="D88" s="12"/>
      <c r="E88" s="12"/>
      <c r="F88" s="64"/>
      <c r="G88" s="123"/>
      <c r="P88" s="11">
        <v>74</v>
      </c>
      <c r="Q88" s="11">
        <f t="shared" si="15"/>
        <v>12</v>
      </c>
      <c r="R88" s="11">
        <f t="shared" si="16"/>
        <v>2</v>
      </c>
      <c r="S88" s="12" cm="1">
        <f t="array" ref="S88">INDEX('HospitalPatientRec-ConceptMap-1'!$I$15:$N$124,Q88+1,R88)</f>
        <v>0</v>
      </c>
    </row>
    <row r="89" spans="2:19">
      <c r="B89" s="11"/>
      <c r="C89" s="11"/>
      <c r="D89" s="12"/>
      <c r="E89" s="12"/>
      <c r="F89" s="64"/>
      <c r="G89" s="123"/>
      <c r="P89" s="11">
        <v>75</v>
      </c>
      <c r="Q89" s="11">
        <f t="shared" si="15"/>
        <v>12</v>
      </c>
      <c r="R89" s="11">
        <f t="shared" si="16"/>
        <v>3</v>
      </c>
      <c r="S89" s="12" cm="1">
        <f t="array" ref="S89">INDEX('HospitalPatientRec-ConceptMap-1'!$I$15:$N$124,Q89+1,R89)</f>
        <v>0</v>
      </c>
    </row>
    <row r="90" spans="2:19">
      <c r="B90" s="11"/>
      <c r="C90" s="11"/>
      <c r="D90" s="12"/>
      <c r="E90" s="12"/>
      <c r="F90" s="64"/>
      <c r="G90" s="123"/>
      <c r="P90" s="11">
        <v>76</v>
      </c>
      <c r="Q90" s="11">
        <f t="shared" si="15"/>
        <v>12</v>
      </c>
      <c r="R90" s="11">
        <f t="shared" si="16"/>
        <v>4</v>
      </c>
      <c r="S90" s="12" cm="1">
        <f t="array" ref="S90">INDEX('HospitalPatientRec-ConceptMap-1'!$I$15:$N$124,Q90+1,R90)</f>
        <v>0</v>
      </c>
    </row>
    <row r="91" spans="2:19">
      <c r="B91" s="11"/>
      <c r="C91" s="11"/>
      <c r="D91" s="12"/>
      <c r="E91" s="12"/>
      <c r="F91" s="64"/>
      <c r="G91" s="123"/>
      <c r="P91" s="11">
        <v>77</v>
      </c>
      <c r="Q91" s="11">
        <f t="shared" si="15"/>
        <v>12</v>
      </c>
      <c r="R91" s="11">
        <f t="shared" si="16"/>
        <v>5</v>
      </c>
      <c r="S91" s="12" cm="1">
        <f t="array" ref="S91">INDEX('HospitalPatientRec-ConceptMap-1'!$I$15:$N$124,Q91+1,R91)</f>
        <v>0</v>
      </c>
    </row>
    <row r="92" spans="2:19">
      <c r="B92" s="11"/>
      <c r="C92" s="11"/>
      <c r="D92" s="12"/>
      <c r="E92" s="12"/>
      <c r="F92" s="64"/>
      <c r="G92" s="123"/>
      <c r="P92" s="11">
        <v>78</v>
      </c>
      <c r="Q92" s="11">
        <f t="shared" si="15"/>
        <v>12</v>
      </c>
      <c r="R92" s="11">
        <f t="shared" si="16"/>
        <v>6</v>
      </c>
      <c r="S92" s="12" cm="1">
        <f t="array" ref="S92">INDEX('HospitalPatientRec-ConceptMap-1'!$I$15:$N$124,Q92+1,R92)</f>
        <v>0</v>
      </c>
    </row>
    <row r="93" spans="2:19">
      <c r="B93" s="11"/>
      <c r="C93" s="11"/>
      <c r="D93" s="12"/>
      <c r="E93" s="12"/>
      <c r="F93" s="64"/>
      <c r="G93" s="123"/>
      <c r="P93" s="11">
        <v>79</v>
      </c>
      <c r="Q93" s="11">
        <f t="shared" si="15"/>
        <v>13</v>
      </c>
      <c r="R93" s="11">
        <f t="shared" si="16"/>
        <v>1</v>
      </c>
      <c r="S93" s="12" cm="1">
        <f t="array" ref="S93">INDEX('HospitalPatientRec-ConceptMap-1'!$I$15:$N$124,Q93+1,R93)</f>
        <v>0</v>
      </c>
    </row>
    <row r="94" spans="2:19">
      <c r="B94" s="11"/>
      <c r="C94" s="11"/>
      <c r="D94" s="12"/>
      <c r="E94" s="12"/>
      <c r="F94" s="64"/>
      <c r="G94" s="123"/>
      <c r="P94" s="11">
        <v>80</v>
      </c>
      <c r="Q94" s="11">
        <f t="shared" si="15"/>
        <v>13</v>
      </c>
      <c r="R94" s="11">
        <f t="shared" si="16"/>
        <v>2</v>
      </c>
      <c r="S94" s="12" cm="1">
        <f t="array" ref="S94">INDEX('HospitalPatientRec-ConceptMap-1'!$I$15:$N$124,Q94+1,R94)</f>
        <v>0</v>
      </c>
    </row>
    <row r="95" spans="2:19">
      <c r="B95" s="11"/>
      <c r="C95" s="11"/>
      <c r="D95" s="12"/>
      <c r="E95" s="12"/>
      <c r="F95" s="64"/>
      <c r="G95" s="123"/>
      <c r="P95" s="11">
        <v>81</v>
      </c>
      <c r="Q95" s="11">
        <f t="shared" si="15"/>
        <v>13</v>
      </c>
      <c r="R95" s="11">
        <f t="shared" si="16"/>
        <v>3</v>
      </c>
      <c r="S95" s="12" cm="1">
        <f t="array" ref="S95">INDEX('HospitalPatientRec-ConceptMap-1'!$I$15:$N$124,Q95+1,R95)</f>
        <v>0</v>
      </c>
    </row>
    <row r="96" spans="2:19">
      <c r="B96" s="11"/>
      <c r="C96" s="11"/>
      <c r="D96" s="12"/>
      <c r="E96" s="12"/>
      <c r="F96" s="64"/>
      <c r="G96" s="123"/>
      <c r="P96" s="11">
        <v>82</v>
      </c>
      <c r="Q96" s="11">
        <f t="shared" si="15"/>
        <v>13</v>
      </c>
      <c r="R96" s="11">
        <f t="shared" si="16"/>
        <v>4</v>
      </c>
      <c r="S96" s="12" cm="1">
        <f t="array" ref="S96">INDEX('HospitalPatientRec-ConceptMap-1'!$I$15:$N$124,Q96+1,R96)</f>
        <v>0</v>
      </c>
    </row>
    <row r="97" spans="2:19">
      <c r="B97" s="11"/>
      <c r="C97" s="11"/>
      <c r="D97" s="12"/>
      <c r="E97" s="12"/>
      <c r="F97" s="64"/>
      <c r="G97" s="123"/>
      <c r="P97" s="11">
        <v>83</v>
      </c>
      <c r="Q97" s="11">
        <f t="shared" si="15"/>
        <v>13</v>
      </c>
      <c r="R97" s="11">
        <f t="shared" si="16"/>
        <v>5</v>
      </c>
      <c r="S97" s="12" cm="1">
        <f t="array" ref="S97">INDEX('HospitalPatientRec-ConceptMap-1'!$I$15:$N$124,Q97+1,R97)</f>
        <v>0</v>
      </c>
    </row>
    <row r="98" spans="2:19">
      <c r="B98" s="11"/>
      <c r="C98" s="11"/>
      <c r="D98" s="12"/>
      <c r="E98" s="12"/>
      <c r="F98" s="64"/>
      <c r="G98" s="123"/>
      <c r="P98" s="11">
        <v>84</v>
      </c>
      <c r="Q98" s="11">
        <f t="shared" si="15"/>
        <v>13</v>
      </c>
      <c r="R98" s="11">
        <f t="shared" si="16"/>
        <v>6</v>
      </c>
      <c r="S98" s="12" cm="1">
        <f t="array" ref="S98">INDEX('HospitalPatientRec-ConceptMap-1'!$I$15:$N$124,Q98+1,R98)</f>
        <v>0</v>
      </c>
    </row>
    <row r="99" spans="2:19">
      <c r="B99" s="11"/>
      <c r="C99" s="11"/>
      <c r="D99" s="12"/>
      <c r="E99" s="12"/>
      <c r="F99" s="64"/>
      <c r="G99" s="123"/>
      <c r="P99" s="11">
        <v>85</v>
      </c>
      <c r="Q99" s="11">
        <f t="shared" si="15"/>
        <v>14</v>
      </c>
      <c r="R99" s="11">
        <f t="shared" si="16"/>
        <v>1</v>
      </c>
      <c r="S99" s="12" cm="1">
        <f t="array" ref="S99">INDEX('HospitalPatientRec-ConceptMap-1'!$I$15:$N$124,Q99+1,R99)</f>
        <v>0</v>
      </c>
    </row>
    <row r="100" spans="2:19">
      <c r="B100" s="11"/>
      <c r="C100" s="11"/>
      <c r="D100" s="12"/>
      <c r="E100" s="12"/>
      <c r="F100" s="64"/>
      <c r="G100" s="123"/>
      <c r="P100" s="11">
        <v>86</v>
      </c>
      <c r="Q100" s="11">
        <f t="shared" si="15"/>
        <v>14</v>
      </c>
      <c r="R100" s="11">
        <f t="shared" si="16"/>
        <v>2</v>
      </c>
      <c r="S100" s="12" cm="1">
        <f t="array" ref="S100">INDEX('HospitalPatientRec-ConceptMap-1'!$I$15:$N$124,Q100+1,R100)</f>
        <v>0</v>
      </c>
    </row>
    <row r="101" spans="2:19">
      <c r="B101" s="11"/>
      <c r="C101" s="11"/>
      <c r="D101" s="12"/>
      <c r="E101" s="12"/>
      <c r="F101" s="64"/>
      <c r="G101" s="123"/>
      <c r="P101" s="11">
        <v>87</v>
      </c>
      <c r="Q101" s="11">
        <f t="shared" si="15"/>
        <v>14</v>
      </c>
      <c r="R101" s="11">
        <f t="shared" si="16"/>
        <v>3</v>
      </c>
      <c r="S101" s="12" cm="1">
        <f t="array" ref="S101">INDEX('HospitalPatientRec-ConceptMap-1'!$I$15:$N$124,Q101+1,R101)</f>
        <v>0</v>
      </c>
    </row>
    <row r="102" spans="2:19">
      <c r="B102" s="11"/>
      <c r="C102" s="11"/>
      <c r="D102" s="12"/>
      <c r="E102" s="12"/>
      <c r="F102" s="64"/>
      <c r="G102" s="123"/>
      <c r="P102" s="11">
        <v>88</v>
      </c>
      <c r="Q102" s="11">
        <f t="shared" si="15"/>
        <v>14</v>
      </c>
      <c r="R102" s="11">
        <f t="shared" si="16"/>
        <v>4</v>
      </c>
      <c r="S102" s="12" cm="1">
        <f t="array" ref="S102">INDEX('HospitalPatientRec-ConceptMap-1'!$I$15:$N$124,Q102+1,R102)</f>
        <v>0</v>
      </c>
    </row>
    <row r="103" spans="2:19">
      <c r="B103" s="11"/>
      <c r="C103" s="11"/>
      <c r="D103" s="12"/>
      <c r="E103" s="12"/>
      <c r="F103" s="64"/>
      <c r="G103" s="123"/>
      <c r="P103" s="11">
        <v>89</v>
      </c>
      <c r="Q103" s="11">
        <f t="shared" si="15"/>
        <v>14</v>
      </c>
      <c r="R103" s="11">
        <f t="shared" si="16"/>
        <v>5</v>
      </c>
      <c r="S103" s="12" cm="1">
        <f t="array" ref="S103">INDEX('HospitalPatientRec-ConceptMap-1'!$I$15:$N$124,Q103+1,R103)</f>
        <v>0</v>
      </c>
    </row>
    <row r="104" spans="2:19">
      <c r="B104" s="11"/>
      <c r="C104" s="11"/>
      <c r="D104" s="12"/>
      <c r="E104" s="12"/>
      <c r="F104" s="64"/>
      <c r="G104" s="123"/>
      <c r="P104" s="11">
        <v>90</v>
      </c>
      <c r="Q104" s="11">
        <f t="shared" si="15"/>
        <v>14</v>
      </c>
      <c r="R104" s="11">
        <f t="shared" si="16"/>
        <v>6</v>
      </c>
      <c r="S104" s="12" cm="1">
        <f t="array" ref="S104">INDEX('HospitalPatientRec-ConceptMap-1'!$I$15:$N$124,Q104+1,R104)</f>
        <v>0</v>
      </c>
    </row>
    <row r="105" spans="2:19">
      <c r="B105" s="11"/>
      <c r="C105" s="11"/>
      <c r="D105" s="12"/>
      <c r="E105" s="12"/>
      <c r="F105" s="64"/>
      <c r="G105" s="123"/>
      <c r="P105" s="11">
        <v>91</v>
      </c>
      <c r="Q105" s="11">
        <f t="shared" si="15"/>
        <v>15</v>
      </c>
      <c r="R105" s="11">
        <f t="shared" si="16"/>
        <v>1</v>
      </c>
      <c r="S105" s="12" cm="1">
        <f t="array" ref="S105">INDEX('HospitalPatientRec-ConceptMap-1'!$I$15:$N$124,Q105+1,R105)</f>
        <v>0</v>
      </c>
    </row>
    <row r="106" spans="2:19">
      <c r="B106" s="11"/>
      <c r="C106" s="11"/>
      <c r="D106" s="12"/>
      <c r="E106" s="12"/>
      <c r="F106" s="64"/>
      <c r="G106" s="123"/>
      <c r="P106" s="11">
        <v>92</v>
      </c>
      <c r="Q106" s="11">
        <f t="shared" si="15"/>
        <v>15</v>
      </c>
      <c r="R106" s="11">
        <f t="shared" si="16"/>
        <v>2</v>
      </c>
      <c r="S106" s="12" cm="1">
        <f t="array" ref="S106">INDEX('HospitalPatientRec-ConceptMap-1'!$I$15:$N$124,Q106+1,R106)</f>
        <v>0</v>
      </c>
    </row>
    <row r="107" spans="2:19">
      <c r="B107" s="11"/>
      <c r="C107" s="11"/>
      <c r="D107" s="12"/>
      <c r="E107" s="12"/>
      <c r="F107" s="64"/>
      <c r="G107" s="123"/>
      <c r="P107" s="11">
        <v>93</v>
      </c>
      <c r="Q107" s="11">
        <f t="shared" si="15"/>
        <v>15</v>
      </c>
      <c r="R107" s="11">
        <f t="shared" si="16"/>
        <v>3</v>
      </c>
      <c r="S107" s="12" cm="1">
        <f t="array" ref="S107">INDEX('HospitalPatientRec-ConceptMap-1'!$I$15:$N$124,Q107+1,R107)</f>
        <v>0</v>
      </c>
    </row>
    <row r="108" spans="2:19">
      <c r="B108" s="11"/>
      <c r="C108" s="11"/>
      <c r="D108" s="12"/>
      <c r="E108" s="12"/>
      <c r="F108" s="64"/>
      <c r="G108" s="123"/>
      <c r="P108" s="11">
        <v>94</v>
      </c>
      <c r="Q108" s="11">
        <f t="shared" si="15"/>
        <v>15</v>
      </c>
      <c r="R108" s="11">
        <f t="shared" si="16"/>
        <v>4</v>
      </c>
      <c r="S108" s="12" cm="1">
        <f t="array" ref="S108">INDEX('HospitalPatientRec-ConceptMap-1'!$I$15:$N$124,Q108+1,R108)</f>
        <v>0</v>
      </c>
    </row>
    <row r="109" spans="2:19">
      <c r="B109" s="11"/>
      <c r="C109" s="11"/>
      <c r="D109" s="12"/>
      <c r="E109" s="12"/>
      <c r="F109" s="64"/>
      <c r="G109" s="123"/>
      <c r="P109" s="11">
        <v>95</v>
      </c>
      <c r="Q109" s="11">
        <f t="shared" si="15"/>
        <v>15</v>
      </c>
      <c r="R109" s="11">
        <f t="shared" si="16"/>
        <v>5</v>
      </c>
      <c r="S109" s="12" cm="1">
        <f t="array" ref="S109">INDEX('HospitalPatientRec-ConceptMap-1'!$I$15:$N$124,Q109+1,R109)</f>
        <v>0</v>
      </c>
    </row>
    <row r="110" spans="2:19">
      <c r="B110" s="11"/>
      <c r="C110" s="11"/>
      <c r="D110" s="12"/>
      <c r="E110" s="12"/>
      <c r="F110" s="64"/>
      <c r="G110" s="123"/>
      <c r="P110" s="11">
        <v>96</v>
      </c>
      <c r="Q110" s="11">
        <f t="shared" si="15"/>
        <v>15</v>
      </c>
      <c r="R110" s="11">
        <f t="shared" si="16"/>
        <v>6</v>
      </c>
      <c r="S110" s="12" cm="1">
        <f t="array" ref="S110">INDEX('HospitalPatientRec-ConceptMap-1'!$I$15:$N$124,Q110+1,R110)</f>
        <v>0</v>
      </c>
    </row>
    <row r="111" spans="2:19">
      <c r="B111" s="11"/>
      <c r="C111" s="11"/>
      <c r="D111" s="12"/>
      <c r="E111" s="12"/>
      <c r="F111" s="64"/>
      <c r="G111" s="123"/>
      <c r="P111" s="11">
        <v>97</v>
      </c>
      <c r="Q111" s="11">
        <f t="shared" si="15"/>
        <v>16</v>
      </c>
      <c r="R111" s="11">
        <f t="shared" si="16"/>
        <v>1</v>
      </c>
      <c r="S111" s="12" cm="1">
        <f t="array" ref="S111">INDEX('HospitalPatientRec-ConceptMap-1'!$I$15:$N$124,Q111+1,R111)</f>
        <v>0</v>
      </c>
    </row>
    <row r="112" spans="2:19">
      <c r="B112" s="11"/>
      <c r="C112" s="11"/>
      <c r="D112" s="12"/>
      <c r="E112" s="12"/>
      <c r="F112" s="64"/>
      <c r="G112" s="123"/>
      <c r="P112" s="11">
        <v>98</v>
      </c>
      <c r="Q112" s="11">
        <f t="shared" si="15"/>
        <v>16</v>
      </c>
      <c r="R112" s="11">
        <f t="shared" si="16"/>
        <v>2</v>
      </c>
      <c r="S112" s="12" cm="1">
        <f t="array" ref="S112">INDEX('HospitalPatientRec-ConceptMap-1'!$I$15:$N$124,Q112+1,R112)</f>
        <v>0</v>
      </c>
    </row>
    <row r="113" spans="2:19">
      <c r="B113" s="11"/>
      <c r="C113" s="11"/>
      <c r="D113" s="12"/>
      <c r="E113" s="12"/>
      <c r="F113" s="64"/>
      <c r="G113" s="123"/>
      <c r="P113" s="11">
        <v>99</v>
      </c>
      <c r="Q113" s="11">
        <f t="shared" si="15"/>
        <v>16</v>
      </c>
      <c r="R113" s="11">
        <f t="shared" si="16"/>
        <v>3</v>
      </c>
      <c r="S113" s="12" cm="1">
        <f t="array" ref="S113">INDEX('HospitalPatientRec-ConceptMap-1'!$I$15:$N$124,Q113+1,R113)</f>
        <v>0</v>
      </c>
    </row>
    <row r="114" spans="2:19">
      <c r="P114" s="11">
        <v>100</v>
      </c>
      <c r="Q114" s="11">
        <f t="shared" si="15"/>
        <v>16</v>
      </c>
      <c r="R114" s="11">
        <f t="shared" si="16"/>
        <v>4</v>
      </c>
      <c r="S114" s="12" cm="1">
        <f t="array" ref="S114">INDEX('HospitalPatientRec-ConceptMap-1'!$I$15:$N$124,Q114+1,R114)</f>
        <v>0</v>
      </c>
    </row>
    <row r="115" spans="2:19">
      <c r="P115" s="11">
        <v>101</v>
      </c>
      <c r="Q115" s="11">
        <f t="shared" si="15"/>
        <v>16</v>
      </c>
      <c r="R115" s="11">
        <f t="shared" si="16"/>
        <v>5</v>
      </c>
      <c r="S115" s="12" cm="1">
        <f t="array" ref="S115">INDEX('HospitalPatientRec-ConceptMap-1'!$I$15:$N$124,Q115+1,R115)</f>
        <v>0</v>
      </c>
    </row>
    <row r="116" spans="2:19">
      <c r="P116" s="11">
        <v>102</v>
      </c>
      <c r="Q116" s="11">
        <f t="shared" si="15"/>
        <v>16</v>
      </c>
      <c r="R116" s="11">
        <f t="shared" si="16"/>
        <v>6</v>
      </c>
      <c r="S116" s="12" cm="1">
        <f t="array" ref="S116">INDEX('HospitalPatientRec-ConceptMap-1'!$I$15:$N$124,Q116+1,R116)</f>
        <v>0</v>
      </c>
    </row>
    <row r="117" spans="2:19">
      <c r="P117" s="11">
        <v>103</v>
      </c>
      <c r="Q117" s="11">
        <f t="shared" si="15"/>
        <v>17</v>
      </c>
      <c r="R117" s="11">
        <f t="shared" si="16"/>
        <v>1</v>
      </c>
      <c r="S117" s="12" cm="1">
        <f t="array" ref="S117">INDEX('HospitalPatientRec-ConceptMap-1'!$I$15:$N$124,Q117+1,R117)</f>
        <v>0</v>
      </c>
    </row>
    <row r="118" spans="2:19">
      <c r="P118" s="11">
        <v>104</v>
      </c>
      <c r="Q118" s="11">
        <f t="shared" si="15"/>
        <v>17</v>
      </c>
      <c r="R118" s="11">
        <f t="shared" si="16"/>
        <v>2</v>
      </c>
      <c r="S118" s="12" cm="1">
        <f t="array" ref="S118">INDEX('HospitalPatientRec-ConceptMap-1'!$I$15:$N$124,Q118+1,R118)</f>
        <v>0</v>
      </c>
    </row>
    <row r="119" spans="2:19">
      <c r="P119" s="11">
        <v>105</v>
      </c>
      <c r="Q119" s="11">
        <f t="shared" si="15"/>
        <v>17</v>
      </c>
      <c r="R119" s="11">
        <f t="shared" si="16"/>
        <v>3</v>
      </c>
      <c r="S119" s="12" cm="1">
        <f t="array" ref="S119">INDEX('HospitalPatientRec-ConceptMap-1'!$I$15:$N$124,Q119+1,R119)</f>
        <v>0</v>
      </c>
    </row>
    <row r="120" spans="2:19">
      <c r="P120" s="11">
        <v>106</v>
      </c>
      <c r="Q120" s="11">
        <f t="shared" si="15"/>
        <v>17</v>
      </c>
      <c r="R120" s="11">
        <f t="shared" si="16"/>
        <v>4</v>
      </c>
      <c r="S120" s="12" cm="1">
        <f t="array" ref="S120">INDEX('HospitalPatientRec-ConceptMap-1'!$I$15:$N$124,Q120+1,R120)</f>
        <v>0</v>
      </c>
    </row>
    <row r="121" spans="2:19">
      <c r="P121" s="11">
        <v>107</v>
      </c>
      <c r="Q121" s="11">
        <f t="shared" si="15"/>
        <v>17</v>
      </c>
      <c r="R121" s="11">
        <f t="shared" si="16"/>
        <v>5</v>
      </c>
      <c r="S121" s="12" cm="1">
        <f t="array" ref="S121">INDEX('HospitalPatientRec-ConceptMap-1'!$I$15:$N$124,Q121+1,R121)</f>
        <v>0</v>
      </c>
    </row>
    <row r="122" spans="2:19">
      <c r="P122" s="11">
        <v>108</v>
      </c>
      <c r="Q122" s="11">
        <f t="shared" si="15"/>
        <v>17</v>
      </c>
      <c r="R122" s="11">
        <f t="shared" si="16"/>
        <v>6</v>
      </c>
      <c r="S122" s="12" cm="1">
        <f t="array" ref="S122">INDEX('HospitalPatientRec-ConceptMap-1'!$I$15:$N$124,Q122+1,R122)</f>
        <v>0</v>
      </c>
    </row>
    <row r="123" spans="2:19">
      <c r="P123" s="11">
        <v>109</v>
      </c>
      <c r="Q123" s="11">
        <f t="shared" si="15"/>
        <v>18</v>
      </c>
      <c r="R123" s="11">
        <f t="shared" si="16"/>
        <v>1</v>
      </c>
      <c r="S123" s="12" cm="1">
        <f t="array" ref="S123">INDEX('HospitalPatientRec-ConceptMap-1'!$I$15:$N$124,Q123+1,R123)</f>
        <v>0</v>
      </c>
    </row>
    <row r="124" spans="2:19">
      <c r="P124" s="11">
        <v>110</v>
      </c>
      <c r="Q124" s="11">
        <f t="shared" si="15"/>
        <v>18</v>
      </c>
      <c r="R124" s="11">
        <f t="shared" si="16"/>
        <v>2</v>
      </c>
      <c r="S124" s="12" cm="1">
        <f t="array" ref="S124">INDEX('HospitalPatientRec-ConceptMap-1'!$I$15:$N$124,Q124+1,R124)</f>
        <v>0</v>
      </c>
    </row>
    <row r="125" spans="2:19">
      <c r="P125" s="11">
        <v>111</v>
      </c>
      <c r="Q125" s="11">
        <f t="shared" si="15"/>
        <v>18</v>
      </c>
      <c r="R125" s="11">
        <f t="shared" si="16"/>
        <v>3</v>
      </c>
      <c r="S125" s="12" cm="1">
        <f t="array" ref="S125">INDEX('HospitalPatientRec-ConceptMap-1'!$I$15:$N$124,Q125+1,R125)</f>
        <v>0</v>
      </c>
    </row>
    <row r="126" spans="2:19">
      <c r="P126" s="11">
        <v>112</v>
      </c>
      <c r="Q126" s="11">
        <f t="shared" si="15"/>
        <v>18</v>
      </c>
      <c r="R126" s="11">
        <f t="shared" si="16"/>
        <v>4</v>
      </c>
      <c r="S126" s="12" cm="1">
        <f t="array" ref="S126">INDEX('HospitalPatientRec-ConceptMap-1'!$I$15:$N$124,Q126+1,R126)</f>
        <v>0</v>
      </c>
    </row>
    <row r="127" spans="2:19">
      <c r="P127" s="11">
        <v>113</v>
      </c>
      <c r="Q127" s="11">
        <f t="shared" si="15"/>
        <v>18</v>
      </c>
      <c r="R127" s="11">
        <f t="shared" si="16"/>
        <v>5</v>
      </c>
      <c r="S127" s="12" cm="1">
        <f t="array" ref="S127">INDEX('HospitalPatientRec-ConceptMap-1'!$I$15:$N$124,Q127+1,R127)</f>
        <v>0</v>
      </c>
    </row>
    <row r="128" spans="2:19">
      <c r="P128" s="11">
        <v>114</v>
      </c>
      <c r="Q128" s="11">
        <f t="shared" si="15"/>
        <v>18</v>
      </c>
      <c r="R128" s="11">
        <f t="shared" si="16"/>
        <v>6</v>
      </c>
      <c r="S128" s="12" cm="1">
        <f t="array" ref="S128">INDEX('HospitalPatientRec-ConceptMap-1'!$I$15:$N$124,Q128+1,R128)</f>
        <v>0</v>
      </c>
    </row>
    <row r="129" spans="16:19">
      <c r="P129" s="11">
        <v>115</v>
      </c>
      <c r="Q129" s="11">
        <f t="shared" si="15"/>
        <v>19</v>
      </c>
      <c r="R129" s="11">
        <f t="shared" si="16"/>
        <v>1</v>
      </c>
      <c r="S129" s="12" cm="1">
        <f t="array" ref="S129">INDEX('HospitalPatientRec-ConceptMap-1'!$I$15:$N$124,Q129+1,R129)</f>
        <v>0</v>
      </c>
    </row>
    <row r="130" spans="16:19">
      <c r="P130" s="11">
        <v>116</v>
      </c>
      <c r="Q130" s="11">
        <f t="shared" si="15"/>
        <v>19</v>
      </c>
      <c r="R130" s="11">
        <f t="shared" si="16"/>
        <v>2</v>
      </c>
      <c r="S130" s="12" cm="1">
        <f t="array" ref="S130">INDEX('HospitalPatientRec-ConceptMap-1'!$I$15:$N$124,Q130+1,R130)</f>
        <v>0</v>
      </c>
    </row>
    <row r="131" spans="16:19">
      <c r="P131" s="11">
        <v>117</v>
      </c>
      <c r="Q131" s="11">
        <f t="shared" si="15"/>
        <v>19</v>
      </c>
      <c r="R131" s="11">
        <f t="shared" si="16"/>
        <v>3</v>
      </c>
      <c r="S131" s="12" cm="1">
        <f t="array" ref="S131">INDEX('HospitalPatientRec-ConceptMap-1'!$I$15:$N$124,Q131+1,R131)</f>
        <v>0</v>
      </c>
    </row>
    <row r="132" spans="16:19">
      <c r="P132" s="11">
        <v>118</v>
      </c>
      <c r="Q132" s="11">
        <f t="shared" si="15"/>
        <v>19</v>
      </c>
      <c r="R132" s="11">
        <f t="shared" si="16"/>
        <v>4</v>
      </c>
      <c r="S132" s="12" cm="1">
        <f t="array" ref="S132">INDEX('HospitalPatientRec-ConceptMap-1'!$I$15:$N$124,Q132+1,R132)</f>
        <v>0</v>
      </c>
    </row>
    <row r="133" spans="16:19">
      <c r="P133" s="11">
        <v>119</v>
      </c>
      <c r="Q133" s="11">
        <f t="shared" si="15"/>
        <v>19</v>
      </c>
      <c r="R133" s="11">
        <f t="shared" si="16"/>
        <v>5</v>
      </c>
      <c r="S133" s="12" cm="1">
        <f t="array" ref="S133">INDEX('HospitalPatientRec-ConceptMap-1'!$I$15:$N$124,Q133+1,R133)</f>
        <v>0</v>
      </c>
    </row>
    <row r="134" spans="16:19">
      <c r="P134" s="11">
        <v>120</v>
      </c>
      <c r="Q134" s="11">
        <f t="shared" si="15"/>
        <v>19</v>
      </c>
      <c r="R134" s="11">
        <f t="shared" si="16"/>
        <v>6</v>
      </c>
      <c r="S134" s="12" cm="1">
        <f t="array" ref="S134">INDEX('HospitalPatientRec-ConceptMap-1'!$I$15:$N$124,Q134+1,R134)</f>
        <v>0</v>
      </c>
    </row>
    <row r="135" spans="16:19">
      <c r="P135" s="11">
        <v>121</v>
      </c>
      <c r="Q135" s="11">
        <f t="shared" si="15"/>
        <v>20</v>
      </c>
      <c r="R135" s="11">
        <f t="shared" si="16"/>
        <v>1</v>
      </c>
      <c r="S135" s="12" cm="1">
        <f t="array" ref="S135">INDEX('HospitalPatientRec-ConceptMap-1'!$I$15:$N$124,Q135+1,R135)</f>
        <v>0</v>
      </c>
    </row>
    <row r="136" spans="16:19">
      <c r="P136" s="11">
        <v>122</v>
      </c>
      <c r="Q136" s="11">
        <f t="shared" si="15"/>
        <v>20</v>
      </c>
      <c r="R136" s="11">
        <f t="shared" si="16"/>
        <v>2</v>
      </c>
      <c r="S136" s="12" cm="1">
        <f t="array" ref="S136">INDEX('HospitalPatientRec-ConceptMap-1'!$I$15:$N$124,Q136+1,R136)</f>
        <v>0</v>
      </c>
    </row>
    <row r="137" spans="16:19">
      <c r="P137" s="11">
        <v>123</v>
      </c>
      <c r="Q137" s="11">
        <f t="shared" si="15"/>
        <v>20</v>
      </c>
      <c r="R137" s="11">
        <f t="shared" si="16"/>
        <v>3</v>
      </c>
      <c r="S137" s="12" cm="1">
        <f t="array" ref="S137">INDEX('HospitalPatientRec-ConceptMap-1'!$I$15:$N$124,Q137+1,R137)</f>
        <v>0</v>
      </c>
    </row>
    <row r="138" spans="16:19">
      <c r="P138" s="11">
        <v>124</v>
      </c>
      <c r="Q138" s="11">
        <f t="shared" si="15"/>
        <v>20</v>
      </c>
      <c r="R138" s="11">
        <f t="shared" si="16"/>
        <v>4</v>
      </c>
      <c r="S138" s="12" cm="1">
        <f t="array" ref="S138">INDEX('HospitalPatientRec-ConceptMap-1'!$I$15:$N$124,Q138+1,R138)</f>
        <v>0</v>
      </c>
    </row>
    <row r="139" spans="16:19">
      <c r="P139" s="11">
        <v>125</v>
      </c>
      <c r="Q139" s="11">
        <f t="shared" si="15"/>
        <v>20</v>
      </c>
      <c r="R139" s="11">
        <f t="shared" si="16"/>
        <v>5</v>
      </c>
      <c r="S139" s="12" cm="1">
        <f t="array" ref="S139">INDEX('HospitalPatientRec-ConceptMap-1'!$I$15:$N$124,Q139+1,R139)</f>
        <v>0</v>
      </c>
    </row>
    <row r="140" spans="16:19">
      <c r="P140" s="11">
        <v>126</v>
      </c>
      <c r="Q140" s="11">
        <f t="shared" si="15"/>
        <v>20</v>
      </c>
      <c r="R140" s="11">
        <f t="shared" si="16"/>
        <v>6</v>
      </c>
      <c r="S140" s="12" cm="1">
        <f t="array" ref="S140">INDEX('HospitalPatientRec-ConceptMap-1'!$I$15:$N$124,Q140+1,R140)</f>
        <v>0</v>
      </c>
    </row>
    <row r="141" spans="16:19">
      <c r="P141" s="11">
        <v>127</v>
      </c>
      <c r="Q141" s="11">
        <f t="shared" si="15"/>
        <v>21</v>
      </c>
      <c r="R141" s="11">
        <f t="shared" si="16"/>
        <v>1</v>
      </c>
      <c r="S141" s="12" cm="1">
        <f t="array" ref="S141">INDEX('HospitalPatientRec-ConceptMap-1'!$I$15:$N$124,Q141+1,R141)</f>
        <v>0</v>
      </c>
    </row>
    <row r="142" spans="16:19">
      <c r="P142" s="11">
        <v>128</v>
      </c>
      <c r="Q142" s="11">
        <f t="shared" si="15"/>
        <v>21</v>
      </c>
      <c r="R142" s="11">
        <f t="shared" si="16"/>
        <v>2</v>
      </c>
      <c r="S142" s="12" cm="1">
        <f t="array" ref="S142">INDEX('HospitalPatientRec-ConceptMap-1'!$I$15:$N$124,Q142+1,R142)</f>
        <v>0</v>
      </c>
    </row>
    <row r="143" spans="16:19">
      <c r="P143" s="11">
        <v>129</v>
      </c>
      <c r="Q143" s="11">
        <f t="shared" si="15"/>
        <v>21</v>
      </c>
      <c r="R143" s="11">
        <f t="shared" si="16"/>
        <v>3</v>
      </c>
      <c r="S143" s="12" cm="1">
        <f t="array" ref="S143">INDEX('HospitalPatientRec-ConceptMap-1'!$I$15:$N$124,Q143+1,R143)</f>
        <v>0</v>
      </c>
    </row>
    <row r="144" spans="16:19">
      <c r="P144" s="11">
        <v>130</v>
      </c>
      <c r="Q144" s="11">
        <f t="shared" ref="Q144:Q184" si="17">IF(MOD(P144,$Q$8)=0,P144/$Q$8-1,INT(P144/$Q$8))</f>
        <v>21</v>
      </c>
      <c r="R144" s="11">
        <f t="shared" ref="R144:R184" si="18">IF(MOD(P144,$Q$8)=0,$Q$8,MOD(P144,$Q$8))</f>
        <v>4</v>
      </c>
      <c r="S144" s="12" cm="1">
        <f t="array" ref="S144">INDEX('HospitalPatientRec-ConceptMap-1'!$I$15:$N$124,Q144+1,R144)</f>
        <v>0</v>
      </c>
    </row>
    <row r="145" spans="16:19">
      <c r="P145" s="11">
        <v>131</v>
      </c>
      <c r="Q145" s="11">
        <f t="shared" si="17"/>
        <v>21</v>
      </c>
      <c r="R145" s="11">
        <f t="shared" si="18"/>
        <v>5</v>
      </c>
      <c r="S145" s="12" cm="1">
        <f t="array" ref="S145">INDEX('HospitalPatientRec-ConceptMap-1'!$I$15:$N$124,Q145+1,R145)</f>
        <v>0</v>
      </c>
    </row>
    <row r="146" spans="16:19">
      <c r="P146" s="11">
        <v>132</v>
      </c>
      <c r="Q146" s="11">
        <f t="shared" si="17"/>
        <v>21</v>
      </c>
      <c r="R146" s="11">
        <f t="shared" si="18"/>
        <v>6</v>
      </c>
      <c r="S146" s="12" cm="1">
        <f t="array" ref="S146">INDEX('HospitalPatientRec-ConceptMap-1'!$I$15:$N$124,Q146+1,R146)</f>
        <v>0</v>
      </c>
    </row>
    <row r="147" spans="16:19">
      <c r="P147" s="11">
        <v>133</v>
      </c>
      <c r="Q147" s="11">
        <f t="shared" si="17"/>
        <v>22</v>
      </c>
      <c r="R147" s="11">
        <f t="shared" si="18"/>
        <v>1</v>
      </c>
      <c r="S147" s="12" cm="1">
        <f t="array" ref="S147">INDEX('HospitalPatientRec-ConceptMap-1'!$I$15:$N$124,Q147+1,R147)</f>
        <v>0</v>
      </c>
    </row>
    <row r="148" spans="16:19">
      <c r="P148" s="11">
        <v>134</v>
      </c>
      <c r="Q148" s="11">
        <f t="shared" si="17"/>
        <v>22</v>
      </c>
      <c r="R148" s="11">
        <f t="shared" si="18"/>
        <v>2</v>
      </c>
      <c r="S148" s="12" cm="1">
        <f t="array" ref="S148">INDEX('HospitalPatientRec-ConceptMap-1'!$I$15:$N$124,Q148+1,R148)</f>
        <v>0</v>
      </c>
    </row>
    <row r="149" spans="16:19">
      <c r="P149" s="11">
        <v>135</v>
      </c>
      <c r="Q149" s="11">
        <f t="shared" si="17"/>
        <v>22</v>
      </c>
      <c r="R149" s="11">
        <f t="shared" si="18"/>
        <v>3</v>
      </c>
      <c r="S149" s="12" cm="1">
        <f t="array" ref="S149">INDEX('HospitalPatientRec-ConceptMap-1'!$I$15:$N$124,Q149+1,R149)</f>
        <v>0</v>
      </c>
    </row>
    <row r="150" spans="16:19">
      <c r="P150" s="11">
        <v>136</v>
      </c>
      <c r="Q150" s="11">
        <f t="shared" si="17"/>
        <v>22</v>
      </c>
      <c r="R150" s="11">
        <f t="shared" si="18"/>
        <v>4</v>
      </c>
      <c r="S150" s="12" cm="1">
        <f t="array" ref="S150">INDEX('HospitalPatientRec-ConceptMap-1'!$I$15:$N$124,Q150+1,R150)</f>
        <v>0</v>
      </c>
    </row>
    <row r="151" spans="16:19">
      <c r="P151" s="11">
        <v>137</v>
      </c>
      <c r="Q151" s="11">
        <f t="shared" si="17"/>
        <v>22</v>
      </c>
      <c r="R151" s="11">
        <f t="shared" si="18"/>
        <v>5</v>
      </c>
      <c r="S151" s="12" cm="1">
        <f t="array" ref="S151">INDEX('HospitalPatientRec-ConceptMap-1'!$I$15:$N$124,Q151+1,R151)</f>
        <v>0</v>
      </c>
    </row>
    <row r="152" spans="16:19">
      <c r="P152" s="11">
        <v>138</v>
      </c>
      <c r="Q152" s="11">
        <f t="shared" si="17"/>
        <v>22</v>
      </c>
      <c r="R152" s="11">
        <f t="shared" si="18"/>
        <v>6</v>
      </c>
      <c r="S152" s="12" cm="1">
        <f t="array" ref="S152">INDEX('HospitalPatientRec-ConceptMap-1'!$I$15:$N$124,Q152+1,R152)</f>
        <v>0</v>
      </c>
    </row>
    <row r="153" spans="16:19">
      <c r="P153" s="11">
        <v>139</v>
      </c>
      <c r="Q153" s="11">
        <f t="shared" si="17"/>
        <v>23</v>
      </c>
      <c r="R153" s="11">
        <f t="shared" si="18"/>
        <v>1</v>
      </c>
      <c r="S153" s="12" cm="1">
        <f t="array" ref="S153">INDEX('HospitalPatientRec-ConceptMap-1'!$I$15:$N$124,Q153+1,R153)</f>
        <v>0</v>
      </c>
    </row>
    <row r="154" spans="16:19">
      <c r="P154" s="11">
        <v>140</v>
      </c>
      <c r="Q154" s="11">
        <f t="shared" si="17"/>
        <v>23</v>
      </c>
      <c r="R154" s="11">
        <f t="shared" si="18"/>
        <v>2</v>
      </c>
      <c r="S154" s="12" cm="1">
        <f t="array" ref="S154">INDEX('HospitalPatientRec-ConceptMap-1'!$I$15:$N$124,Q154+1,R154)</f>
        <v>0</v>
      </c>
    </row>
    <row r="155" spans="16:19">
      <c r="P155" s="11">
        <v>141</v>
      </c>
      <c r="Q155" s="11">
        <f t="shared" si="17"/>
        <v>23</v>
      </c>
      <c r="R155" s="11">
        <f t="shared" si="18"/>
        <v>3</v>
      </c>
      <c r="S155" s="12" cm="1">
        <f t="array" ref="S155">INDEX('HospitalPatientRec-ConceptMap-1'!$I$15:$N$124,Q155+1,R155)</f>
        <v>0</v>
      </c>
    </row>
    <row r="156" spans="16:19">
      <c r="P156" s="11">
        <v>142</v>
      </c>
      <c r="Q156" s="11">
        <f t="shared" si="17"/>
        <v>23</v>
      </c>
      <c r="R156" s="11">
        <f t="shared" si="18"/>
        <v>4</v>
      </c>
      <c r="S156" s="12" cm="1">
        <f t="array" ref="S156">INDEX('HospitalPatientRec-ConceptMap-1'!$I$15:$N$124,Q156+1,R156)</f>
        <v>0</v>
      </c>
    </row>
    <row r="157" spans="16:19">
      <c r="P157" s="11">
        <v>143</v>
      </c>
      <c r="Q157" s="11">
        <f t="shared" si="17"/>
        <v>23</v>
      </c>
      <c r="R157" s="11">
        <f t="shared" si="18"/>
        <v>5</v>
      </c>
      <c r="S157" s="12" cm="1">
        <f t="array" ref="S157">INDEX('HospitalPatientRec-ConceptMap-1'!$I$15:$N$124,Q157+1,R157)</f>
        <v>0</v>
      </c>
    </row>
    <row r="158" spans="16:19">
      <c r="P158" s="11">
        <v>144</v>
      </c>
      <c r="Q158" s="11">
        <f t="shared" si="17"/>
        <v>23</v>
      </c>
      <c r="R158" s="11">
        <f t="shared" si="18"/>
        <v>6</v>
      </c>
      <c r="S158" s="12" cm="1">
        <f t="array" ref="S158">INDEX('HospitalPatientRec-ConceptMap-1'!$I$15:$N$124,Q158+1,R158)</f>
        <v>0</v>
      </c>
    </row>
    <row r="159" spans="16:19">
      <c r="P159" s="11">
        <v>145</v>
      </c>
      <c r="Q159" s="11">
        <f t="shared" si="17"/>
        <v>24</v>
      </c>
      <c r="R159" s="11">
        <f t="shared" si="18"/>
        <v>1</v>
      </c>
      <c r="S159" s="12" cm="1">
        <f t="array" ref="S159">INDEX('HospitalPatientRec-ConceptMap-1'!$I$15:$N$124,Q159+1,R159)</f>
        <v>0</v>
      </c>
    </row>
    <row r="160" spans="16:19">
      <c r="P160" s="11">
        <v>146</v>
      </c>
      <c r="Q160" s="11">
        <f t="shared" si="17"/>
        <v>24</v>
      </c>
      <c r="R160" s="11">
        <f t="shared" si="18"/>
        <v>2</v>
      </c>
      <c r="S160" s="12" cm="1">
        <f t="array" ref="S160">INDEX('HospitalPatientRec-ConceptMap-1'!$I$15:$N$124,Q160+1,R160)</f>
        <v>0</v>
      </c>
    </row>
    <row r="161" spans="16:19">
      <c r="P161" s="11">
        <v>147</v>
      </c>
      <c r="Q161" s="11">
        <f t="shared" si="17"/>
        <v>24</v>
      </c>
      <c r="R161" s="11">
        <f t="shared" si="18"/>
        <v>3</v>
      </c>
      <c r="S161" s="12" cm="1">
        <f t="array" ref="S161">INDEX('HospitalPatientRec-ConceptMap-1'!$I$15:$N$124,Q161+1,R161)</f>
        <v>0</v>
      </c>
    </row>
    <row r="162" spans="16:19">
      <c r="P162" s="11">
        <v>148</v>
      </c>
      <c r="Q162" s="11">
        <f t="shared" si="17"/>
        <v>24</v>
      </c>
      <c r="R162" s="11">
        <f t="shared" si="18"/>
        <v>4</v>
      </c>
      <c r="S162" s="12" cm="1">
        <f t="array" ref="S162">INDEX('HospitalPatientRec-ConceptMap-1'!$I$15:$N$124,Q162+1,R162)</f>
        <v>0</v>
      </c>
    </row>
    <row r="163" spans="16:19">
      <c r="P163" s="11">
        <v>149</v>
      </c>
      <c r="Q163" s="11">
        <f t="shared" si="17"/>
        <v>24</v>
      </c>
      <c r="R163" s="11">
        <f t="shared" si="18"/>
        <v>5</v>
      </c>
      <c r="S163" s="12" cm="1">
        <f t="array" ref="S163">INDEX('HospitalPatientRec-ConceptMap-1'!$I$15:$N$124,Q163+1,R163)</f>
        <v>0</v>
      </c>
    </row>
    <row r="164" spans="16:19">
      <c r="P164" s="11">
        <v>150</v>
      </c>
      <c r="Q164" s="11">
        <f t="shared" si="17"/>
        <v>24</v>
      </c>
      <c r="R164" s="11">
        <f t="shared" si="18"/>
        <v>6</v>
      </c>
      <c r="S164" s="12" cm="1">
        <f t="array" ref="S164">INDEX('HospitalPatientRec-ConceptMap-1'!$I$15:$N$124,Q164+1,R164)</f>
        <v>0</v>
      </c>
    </row>
    <row r="165" spans="16:19">
      <c r="P165" s="11">
        <v>151</v>
      </c>
      <c r="Q165" s="11">
        <f t="shared" si="17"/>
        <v>25</v>
      </c>
      <c r="R165" s="11">
        <f t="shared" si="18"/>
        <v>1</v>
      </c>
      <c r="S165" s="12" cm="1">
        <f t="array" ref="S165">INDEX('HospitalPatientRec-ConceptMap-1'!$I$15:$N$124,Q165+1,R165)</f>
        <v>0</v>
      </c>
    </row>
    <row r="166" spans="16:19">
      <c r="P166" s="11">
        <v>152</v>
      </c>
      <c r="Q166" s="11">
        <f t="shared" si="17"/>
        <v>25</v>
      </c>
      <c r="R166" s="11">
        <f t="shared" si="18"/>
        <v>2</v>
      </c>
      <c r="S166" s="12" cm="1">
        <f t="array" ref="S166">INDEX('HospitalPatientRec-ConceptMap-1'!$I$15:$N$124,Q166+1,R166)</f>
        <v>0</v>
      </c>
    </row>
    <row r="167" spans="16:19">
      <c r="P167" s="11">
        <v>153</v>
      </c>
      <c r="Q167" s="11">
        <f t="shared" si="17"/>
        <v>25</v>
      </c>
      <c r="R167" s="11">
        <f t="shared" si="18"/>
        <v>3</v>
      </c>
      <c r="S167" s="12" cm="1">
        <f t="array" ref="S167">INDEX('HospitalPatientRec-ConceptMap-1'!$I$15:$N$124,Q167+1,R167)</f>
        <v>0</v>
      </c>
    </row>
    <row r="168" spans="16:19">
      <c r="P168" s="11">
        <v>154</v>
      </c>
      <c r="Q168" s="11">
        <f t="shared" si="17"/>
        <v>25</v>
      </c>
      <c r="R168" s="11">
        <f t="shared" si="18"/>
        <v>4</v>
      </c>
      <c r="S168" s="12" cm="1">
        <f t="array" ref="S168">INDEX('HospitalPatientRec-ConceptMap-1'!$I$15:$N$124,Q168+1,R168)</f>
        <v>0</v>
      </c>
    </row>
    <row r="169" spans="16:19">
      <c r="P169" s="11">
        <v>155</v>
      </c>
      <c r="Q169" s="11">
        <f t="shared" si="17"/>
        <v>25</v>
      </c>
      <c r="R169" s="11">
        <f t="shared" si="18"/>
        <v>5</v>
      </c>
      <c r="S169" s="12" cm="1">
        <f t="array" ref="S169">INDEX('HospitalPatientRec-ConceptMap-1'!$I$15:$N$124,Q169+1,R169)</f>
        <v>0</v>
      </c>
    </row>
    <row r="170" spans="16:19">
      <c r="P170" s="11">
        <v>156</v>
      </c>
      <c r="Q170" s="11">
        <f t="shared" si="17"/>
        <v>25</v>
      </c>
      <c r="R170" s="11">
        <f t="shared" si="18"/>
        <v>6</v>
      </c>
      <c r="S170" s="12" cm="1">
        <f t="array" ref="S170">INDEX('HospitalPatientRec-ConceptMap-1'!$I$15:$N$124,Q170+1,R170)</f>
        <v>0</v>
      </c>
    </row>
    <row r="171" spans="16:19">
      <c r="P171" s="11">
        <v>157</v>
      </c>
      <c r="Q171" s="11">
        <f t="shared" si="17"/>
        <v>26</v>
      </c>
      <c r="R171" s="11">
        <f t="shared" si="18"/>
        <v>1</v>
      </c>
      <c r="S171" s="12" cm="1">
        <f t="array" ref="S171">INDEX('HospitalPatientRec-ConceptMap-1'!$I$15:$N$124,Q171+1,R171)</f>
        <v>0</v>
      </c>
    </row>
    <row r="172" spans="16:19">
      <c r="P172" s="11">
        <v>158</v>
      </c>
      <c r="Q172" s="11">
        <f t="shared" si="17"/>
        <v>26</v>
      </c>
      <c r="R172" s="11">
        <f t="shared" si="18"/>
        <v>2</v>
      </c>
      <c r="S172" s="12" cm="1">
        <f t="array" ref="S172">INDEX('HospitalPatientRec-ConceptMap-1'!$I$15:$N$124,Q172+1,R172)</f>
        <v>0</v>
      </c>
    </row>
    <row r="173" spans="16:19">
      <c r="P173" s="11">
        <v>159</v>
      </c>
      <c r="Q173" s="11">
        <f t="shared" si="17"/>
        <v>26</v>
      </c>
      <c r="R173" s="11">
        <f t="shared" si="18"/>
        <v>3</v>
      </c>
      <c r="S173" s="12" cm="1">
        <f t="array" ref="S173">INDEX('HospitalPatientRec-ConceptMap-1'!$I$15:$N$124,Q173+1,R173)</f>
        <v>0</v>
      </c>
    </row>
    <row r="174" spans="16:19">
      <c r="P174" s="11">
        <v>160</v>
      </c>
      <c r="Q174" s="11">
        <f t="shared" si="17"/>
        <v>26</v>
      </c>
      <c r="R174" s="11">
        <f t="shared" si="18"/>
        <v>4</v>
      </c>
      <c r="S174" s="12" cm="1">
        <f t="array" ref="S174">INDEX('HospitalPatientRec-ConceptMap-1'!$I$15:$N$124,Q174+1,R174)</f>
        <v>0</v>
      </c>
    </row>
    <row r="175" spans="16:19">
      <c r="P175" s="11">
        <v>161</v>
      </c>
      <c r="Q175" s="11">
        <f t="shared" si="17"/>
        <v>26</v>
      </c>
      <c r="R175" s="11">
        <f t="shared" si="18"/>
        <v>5</v>
      </c>
      <c r="S175" s="12" cm="1">
        <f t="array" ref="S175">INDEX('HospitalPatientRec-ConceptMap-1'!$I$15:$N$124,Q175+1,R175)</f>
        <v>0</v>
      </c>
    </row>
    <row r="176" spans="16:19">
      <c r="P176" s="11">
        <v>162</v>
      </c>
      <c r="Q176" s="11">
        <f t="shared" si="17"/>
        <v>26</v>
      </c>
      <c r="R176" s="11">
        <f t="shared" si="18"/>
        <v>6</v>
      </c>
      <c r="S176" s="12" cm="1">
        <f t="array" ref="S176">INDEX('HospitalPatientRec-ConceptMap-1'!$I$15:$N$124,Q176+1,R176)</f>
        <v>0</v>
      </c>
    </row>
    <row r="177" spans="16:19">
      <c r="P177" s="11">
        <v>163</v>
      </c>
      <c r="Q177" s="11">
        <f t="shared" si="17"/>
        <v>27</v>
      </c>
      <c r="R177" s="11">
        <f t="shared" si="18"/>
        <v>1</v>
      </c>
      <c r="S177" s="12" cm="1">
        <f t="array" ref="S177">INDEX('HospitalPatientRec-ConceptMap-1'!$I$15:$N$124,Q177+1,R177)</f>
        <v>0</v>
      </c>
    </row>
    <row r="178" spans="16:19">
      <c r="P178" s="11">
        <v>164</v>
      </c>
      <c r="Q178" s="11">
        <f t="shared" si="17"/>
        <v>27</v>
      </c>
      <c r="R178" s="11">
        <f t="shared" si="18"/>
        <v>2</v>
      </c>
      <c r="S178" s="12" cm="1">
        <f t="array" ref="S178">INDEX('HospitalPatientRec-ConceptMap-1'!$I$15:$N$124,Q178+1,R178)</f>
        <v>0</v>
      </c>
    </row>
    <row r="179" spans="16:19">
      <c r="P179" s="11">
        <v>165</v>
      </c>
      <c r="Q179" s="11">
        <f t="shared" si="17"/>
        <v>27</v>
      </c>
      <c r="R179" s="11">
        <f t="shared" si="18"/>
        <v>3</v>
      </c>
      <c r="S179" s="12" cm="1">
        <f t="array" ref="S179">INDEX('HospitalPatientRec-ConceptMap-1'!$I$15:$N$124,Q179+1,R179)</f>
        <v>0</v>
      </c>
    </row>
    <row r="180" spans="16:19">
      <c r="P180" s="11">
        <v>166</v>
      </c>
      <c r="Q180" s="11">
        <f t="shared" si="17"/>
        <v>27</v>
      </c>
      <c r="R180" s="11">
        <f t="shared" si="18"/>
        <v>4</v>
      </c>
      <c r="S180" s="12" cm="1">
        <f t="array" ref="S180">INDEX('HospitalPatientRec-ConceptMap-1'!$I$15:$N$124,Q180+1,R180)</f>
        <v>0</v>
      </c>
    </row>
    <row r="181" spans="16:19">
      <c r="P181" s="11">
        <v>167</v>
      </c>
      <c r="Q181" s="11">
        <f t="shared" si="17"/>
        <v>27</v>
      </c>
      <c r="R181" s="11">
        <f t="shared" si="18"/>
        <v>5</v>
      </c>
      <c r="S181" s="12" cm="1">
        <f t="array" ref="S181">INDEX('HospitalPatientRec-ConceptMap-1'!$I$15:$N$124,Q181+1,R181)</f>
        <v>0</v>
      </c>
    </row>
    <row r="182" spans="16:19">
      <c r="P182" s="11">
        <v>168</v>
      </c>
      <c r="Q182" s="11">
        <f t="shared" si="17"/>
        <v>27</v>
      </c>
      <c r="R182" s="11">
        <f t="shared" si="18"/>
        <v>6</v>
      </c>
      <c r="S182" s="12" cm="1">
        <f t="array" ref="S182">INDEX('HospitalPatientRec-ConceptMap-1'!$I$15:$N$124,Q182+1,R182)</f>
        <v>0</v>
      </c>
    </row>
    <row r="183" spans="16:19">
      <c r="P183" s="11">
        <v>169</v>
      </c>
      <c r="Q183" s="11">
        <f t="shared" si="17"/>
        <v>28</v>
      </c>
      <c r="R183" s="11">
        <f t="shared" si="18"/>
        <v>1</v>
      </c>
      <c r="S183" s="12" cm="1">
        <f t="array" ref="S183">INDEX('HospitalPatientRec-ConceptMap-1'!$I$15:$N$124,Q183+1,R183)</f>
        <v>0</v>
      </c>
    </row>
    <row r="184" spans="16:19">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0" tint="-0.34998626667073579"/>
  </sheetPr>
  <dimension ref="B1:G48"/>
  <sheetViews>
    <sheetView workbookViewId="0">
      <selection activeCell="B46" sqref="B46:B48"/>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2278</v>
      </c>
    </row>
    <row r="3" spans="2:7">
      <c r="B3" s="24" t="s">
        <v>20</v>
      </c>
    </row>
    <row r="4" spans="2:7">
      <c r="B4" s="65" t="str">
        <f>"Instance: "&amp;'HospitalPatientRec-ConceptMap-1'!C4</f>
        <v>Instance: hospitalPatientRecords2FHIR</v>
      </c>
    </row>
    <row r="5" spans="2:7">
      <c r="B5" s="65" t="s">
        <v>1447</v>
      </c>
    </row>
    <row r="6" spans="2:7">
      <c r="B6" s="65" t="s">
        <v>1438</v>
      </c>
    </row>
    <row r="7" spans="2:7">
      <c r="B7" s="65" t="s">
        <v>1776</v>
      </c>
    </row>
    <row r="8" spans="2:7">
      <c r="B8" s="65" t="str">
        <f>"* name = ##34#"&amp;'HospitalPatientRec-ConceptMap-1'!C3&amp;"##34#"</f>
        <v>* name = ##34#hospitalPatientRecords2FHIR##34#</v>
      </c>
    </row>
    <row r="9" spans="2:7">
      <c r="B9" s="65" t="str">
        <f>"* title = ##34#"&amp;'HospitalPatientRec-ConceptMap-1'!C5&amp;"##34#"</f>
        <v>* title = ##34#Hospital Patient Records Model to this guide Map##34#</v>
      </c>
    </row>
    <row r="10" spans="2:7">
      <c r="B10" s="65" t="s">
        <v>1439</v>
      </c>
    </row>
    <row r="11" spans="2:7">
      <c r="B11" s="65" t="s">
        <v>1440</v>
      </c>
    </row>
    <row r="12" spans="2:7">
      <c r="B12" s="65" t="str">
        <f>"* description = ##34#"&amp;'HospitalPatientRec-ConceptMap-1'!C8&amp;"##34#"</f>
        <v>* description = ##34#Hospital Patient Records Model to this guide Map##34#</v>
      </c>
    </row>
    <row r="13" spans="2:7">
      <c r="B13" s="65" t="str">
        <f>"* purpose = ##34#"&amp;'HospitalPatientRec-ConceptMap-1'!C9&amp;"##34#"</f>
        <v>* purpose = ##34#It shows how the Hospital Patient Records model is mapped into this guide##34#</v>
      </c>
    </row>
    <row r="14" spans="2:7">
      <c r="B14" s="69" t="str">
        <f>"* sourceUri = ##34#"&amp;'HospitalPatientRec-ConceptMap-1'!E3&amp;"##34#"</f>
        <v>* sourceUri = ##34#http://hl7.eu/fhir/ig/idea4rc/StructureDefinition/HospitalPatientRecords##34#</v>
      </c>
    </row>
    <row r="15" spans="2:7">
      <c r="B15" s="69" t="str">
        <f>"* targetUri = ##34#"&amp;'HospitalPatientRec-ConceptMap-1'!E4&amp;"##34#"</f>
        <v>* targetUri = ##34#http://hl7.eu/fhir/ig/idea4rc/StructureDefinition/episodeOfCare-eu-i4rc##34#</v>
      </c>
    </row>
    <row r="16" spans="2:7">
      <c r="B16" s="68" t="str">
        <f>"* group[+].source = ##34#"&amp;'HospitalPatientRec-ConceptMap-1'!E6&amp;"##34#"</f>
        <v>* group[+].source = ##34#http://hl7.eu/fhir/ig/idea4rc/StructureDefinition/HospitalPatientRecords##34#</v>
      </c>
    </row>
    <row r="17" spans="2:7">
      <c r="B17" s="68" t="str">
        <f>"* group[=].target = ##34#"&amp;'HospitalPatientRec-ConceptMap-1'!E7&amp;"##34#"</f>
        <v>* group[=].target = ##34#http://hl7.eu/fhir/ig/idea4rc/StructureDefinition/episodeOfCare-eu-i4rc##34#</v>
      </c>
    </row>
    <row r="18" spans="2:7">
      <c r="B18" s="121"/>
    </row>
    <row r="19" spans="2:7">
      <c r="B19" s="12" t="str">
        <f>IF('HospitalPatientRec-ConceptMap-1'!S15=0,"//---END",'HospitalPatientRec-ConceptMap-1'!S15)</f>
        <v>* group[=].element[+].code = #HospitalPatientRecords.patient</v>
      </c>
    </row>
    <row r="20" spans="2:7">
      <c r="B20" s="12" t="str">
        <f>IF('HospitalPatientRec-ConceptMap-1'!S16=0,"//---END",'HospitalPatientRec-ConceptMap-1'!S16)</f>
        <v>* group[=].element[=].display = ##34#Patient##34#</v>
      </c>
    </row>
    <row r="21" spans="2:7">
      <c r="B21" s="12" t="str">
        <f>IF('HospitalPatientRec-ConceptMap-1'!S17=0,"//---END",'HospitalPatientRec-ConceptMap-1'!S17)</f>
        <v>* group[=].element[=].target.code = #EpisodeOfCare.patient</v>
      </c>
    </row>
    <row r="22" spans="2:7">
      <c r="B22" s="12" t="str">
        <f>IF('HospitalPatientRec-ConceptMap-1'!S18=0,"//---END",'HospitalPatientRec-ConceptMap-1'!S18)</f>
        <v>* group[=].element[=].target.display = ##34###34#</v>
      </c>
    </row>
    <row r="23" spans="2:7">
      <c r="B23" s="12" t="str">
        <f>IF('HospitalPatientRec-ConceptMap-1'!S19=0,"//---END",'HospitalPatientRec-ConceptMap-1'!S19)</f>
        <v>* group[=].element[=].target.equivalence = #equal</v>
      </c>
    </row>
    <row r="24" spans="2:7">
      <c r="B24" s="12" t="str">
        <f>IF('HospitalPatientRec-ConceptMap-1'!S20=0,"//---END",'HospitalPatientRec-ConceptMap-1'!S20)</f>
        <v/>
      </c>
      <c r="G24" s="7"/>
    </row>
    <row r="25" spans="2:7">
      <c r="B25" s="12" t="str">
        <f>IF('HospitalPatientRec-ConceptMap-1'!S21=0,"//---END",'HospitalPatientRec-ConceptMap-1'!S21)</f>
        <v>* group[=].element[+].code = #HospitalPatientRecords.hospital</v>
      </c>
    </row>
    <row r="26" spans="2:7">
      <c r="B26" s="12" t="str">
        <f>IF('HospitalPatientRec-ConceptMap-1'!S22=0,"//---END",'HospitalPatientRec-ConceptMap-1'!S22)</f>
        <v>* group[=].element[=].display = ##34#Hospital##34#</v>
      </c>
    </row>
    <row r="27" spans="2:7">
      <c r="B27" s="12" t="str">
        <f>IF('HospitalPatientRec-ConceptMap-1'!S23=0,"//---END",'HospitalPatientRec-ConceptMap-1'!S23)</f>
        <v>* group[=].element[=].target.code = #EpisodeOfCare.managingOrganization</v>
      </c>
    </row>
    <row r="28" spans="2:7">
      <c r="B28" s="12" t="str">
        <f>IF('HospitalPatientRec-ConceptMap-1'!S24=0,"//---END",'HospitalPatientRec-ConceptMap-1'!S24)</f>
        <v>* group[=].element[=].target.display = ##34###34#</v>
      </c>
    </row>
    <row r="29" spans="2:7">
      <c r="B29" s="12" t="str">
        <f>IF('HospitalPatientRec-ConceptMap-1'!S25=0,"//---END",'HospitalPatientRec-ConceptMap-1'!S25)</f>
        <v>* group[=].element[=].target.equivalence = #equivalent</v>
      </c>
    </row>
    <row r="30" spans="2:7">
      <c r="B30" s="12" t="str">
        <f>IF('HospitalPatientRec-ConceptMap-1'!S26=0,"//---END",'HospitalPatientRec-ConceptMap-1'!S26)</f>
        <v/>
      </c>
    </row>
    <row r="31" spans="2:7">
      <c r="B31" s="12" t="str">
        <f>IF('HospitalPatientRec-ConceptMap-1'!S27=0,"//---END",'HospitalPatientRec-ConceptMap-1'!S27)</f>
        <v>* group[=].element[+].code = #HospitalPatientRecords.hospital.name</v>
      </c>
    </row>
    <row r="32" spans="2:7">
      <c r="B32" s="12" t="str">
        <f>IF('HospitalPatientRec-ConceptMap-1'!S28=0,"//---END",'HospitalPatientRec-ConceptMap-1'!S28)</f>
        <v>* group[=].element[=].display = ##34#Hospital Name##34#</v>
      </c>
    </row>
    <row r="33" spans="2:2">
      <c r="B33" s="12" t="str">
        <f>IF('HospitalPatientRec-ConceptMap-1'!S29=0,"//---END",'HospitalPatientRec-ConceptMap-1'!S29)</f>
        <v>* group[=].element[=].target.code = #EpisodeOfCare.managingOrganization.display</v>
      </c>
    </row>
    <row r="34" spans="2:2">
      <c r="B34" s="12" t="str">
        <f>IF('HospitalPatientRec-ConceptMap-1'!S30=0,"//---END",'HospitalPatientRec-ConceptMap-1'!S30)</f>
        <v>* group[=].element[=].target.display = ##34###34#</v>
      </c>
    </row>
    <row r="35" spans="2:2">
      <c r="B35" s="12" t="str">
        <f>IF('HospitalPatientRec-ConceptMap-1'!S31=0,"//---END",'HospitalPatientRec-ConceptMap-1'!S31)</f>
        <v>* group[=].element[=].target.equivalence = #equivalent</v>
      </c>
    </row>
    <row r="36" spans="2:2">
      <c r="B36" s="12" t="str">
        <f>IF('HospitalPatientRec-ConceptMap-1'!S32=0,"//---END",'HospitalPatientRec-ConceptMap-1'!S32)</f>
        <v/>
      </c>
    </row>
    <row r="37" spans="2:2">
      <c r="B37" s="12" t="str">
        <f>IF('HospitalPatientRec-ConceptMap-1'!S33=0,"//---END",'HospitalPatientRec-ConceptMap-1'!S33)</f>
        <v>* group[=].element[+].code = #HospitalPatientRecords.firstContactDate</v>
      </c>
    </row>
    <row r="38" spans="2:2">
      <c r="B38" s="12" t="str">
        <f>IF('HospitalPatientRec-ConceptMap-1'!S34=0,"//---END",'HospitalPatientRec-ConceptMap-1'!S34)</f>
        <v>* group[=].element[=].display = ##34#Date of first contact with the hospital##34#</v>
      </c>
    </row>
    <row r="39" spans="2:2">
      <c r="B39" s="12" t="str">
        <f>IF('HospitalPatientRec-ConceptMap-1'!S35=0,"//---END",'HospitalPatientRec-ConceptMap-1'!S35)</f>
        <v>* group[=].element[=].target.code = #EpisodeOfCare.period.start</v>
      </c>
    </row>
    <row r="40" spans="2:2">
      <c r="B40" s="12" t="str">
        <f>IF('HospitalPatientRec-ConceptMap-1'!S36=0,"//---END",'HospitalPatientRec-ConceptMap-1'!S36)</f>
        <v>* group[=].element[=].target.display = ##34###34#</v>
      </c>
    </row>
    <row r="41" spans="2:2">
      <c r="B41" s="12" t="str">
        <f>IF('HospitalPatientRec-ConceptMap-1'!S37=0,"//---END",'HospitalPatientRec-ConceptMap-1'!S37)</f>
        <v>* group[=].element[=].target.equivalence = #equal</v>
      </c>
    </row>
    <row r="42" spans="2:2">
      <c r="B42" s="12" t="str">
        <f>IF('HospitalPatientRec-ConceptMap-1'!S38=0,"//---END",'HospitalPatientRec-ConceptMap-1'!S38)</f>
        <v/>
      </c>
    </row>
    <row r="43" spans="2:2">
      <c r="B43" s="12" t="str">
        <f>IF('HospitalPatientRec-ConceptMap-1'!S39=0,"//---END",'HospitalPatientRec-ConceptMap-1'!S39)</f>
        <v>//---END</v>
      </c>
    </row>
    <row r="44" spans="2:2">
      <c r="B44" s="12" t="str">
        <f>IF('HospitalPatientRec-ConceptMap-1'!S40=0,"//---END",'HospitalPatientRec-ConceptMap-1'!S40)</f>
        <v>//---END</v>
      </c>
    </row>
    <row r="45" spans="2:2">
      <c r="B45" s="12" t="str">
        <f>IF('HospitalPatientRec-ConceptMap-1'!S41=0,"//---END",'HospitalPatientRec-ConceptMap-1'!S41)</f>
        <v>//---END</v>
      </c>
    </row>
    <row r="46" spans="2:2">
      <c r="B46" s="12"/>
    </row>
    <row r="47" spans="2:2">
      <c r="B47" s="12"/>
    </row>
    <row r="48" spans="2:2">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M50"/>
  <sheetViews>
    <sheetView zoomScaleNormal="100" workbookViewId="0">
      <selection activeCell="D12" sqref="D12"/>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2349</v>
      </c>
      <c r="J4" s="16" t="str">
        <f>CONCATENATE("Logical: ",B4)</f>
        <v>Logical: PatientFollowUpI4rc</v>
      </c>
    </row>
    <row r="5" spans="1:12" ht="15.5" thickBot="1">
      <c r="A5" s="14" t="s">
        <v>16</v>
      </c>
      <c r="B5" s="45" t="s">
        <v>2274</v>
      </c>
      <c r="J5" s="16" t="str">
        <f>CONCATENATE("Id: ",B5)</f>
        <v>Id: PatientFollowUp</v>
      </c>
    </row>
    <row r="6" spans="1:12" ht="15.5" thickBot="1">
      <c r="A6" s="14" t="s">
        <v>10</v>
      </c>
      <c r="B6" s="45" t="s">
        <v>2275</v>
      </c>
      <c r="J6" s="17" t="str">
        <f>CONCATENATE("Title: ##34#",B6,"##34#")</f>
        <v>Title: ##34#Patient Follow Up##34#</v>
      </c>
    </row>
    <row r="7" spans="1:12">
      <c r="A7" s="26" t="s">
        <v>2</v>
      </c>
      <c r="B7" s="45" t="s">
        <v>2275</v>
      </c>
      <c r="C7" s="9" t="s">
        <v>3</v>
      </c>
      <c r="D7" s="1" t="s">
        <v>4</v>
      </c>
      <c r="E7" s="3" t="s">
        <v>5</v>
      </c>
      <c r="F7" s="3" t="s">
        <v>6</v>
      </c>
      <c r="G7" s="3" t="s">
        <v>7</v>
      </c>
      <c r="H7" s="105" t="s">
        <v>1610</v>
      </c>
      <c r="J7" s="17" t="str">
        <f>CONCATENATE("Description: "," ##334#",B7,"##334#",)</f>
        <v>Description:  ##334#Patient Follow Up##334#</v>
      </c>
    </row>
    <row r="8" spans="1:12" ht="29.5">
      <c r="A8" s="100">
        <v>0</v>
      </c>
      <c r="B8" s="11" t="s">
        <v>1783</v>
      </c>
      <c r="C8" s="11" t="s">
        <v>14</v>
      </c>
      <c r="D8" s="11" t="s">
        <v>2258</v>
      </c>
      <c r="E8" s="11">
        <v>1</v>
      </c>
      <c r="F8" s="11">
        <v>1</v>
      </c>
      <c r="G8" s="118" t="s">
        <v>1761</v>
      </c>
      <c r="H8" s="11"/>
      <c r="I8" s="25"/>
      <c r="J8" s="12" t="str">
        <f t="shared" ref="J8:J40" si="0">CONCATENATE("* ",B8, " ",E8,"..",F8," ",G8," ##34#",C8,"##34# ##334#",D8,"##334#")</f>
        <v>* patient 1..1 http://hl7.eu/fhir/ig/idea4rc/StructureDefinition/Subject ##34#Patient##34# ##334#Patient element##334#</v>
      </c>
      <c r="L8" s="12" t="str">
        <f>IF(H8="",IF(J8="*  ..  ##34###34# ##334###334#",J8,""),IF(J8="*  ..  ##34###34# ##334###334#",J8,CONCATENATE("* ",B8," ^comment = ##334#",H8,"##334#")))</f>
        <v/>
      </c>
    </row>
    <row r="9" spans="1:12" s="2" customFormat="1" ht="29.5">
      <c r="A9" s="100">
        <v>1</v>
      </c>
      <c r="B9" s="6" t="s">
        <v>2259</v>
      </c>
      <c r="C9" s="11" t="s">
        <v>2260</v>
      </c>
      <c r="D9" s="11" t="s">
        <v>2261</v>
      </c>
      <c r="E9" s="11">
        <v>1</v>
      </c>
      <c r="F9" s="11">
        <v>1</v>
      </c>
      <c r="G9" s="119" t="s">
        <v>1764</v>
      </c>
      <c r="H9" s="11"/>
      <c r="I9" s="25"/>
      <c r="J9" s="12" t="str">
        <f t="shared" si="0"/>
        <v>* statusAtLastFollowUp 1..1 CodeableConcept ##34#Status at last follow-up##34# ##334#Describes the status at last follow-up##334#</v>
      </c>
      <c r="K9"/>
      <c r="L9" s="12" t="str">
        <f t="shared" ref="L9:L15" si="1">IF(H9="",IF(J9="*  ..  ##34###34# ##334###334#",J9,""),IF(J9="*  ..  ##34###34# ##334###334#",J9,CONCATENATE("* ",B9," ^comment = ##334#",H9,"##334#")))</f>
        <v/>
      </c>
    </row>
    <row r="10" spans="1:12" s="2" customFormat="1" ht="29.5">
      <c r="A10" s="100">
        <v>2</v>
      </c>
      <c r="B10" s="11" t="s">
        <v>2262</v>
      </c>
      <c r="C10" s="11" t="s">
        <v>2263</v>
      </c>
      <c r="D10" s="11" t="s">
        <v>2264</v>
      </c>
      <c r="E10" s="11">
        <v>1</v>
      </c>
      <c r="F10" s="11">
        <v>1</v>
      </c>
      <c r="G10" s="11" t="s">
        <v>156</v>
      </c>
      <c r="H10" s="11"/>
      <c r="I10" s="25"/>
      <c r="J10" s="12" t="str">
        <f t="shared" si="0"/>
        <v>* patientFollowUpDate 1..1 date ##34#Patient Follow Up date##34# ##334#Date of the clinical follow-up##334#</v>
      </c>
      <c r="K10"/>
      <c r="L10" s="12" t="str">
        <f t="shared" si="1"/>
        <v/>
      </c>
    </row>
    <row r="11" spans="1:12" s="2" customFormat="1" ht="44.25">
      <c r="A11" s="100">
        <v>3</v>
      </c>
      <c r="B11" s="11" t="s">
        <v>2265</v>
      </c>
      <c r="C11" s="11" t="s">
        <v>2266</v>
      </c>
      <c r="D11" s="11" t="s">
        <v>2267</v>
      </c>
      <c r="E11" s="11">
        <v>1</v>
      </c>
      <c r="F11" s="11">
        <v>1</v>
      </c>
      <c r="G11" s="11" t="s">
        <v>1764</v>
      </c>
      <c r="H11" s="11"/>
      <c r="I11" s="25"/>
      <c r="J11" s="12" t="str">
        <f t="shared" si="0"/>
        <v>* newCancerDiagnosis 1..1 CodeableConcept ##34#New cancer diagnosis##34# ##334#identifies whether the patient has developed a subsequent primary cancer##334#</v>
      </c>
      <c r="K11"/>
      <c r="L11" s="12" t="str">
        <f t="shared" si="1"/>
        <v/>
      </c>
    </row>
    <row r="12" spans="1:12" s="2" customFormat="1" ht="29.5">
      <c r="A12" s="100">
        <v>4</v>
      </c>
      <c r="B12" s="11" t="s">
        <v>2268</v>
      </c>
      <c r="C12" s="11" t="s">
        <v>2269</v>
      </c>
      <c r="D12" s="11" t="s">
        <v>2270</v>
      </c>
      <c r="E12" s="11">
        <v>1</v>
      </c>
      <c r="F12" s="11">
        <v>1</v>
      </c>
      <c r="G12" s="11" t="s">
        <v>156</v>
      </c>
      <c r="H12" s="12"/>
      <c r="I12" s="25"/>
      <c r="J12" s="12" t="str">
        <f t="shared" si="0"/>
        <v>* dateOfNewCancerDiagnosis 1..1 date ##34#Date of new cancer diagnosis##34# ##334#date of subsequent primary cancer diagnosis##334#</v>
      </c>
      <c r="K12"/>
      <c r="L12" s="12" t="str">
        <f t="shared" si="1"/>
        <v/>
      </c>
    </row>
    <row r="13" spans="1:12" s="2" customFormat="1" ht="44.25">
      <c r="A13" s="100">
        <v>5</v>
      </c>
      <c r="B13" s="11" t="s">
        <v>2271</v>
      </c>
      <c r="C13" s="11" t="s">
        <v>2272</v>
      </c>
      <c r="D13" s="11" t="s">
        <v>2273</v>
      </c>
      <c r="E13" s="11">
        <v>1</v>
      </c>
      <c r="F13" s="11">
        <v>1</v>
      </c>
      <c r="G13" s="11" t="s">
        <v>1764</v>
      </c>
      <c r="H13" s="12"/>
      <c r="I13" s="25"/>
      <c r="J13" s="12" t="str">
        <f t="shared" si="0"/>
        <v>* newCancerTopography 1..1 CodeableConcept ##34#New cancer topography##34# ##334#clarifies the site of the subsequent primary cancer (from a predefined list of sites)##334#</v>
      </c>
      <c r="K13"/>
      <c r="L13" s="12" t="str">
        <f t="shared" si="1"/>
        <v/>
      </c>
    </row>
    <row r="14" spans="1:12" s="2" customFormat="1">
      <c r="A14" s="100">
        <v>5</v>
      </c>
      <c r="B14" s="11"/>
      <c r="C14" s="11"/>
      <c r="D14" s="11"/>
      <c r="E14" s="11"/>
      <c r="F14" s="11"/>
      <c r="G14" s="11"/>
      <c r="H14" s="12"/>
      <c r="I14" s="25"/>
      <c r="J14" s="12" t="str">
        <f t="shared" si="0"/>
        <v>*  ..  ##34###34# ##334###334#</v>
      </c>
      <c r="K14"/>
      <c r="L14" s="12" t="str">
        <f t="shared" si="1"/>
        <v>*  ..  ##34###34# ##334###334#</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ref="L16:L40" si="2">IF(H16="",IF(J16="*  ..  ##34###34# ##334###334#",J16,""),IF(J16="*  ..  ##34###34# ##334###334#",J16,CONCATENATE("* ",B16," ^comment = ##334#",H16,"##334#")))</f>
        <v>*  ..  ##34###34# ##334###334#</v>
      </c>
    </row>
    <row r="17" spans="1:13" s="2" customFormat="1">
      <c r="A17" s="100">
        <v>8</v>
      </c>
      <c r="B17" s="11"/>
      <c r="C17" s="11"/>
      <c r="D17" s="11"/>
      <c r="E17" s="11"/>
      <c r="F17" s="11"/>
      <c r="G17" s="11"/>
      <c r="H17" s="12"/>
      <c r="I17" s="25"/>
      <c r="J17" s="12" t="str">
        <f t="shared" si="0"/>
        <v>*  ..  ##34###34# ##334###334#</v>
      </c>
      <c r="K17"/>
      <c r="L17" s="12" t="str">
        <f t="shared" si="2"/>
        <v>*  ..  ##34###34# ##334###334#</v>
      </c>
    </row>
    <row r="18" spans="1:13">
      <c r="A18" s="100">
        <v>9</v>
      </c>
      <c r="B18" s="11"/>
      <c r="C18" s="11"/>
      <c r="D18" s="11"/>
      <c r="E18" s="11"/>
      <c r="F18" s="11"/>
      <c r="G18" s="11"/>
      <c r="H18" s="12"/>
      <c r="I18" s="25"/>
      <c r="J18" s="12" t="str">
        <f t="shared" si="0"/>
        <v>*  ..  ##34###34# ##334###334#</v>
      </c>
      <c r="L18" s="12" t="str">
        <f t="shared" si="2"/>
        <v>*  ..  ##34###34# ##334###334#</v>
      </c>
    </row>
    <row r="19" spans="1:13">
      <c r="A19" s="100">
        <v>10</v>
      </c>
      <c r="B19" s="11"/>
      <c r="C19" s="11"/>
      <c r="D19" s="11"/>
      <c r="E19" s="11"/>
      <c r="F19" s="11"/>
      <c r="G19" s="11"/>
      <c r="H19" s="12"/>
      <c r="J19" s="12" t="str">
        <f t="shared" si="0"/>
        <v>*  ..  ##34###34# ##334###334#</v>
      </c>
      <c r="L19" s="12" t="str">
        <f t="shared" si="2"/>
        <v>*  ..  ##34###34# ##334###334#</v>
      </c>
    </row>
    <row r="20" spans="1:13">
      <c r="A20" s="100">
        <v>11</v>
      </c>
      <c r="B20" s="11"/>
      <c r="C20" s="11"/>
      <c r="D20" s="11"/>
      <c r="E20" s="11"/>
      <c r="F20" s="11"/>
      <c r="G20" s="11"/>
      <c r="H20" s="12"/>
      <c r="J20" s="12" t="str">
        <f t="shared" si="0"/>
        <v>*  ..  ##34###34# ##334###334#</v>
      </c>
      <c r="L20" s="12" t="str">
        <f t="shared" si="2"/>
        <v>*  ..  ##34###34# ##334###334#</v>
      </c>
    </row>
    <row r="21" spans="1:13">
      <c r="A21" s="100">
        <v>12</v>
      </c>
      <c r="B21" s="11"/>
      <c r="C21" s="11"/>
      <c r="D21" s="11"/>
      <c r="E21" s="11"/>
      <c r="F21" s="11"/>
      <c r="G21" s="11"/>
      <c r="H21" s="12"/>
      <c r="J21" s="12" t="str">
        <f t="shared" si="0"/>
        <v>*  ..  ##34###34# ##334###334#</v>
      </c>
      <c r="L21" s="12" t="str">
        <f t="shared" si="2"/>
        <v>*  ..  ##34###34# ##334###334#</v>
      </c>
    </row>
    <row r="22" spans="1:13">
      <c r="A22" s="100">
        <v>13</v>
      </c>
      <c r="B22" s="11"/>
      <c r="C22" s="11"/>
      <c r="D22" s="11"/>
      <c r="E22" s="11"/>
      <c r="F22" s="11"/>
      <c r="G22" s="11"/>
      <c r="H22" s="12"/>
      <c r="J22" s="12" t="str">
        <f t="shared" si="0"/>
        <v>*  ..  ##34###34# ##334###334#</v>
      </c>
      <c r="L22" s="12" t="str">
        <f t="shared" si="2"/>
        <v>*  ..  ##34###34# ##334###334#</v>
      </c>
      <c r="M22"/>
    </row>
    <row r="23" spans="1:13">
      <c r="A23" s="100">
        <v>14</v>
      </c>
      <c r="B23" s="11"/>
      <c r="C23" s="11"/>
      <c r="D23" s="11"/>
      <c r="E23" s="11"/>
      <c r="F23" s="11"/>
      <c r="G23" s="11"/>
      <c r="H23" s="12"/>
      <c r="J23" s="12" t="str">
        <f t="shared" si="0"/>
        <v>*  ..  ##34###34# ##334###334#</v>
      </c>
      <c r="L23" s="12" t="str">
        <f t="shared" si="2"/>
        <v>*  ..  ##34###34# ##334###334#</v>
      </c>
      <c r="M23"/>
    </row>
    <row r="24" spans="1:13">
      <c r="A24" s="100">
        <v>15</v>
      </c>
      <c r="B24" s="11"/>
      <c r="C24" s="11"/>
      <c r="D24" s="11"/>
      <c r="E24" s="11"/>
      <c r="F24" s="11"/>
      <c r="G24" s="11"/>
      <c r="H24" s="12"/>
      <c r="J24" s="12" t="str">
        <f t="shared" si="0"/>
        <v>*  ..  ##34###34# ##334###334#</v>
      </c>
      <c r="L24" s="12" t="str">
        <f t="shared" si="2"/>
        <v>*  ..  ##34###34# ##334###334#</v>
      </c>
      <c r="M24"/>
    </row>
    <row r="25" spans="1:13">
      <c r="A25" s="100">
        <v>16</v>
      </c>
      <c r="B25" s="11"/>
      <c r="C25" s="11"/>
      <c r="D25" s="11"/>
      <c r="E25" s="11"/>
      <c r="F25" s="11"/>
      <c r="G25" s="11"/>
      <c r="H25" s="12"/>
      <c r="J25" s="12" t="str">
        <f t="shared" si="0"/>
        <v>*  ..  ##34###34# ##334###334#</v>
      </c>
      <c r="L25" s="12" t="str">
        <f t="shared" si="2"/>
        <v>*  ..  ##34###34# ##334###334#</v>
      </c>
      <c r="M25"/>
    </row>
    <row r="26" spans="1:13">
      <c r="A26" s="100">
        <v>17</v>
      </c>
      <c r="B26" s="11"/>
      <c r="C26" s="11"/>
      <c r="D26" s="11"/>
      <c r="E26" s="11"/>
      <c r="F26" s="11"/>
      <c r="G26" s="11"/>
      <c r="H26" s="12"/>
      <c r="J26" s="12" t="str">
        <f t="shared" si="0"/>
        <v>*  ..  ##34###34# ##334###334#</v>
      </c>
      <c r="L26" s="12" t="str">
        <f t="shared" si="2"/>
        <v>*  ..  ##34###34# ##334###334#</v>
      </c>
      <c r="M26"/>
    </row>
    <row r="27" spans="1:13">
      <c r="A27" s="100">
        <v>18</v>
      </c>
      <c r="B27" s="11"/>
      <c r="C27" s="11"/>
      <c r="D27" s="11"/>
      <c r="E27" s="11"/>
      <c r="F27" s="11"/>
      <c r="G27" s="11"/>
      <c r="H27" s="12"/>
      <c r="J27" s="12" t="str">
        <f t="shared" si="0"/>
        <v>*  ..  ##34###34# ##334###334#</v>
      </c>
      <c r="L27" s="12" t="str">
        <f t="shared" si="2"/>
        <v>*  ..  ##34###34# ##334###334#</v>
      </c>
      <c r="M27"/>
    </row>
    <row r="28" spans="1:13">
      <c r="A28" s="100">
        <v>19</v>
      </c>
      <c r="B28" s="11"/>
      <c r="C28" s="11"/>
      <c r="D28" s="11"/>
      <c r="E28" s="11"/>
      <c r="F28" s="11"/>
      <c r="G28" s="11"/>
      <c r="H28" s="12"/>
      <c r="J28" s="12" t="str">
        <f t="shared" si="0"/>
        <v>*  ..  ##34###34# ##334###334#</v>
      </c>
      <c r="L28" s="12" t="str">
        <f t="shared" si="2"/>
        <v>*  ..  ##34###34# ##334###334#</v>
      </c>
      <c r="M28"/>
    </row>
    <row r="29" spans="1:13">
      <c r="A29" s="100">
        <v>20</v>
      </c>
      <c r="B29" s="11"/>
      <c r="C29" s="11"/>
      <c r="D29" s="11"/>
      <c r="E29" s="11"/>
      <c r="F29" s="11"/>
      <c r="G29" s="11"/>
      <c r="H29" s="12"/>
      <c r="J29" s="12" t="str">
        <f t="shared" si="0"/>
        <v>*  ..  ##34###34# ##334###334#</v>
      </c>
      <c r="L29" s="12" t="str">
        <f t="shared" si="2"/>
        <v>*  ..  ##34###34# ##334###334#</v>
      </c>
    </row>
    <row r="30" spans="1:13">
      <c r="A30" s="100">
        <v>21</v>
      </c>
      <c r="B30" s="11"/>
      <c r="C30" s="11"/>
      <c r="D30" s="11"/>
      <c r="E30" s="11"/>
      <c r="F30" s="11"/>
      <c r="G30" s="11"/>
      <c r="H30" s="12"/>
      <c r="J30" s="12" t="str">
        <f t="shared" si="0"/>
        <v>*  ..  ##34###34# ##334###334#</v>
      </c>
      <c r="L30" s="12" t="str">
        <f t="shared" si="2"/>
        <v>*  ..  ##34###34# ##334###334#</v>
      </c>
    </row>
    <row r="31" spans="1:13">
      <c r="A31" s="100">
        <v>22</v>
      </c>
      <c r="B31" s="11"/>
      <c r="C31" s="11"/>
      <c r="D31" s="11"/>
      <c r="E31" s="11"/>
      <c r="F31" s="11"/>
      <c r="G31" s="11"/>
      <c r="H31" s="12"/>
      <c r="J31" s="12" t="str">
        <f t="shared" si="0"/>
        <v>*  ..  ##34###34# ##334###334#</v>
      </c>
      <c r="L31" s="12" t="str">
        <f t="shared" si="2"/>
        <v>*  ..  ##34###34# ##334###334#</v>
      </c>
    </row>
    <row r="32" spans="1:13">
      <c r="A32" s="100">
        <v>23</v>
      </c>
      <c r="B32" s="11"/>
      <c r="C32" s="11"/>
      <c r="D32" s="11"/>
      <c r="E32" s="11"/>
      <c r="F32" s="11"/>
      <c r="G32" s="11"/>
      <c r="H32" s="12"/>
      <c r="J32" s="12" t="str">
        <f t="shared" si="0"/>
        <v>*  ..  ##34###34# ##334###334#</v>
      </c>
      <c r="L32" s="12" t="str">
        <f t="shared" si="2"/>
        <v>*  ..  ##34###34# ##334###334#</v>
      </c>
    </row>
    <row r="33" spans="1:12">
      <c r="A33" s="100">
        <v>24</v>
      </c>
      <c r="B33" s="11"/>
      <c r="C33" s="11"/>
      <c r="D33" s="11"/>
      <c r="E33" s="11"/>
      <c r="F33" s="11"/>
      <c r="G33" s="11"/>
      <c r="H33" s="12"/>
      <c r="J33" s="12" t="str">
        <f t="shared" si="0"/>
        <v>*  ..  ##34###34# ##334###334#</v>
      </c>
      <c r="L33" s="12" t="str">
        <f t="shared" si="2"/>
        <v>*  ..  ##34###34# ##334###334#</v>
      </c>
    </row>
    <row r="34" spans="1:12" s="2" customFormat="1">
      <c r="A34" s="100">
        <v>25</v>
      </c>
      <c r="B34" s="11"/>
      <c r="C34" s="11"/>
      <c r="D34" s="11"/>
      <c r="E34" s="11"/>
      <c r="F34" s="11"/>
      <c r="G34" s="11"/>
      <c r="H34" s="12"/>
      <c r="I34"/>
      <c r="J34" s="12" t="str">
        <f t="shared" si="0"/>
        <v>*  ..  ##34###34# ##334###334#</v>
      </c>
      <c r="K34"/>
      <c r="L34" s="12" t="str">
        <f t="shared" si="2"/>
        <v>*  ..  ##34###34# ##334###334#</v>
      </c>
    </row>
    <row r="35" spans="1:12" s="2" customFormat="1">
      <c r="A35" s="100">
        <v>26</v>
      </c>
      <c r="B35" s="11"/>
      <c r="C35" s="11"/>
      <c r="D35" s="11"/>
      <c r="E35" s="11"/>
      <c r="F35" s="11"/>
      <c r="G35" s="11"/>
      <c r="H35" s="12"/>
      <c r="I35"/>
      <c r="J35" s="12" t="str">
        <f t="shared" si="0"/>
        <v>*  ..  ##34###34# ##334###334#</v>
      </c>
      <c r="K35"/>
      <c r="L35" s="12" t="str">
        <f t="shared" si="2"/>
        <v>*  ..  ##34###34# ##334###334#</v>
      </c>
    </row>
    <row r="36" spans="1:12" s="2" customFormat="1">
      <c r="A36" s="100">
        <v>27</v>
      </c>
      <c r="B36" s="11"/>
      <c r="C36" s="11"/>
      <c r="D36" s="11"/>
      <c r="E36" s="11"/>
      <c r="F36" s="11"/>
      <c r="G36" s="11"/>
      <c r="H36" s="12"/>
      <c r="I36"/>
      <c r="J36" s="12" t="str">
        <f t="shared" si="0"/>
        <v>*  ..  ##34###34# ##334###334#</v>
      </c>
      <c r="K36"/>
      <c r="L36" s="12" t="str">
        <f t="shared" si="2"/>
        <v>*  ..  ##34###34# ##334###334#</v>
      </c>
    </row>
    <row r="37" spans="1:12" s="2" customFormat="1">
      <c r="A37" s="100">
        <v>28</v>
      </c>
      <c r="B37" s="11"/>
      <c r="C37" s="11"/>
      <c r="D37" s="11"/>
      <c r="E37" s="11"/>
      <c r="F37" s="11"/>
      <c r="G37" s="11"/>
      <c r="H37" s="12"/>
      <c r="I37"/>
      <c r="J37" s="12" t="str">
        <f t="shared" si="0"/>
        <v>*  ..  ##34###34# ##334###334#</v>
      </c>
      <c r="K37"/>
      <c r="L37" s="12" t="str">
        <f t="shared" si="2"/>
        <v>*  ..  ##34###34# ##334###334#</v>
      </c>
    </row>
    <row r="38" spans="1:12" s="2" customFormat="1">
      <c r="A38" s="100">
        <v>29</v>
      </c>
      <c r="B38" s="11"/>
      <c r="C38" s="11"/>
      <c r="D38" s="11"/>
      <c r="E38" s="11"/>
      <c r="F38" s="11"/>
      <c r="G38" s="11"/>
      <c r="H38" s="12"/>
      <c r="I38"/>
      <c r="J38" s="12" t="str">
        <f t="shared" si="0"/>
        <v>*  ..  ##34###34# ##334###334#</v>
      </c>
      <c r="K38"/>
      <c r="L38" s="12" t="str">
        <f t="shared" si="2"/>
        <v>*  ..  ##34###34# ##334###334#</v>
      </c>
    </row>
    <row r="39" spans="1:12" s="2" customFormat="1">
      <c r="A39" s="100">
        <v>30</v>
      </c>
      <c r="B39" s="11"/>
      <c r="C39" s="11"/>
      <c r="D39" s="11"/>
      <c r="E39" s="11"/>
      <c r="F39" s="11"/>
      <c r="G39" s="11"/>
      <c r="H39" s="12"/>
      <c r="I39"/>
      <c r="J39" s="12" t="str">
        <f t="shared" si="0"/>
        <v>*  ..  ##34###34# ##334###334#</v>
      </c>
      <c r="K39"/>
      <c r="L39" s="12" t="str">
        <f t="shared" si="2"/>
        <v>*  ..  ##34###34# ##334###334#</v>
      </c>
    </row>
    <row r="40" spans="1:12" s="2" customFormat="1">
      <c r="A40" s="100">
        <v>31</v>
      </c>
      <c r="B40" s="11"/>
      <c r="C40" s="11"/>
      <c r="D40" s="11"/>
      <c r="E40" s="11"/>
      <c r="F40" s="11"/>
      <c r="G40" s="11"/>
      <c r="H40" s="12"/>
      <c r="I40"/>
      <c r="J40" s="12" t="str">
        <f t="shared" si="0"/>
        <v>*  ..  ##34###34# ##334###334#</v>
      </c>
      <c r="K40"/>
      <c r="L40" s="12" t="str">
        <f t="shared" si="2"/>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A1:G43"/>
  <sheetViews>
    <sheetView workbookViewId="0">
      <selection activeCell="L8" sqref="L8:L15"/>
    </sheetView>
  </sheetViews>
  <sheetFormatPr defaultRowHeight="14.75"/>
  <cols>
    <col min="3" max="3" width="108.2265625" style="12" customWidth="1"/>
    <col min="7" max="7" width="29.54296875" customWidth="1"/>
    <col min="8" max="8" width="54.90625" customWidth="1"/>
  </cols>
  <sheetData>
    <row r="1" spans="1:7" ht="15.5" thickBot="1">
      <c r="C1" s="23" t="str">
        <f>PatientFollowUp!J1</f>
        <v>//===================================================</v>
      </c>
    </row>
    <row r="2" spans="1:7" ht="16.75" thickBot="1">
      <c r="C2" s="24" t="str">
        <f>PatientFollowUp!J2</f>
        <v>//  Logical Model</v>
      </c>
      <c r="G2" s="29" t="s">
        <v>2276</v>
      </c>
    </row>
    <row r="3" spans="1:7">
      <c r="C3" s="24" t="str">
        <f>PatientFollowUp!J3</f>
        <v>//===================================================</v>
      </c>
    </row>
    <row r="4" spans="1:7">
      <c r="C4" s="16" t="str">
        <f>PatientFollowUp!J4</f>
        <v>Logical: PatientFollowUpI4rc</v>
      </c>
    </row>
    <row r="5" spans="1:7">
      <c r="C5" s="16" t="str">
        <f>PatientFollowUp!J5</f>
        <v>Id: PatientFollowUp</v>
      </c>
    </row>
    <row r="6" spans="1:7">
      <c r="C6" s="16" t="str">
        <f>PatientFollowUp!J6</f>
        <v>Title: ##34#Patient Follow Up##34#</v>
      </c>
    </row>
    <row r="7" spans="1:7">
      <c r="C7" s="16" t="str">
        <f>PatientFollowUp!J7</f>
        <v>Description:  ##334#Patient Follow Up##334#</v>
      </c>
    </row>
    <row r="8" spans="1:7">
      <c r="A8" s="100"/>
      <c r="C8" s="12" t="str">
        <f>IF(PatientFollowUp!J8="*  ..  ##34###34# ##334###334#","//--- END",PatientFollowUp!J8)</f>
        <v>* patient 1..1 http://hl7.eu/fhir/ig/idea4rc/StructureDefinition/Subject ##34#Patient##34# ##334#Patient element##334#</v>
      </c>
    </row>
    <row r="9" spans="1:7" ht="29.5">
      <c r="A9" s="100"/>
      <c r="C9" s="12" t="str">
        <f>IF(PatientFollowUp!J9="*  ..  ##34###34# ##334###334#","//--- END",PatientFollowUp!J9)</f>
        <v>* statusAtLastFollowUp 1..1 CodeableConcept ##34#Status at last follow-up##34# ##334#Describes the status at last follow-up##334#</v>
      </c>
    </row>
    <row r="10" spans="1:7">
      <c r="A10" s="100"/>
      <c r="C10" s="12" t="str">
        <f>IF(PatientFollowUp!J10="*  ..  ##34###34# ##334###334#","//--- END",PatientFollowUp!J10)</f>
        <v>* patientFollowUpDate 1..1 date ##34#Patient Follow Up date##34# ##334#Date of the clinical follow-up##334#</v>
      </c>
    </row>
    <row r="11" spans="1:7" ht="29.5">
      <c r="C11" s="12" t="str">
        <f>IF(PatientFollowUp!J11="*  ..  ##34###34# ##334###334#","//--- END",PatientFollowUp!J11)</f>
        <v>* newCancerDiagnosis 1..1 CodeableConcept ##34#New cancer diagnosis##34# ##334#identifies whether the patient has developed a subsequent primary cancer##334#</v>
      </c>
    </row>
    <row r="12" spans="1:7" ht="29.5">
      <c r="C12" s="12" t="str">
        <f>IF(PatientFollowUp!J12="*  ..  ##34###34# ##334###334#","//--- END",PatientFollowUp!J12)</f>
        <v>* dateOfNewCancerDiagnosis 1..1 date ##34#Date of new cancer diagnosis##34# ##334#date of subsequent primary cancer diagnosis##334#</v>
      </c>
    </row>
    <row r="13" spans="1:7" ht="29.5">
      <c r="C13" s="12" t="str">
        <f>IF(PatientFollowUp!J13="*  ..  ##34###34# ##334###334#","//--- END",PatientFollowUp!J13)</f>
        <v>* newCancerTopography 1..1 CodeableConcept ##34#New cancer topography##34# ##334#clarifies the site of the subsequent primary cancer (from a predefined list of sites)##334#</v>
      </c>
    </row>
    <row r="14" spans="1:7">
      <c r="C14" s="12" t="str">
        <f>IF(PatientFollowUp!J14="*  ..  ##34###34# ##334###334#","//--- END",PatientFollowUp!J14)</f>
        <v>//--- END</v>
      </c>
    </row>
    <row r="15" spans="1:7">
      <c r="C15" s="12" t="str">
        <f>IF(PatientFollowUp!J15="*  ..  ##34###34# ##334###334#","//--- END",PatientFollowUp!J15)</f>
        <v>//--- END</v>
      </c>
    </row>
    <row r="16" spans="1:7">
      <c r="C16" s="12" t="str">
        <f>IF(PatientFollowUp!J16="*  ..  ##34###34# ##334###334#","//--- END",PatientFollowUp!J16)</f>
        <v>//--- END</v>
      </c>
    </row>
    <row r="17" spans="3:3">
      <c r="C17" s="12" t="str">
        <f>IF(PatientFollowUp!J17="*  ..  ##34###34# ##334###334#","//--- END",PatientFollowUp!J17)</f>
        <v>//--- END</v>
      </c>
    </row>
    <row r="18" spans="3:3">
      <c r="C18" s="12" t="str">
        <f>IF(PatientFollowUp!J19="*  ..  ##34###34# ##334###334#","//--- END",PatientFollowUp!J19)</f>
        <v>//--- END</v>
      </c>
    </row>
    <row r="19" spans="3:3">
      <c r="C19" s="12" t="str">
        <f>IF(PatientFollowUp!J20="*  ..  ##34###34# ##334###334#","//--- END",PatientFollowUp!J20)</f>
        <v>//--- END</v>
      </c>
    </row>
    <row r="20" spans="3:3">
      <c r="C20" s="12" t="str">
        <f>IF(PatientFollowUp!J21="*  ..  ##34###34# ##334###334#","//--- END",PatientFollowUp!J21)</f>
        <v>//--- END</v>
      </c>
    </row>
    <row r="21" spans="3:3">
      <c r="C21" s="12" t="str">
        <f>IF(PatientFollowUp!J22="*  ..  ##34###34# ##334###334#","//--- END",PatientFollowUp!J22)</f>
        <v>//--- END</v>
      </c>
    </row>
    <row r="22" spans="3:3">
      <c r="C22" s="12" t="str">
        <f>IF(PatientFollowUp!J23="*  ..  ##34###34# ##334###334#","//--- END",PatientFollowUp!J23)</f>
        <v>//--- END</v>
      </c>
    </row>
    <row r="23" spans="3:3">
      <c r="C23" s="12" t="str">
        <f>IF(PatientFollowUp!J24="*  ..  ##34###34# ##334###334#","//--- END",PatientFollowUp!J24)</f>
        <v>//--- END</v>
      </c>
    </row>
    <row r="24" spans="3:3">
      <c r="C24" s="12" t="str">
        <f>IF(PatientFollowUp!J25="*  ..  ##34###34# ##334###334#","//--- END",PatientFollowUp!J25)</f>
        <v>//--- END</v>
      </c>
    </row>
    <row r="31" spans="3:3">
      <c r="C31" s="23" t="s">
        <v>1613</v>
      </c>
    </row>
    <row r="32" spans="3:3">
      <c r="C32" s="24" t="s">
        <v>1651</v>
      </c>
    </row>
    <row r="33" spans="3:3">
      <c r="C33" s="24" t="s">
        <v>1613</v>
      </c>
    </row>
    <row r="34" spans="3:3">
      <c r="C34" s="12" t="str">
        <f>IF(PatientFollowUp!L8="*  ..  ##34###34# ##334###334#","//--- END",PatientFollowUp!L8)</f>
        <v/>
      </c>
    </row>
    <row r="35" spans="3:3">
      <c r="C35" s="12" t="str">
        <f>IF(PatientFollowUp!L9="*  ..  ##34###34# ##334###334#","//--- END",PatientFollowUp!L9)</f>
        <v/>
      </c>
    </row>
    <row r="36" spans="3:3">
      <c r="C36" s="12" t="str">
        <f>IF(PatientFollowUp!L10="*  ..  ##34###34# ##334###334#","//--- END",PatientFollowUp!L10)</f>
        <v/>
      </c>
    </row>
    <row r="37" spans="3:3">
      <c r="C37" s="12" t="str">
        <f>IF(PatientFollowUp!L11="*  ..  ##34###34# ##334###334#","//--- END",PatientFollowUp!L11)</f>
        <v/>
      </c>
    </row>
    <row r="38" spans="3:3">
      <c r="C38" s="12" t="str">
        <f>IF(PatientFollowUp!L12="*  ..  ##34###34# ##334###334#","//--- END",PatientFollowUp!L12)</f>
        <v/>
      </c>
    </row>
    <row r="39" spans="3:3">
      <c r="C39" s="12" t="str">
        <f>IF(PatientFollowUp!L13="*  ..  ##34###34# ##334###334#","//--- END",PatientFollowUp!L13)</f>
        <v/>
      </c>
    </row>
    <row r="40" spans="3:3">
      <c r="C40" s="12" t="str">
        <f>IF(PatientFollowUp!L14="*  ..  ##34###34# ##334###334#","//--- END",PatientFollowUp!L14)</f>
        <v>//--- END</v>
      </c>
    </row>
    <row r="41" spans="3:3">
      <c r="C41" s="12" t="str">
        <f>IF(PatientFollowUp!L15="*  ..  ##34###34# ##334###334#","//--- END",PatientFollowUp!L15)</f>
        <v>//--- END</v>
      </c>
    </row>
    <row r="42" spans="3:3">
      <c r="C42" s="12" t="str">
        <f>IF(PatientFollowUp!L16="*  ..  ##34###34# ##334###334#","//--- END",PatientFollowUp!L16)</f>
        <v>//--- END</v>
      </c>
    </row>
    <row r="43" spans="3:3">
      <c r="C43" s="12" t="str">
        <f>IF(PatientFollowUp!L17="*  ..  ##34###34# ##334###334#","//--- END",PatientFollowUp!L17)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184"/>
  <sheetViews>
    <sheetView topLeftCell="J25" workbookViewId="0">
      <selection activeCell="P15" sqref="P15:S184"/>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2366</v>
      </c>
      <c r="D3" s="62" t="s">
        <v>1769</v>
      </c>
      <c r="E3" s="117" t="str">
        <f>$C$1&amp;B14</f>
        <v>http://hl7.eu/fhir/ig/idea4rc/StructureDefinition/PatientFollowUpI4rc</v>
      </c>
    </row>
    <row r="4" spans="1:19">
      <c r="B4" s="62" t="s">
        <v>16</v>
      </c>
      <c r="C4" s="28" t="s">
        <v>2366</v>
      </c>
      <c r="D4" s="62" t="s">
        <v>1770</v>
      </c>
      <c r="E4" s="184" t="s">
        <v>2365</v>
      </c>
      <c r="F4" s="185"/>
      <c r="G4" s="185"/>
    </row>
    <row r="5" spans="1:19">
      <c r="B5" s="62" t="s">
        <v>10</v>
      </c>
      <c r="C5" s="7" t="s">
        <v>2367</v>
      </c>
      <c r="D5" s="62"/>
      <c r="E5" s="7"/>
    </row>
    <row r="6" spans="1:19">
      <c r="B6" s="62" t="s">
        <v>18</v>
      </c>
      <c r="C6" s="56"/>
      <c r="D6" s="62" t="s">
        <v>1771</v>
      </c>
      <c r="E6" s="184" t="str">
        <f>E3</f>
        <v>http://hl7.eu/fhir/ig/idea4rc/StructureDefinition/PatientFollowUpI4rc</v>
      </c>
      <c r="F6" s="185"/>
      <c r="G6" s="185"/>
    </row>
    <row r="7" spans="1:19">
      <c r="B7" s="62" t="s">
        <v>15</v>
      </c>
      <c r="C7" s="118"/>
      <c r="D7" s="62" t="s">
        <v>1772</v>
      </c>
      <c r="E7" s="184" t="str">
        <f>C1&amp;"encounter-followup-eu-i4rc"</f>
        <v>http://hl7.eu/fhir/ig/idea4rc/StructureDefinition/encounter-followup-eu-i4rc</v>
      </c>
      <c r="F7" s="185"/>
      <c r="G7" s="185"/>
    </row>
    <row r="8" spans="1:19" ht="45" thickBot="1">
      <c r="B8" s="62" t="s">
        <v>1773</v>
      </c>
      <c r="C8" s="7" t="s">
        <v>2367</v>
      </c>
      <c r="D8" s="62"/>
      <c r="E8" s="7"/>
      <c r="I8" s="12" t="s">
        <v>1402</v>
      </c>
      <c r="J8" s="12" t="s">
        <v>1403</v>
      </c>
      <c r="K8" s="12" t="s">
        <v>1404</v>
      </c>
      <c r="L8" s="12" t="s">
        <v>1405</v>
      </c>
      <c r="M8" s="11" t="s">
        <v>1406</v>
      </c>
      <c r="P8" s="49" t="s">
        <v>1441</v>
      </c>
      <c r="Q8" s="49">
        <v>6</v>
      </c>
    </row>
    <row r="9" spans="1:19" ht="30.25" thickBot="1">
      <c r="B9" s="62" t="s">
        <v>1774</v>
      </c>
      <c r="C9" s="12" t="s">
        <v>2368</v>
      </c>
      <c r="D9" s="143"/>
      <c r="E9" s="186"/>
      <c r="F9" s="187"/>
      <c r="G9" s="188"/>
      <c r="I9" s="12"/>
      <c r="J9" s="11"/>
      <c r="K9" s="11"/>
      <c r="L9" s="11"/>
      <c r="M9" s="11"/>
    </row>
    <row r="10" spans="1:19">
      <c r="B10" s="62"/>
      <c r="C10" s="119"/>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PatientFollowUp!B4</f>
        <v>PatientFollowUpI4rc</v>
      </c>
      <c r="C14" s="11"/>
      <c r="D14" s="4" t="s">
        <v>2369</v>
      </c>
      <c r="E14" s="6"/>
      <c r="F14" s="64"/>
      <c r="G14" s="64"/>
      <c r="I14" s="12"/>
      <c r="J14" s="11"/>
      <c r="K14" s="11"/>
      <c r="L14" s="11"/>
      <c r="M14" s="63"/>
      <c r="N14" s="66"/>
    </row>
    <row r="15" spans="1:19" ht="44.25">
      <c r="A15" s="59"/>
      <c r="B15" s="11" t="str">
        <f>PatientFollowUp!B8</f>
        <v>patient</v>
      </c>
      <c r="C15" s="11" t="str">
        <f>PatientFollowUp!C8</f>
        <v>Patient</v>
      </c>
      <c r="D15" s="12" t="s">
        <v>1798</v>
      </c>
      <c r="E15" s="12"/>
      <c r="F15" s="64" t="s">
        <v>1429</v>
      </c>
      <c r="G15" s="123"/>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INDEX('PatientFollowUp-ConceptMap-1'!$I$15:$N$124,Q15+1,R15)</f>
        <v>* group[=].element[+].code = #PatientFollowUpI4rc.patient</v>
      </c>
    </row>
    <row r="16" spans="1:19" ht="73.75">
      <c r="A16" s="59"/>
      <c r="B16" s="11" t="str">
        <f>PatientFollowUp!B9</f>
        <v>statusAtLastFollowUp</v>
      </c>
      <c r="C16" s="11" t="str">
        <f>PatientFollowUp!C9</f>
        <v>Status at last follow-up</v>
      </c>
      <c r="D16" s="12"/>
      <c r="E16" s="12"/>
      <c r="F16" s="64" t="s">
        <v>1407</v>
      </c>
      <c r="G16" s="123" t="s">
        <v>2370</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INDEX('PatientFollowUp-ConceptMap-1'!$I$15:$N$124,Q16+1,R16)</f>
        <v>* group[=].element[=].display = ##34#Patient##34#</v>
      </c>
    </row>
    <row r="17" spans="1:19" ht="59" customHeight="1">
      <c r="A17" s="59"/>
      <c r="B17" s="6" t="str">
        <f>PatientFollowUp!B10</f>
        <v>patientFollowUpDate</v>
      </c>
      <c r="C17" s="11" t="str">
        <f>PatientFollowUp!C10</f>
        <v>Patient Follow Up date</v>
      </c>
      <c r="D17" s="12" t="s">
        <v>2371</v>
      </c>
      <c r="E17" s="12"/>
      <c r="F17" s="64" t="s">
        <v>1407</v>
      </c>
      <c r="G17" s="122" t="s">
        <v>2372</v>
      </c>
      <c r="H17" s="58"/>
      <c r="I17" s="12" t="str">
        <f t="shared" si="7"/>
        <v>* group[=].element[+].code = #PatientFollowUpI4rc.patientFollowUpDate</v>
      </c>
      <c r="J17" s="12" t="str">
        <f t="shared" si="8"/>
        <v>* group[=].element[=].display = ##34#Patient Follow Up date##34#</v>
      </c>
      <c r="K17" s="12" t="str">
        <f t="shared" si="9"/>
        <v>* group[=].element[=].target.code = #Encounter.period.end</v>
      </c>
      <c r="L17" s="12" t="str">
        <f t="shared" si="10"/>
        <v>* group[=].element[=].target.display = ##34###34#</v>
      </c>
      <c r="M17" s="12" t="str">
        <f t="shared" si="11"/>
        <v>* group[=].element[=].target.equivalence = #relatedto</v>
      </c>
      <c r="N17" s="12" t="str">
        <f t="shared" si="12"/>
        <v>* group[=].element[=].target.comment = ##34#check if the period end is the appropriate date##34#</v>
      </c>
      <c r="P17" s="11">
        <v>3</v>
      </c>
      <c r="Q17" s="11">
        <f t="shared" si="13"/>
        <v>0</v>
      </c>
      <c r="R17" s="11">
        <f t="shared" si="14"/>
        <v>3</v>
      </c>
      <c r="S17" s="12" t="str" cm="1">
        <f t="array" ref="S17">INDEX('PatientFollowUp-ConceptMap-1'!$I$15:$N$124,Q17+1,R17)</f>
        <v>* group[=].element[=].target.code = #Encounter.subject</v>
      </c>
    </row>
    <row r="18" spans="1:19" ht="44.25">
      <c r="A18" s="59"/>
      <c r="B18" s="11" t="str">
        <f>PatientFollowUp!B11</f>
        <v>newCancerDiagnosis</v>
      </c>
      <c r="C18" s="11" t="str">
        <f>PatientFollowUp!C11</f>
        <v>New cancer diagnosis</v>
      </c>
      <c r="D18" s="12"/>
      <c r="E18" s="12"/>
      <c r="F18" s="64" t="s">
        <v>1424</v>
      </c>
      <c r="G18" s="123"/>
      <c r="H18" s="58"/>
      <c r="I18" s="12" t="str">
        <f t="shared" si="7"/>
        <v>* group[=].element[+].code = #PatientFollowUpI4rc.newCancerDiagnosis</v>
      </c>
      <c r="J18" s="12" t="str">
        <f t="shared" si="8"/>
        <v>* group[=].element[=].display = ##34#New cancer diagnosis##34#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INDEX('PatientFollowUp-ConceptMap-1'!$I$15:$N$124,Q18+1,R18)</f>
        <v>* group[=].element[=].target.display = ##34###34#</v>
      </c>
    </row>
    <row r="19" spans="1:19" ht="44.25">
      <c r="A19" s="59"/>
      <c r="B19" s="11" t="str">
        <f>PatientFollowUp!B12</f>
        <v>dateOfNewCancerDiagnosis</v>
      </c>
      <c r="C19" s="11" t="str">
        <f>PatientFollowUp!C12</f>
        <v>Date of new cancer diagnosis</v>
      </c>
      <c r="D19" s="12"/>
      <c r="E19" s="12"/>
      <c r="F19" s="64" t="s">
        <v>1424</v>
      </c>
      <c r="G19" s="123"/>
      <c r="H19" s="58"/>
      <c r="I19" s="12" t="str">
        <f t="shared" si="7"/>
        <v>* group[=].element[+].code = #PatientFollowUpI4rc.dateOfNewCancerDiagnosis</v>
      </c>
      <c r="J19" s="12" t="str">
        <f t="shared" si="8"/>
        <v>* group[=].element[=].display = ##34#Date of new cancer diagnosis##34#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INDEX('PatientFollowUp-ConceptMap-1'!$I$15:$N$124,Q19+1,R19)</f>
        <v>* group[=].element[=].target.equivalence = #equivalent</v>
      </c>
    </row>
    <row r="20" spans="1:19" ht="44.25">
      <c r="A20" s="59"/>
      <c r="B20" s="11" t="str">
        <f>PatientFollowUp!B13</f>
        <v>newCancerTopography</v>
      </c>
      <c r="C20" s="11" t="str">
        <f>PatientFollowUp!C13</f>
        <v>New cancer topography</v>
      </c>
      <c r="D20" s="12"/>
      <c r="E20" s="12"/>
      <c r="F20" s="64" t="s">
        <v>1424</v>
      </c>
      <c r="G20" s="123"/>
      <c r="H20" s="58"/>
      <c r="I20" s="12" t="str">
        <f t="shared" si="7"/>
        <v>* group[=].element[+].code = #PatientFollowUpI4rc.newCancerTopography</v>
      </c>
      <c r="J20" s="12" t="str">
        <f t="shared" si="8"/>
        <v>* group[=].element[=].display = ##34#New cancer topography##34#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INDEX('PatientFollowUp-ConceptMap-1'!$I$15:$N$124,Q20+1,R20)</f>
        <v/>
      </c>
    </row>
    <row r="21" spans="1:19">
      <c r="A21" s="59"/>
      <c r="B21" s="11"/>
      <c r="C21" s="11"/>
      <c r="D21" s="12"/>
      <c r="E21" s="12"/>
      <c r="F21" s="64"/>
      <c r="G21" s="123"/>
      <c r="H21" s="58"/>
      <c r="I21" s="12"/>
      <c r="J21" s="12"/>
      <c r="K21" s="12"/>
      <c r="L21" s="12"/>
      <c r="M21" s="12"/>
      <c r="N21" s="12"/>
      <c r="P21" s="11">
        <v>7</v>
      </c>
      <c r="Q21" s="11">
        <f t="shared" si="13"/>
        <v>1</v>
      </c>
      <c r="R21" s="11">
        <f t="shared" si="14"/>
        <v>1</v>
      </c>
      <c r="S21" s="12" t="str" cm="1">
        <f t="array" ref="S21">INDEX('PatientFollowUp-ConceptMap-1'!$I$15:$N$124,Q21+1,R21)</f>
        <v>* group[=].element[+].code = #PatientFollowUpI4rc.statusAtLastFollowUp</v>
      </c>
    </row>
    <row r="22" spans="1:19">
      <c r="A22" s="59"/>
      <c r="B22" s="11"/>
      <c r="C22" s="11"/>
      <c r="D22" s="12"/>
      <c r="E22" s="12"/>
      <c r="F22" s="64"/>
      <c r="G22" s="123"/>
      <c r="H22" s="58"/>
      <c r="I22" s="12"/>
      <c r="J22" s="12"/>
      <c r="K22" s="12"/>
      <c r="L22" s="12"/>
      <c r="M22" s="12"/>
      <c r="N22" s="12"/>
      <c r="P22" s="11">
        <v>8</v>
      </c>
      <c r="Q22" s="11">
        <f t="shared" si="13"/>
        <v>1</v>
      </c>
      <c r="R22" s="11">
        <f t="shared" si="14"/>
        <v>2</v>
      </c>
      <c r="S22" s="12" t="str" cm="1">
        <f t="array" ref="S22">INDEX('PatientFollowUp-ConceptMap-1'!$I$15:$N$124,Q22+1,R22)</f>
        <v>* group[=].element[=].display = ##34#Status at last follow-up##34#</v>
      </c>
    </row>
    <row r="23" spans="1:19">
      <c r="A23" s="59"/>
      <c r="B23" s="11"/>
      <c r="C23" s="11"/>
      <c r="D23" s="12"/>
      <c r="E23" s="12"/>
      <c r="F23" s="64"/>
      <c r="G23" s="123"/>
      <c r="H23" s="58"/>
      <c r="I23" s="12"/>
      <c r="J23" s="12"/>
      <c r="K23" s="12"/>
      <c r="L23" s="12"/>
      <c r="M23" s="12"/>
      <c r="N23" s="12"/>
      <c r="P23" s="11">
        <v>9</v>
      </c>
      <c r="Q23" s="11">
        <f t="shared" si="13"/>
        <v>1</v>
      </c>
      <c r="R23" s="11">
        <f t="shared" si="14"/>
        <v>3</v>
      </c>
      <c r="S23" s="12" t="str" cm="1">
        <f t="array" ref="S23">INDEX('PatientFollowUp-ConceptMap-1'!$I$15:$N$124,Q23+1,R23)</f>
        <v>* group[=].element[=].target.code = #Encounter.</v>
      </c>
    </row>
    <row r="24" spans="1:19" ht="29.5" customHeight="1">
      <c r="A24" s="59"/>
      <c r="B24" s="11"/>
      <c r="C24" s="11"/>
      <c r="D24" s="12"/>
      <c r="E24" s="12"/>
      <c r="F24" s="64"/>
      <c r="G24" s="123"/>
      <c r="H24" s="58"/>
      <c r="I24" s="12"/>
      <c r="J24" s="12"/>
      <c r="K24" s="12"/>
      <c r="L24" s="12"/>
      <c r="M24" s="12"/>
      <c r="N24" s="12"/>
      <c r="P24" s="11">
        <v>10</v>
      </c>
      <c r="Q24" s="11">
        <f t="shared" si="13"/>
        <v>1</v>
      </c>
      <c r="R24" s="11">
        <f t="shared" si="14"/>
        <v>4</v>
      </c>
      <c r="S24" s="12" t="str" cm="1">
        <f t="array" ref="S24">INDEX('PatientFollowUp-ConceptMap-1'!$I$15:$N$124,Q24+1,R24)</f>
        <v>* group[=].element[=].target.display = ##34###34#</v>
      </c>
    </row>
    <row r="25" spans="1:19">
      <c r="A25" s="59"/>
      <c r="B25" s="11"/>
      <c r="C25" s="11"/>
      <c r="D25" s="12"/>
      <c r="E25" s="12"/>
      <c r="F25" s="64"/>
      <c r="G25" s="123"/>
      <c r="H25" s="58"/>
      <c r="I25" s="12"/>
      <c r="J25" s="12"/>
      <c r="K25" s="12"/>
      <c r="L25" s="12"/>
      <c r="M25" s="12"/>
      <c r="N25" s="12"/>
      <c r="P25" s="11">
        <v>11</v>
      </c>
      <c r="Q25" s="11">
        <f t="shared" si="13"/>
        <v>1</v>
      </c>
      <c r="R25" s="11">
        <f t="shared" si="14"/>
        <v>5</v>
      </c>
      <c r="S25" s="12" t="str" cm="1">
        <f t="array" ref="S25">INDEX('PatientFollowUp-ConceptMap-1'!$I$15:$N$124,Q25+1,R25)</f>
        <v>* group[=].element[=].target.equivalence = #relatedto</v>
      </c>
    </row>
    <row r="26" spans="1:19" ht="29.5">
      <c r="A26" s="59"/>
      <c r="B26" s="11"/>
      <c r="C26" s="11"/>
      <c r="D26" s="12"/>
      <c r="E26" s="12"/>
      <c r="F26" s="64"/>
      <c r="G26" s="123"/>
      <c r="H26" s="58"/>
      <c r="I26" s="12"/>
      <c r="J26" s="12"/>
      <c r="K26" s="12"/>
      <c r="L26" s="12"/>
      <c r="M26" s="12"/>
      <c r="N26" s="12"/>
      <c r="P26" s="11">
        <v>12</v>
      </c>
      <c r="Q26" s="11">
        <f t="shared" si="13"/>
        <v>1</v>
      </c>
      <c r="R26" s="11">
        <f t="shared" si="14"/>
        <v>6</v>
      </c>
      <c r="S26" s="12" t="str" cm="1">
        <f t="array" ref="S26">INDEX('PatientFollowUp-ConceptMap-1'!$I$15:$N$124,Q26+1,R26)</f>
        <v>* group[=].element[=].target.comment = ##34#CLARIFY THE MEANING OF THE MODEL ELEMENT##34#</v>
      </c>
    </row>
    <row r="27" spans="1:19">
      <c r="A27" s="59"/>
      <c r="B27" s="11"/>
      <c r="C27" s="11"/>
      <c r="D27" s="12"/>
      <c r="E27" s="12"/>
      <c r="F27" s="64"/>
      <c r="G27" s="123"/>
      <c r="H27" s="58"/>
      <c r="I27" s="12"/>
      <c r="J27" s="12"/>
      <c r="K27" s="12"/>
      <c r="L27" s="12"/>
      <c r="M27" s="12"/>
      <c r="N27" s="12"/>
      <c r="P27" s="11">
        <v>13</v>
      </c>
      <c r="Q27" s="11">
        <f t="shared" si="13"/>
        <v>2</v>
      </c>
      <c r="R27" s="11">
        <f t="shared" si="14"/>
        <v>1</v>
      </c>
      <c r="S27" s="12" t="str" cm="1">
        <f t="array" ref="S27">INDEX('PatientFollowUp-ConceptMap-1'!$I$15:$N$124,Q27+1,R27)</f>
        <v>* group[=].element[+].code = #PatientFollowUpI4rc.patientFollowUpDate</v>
      </c>
    </row>
    <row r="28" spans="1:19">
      <c r="B28" s="11"/>
      <c r="C28" s="11"/>
      <c r="D28" s="12"/>
      <c r="E28" s="12"/>
      <c r="F28" s="64"/>
      <c r="G28" s="123"/>
      <c r="H28" s="58"/>
      <c r="I28" s="12"/>
      <c r="J28" s="12"/>
      <c r="K28" s="12"/>
      <c r="L28" s="12"/>
      <c r="M28" s="12"/>
      <c r="N28" s="12"/>
      <c r="P28" s="11">
        <v>14</v>
      </c>
      <c r="Q28" s="11">
        <f t="shared" si="13"/>
        <v>2</v>
      </c>
      <c r="R28" s="11">
        <f t="shared" si="14"/>
        <v>2</v>
      </c>
      <c r="S28" s="12" t="str" cm="1">
        <f t="array" ref="S28">INDEX('PatientFollowUp-ConceptMap-1'!$I$15:$N$124,Q28+1,R28)</f>
        <v>* group[=].element[=].display = ##34#Patient Follow Up date##34#</v>
      </c>
    </row>
    <row r="29" spans="1:19">
      <c r="B29" s="11"/>
      <c r="C29" s="11"/>
      <c r="D29" s="12"/>
      <c r="E29" s="12"/>
      <c r="F29" s="64"/>
      <c r="G29" s="123"/>
      <c r="H29" s="58"/>
      <c r="I29" s="12"/>
      <c r="J29" s="12"/>
      <c r="K29" s="12"/>
      <c r="L29" s="12"/>
      <c r="M29" s="12"/>
      <c r="N29" s="12"/>
      <c r="P29" s="11">
        <v>15</v>
      </c>
      <c r="Q29" s="11">
        <f t="shared" si="13"/>
        <v>2</v>
      </c>
      <c r="R29" s="11">
        <f t="shared" si="14"/>
        <v>3</v>
      </c>
      <c r="S29" s="12" t="str" cm="1">
        <f t="array" ref="S29">INDEX('PatientFollowUp-ConceptMap-1'!$I$15:$N$124,Q29+1,R29)</f>
        <v>* group[=].element[=].target.code = #Encounter.period.end</v>
      </c>
    </row>
    <row r="30" spans="1:19">
      <c r="B30" s="11"/>
      <c r="C30" s="11"/>
      <c r="D30" s="12"/>
      <c r="E30" s="12"/>
      <c r="F30" s="64"/>
      <c r="G30" s="123"/>
      <c r="H30" s="58"/>
      <c r="I30" s="12"/>
      <c r="J30" s="12"/>
      <c r="K30" s="12"/>
      <c r="L30" s="12"/>
      <c r="M30" s="12"/>
      <c r="N30" s="12"/>
      <c r="P30" s="11">
        <v>16</v>
      </c>
      <c r="Q30" s="11">
        <f t="shared" si="13"/>
        <v>2</v>
      </c>
      <c r="R30" s="11">
        <f t="shared" si="14"/>
        <v>4</v>
      </c>
      <c r="S30" s="12" t="str" cm="1">
        <f t="array" ref="S30">INDEX('PatientFollowUp-ConceptMap-1'!$I$15:$N$124,Q30+1,R30)</f>
        <v>* group[=].element[=].target.display = ##34###34#</v>
      </c>
    </row>
    <row r="31" spans="1:19">
      <c r="B31" s="11"/>
      <c r="C31" s="11"/>
      <c r="D31" s="12"/>
      <c r="E31" s="12"/>
      <c r="F31" s="64"/>
      <c r="G31" s="123"/>
      <c r="H31" s="58"/>
      <c r="I31" s="12"/>
      <c r="J31" s="12"/>
      <c r="K31" s="12"/>
      <c r="L31" s="12"/>
      <c r="M31" s="12"/>
      <c r="N31" s="12"/>
      <c r="P31" s="11">
        <v>17</v>
      </c>
      <c r="Q31" s="11">
        <f t="shared" si="13"/>
        <v>2</v>
      </c>
      <c r="R31" s="11">
        <f t="shared" si="14"/>
        <v>5</v>
      </c>
      <c r="S31" s="12" t="str" cm="1">
        <f t="array" ref="S31">INDEX('PatientFollowUp-ConceptMap-1'!$I$15:$N$124,Q31+1,R31)</f>
        <v>* group[=].element[=].target.equivalence = #relatedto</v>
      </c>
    </row>
    <row r="32" spans="1:19" ht="29.5">
      <c r="B32" s="11"/>
      <c r="C32" s="11"/>
      <c r="D32" s="12"/>
      <c r="E32" s="12"/>
      <c r="F32" s="64"/>
      <c r="G32" s="123"/>
      <c r="H32" s="58"/>
      <c r="I32" s="12"/>
      <c r="J32" s="12"/>
      <c r="K32" s="12"/>
      <c r="L32" s="12"/>
      <c r="M32" s="12"/>
      <c r="N32" s="12"/>
      <c r="P32" s="11">
        <v>18</v>
      </c>
      <c r="Q32" s="11">
        <f t="shared" si="13"/>
        <v>2</v>
      </c>
      <c r="R32" s="11">
        <f t="shared" si="14"/>
        <v>6</v>
      </c>
      <c r="S32" s="12" t="str" cm="1">
        <f t="array" ref="S32">INDEX('PatientFollowUp-ConceptMap-1'!$I$15:$N$124,Q32+1,R32)</f>
        <v>* group[=].element[=].target.comment = ##34#check if the period end is the appropriate date##34#</v>
      </c>
    </row>
    <row r="33" spans="1:19">
      <c r="B33" s="11"/>
      <c r="C33" s="11"/>
      <c r="D33" s="12"/>
      <c r="E33" s="12"/>
      <c r="F33" s="64"/>
      <c r="G33" s="123"/>
      <c r="H33" s="58"/>
      <c r="I33" s="12"/>
      <c r="J33" s="12"/>
      <c r="K33" s="12"/>
      <c r="L33" s="12"/>
      <c r="M33" s="12"/>
      <c r="N33" s="12"/>
      <c r="P33" s="11">
        <v>19</v>
      </c>
      <c r="Q33" s="11">
        <f t="shared" si="13"/>
        <v>3</v>
      </c>
      <c r="R33" s="11">
        <f t="shared" si="14"/>
        <v>1</v>
      </c>
      <c r="S33" s="12" t="str" cm="1">
        <f t="array" ref="S33">INDEX('PatientFollowUp-ConceptMap-1'!$I$15:$N$124,Q33+1,R33)</f>
        <v>* group[=].element[+].code = #PatientFollowUpI4rc.newCancerDiagnosis</v>
      </c>
    </row>
    <row r="34" spans="1:19">
      <c r="B34" s="11"/>
      <c r="C34" s="11"/>
      <c r="D34" s="12"/>
      <c r="E34" s="12"/>
      <c r="F34" s="64"/>
      <c r="G34" s="123"/>
      <c r="H34" s="58"/>
      <c r="I34" s="12"/>
      <c r="J34" s="12"/>
      <c r="K34" s="12"/>
      <c r="L34" s="12"/>
      <c r="M34" s="12"/>
      <c r="N34" s="12"/>
      <c r="P34" s="11">
        <v>20</v>
      </c>
      <c r="Q34" s="11">
        <f t="shared" si="13"/>
        <v>3</v>
      </c>
      <c r="R34" s="11">
        <f t="shared" si="14"/>
        <v>2</v>
      </c>
      <c r="S34" s="12" t="str" cm="1">
        <f t="array" ref="S34">INDEX('PatientFollowUp-ConceptMap-1'!$I$15:$N$124,Q34+1,R34)</f>
        <v>* group[=].element[=].display = ##34#New cancer diagnosis##34#</v>
      </c>
    </row>
    <row r="35" spans="1:19">
      <c r="B35" s="11"/>
      <c r="C35" s="11"/>
      <c r="D35" s="12"/>
      <c r="E35" s="12"/>
      <c r="F35" s="64"/>
      <c r="G35" s="123"/>
      <c r="H35" s="58"/>
      <c r="I35" s="12"/>
      <c r="J35" s="12"/>
      <c r="K35" s="12"/>
      <c r="L35" s="12"/>
      <c r="M35" s="12"/>
      <c r="N35" s="12"/>
      <c r="P35" s="11">
        <v>21</v>
      </c>
      <c r="Q35" s="11">
        <f t="shared" si="13"/>
        <v>3</v>
      </c>
      <c r="R35" s="11">
        <f t="shared" si="14"/>
        <v>3</v>
      </c>
      <c r="S35" s="12" t="str" cm="1">
        <f t="array" ref="S35">INDEX('PatientFollowUp-ConceptMap-1'!$I$15:$N$124,Q35+1,R35)</f>
        <v>//-- unmatched</v>
      </c>
    </row>
    <row r="36" spans="1:19">
      <c r="B36" s="11"/>
      <c r="C36" s="11"/>
      <c r="D36" s="12"/>
      <c r="E36" s="12"/>
      <c r="F36" s="64"/>
      <c r="G36" s="123"/>
      <c r="H36" s="58"/>
      <c r="I36" s="12"/>
      <c r="J36" s="12"/>
      <c r="K36" s="12"/>
      <c r="L36" s="12"/>
      <c r="M36" s="12"/>
      <c r="N36" s="12"/>
      <c r="P36" s="11">
        <v>22</v>
      </c>
      <c r="Q36" s="11">
        <f t="shared" si="13"/>
        <v>3</v>
      </c>
      <c r="R36" s="11">
        <f t="shared" si="14"/>
        <v>4</v>
      </c>
      <c r="S36" s="12" t="str" cm="1">
        <f t="array" ref="S36">INDEX('PatientFollowUp-ConceptMap-1'!$I$15:$N$124,Q36+1,R36)</f>
        <v>//-- unmatched</v>
      </c>
    </row>
    <row r="37" spans="1:19">
      <c r="B37" s="11"/>
      <c r="C37" s="11"/>
      <c r="D37" s="12"/>
      <c r="E37" s="12"/>
      <c r="F37" s="64"/>
      <c r="G37" s="123"/>
      <c r="H37" s="58"/>
      <c r="I37" s="12"/>
      <c r="J37" s="12"/>
      <c r="K37" s="12"/>
      <c r="L37" s="12"/>
      <c r="M37" s="12"/>
      <c r="N37" s="12"/>
      <c r="P37" s="11">
        <v>23</v>
      </c>
      <c r="Q37" s="11">
        <f t="shared" si="13"/>
        <v>3</v>
      </c>
      <c r="R37" s="11">
        <f t="shared" si="14"/>
        <v>5</v>
      </c>
      <c r="S37" s="12" t="str" cm="1">
        <f t="array" ref="S37">INDEX('PatientFollowUp-ConceptMap-1'!$I$15:$N$124,Q37+1,R37)</f>
        <v>* group[=].element[=].target.equivalence = #unmatched</v>
      </c>
    </row>
    <row r="38" spans="1:19" ht="14.75" customHeight="1">
      <c r="B38" s="11"/>
      <c r="C38" s="11"/>
      <c r="D38" s="12"/>
      <c r="E38" s="12"/>
      <c r="F38" s="64"/>
      <c r="G38" s="123"/>
      <c r="H38" s="58"/>
      <c r="I38" s="12"/>
      <c r="J38" s="12"/>
      <c r="K38" s="12"/>
      <c r="L38" s="12"/>
      <c r="M38" s="12"/>
      <c r="N38" s="12"/>
      <c r="P38" s="11">
        <v>24</v>
      </c>
      <c r="Q38" s="11">
        <f t="shared" si="13"/>
        <v>3</v>
      </c>
      <c r="R38" s="11">
        <f t="shared" si="14"/>
        <v>6</v>
      </c>
      <c r="S38" s="12" t="str" cm="1">
        <f t="array" ref="S38">INDEX('PatientFollowUp-ConceptMap-1'!$I$15:$N$124,Q38+1,R38)</f>
        <v/>
      </c>
    </row>
    <row r="39" spans="1:19">
      <c r="B39" s="11"/>
      <c r="C39" s="11"/>
      <c r="D39" s="12"/>
      <c r="E39" s="12"/>
      <c r="F39" s="64"/>
      <c r="G39" s="123"/>
      <c r="H39" s="58"/>
      <c r="I39" s="12"/>
      <c r="J39" s="12"/>
      <c r="K39" s="12"/>
      <c r="L39" s="12"/>
      <c r="M39" s="12"/>
      <c r="N39" s="12"/>
      <c r="P39" s="11">
        <v>25</v>
      </c>
      <c r="Q39" s="11">
        <f t="shared" si="13"/>
        <v>4</v>
      </c>
      <c r="R39" s="11">
        <f t="shared" si="14"/>
        <v>1</v>
      </c>
      <c r="S39" s="12" t="str" cm="1">
        <f t="array" ref="S39">INDEX('PatientFollowUp-ConceptMap-1'!$I$15:$N$124,Q39+1,R39)</f>
        <v>* group[=].element[+].code = #PatientFollowUpI4rc.dateOfNewCancerDiagnosis</v>
      </c>
    </row>
    <row r="40" spans="1:19" s="2" customFormat="1">
      <c r="A40"/>
      <c r="B40" s="11"/>
      <c r="C40" s="11"/>
      <c r="D40" s="12"/>
      <c r="E40" s="12"/>
      <c r="F40" s="64"/>
      <c r="G40" s="123"/>
      <c r="H40" s="58"/>
      <c r="I40" s="12"/>
      <c r="J40" s="12"/>
      <c r="K40" s="12"/>
      <c r="L40" s="12"/>
      <c r="M40" s="12"/>
      <c r="N40" s="12"/>
      <c r="P40" s="11">
        <v>26</v>
      </c>
      <c r="Q40" s="11">
        <f t="shared" si="13"/>
        <v>4</v>
      </c>
      <c r="R40" s="11">
        <f t="shared" si="14"/>
        <v>2</v>
      </c>
      <c r="S40" s="12" t="str" cm="1">
        <f t="array" ref="S40">INDEX('PatientFollowUp-ConceptMap-1'!$I$15:$N$124,Q40+1,R40)</f>
        <v>* group[=].element[=].display = ##34#Date of new cancer diagnosis##34#</v>
      </c>
    </row>
    <row r="41" spans="1:19" s="2" customFormat="1">
      <c r="A41"/>
      <c r="B41" s="11"/>
      <c r="C41" s="11"/>
      <c r="D41" s="12"/>
      <c r="E41" s="12"/>
      <c r="F41" s="64"/>
      <c r="G41" s="123"/>
      <c r="H41" s="58"/>
      <c r="I41" s="12"/>
      <c r="J41" s="12"/>
      <c r="K41" s="12"/>
      <c r="L41" s="12"/>
      <c r="M41" s="12"/>
      <c r="N41" s="12"/>
      <c r="P41" s="11">
        <v>27</v>
      </c>
      <c r="Q41" s="11">
        <f t="shared" si="13"/>
        <v>4</v>
      </c>
      <c r="R41" s="11">
        <f t="shared" si="14"/>
        <v>3</v>
      </c>
      <c r="S41" s="12" t="str" cm="1">
        <f t="array" ref="S41">INDEX('PatientFollowUp-ConceptMap-1'!$I$15:$N$124,Q41+1,R41)</f>
        <v>//-- unmatched</v>
      </c>
    </row>
    <row r="42" spans="1:19" s="2" customFormat="1">
      <c r="A42"/>
      <c r="B42" s="11"/>
      <c r="C42" s="11"/>
      <c r="D42" s="12"/>
      <c r="E42" s="12"/>
      <c r="F42" s="64"/>
      <c r="G42" s="123"/>
      <c r="H42" s="58"/>
      <c r="J42"/>
      <c r="K42" s="58"/>
      <c r="L42" s="58"/>
      <c r="M42" s="66"/>
      <c r="N42" s="66"/>
      <c r="P42" s="11">
        <v>28</v>
      </c>
      <c r="Q42" s="11">
        <f t="shared" si="13"/>
        <v>4</v>
      </c>
      <c r="R42" s="11">
        <f t="shared" si="14"/>
        <v>4</v>
      </c>
      <c r="S42" s="12" t="str" cm="1">
        <f t="array" ref="S42">INDEX('PatientFollowUp-ConceptMap-1'!$I$15:$N$124,Q42+1,R42)</f>
        <v>//-- unmatched</v>
      </c>
    </row>
    <row r="43" spans="1:19" s="2" customFormat="1">
      <c r="A43"/>
      <c r="B43" s="11"/>
      <c r="C43" s="11"/>
      <c r="D43" s="12"/>
      <c r="E43" s="12"/>
      <c r="F43" s="64"/>
      <c r="G43" s="123"/>
      <c r="H43" s="58"/>
      <c r="J43" s="58"/>
      <c r="K43" s="58"/>
      <c r="L43" s="58"/>
      <c r="M43" s="66"/>
      <c r="N43" s="66"/>
      <c r="P43" s="11">
        <v>29</v>
      </c>
      <c r="Q43" s="11">
        <f t="shared" si="13"/>
        <v>4</v>
      </c>
      <c r="R43" s="11">
        <f t="shared" si="14"/>
        <v>5</v>
      </c>
      <c r="S43" s="12" t="str" cm="1">
        <f t="array" ref="S43">INDEX('PatientFollowUp-ConceptMap-1'!$I$15:$N$124,Q43+1,R43)</f>
        <v>* group[=].element[=].target.equivalence = #unmatched</v>
      </c>
    </row>
    <row r="44" spans="1:19" s="2" customFormat="1">
      <c r="A44"/>
      <c r="B44" s="11"/>
      <c r="C44" s="11"/>
      <c r="D44" s="12"/>
      <c r="E44" s="12"/>
      <c r="F44" s="64"/>
      <c r="G44" s="123"/>
      <c r="H44" s="58"/>
      <c r="J44" s="58"/>
      <c r="K44" s="58"/>
      <c r="L44" s="58"/>
      <c r="M44" s="66"/>
      <c r="N44" s="66"/>
      <c r="P44" s="11">
        <v>30</v>
      </c>
      <c r="Q44" s="11">
        <f t="shared" si="13"/>
        <v>4</v>
      </c>
      <c r="R44" s="11">
        <f t="shared" si="14"/>
        <v>6</v>
      </c>
      <c r="S44" s="12" t="str" cm="1">
        <f t="array" ref="S44">INDEX('PatientFollowUp-ConceptMap-1'!$I$15:$N$124,Q44+1,R44)</f>
        <v/>
      </c>
    </row>
    <row r="45" spans="1:19">
      <c r="B45" s="11"/>
      <c r="C45" s="11"/>
      <c r="D45" s="12"/>
      <c r="E45" s="12"/>
      <c r="F45" s="64"/>
      <c r="G45" s="123"/>
      <c r="P45" s="11">
        <v>31</v>
      </c>
      <c r="Q45" s="11">
        <f t="shared" si="13"/>
        <v>5</v>
      </c>
      <c r="R45" s="11">
        <f t="shared" si="14"/>
        <v>1</v>
      </c>
      <c r="S45" s="12" t="str" cm="1">
        <f t="array" ref="S45">INDEX('PatientFollowUp-ConceptMap-1'!$I$15:$N$124,Q45+1,R45)</f>
        <v>* group[=].element[+].code = #PatientFollowUpI4rc.newCancerTopography</v>
      </c>
    </row>
    <row r="46" spans="1:19">
      <c r="B46" s="11"/>
      <c r="C46" s="11"/>
      <c r="D46" s="12"/>
      <c r="E46" s="12"/>
      <c r="F46" s="64"/>
      <c r="G46" s="123"/>
      <c r="P46" s="11">
        <v>32</v>
      </c>
      <c r="Q46" s="11">
        <f t="shared" si="13"/>
        <v>5</v>
      </c>
      <c r="R46" s="11">
        <f t="shared" si="14"/>
        <v>2</v>
      </c>
      <c r="S46" s="12" t="str" cm="1">
        <f t="array" ref="S46">INDEX('PatientFollowUp-ConceptMap-1'!$I$15:$N$124,Q46+1,R46)</f>
        <v>* group[=].element[=].display = ##34#New cancer topography##34#</v>
      </c>
    </row>
    <row r="47" spans="1:19">
      <c r="B47" s="11"/>
      <c r="C47" s="11"/>
      <c r="D47" s="12"/>
      <c r="E47" s="12"/>
      <c r="F47" s="64"/>
      <c r="G47" s="123"/>
      <c r="P47" s="11">
        <v>33</v>
      </c>
      <c r="Q47" s="11">
        <f t="shared" si="13"/>
        <v>5</v>
      </c>
      <c r="R47" s="11">
        <f t="shared" si="14"/>
        <v>3</v>
      </c>
      <c r="S47" s="12" t="str" cm="1">
        <f t="array" ref="S47">INDEX('PatientFollowUp-ConceptMap-1'!$I$15:$N$124,Q47+1,R47)</f>
        <v>//-- unmatched</v>
      </c>
    </row>
    <row r="48" spans="1:19">
      <c r="B48" s="11"/>
      <c r="C48" s="11"/>
      <c r="D48" s="12"/>
      <c r="E48" s="12"/>
      <c r="F48" s="64"/>
      <c r="G48" s="123"/>
      <c r="P48" s="11">
        <v>34</v>
      </c>
      <c r="Q48" s="11">
        <f t="shared" si="13"/>
        <v>5</v>
      </c>
      <c r="R48" s="11">
        <f t="shared" si="14"/>
        <v>4</v>
      </c>
      <c r="S48" s="12" t="str" cm="1">
        <f t="array" ref="S48">INDEX('PatientFollowUp-ConceptMap-1'!$I$15:$N$124,Q48+1,R48)</f>
        <v>//-- unmatched</v>
      </c>
    </row>
    <row r="49" spans="2:19">
      <c r="B49" s="11"/>
      <c r="C49" s="11"/>
      <c r="D49" s="12"/>
      <c r="E49" s="12"/>
      <c r="F49" s="64"/>
      <c r="G49" s="123"/>
      <c r="P49" s="11">
        <v>35</v>
      </c>
      <c r="Q49" s="11">
        <f t="shared" si="13"/>
        <v>5</v>
      </c>
      <c r="R49" s="11">
        <f t="shared" si="14"/>
        <v>5</v>
      </c>
      <c r="S49" s="12" t="str" cm="1">
        <f t="array" ref="S49">INDEX('PatientFollowUp-ConceptMap-1'!$I$15:$N$124,Q49+1,R49)</f>
        <v>* group[=].element[=].target.equivalence = #unmatched</v>
      </c>
    </row>
    <row r="50" spans="2:19">
      <c r="B50" s="11"/>
      <c r="C50" s="11"/>
      <c r="D50" s="12"/>
      <c r="E50" s="12"/>
      <c r="F50" s="64"/>
      <c r="G50" s="123"/>
      <c r="P50" s="11">
        <v>36</v>
      </c>
      <c r="Q50" s="11">
        <f t="shared" si="13"/>
        <v>5</v>
      </c>
      <c r="R50" s="11">
        <f t="shared" si="14"/>
        <v>6</v>
      </c>
      <c r="S50" s="12" t="str" cm="1">
        <f t="array" ref="S50">INDEX('PatientFollowUp-ConceptMap-1'!$I$15:$N$124,Q50+1,R50)</f>
        <v/>
      </c>
    </row>
    <row r="51" spans="2:19">
      <c r="B51" s="11"/>
      <c r="C51" s="11"/>
      <c r="D51" s="12"/>
      <c r="E51" s="12"/>
      <c r="F51" s="64"/>
      <c r="G51" s="123"/>
      <c r="P51" s="11">
        <v>37</v>
      </c>
      <c r="Q51" s="11">
        <f t="shared" si="13"/>
        <v>6</v>
      </c>
      <c r="R51" s="11">
        <f t="shared" si="14"/>
        <v>1</v>
      </c>
      <c r="S51" s="12" cm="1">
        <f t="array" ref="S51">INDEX('PatientFollowUp-ConceptMap-1'!$I$15:$N$124,Q51+1,R51)</f>
        <v>0</v>
      </c>
    </row>
    <row r="52" spans="2:19">
      <c r="B52" s="11"/>
      <c r="C52" s="11"/>
      <c r="D52" s="12"/>
      <c r="E52" s="12"/>
      <c r="F52" s="64"/>
      <c r="G52" s="123"/>
      <c r="P52" s="11">
        <v>38</v>
      </c>
      <c r="Q52" s="11">
        <f t="shared" si="13"/>
        <v>6</v>
      </c>
      <c r="R52" s="11">
        <f t="shared" si="14"/>
        <v>2</v>
      </c>
      <c r="S52" s="12" cm="1">
        <f t="array" ref="S52">INDEX('PatientFollowUp-ConceptMap-1'!$I$15:$N$124,Q52+1,R52)</f>
        <v>0</v>
      </c>
    </row>
    <row r="53" spans="2:19">
      <c r="B53" s="11"/>
      <c r="C53" s="11"/>
      <c r="D53" s="12"/>
      <c r="E53" s="12"/>
      <c r="F53" s="64"/>
      <c r="G53" s="123"/>
      <c r="P53" s="11">
        <v>39</v>
      </c>
      <c r="Q53" s="11">
        <f t="shared" si="13"/>
        <v>6</v>
      </c>
      <c r="R53" s="11">
        <f t="shared" si="14"/>
        <v>3</v>
      </c>
      <c r="S53" s="12" cm="1">
        <f t="array" ref="S53">INDEX('PatientFollowUp-ConceptMap-1'!$I$15:$N$124,Q53+1,R53)</f>
        <v>0</v>
      </c>
    </row>
    <row r="54" spans="2:19">
      <c r="B54" s="11"/>
      <c r="C54" s="11"/>
      <c r="D54" s="12"/>
      <c r="E54" s="12"/>
      <c r="F54" s="64"/>
      <c r="G54" s="123"/>
      <c r="P54" s="11">
        <v>40</v>
      </c>
      <c r="Q54" s="11">
        <f t="shared" si="13"/>
        <v>6</v>
      </c>
      <c r="R54" s="11">
        <f t="shared" si="14"/>
        <v>4</v>
      </c>
      <c r="S54" s="12" cm="1">
        <f t="array" ref="S54">INDEX('PatientFollowUp-ConceptMap-1'!$I$15:$N$124,Q54+1,R54)</f>
        <v>0</v>
      </c>
    </row>
    <row r="55" spans="2:19">
      <c r="B55" s="11"/>
      <c r="C55" s="11"/>
      <c r="D55" s="12"/>
      <c r="E55" s="12"/>
      <c r="F55" s="64"/>
      <c r="G55" s="123"/>
      <c r="P55" s="11">
        <v>41</v>
      </c>
      <c r="Q55" s="11">
        <f t="shared" si="13"/>
        <v>6</v>
      </c>
      <c r="R55" s="11">
        <f t="shared" si="14"/>
        <v>5</v>
      </c>
      <c r="S55" s="12" cm="1">
        <f t="array" ref="S55">INDEX('PatientFollowUp-ConceptMap-1'!$I$15:$N$124,Q55+1,R55)</f>
        <v>0</v>
      </c>
    </row>
    <row r="56" spans="2:19">
      <c r="B56" s="11"/>
      <c r="C56" s="11"/>
      <c r="D56" s="12"/>
      <c r="E56" s="12"/>
      <c r="F56" s="64"/>
      <c r="G56" s="123"/>
      <c r="P56" s="11">
        <v>42</v>
      </c>
      <c r="Q56" s="11">
        <f t="shared" si="13"/>
        <v>6</v>
      </c>
      <c r="R56" s="11">
        <f t="shared" si="14"/>
        <v>6</v>
      </c>
      <c r="S56" s="12" cm="1">
        <f t="array" ref="S56">INDEX('PatientFollowUp-ConceptMap-1'!$I$15:$N$124,Q56+1,R56)</f>
        <v>0</v>
      </c>
    </row>
    <row r="57" spans="2:19">
      <c r="B57" s="11"/>
      <c r="C57" s="11"/>
      <c r="D57" s="12"/>
      <c r="E57" s="12"/>
      <c r="F57" s="64"/>
      <c r="G57" s="123"/>
      <c r="P57" s="11">
        <v>43</v>
      </c>
      <c r="Q57" s="11">
        <f t="shared" si="13"/>
        <v>7</v>
      </c>
      <c r="R57" s="11">
        <f t="shared" si="14"/>
        <v>1</v>
      </c>
      <c r="S57" s="12" cm="1">
        <f t="array" ref="S57">INDEX('PatientFollowUp-ConceptMap-1'!$I$15:$N$124,Q57+1,R57)</f>
        <v>0</v>
      </c>
    </row>
    <row r="58" spans="2:19">
      <c r="B58" s="11"/>
      <c r="C58" s="11"/>
      <c r="D58" s="12"/>
      <c r="E58" s="12"/>
      <c r="F58" s="64"/>
      <c r="G58" s="123"/>
      <c r="P58" s="11">
        <v>44</v>
      </c>
      <c r="Q58" s="11">
        <f t="shared" si="13"/>
        <v>7</v>
      </c>
      <c r="R58" s="11">
        <f t="shared" si="14"/>
        <v>2</v>
      </c>
      <c r="S58" s="12" cm="1">
        <f t="array" ref="S58">INDEX('PatientFollowUp-ConceptMap-1'!$I$15:$N$124,Q58+1,R58)</f>
        <v>0</v>
      </c>
    </row>
    <row r="59" spans="2:19">
      <c r="B59" s="11"/>
      <c r="C59" s="11"/>
      <c r="D59" s="12"/>
      <c r="E59" s="12"/>
      <c r="F59" s="64"/>
      <c r="G59" s="123"/>
      <c r="P59" s="11">
        <v>45</v>
      </c>
      <c r="Q59" s="11">
        <f t="shared" si="13"/>
        <v>7</v>
      </c>
      <c r="R59" s="11">
        <f t="shared" si="14"/>
        <v>3</v>
      </c>
      <c r="S59" s="12" cm="1">
        <f t="array" ref="S59">INDEX('PatientFollowUp-ConceptMap-1'!$I$15:$N$124,Q59+1,R59)</f>
        <v>0</v>
      </c>
    </row>
    <row r="60" spans="2:19">
      <c r="B60" s="11"/>
      <c r="C60" s="11"/>
      <c r="D60" s="12"/>
      <c r="E60" s="12"/>
      <c r="F60" s="64"/>
      <c r="G60" s="123"/>
      <c r="P60" s="11">
        <v>46</v>
      </c>
      <c r="Q60" s="11">
        <f t="shared" si="13"/>
        <v>7</v>
      </c>
      <c r="R60" s="11">
        <f t="shared" si="14"/>
        <v>4</v>
      </c>
      <c r="S60" s="12" cm="1">
        <f t="array" ref="S60">INDEX('PatientFollowUp-ConceptMap-1'!$I$15:$N$124,Q60+1,R60)</f>
        <v>0</v>
      </c>
    </row>
    <row r="61" spans="2:19">
      <c r="B61" s="11"/>
      <c r="C61" s="11"/>
      <c r="D61" s="12"/>
      <c r="E61" s="12"/>
      <c r="F61" s="64"/>
      <c r="G61" s="123"/>
      <c r="P61" s="11">
        <v>47</v>
      </c>
      <c r="Q61" s="11">
        <f t="shared" si="13"/>
        <v>7</v>
      </c>
      <c r="R61" s="11">
        <f t="shared" si="14"/>
        <v>5</v>
      </c>
      <c r="S61" s="12" cm="1">
        <f t="array" ref="S61">INDEX('PatientFollowUp-ConceptMap-1'!$I$15:$N$124,Q61+1,R61)</f>
        <v>0</v>
      </c>
    </row>
    <row r="62" spans="2:19">
      <c r="B62" s="11"/>
      <c r="C62" s="11"/>
      <c r="D62" s="12"/>
      <c r="E62" s="12"/>
      <c r="F62" s="64"/>
      <c r="G62" s="123"/>
      <c r="P62" s="11">
        <v>48</v>
      </c>
      <c r="Q62" s="11">
        <f t="shared" si="13"/>
        <v>7</v>
      </c>
      <c r="R62" s="11">
        <f t="shared" si="14"/>
        <v>6</v>
      </c>
      <c r="S62" s="12" cm="1">
        <f t="array" ref="S62">INDEX('PatientFollowUp-ConceptMap-1'!$I$15:$N$124,Q62+1,R62)</f>
        <v>0</v>
      </c>
    </row>
    <row r="63" spans="2:19">
      <c r="B63" s="11"/>
      <c r="C63" s="11"/>
      <c r="D63" s="12"/>
      <c r="E63" s="12"/>
      <c r="F63" s="64"/>
      <c r="G63" s="123"/>
      <c r="P63" s="11">
        <v>49</v>
      </c>
      <c r="Q63" s="11">
        <f t="shared" si="13"/>
        <v>8</v>
      </c>
      <c r="R63" s="11">
        <f t="shared" si="14"/>
        <v>1</v>
      </c>
      <c r="S63" s="12" cm="1">
        <f t="array" ref="S63">INDEX('PatientFollowUp-ConceptMap-1'!$I$15:$N$124,Q63+1,R63)</f>
        <v>0</v>
      </c>
    </row>
    <row r="64" spans="2:19">
      <c r="B64" s="11"/>
      <c r="C64" s="11"/>
      <c r="D64" s="12"/>
      <c r="E64" s="12"/>
      <c r="F64" s="64"/>
      <c r="G64" s="123"/>
      <c r="P64" s="11">
        <v>50</v>
      </c>
      <c r="Q64" s="11">
        <f t="shared" si="13"/>
        <v>8</v>
      </c>
      <c r="R64" s="11">
        <f t="shared" si="14"/>
        <v>2</v>
      </c>
      <c r="S64" s="12" cm="1">
        <f t="array" ref="S64">INDEX('PatientFollowUp-ConceptMap-1'!$I$15:$N$124,Q64+1,R64)</f>
        <v>0</v>
      </c>
    </row>
    <row r="65" spans="2:19">
      <c r="B65" s="11"/>
      <c r="C65" s="11"/>
      <c r="D65" s="12"/>
      <c r="E65" s="12"/>
      <c r="F65" s="64"/>
      <c r="G65" s="123"/>
      <c r="P65" s="11">
        <v>51</v>
      </c>
      <c r="Q65" s="11">
        <f t="shared" si="13"/>
        <v>8</v>
      </c>
      <c r="R65" s="11">
        <f t="shared" si="14"/>
        <v>3</v>
      </c>
      <c r="S65" s="12" cm="1">
        <f t="array" ref="S65">INDEX('PatientFollowUp-ConceptMap-1'!$I$15:$N$124,Q65+1,R65)</f>
        <v>0</v>
      </c>
    </row>
    <row r="66" spans="2:19">
      <c r="B66" s="11"/>
      <c r="C66" s="11"/>
      <c r="D66" s="12"/>
      <c r="E66" s="12"/>
      <c r="F66" s="64"/>
      <c r="G66" s="123"/>
      <c r="P66" s="11">
        <v>52</v>
      </c>
      <c r="Q66" s="11">
        <f t="shared" si="13"/>
        <v>8</v>
      </c>
      <c r="R66" s="11">
        <f t="shared" si="14"/>
        <v>4</v>
      </c>
      <c r="S66" s="12" cm="1">
        <f t="array" ref="S66">INDEX('PatientFollowUp-ConceptMap-1'!$I$15:$N$124,Q66+1,R66)</f>
        <v>0</v>
      </c>
    </row>
    <row r="67" spans="2:19">
      <c r="B67" s="11"/>
      <c r="C67" s="11"/>
      <c r="D67" s="12"/>
      <c r="E67" s="12"/>
      <c r="F67" s="64"/>
      <c r="G67" s="123"/>
      <c r="P67" s="11">
        <v>53</v>
      </c>
      <c r="Q67" s="11">
        <f t="shared" si="13"/>
        <v>8</v>
      </c>
      <c r="R67" s="11">
        <f t="shared" si="14"/>
        <v>5</v>
      </c>
      <c r="S67" s="12" cm="1">
        <f t="array" ref="S67">INDEX('PatientFollowUp-ConceptMap-1'!$I$15:$N$124,Q67+1,R67)</f>
        <v>0</v>
      </c>
    </row>
    <row r="68" spans="2:19">
      <c r="B68" s="11"/>
      <c r="C68" s="11"/>
      <c r="D68" s="12"/>
      <c r="E68" s="12"/>
      <c r="F68" s="64"/>
      <c r="G68" s="123"/>
      <c r="P68" s="11">
        <v>54</v>
      </c>
      <c r="Q68" s="11">
        <f t="shared" si="13"/>
        <v>8</v>
      </c>
      <c r="R68" s="11">
        <f t="shared" si="14"/>
        <v>6</v>
      </c>
      <c r="S68" s="12" cm="1">
        <f t="array" ref="S68">INDEX('PatientFollowUp-ConceptMap-1'!$I$15:$N$124,Q68+1,R68)</f>
        <v>0</v>
      </c>
    </row>
    <row r="69" spans="2:19">
      <c r="B69" s="11"/>
      <c r="C69" s="11"/>
      <c r="D69" s="12"/>
      <c r="E69" s="12"/>
      <c r="F69" s="64"/>
      <c r="G69" s="123"/>
      <c r="P69" s="11">
        <v>55</v>
      </c>
      <c r="Q69" s="11">
        <f t="shared" si="13"/>
        <v>9</v>
      </c>
      <c r="R69" s="11">
        <f t="shared" si="14"/>
        <v>1</v>
      </c>
      <c r="S69" s="12" cm="1">
        <f t="array" ref="S69">INDEX('PatientFollowUp-ConceptMap-1'!$I$15:$N$124,Q69+1,R69)</f>
        <v>0</v>
      </c>
    </row>
    <row r="70" spans="2:19">
      <c r="B70" s="11"/>
      <c r="C70" s="11"/>
      <c r="D70" s="12"/>
      <c r="E70" s="12"/>
      <c r="F70" s="64"/>
      <c r="G70" s="123"/>
      <c r="P70" s="11">
        <v>56</v>
      </c>
      <c r="Q70" s="11">
        <f t="shared" si="13"/>
        <v>9</v>
      </c>
      <c r="R70" s="11">
        <f t="shared" si="14"/>
        <v>2</v>
      </c>
      <c r="S70" s="12" cm="1">
        <f t="array" ref="S70">INDEX('PatientFollowUp-ConceptMap-1'!$I$15:$N$124,Q70+1,R70)</f>
        <v>0</v>
      </c>
    </row>
    <row r="71" spans="2:19">
      <c r="B71" s="11"/>
      <c r="C71" s="11"/>
      <c r="D71" s="12"/>
      <c r="E71" s="12"/>
      <c r="F71" s="64"/>
      <c r="G71" s="123"/>
      <c r="P71" s="11">
        <v>57</v>
      </c>
      <c r="Q71" s="11">
        <f t="shared" si="13"/>
        <v>9</v>
      </c>
      <c r="R71" s="11">
        <f t="shared" si="14"/>
        <v>3</v>
      </c>
      <c r="S71" s="12" cm="1">
        <f t="array" ref="S71">INDEX('PatientFollowUp-ConceptMap-1'!$I$15:$N$124,Q71+1,R71)</f>
        <v>0</v>
      </c>
    </row>
    <row r="72" spans="2:19">
      <c r="B72" s="11"/>
      <c r="C72" s="11"/>
      <c r="D72" s="12"/>
      <c r="E72" s="12"/>
      <c r="F72" s="64"/>
      <c r="G72" s="123"/>
      <c r="P72" s="11">
        <v>58</v>
      </c>
      <c r="Q72" s="11">
        <f t="shared" si="13"/>
        <v>9</v>
      </c>
      <c r="R72" s="11">
        <f t="shared" si="14"/>
        <v>4</v>
      </c>
      <c r="S72" s="12" cm="1">
        <f t="array" ref="S72">INDEX('PatientFollowUp-ConceptMap-1'!$I$15:$N$124,Q72+1,R72)</f>
        <v>0</v>
      </c>
    </row>
    <row r="73" spans="2:19">
      <c r="B73" s="11"/>
      <c r="C73" s="11"/>
      <c r="D73" s="12"/>
      <c r="E73" s="12"/>
      <c r="F73" s="64"/>
      <c r="G73" s="123"/>
      <c r="P73" s="11">
        <v>59</v>
      </c>
      <c r="Q73" s="11">
        <f t="shared" si="13"/>
        <v>9</v>
      </c>
      <c r="R73" s="11">
        <f t="shared" si="14"/>
        <v>5</v>
      </c>
      <c r="S73" s="12" cm="1">
        <f t="array" ref="S73">INDEX('PatientFollowUp-ConceptMap-1'!$I$15:$N$124,Q73+1,R73)</f>
        <v>0</v>
      </c>
    </row>
    <row r="74" spans="2:19">
      <c r="B74" s="11"/>
      <c r="C74" s="11"/>
      <c r="D74" s="12"/>
      <c r="E74" s="12"/>
      <c r="F74" s="64"/>
      <c r="G74" s="123"/>
      <c r="P74" s="11">
        <v>60</v>
      </c>
      <c r="Q74" s="11">
        <f t="shared" si="13"/>
        <v>9</v>
      </c>
      <c r="R74" s="11">
        <f t="shared" si="14"/>
        <v>6</v>
      </c>
      <c r="S74" s="12" cm="1">
        <f t="array" ref="S74">INDEX('PatientFollowUp-ConceptMap-1'!$I$15:$N$124,Q74+1,R74)</f>
        <v>0</v>
      </c>
    </row>
    <row r="75" spans="2:19">
      <c r="B75" s="11"/>
      <c r="C75" s="11"/>
      <c r="D75" s="12"/>
      <c r="E75" s="12"/>
      <c r="F75" s="64"/>
      <c r="G75" s="123"/>
      <c r="P75" s="11">
        <v>61</v>
      </c>
      <c r="Q75" s="11">
        <f t="shared" si="13"/>
        <v>10</v>
      </c>
      <c r="R75" s="11">
        <f t="shared" si="14"/>
        <v>1</v>
      </c>
      <c r="S75" s="12" cm="1">
        <f t="array" ref="S75">INDEX('PatientFollowUp-ConceptMap-1'!$I$15:$N$124,Q75+1,R75)</f>
        <v>0</v>
      </c>
    </row>
    <row r="76" spans="2:19">
      <c r="B76" s="11"/>
      <c r="C76" s="11"/>
      <c r="D76" s="12"/>
      <c r="E76" s="12"/>
      <c r="F76" s="64"/>
      <c r="G76" s="123"/>
      <c r="P76" s="11">
        <v>62</v>
      </c>
      <c r="Q76" s="11">
        <f t="shared" si="13"/>
        <v>10</v>
      </c>
      <c r="R76" s="11">
        <f t="shared" si="14"/>
        <v>2</v>
      </c>
      <c r="S76" s="12" cm="1">
        <f t="array" ref="S76">INDEX('PatientFollowUp-ConceptMap-1'!$I$15:$N$124,Q76+1,R76)</f>
        <v>0</v>
      </c>
    </row>
    <row r="77" spans="2:19">
      <c r="B77" s="11"/>
      <c r="C77" s="11"/>
      <c r="D77" s="12"/>
      <c r="E77" s="12"/>
      <c r="F77" s="64"/>
      <c r="G77" s="123"/>
      <c r="P77" s="11">
        <v>63</v>
      </c>
      <c r="Q77" s="11">
        <f t="shared" si="13"/>
        <v>10</v>
      </c>
      <c r="R77" s="11">
        <f t="shared" si="14"/>
        <v>3</v>
      </c>
      <c r="S77" s="12" cm="1">
        <f t="array" ref="S77">INDEX('PatientFollowUp-ConceptMap-1'!$I$15:$N$124,Q77+1,R77)</f>
        <v>0</v>
      </c>
    </row>
    <row r="78" spans="2:19">
      <c r="B78" s="11"/>
      <c r="C78" s="11"/>
      <c r="D78" s="12"/>
      <c r="E78" s="12"/>
      <c r="F78" s="64"/>
      <c r="G78" s="123"/>
      <c r="P78" s="11">
        <v>64</v>
      </c>
      <c r="Q78" s="11">
        <f t="shared" si="13"/>
        <v>10</v>
      </c>
      <c r="R78" s="11">
        <f t="shared" si="14"/>
        <v>4</v>
      </c>
      <c r="S78" s="12" cm="1">
        <f t="array" ref="S78">INDEX('PatientFollowUp-ConceptMap-1'!$I$15:$N$124,Q78+1,R78)</f>
        <v>0</v>
      </c>
    </row>
    <row r="79" spans="2:19">
      <c r="B79" s="11"/>
      <c r="C79" s="11"/>
      <c r="D79" s="12"/>
      <c r="E79" s="12"/>
      <c r="F79" s="64"/>
      <c r="G79" s="123"/>
      <c r="P79" s="11">
        <v>65</v>
      </c>
      <c r="Q79" s="11">
        <f t="shared" si="13"/>
        <v>10</v>
      </c>
      <c r="R79" s="11">
        <f t="shared" si="14"/>
        <v>5</v>
      </c>
      <c r="S79" s="12" cm="1">
        <f t="array" ref="S79">INDEX('PatientFollowUp-ConceptMap-1'!$I$15:$N$124,Q79+1,R79)</f>
        <v>0</v>
      </c>
    </row>
    <row r="80" spans="2:19">
      <c r="B80" s="11"/>
      <c r="C80" s="11"/>
      <c r="D80" s="12"/>
      <c r="E80" s="12"/>
      <c r="F80" s="64"/>
      <c r="G80" s="123"/>
      <c r="P80" s="11">
        <v>66</v>
      </c>
      <c r="Q80" s="11">
        <f t="shared" ref="Q80:Q143" si="15">IF(MOD(P80,$Q$8)=0,P80/$Q$8-1,INT(P80/$Q$8))</f>
        <v>10</v>
      </c>
      <c r="R80" s="11">
        <f t="shared" ref="R80:R143" si="16">IF(MOD(P80,$Q$8)=0,$Q$8,MOD(P80,$Q$8))</f>
        <v>6</v>
      </c>
      <c r="S80" s="12" cm="1">
        <f t="array" ref="S80">INDEX('PatientFollowUp-ConceptMap-1'!$I$15:$N$124,Q80+1,R80)</f>
        <v>0</v>
      </c>
    </row>
    <row r="81" spans="2:19">
      <c r="B81" s="11"/>
      <c r="C81" s="11"/>
      <c r="D81" s="12"/>
      <c r="E81" s="12"/>
      <c r="F81" s="64"/>
      <c r="G81" s="123"/>
      <c r="P81" s="11">
        <v>67</v>
      </c>
      <c r="Q81" s="11">
        <f t="shared" si="15"/>
        <v>11</v>
      </c>
      <c r="R81" s="11">
        <f t="shared" si="16"/>
        <v>1</v>
      </c>
      <c r="S81" s="12" cm="1">
        <f t="array" ref="S81">INDEX('PatientFollowUp-ConceptMap-1'!$I$15:$N$124,Q81+1,R81)</f>
        <v>0</v>
      </c>
    </row>
    <row r="82" spans="2:19">
      <c r="B82" s="11"/>
      <c r="C82" s="11"/>
      <c r="D82" s="12"/>
      <c r="E82" s="12"/>
      <c r="F82" s="64"/>
      <c r="G82" s="123"/>
      <c r="P82" s="11">
        <v>68</v>
      </c>
      <c r="Q82" s="11">
        <f t="shared" si="15"/>
        <v>11</v>
      </c>
      <c r="R82" s="11">
        <f t="shared" si="16"/>
        <v>2</v>
      </c>
      <c r="S82" s="12" cm="1">
        <f t="array" ref="S82">INDEX('PatientFollowUp-ConceptMap-1'!$I$15:$N$124,Q82+1,R82)</f>
        <v>0</v>
      </c>
    </row>
    <row r="83" spans="2:19">
      <c r="B83" s="11"/>
      <c r="C83" s="11"/>
      <c r="D83" s="12"/>
      <c r="E83" s="12"/>
      <c r="F83" s="64"/>
      <c r="G83" s="123"/>
      <c r="P83" s="11">
        <v>69</v>
      </c>
      <c r="Q83" s="11">
        <f t="shared" si="15"/>
        <v>11</v>
      </c>
      <c r="R83" s="11">
        <f t="shared" si="16"/>
        <v>3</v>
      </c>
      <c r="S83" s="12" cm="1">
        <f t="array" ref="S83">INDEX('PatientFollowUp-ConceptMap-1'!$I$15:$N$124,Q83+1,R83)</f>
        <v>0</v>
      </c>
    </row>
    <row r="84" spans="2:19">
      <c r="B84" s="11"/>
      <c r="C84" s="11"/>
      <c r="D84" s="12"/>
      <c r="E84" s="12"/>
      <c r="F84" s="64"/>
      <c r="G84" s="123"/>
      <c r="P84" s="11">
        <v>70</v>
      </c>
      <c r="Q84" s="11">
        <f t="shared" si="15"/>
        <v>11</v>
      </c>
      <c r="R84" s="11">
        <f t="shared" si="16"/>
        <v>4</v>
      </c>
      <c r="S84" s="12" cm="1">
        <f t="array" ref="S84">INDEX('PatientFollowUp-ConceptMap-1'!$I$15:$N$124,Q84+1,R84)</f>
        <v>0</v>
      </c>
    </row>
    <row r="85" spans="2:19">
      <c r="B85" s="11"/>
      <c r="C85" s="11"/>
      <c r="D85" s="12"/>
      <c r="E85" s="12"/>
      <c r="F85" s="64"/>
      <c r="G85" s="123"/>
      <c r="P85" s="11">
        <v>71</v>
      </c>
      <c r="Q85" s="11">
        <f t="shared" si="15"/>
        <v>11</v>
      </c>
      <c r="R85" s="11">
        <f t="shared" si="16"/>
        <v>5</v>
      </c>
      <c r="S85" s="12" cm="1">
        <f t="array" ref="S85">INDEX('PatientFollowUp-ConceptMap-1'!$I$15:$N$124,Q85+1,R85)</f>
        <v>0</v>
      </c>
    </row>
    <row r="86" spans="2:19">
      <c r="B86" s="11"/>
      <c r="C86" s="11"/>
      <c r="D86" s="12"/>
      <c r="E86" s="12"/>
      <c r="F86" s="64"/>
      <c r="G86" s="123"/>
      <c r="P86" s="11">
        <v>72</v>
      </c>
      <c r="Q86" s="11">
        <f t="shared" si="15"/>
        <v>11</v>
      </c>
      <c r="R86" s="11">
        <f t="shared" si="16"/>
        <v>6</v>
      </c>
      <c r="S86" s="12" cm="1">
        <f t="array" ref="S86">INDEX('PatientFollowUp-ConceptMap-1'!$I$15:$N$124,Q86+1,R86)</f>
        <v>0</v>
      </c>
    </row>
    <row r="87" spans="2:19">
      <c r="B87" s="11"/>
      <c r="C87" s="11"/>
      <c r="D87" s="12"/>
      <c r="E87" s="12"/>
      <c r="F87" s="64"/>
      <c r="G87" s="123"/>
      <c r="P87" s="11">
        <v>73</v>
      </c>
      <c r="Q87" s="11">
        <f t="shared" si="15"/>
        <v>12</v>
      </c>
      <c r="R87" s="11">
        <f t="shared" si="16"/>
        <v>1</v>
      </c>
      <c r="S87" s="12" cm="1">
        <f t="array" ref="S87">INDEX('PatientFollowUp-ConceptMap-1'!$I$15:$N$124,Q87+1,R87)</f>
        <v>0</v>
      </c>
    </row>
    <row r="88" spans="2:19">
      <c r="B88" s="11"/>
      <c r="C88" s="11"/>
      <c r="D88" s="12"/>
      <c r="E88" s="12"/>
      <c r="F88" s="64"/>
      <c r="G88" s="123"/>
      <c r="P88" s="11">
        <v>74</v>
      </c>
      <c r="Q88" s="11">
        <f t="shared" si="15"/>
        <v>12</v>
      </c>
      <c r="R88" s="11">
        <f t="shared" si="16"/>
        <v>2</v>
      </c>
      <c r="S88" s="12" cm="1">
        <f t="array" ref="S88">INDEX('PatientFollowUp-ConceptMap-1'!$I$15:$N$124,Q88+1,R88)</f>
        <v>0</v>
      </c>
    </row>
    <row r="89" spans="2:19">
      <c r="B89" s="11"/>
      <c r="C89" s="11"/>
      <c r="D89" s="12"/>
      <c r="E89" s="12"/>
      <c r="F89" s="64"/>
      <c r="G89" s="123"/>
      <c r="P89" s="11">
        <v>75</v>
      </c>
      <c r="Q89" s="11">
        <f t="shared" si="15"/>
        <v>12</v>
      </c>
      <c r="R89" s="11">
        <f t="shared" si="16"/>
        <v>3</v>
      </c>
      <c r="S89" s="12" cm="1">
        <f t="array" ref="S89">INDEX('PatientFollowUp-ConceptMap-1'!$I$15:$N$124,Q89+1,R89)</f>
        <v>0</v>
      </c>
    </row>
    <row r="90" spans="2:19">
      <c r="B90" s="11"/>
      <c r="C90" s="11"/>
      <c r="D90" s="12"/>
      <c r="E90" s="12"/>
      <c r="F90" s="64"/>
      <c r="G90" s="123"/>
      <c r="P90" s="11">
        <v>76</v>
      </c>
      <c r="Q90" s="11">
        <f t="shared" si="15"/>
        <v>12</v>
      </c>
      <c r="R90" s="11">
        <f t="shared" si="16"/>
        <v>4</v>
      </c>
      <c r="S90" s="12" cm="1">
        <f t="array" ref="S90">INDEX('PatientFollowUp-ConceptMap-1'!$I$15:$N$124,Q90+1,R90)</f>
        <v>0</v>
      </c>
    </row>
    <row r="91" spans="2:19">
      <c r="B91" s="11"/>
      <c r="C91" s="11"/>
      <c r="D91" s="12"/>
      <c r="E91" s="12"/>
      <c r="F91" s="64"/>
      <c r="G91" s="123"/>
      <c r="P91" s="11">
        <v>77</v>
      </c>
      <c r="Q91" s="11">
        <f t="shared" si="15"/>
        <v>12</v>
      </c>
      <c r="R91" s="11">
        <f t="shared" si="16"/>
        <v>5</v>
      </c>
      <c r="S91" s="12" cm="1">
        <f t="array" ref="S91">INDEX('PatientFollowUp-ConceptMap-1'!$I$15:$N$124,Q91+1,R91)</f>
        <v>0</v>
      </c>
    </row>
    <row r="92" spans="2:19">
      <c r="B92" s="11"/>
      <c r="C92" s="11"/>
      <c r="D92" s="12"/>
      <c r="E92" s="12"/>
      <c r="F92" s="64"/>
      <c r="G92" s="123"/>
      <c r="P92" s="11">
        <v>78</v>
      </c>
      <c r="Q92" s="11">
        <f t="shared" si="15"/>
        <v>12</v>
      </c>
      <c r="R92" s="11">
        <f t="shared" si="16"/>
        <v>6</v>
      </c>
      <c r="S92" s="12" cm="1">
        <f t="array" ref="S92">INDEX('PatientFollowUp-ConceptMap-1'!$I$15:$N$124,Q92+1,R92)</f>
        <v>0</v>
      </c>
    </row>
    <row r="93" spans="2:19">
      <c r="B93" s="11"/>
      <c r="C93" s="11"/>
      <c r="D93" s="12"/>
      <c r="E93" s="12"/>
      <c r="F93" s="64"/>
      <c r="G93" s="123"/>
      <c r="P93" s="11">
        <v>79</v>
      </c>
      <c r="Q93" s="11">
        <f t="shared" si="15"/>
        <v>13</v>
      </c>
      <c r="R93" s="11">
        <f t="shared" si="16"/>
        <v>1</v>
      </c>
      <c r="S93" s="12" cm="1">
        <f t="array" ref="S93">INDEX('PatientFollowUp-ConceptMap-1'!$I$15:$N$124,Q93+1,R93)</f>
        <v>0</v>
      </c>
    </row>
    <row r="94" spans="2:19">
      <c r="B94" s="11"/>
      <c r="C94" s="11"/>
      <c r="D94" s="12"/>
      <c r="E94" s="12"/>
      <c r="F94" s="64"/>
      <c r="G94" s="123"/>
      <c r="P94" s="11">
        <v>80</v>
      </c>
      <c r="Q94" s="11">
        <f t="shared" si="15"/>
        <v>13</v>
      </c>
      <c r="R94" s="11">
        <f t="shared" si="16"/>
        <v>2</v>
      </c>
      <c r="S94" s="12" cm="1">
        <f t="array" ref="S94">INDEX('PatientFollowUp-ConceptMap-1'!$I$15:$N$124,Q94+1,R94)</f>
        <v>0</v>
      </c>
    </row>
    <row r="95" spans="2:19">
      <c r="B95" s="11"/>
      <c r="C95" s="11"/>
      <c r="D95" s="12"/>
      <c r="E95" s="12"/>
      <c r="F95" s="64"/>
      <c r="G95" s="123"/>
      <c r="P95" s="11">
        <v>81</v>
      </c>
      <c r="Q95" s="11">
        <f t="shared" si="15"/>
        <v>13</v>
      </c>
      <c r="R95" s="11">
        <f t="shared" si="16"/>
        <v>3</v>
      </c>
      <c r="S95" s="12" cm="1">
        <f t="array" ref="S95">INDEX('PatientFollowUp-ConceptMap-1'!$I$15:$N$124,Q95+1,R95)</f>
        <v>0</v>
      </c>
    </row>
    <row r="96" spans="2:19">
      <c r="B96" s="11"/>
      <c r="C96" s="11"/>
      <c r="D96" s="12"/>
      <c r="E96" s="12"/>
      <c r="F96" s="64"/>
      <c r="G96" s="123"/>
      <c r="P96" s="11">
        <v>82</v>
      </c>
      <c r="Q96" s="11">
        <f t="shared" si="15"/>
        <v>13</v>
      </c>
      <c r="R96" s="11">
        <f t="shared" si="16"/>
        <v>4</v>
      </c>
      <c r="S96" s="12" cm="1">
        <f t="array" ref="S96">INDEX('PatientFollowUp-ConceptMap-1'!$I$15:$N$124,Q96+1,R96)</f>
        <v>0</v>
      </c>
    </row>
    <row r="97" spans="2:19">
      <c r="B97" s="11"/>
      <c r="C97" s="11"/>
      <c r="D97" s="12"/>
      <c r="E97" s="12"/>
      <c r="F97" s="64"/>
      <c r="G97" s="123"/>
      <c r="P97" s="11">
        <v>83</v>
      </c>
      <c r="Q97" s="11">
        <f t="shared" si="15"/>
        <v>13</v>
      </c>
      <c r="R97" s="11">
        <f t="shared" si="16"/>
        <v>5</v>
      </c>
      <c r="S97" s="12" cm="1">
        <f t="array" ref="S97">INDEX('PatientFollowUp-ConceptMap-1'!$I$15:$N$124,Q97+1,R97)</f>
        <v>0</v>
      </c>
    </row>
    <row r="98" spans="2:19">
      <c r="B98" s="11"/>
      <c r="C98" s="11"/>
      <c r="D98" s="12"/>
      <c r="E98" s="12"/>
      <c r="F98" s="64"/>
      <c r="G98" s="123"/>
      <c r="P98" s="11">
        <v>84</v>
      </c>
      <c r="Q98" s="11">
        <f t="shared" si="15"/>
        <v>13</v>
      </c>
      <c r="R98" s="11">
        <f t="shared" si="16"/>
        <v>6</v>
      </c>
      <c r="S98" s="12" cm="1">
        <f t="array" ref="S98">INDEX('PatientFollowUp-ConceptMap-1'!$I$15:$N$124,Q98+1,R98)</f>
        <v>0</v>
      </c>
    </row>
    <row r="99" spans="2:19">
      <c r="B99" s="11"/>
      <c r="C99" s="11"/>
      <c r="D99" s="12"/>
      <c r="E99" s="12"/>
      <c r="F99" s="64"/>
      <c r="G99" s="123"/>
      <c r="P99" s="11">
        <v>85</v>
      </c>
      <c r="Q99" s="11">
        <f t="shared" si="15"/>
        <v>14</v>
      </c>
      <c r="R99" s="11">
        <f t="shared" si="16"/>
        <v>1</v>
      </c>
      <c r="S99" s="12" cm="1">
        <f t="array" ref="S99">INDEX('PatientFollowUp-ConceptMap-1'!$I$15:$N$124,Q99+1,R99)</f>
        <v>0</v>
      </c>
    </row>
    <row r="100" spans="2:19">
      <c r="B100" s="11"/>
      <c r="C100" s="11"/>
      <c r="D100" s="12"/>
      <c r="E100" s="12"/>
      <c r="F100" s="64"/>
      <c r="G100" s="123"/>
      <c r="P100" s="11">
        <v>86</v>
      </c>
      <c r="Q100" s="11">
        <f t="shared" si="15"/>
        <v>14</v>
      </c>
      <c r="R100" s="11">
        <f t="shared" si="16"/>
        <v>2</v>
      </c>
      <c r="S100" s="12" cm="1">
        <f t="array" ref="S100">INDEX('PatientFollowUp-ConceptMap-1'!$I$15:$N$124,Q100+1,R100)</f>
        <v>0</v>
      </c>
    </row>
    <row r="101" spans="2:19">
      <c r="B101" s="11"/>
      <c r="C101" s="11"/>
      <c r="D101" s="12"/>
      <c r="E101" s="12"/>
      <c r="F101" s="64"/>
      <c r="G101" s="123"/>
      <c r="P101" s="11">
        <v>87</v>
      </c>
      <c r="Q101" s="11">
        <f t="shared" si="15"/>
        <v>14</v>
      </c>
      <c r="R101" s="11">
        <f t="shared" si="16"/>
        <v>3</v>
      </c>
      <c r="S101" s="12" cm="1">
        <f t="array" ref="S101">INDEX('PatientFollowUp-ConceptMap-1'!$I$15:$N$124,Q101+1,R101)</f>
        <v>0</v>
      </c>
    </row>
    <row r="102" spans="2:19">
      <c r="B102" s="11"/>
      <c r="C102" s="11"/>
      <c r="D102" s="12"/>
      <c r="E102" s="12"/>
      <c r="F102" s="64"/>
      <c r="G102" s="123"/>
      <c r="P102" s="11">
        <v>88</v>
      </c>
      <c r="Q102" s="11">
        <f t="shared" si="15"/>
        <v>14</v>
      </c>
      <c r="R102" s="11">
        <f t="shared" si="16"/>
        <v>4</v>
      </c>
      <c r="S102" s="12" cm="1">
        <f t="array" ref="S102">INDEX('PatientFollowUp-ConceptMap-1'!$I$15:$N$124,Q102+1,R102)</f>
        <v>0</v>
      </c>
    </row>
    <row r="103" spans="2:19">
      <c r="B103" s="11"/>
      <c r="C103" s="11"/>
      <c r="D103" s="12"/>
      <c r="E103" s="12"/>
      <c r="F103" s="64"/>
      <c r="G103" s="123"/>
      <c r="P103" s="11">
        <v>89</v>
      </c>
      <c r="Q103" s="11">
        <f t="shared" si="15"/>
        <v>14</v>
      </c>
      <c r="R103" s="11">
        <f t="shared" si="16"/>
        <v>5</v>
      </c>
      <c r="S103" s="12" cm="1">
        <f t="array" ref="S103">INDEX('PatientFollowUp-ConceptMap-1'!$I$15:$N$124,Q103+1,R103)</f>
        <v>0</v>
      </c>
    </row>
    <row r="104" spans="2:19">
      <c r="B104" s="11"/>
      <c r="C104" s="11"/>
      <c r="D104" s="12"/>
      <c r="E104" s="12"/>
      <c r="F104" s="64"/>
      <c r="G104" s="123"/>
      <c r="P104" s="11">
        <v>90</v>
      </c>
      <c r="Q104" s="11">
        <f t="shared" si="15"/>
        <v>14</v>
      </c>
      <c r="R104" s="11">
        <f t="shared" si="16"/>
        <v>6</v>
      </c>
      <c r="S104" s="12" cm="1">
        <f t="array" ref="S104">INDEX('PatientFollowUp-ConceptMap-1'!$I$15:$N$124,Q104+1,R104)</f>
        <v>0</v>
      </c>
    </row>
    <row r="105" spans="2:19">
      <c r="B105" s="11"/>
      <c r="C105" s="11"/>
      <c r="D105" s="12"/>
      <c r="E105" s="12"/>
      <c r="F105" s="64"/>
      <c r="G105" s="123"/>
      <c r="P105" s="11">
        <v>91</v>
      </c>
      <c r="Q105" s="11">
        <f t="shared" si="15"/>
        <v>15</v>
      </c>
      <c r="R105" s="11">
        <f t="shared" si="16"/>
        <v>1</v>
      </c>
      <c r="S105" s="12" cm="1">
        <f t="array" ref="S105">INDEX('PatientFollowUp-ConceptMap-1'!$I$15:$N$124,Q105+1,R105)</f>
        <v>0</v>
      </c>
    </row>
    <row r="106" spans="2:19">
      <c r="B106" s="11"/>
      <c r="C106" s="11"/>
      <c r="D106" s="12"/>
      <c r="E106" s="12"/>
      <c r="F106" s="64"/>
      <c r="G106" s="123"/>
      <c r="P106" s="11">
        <v>92</v>
      </c>
      <c r="Q106" s="11">
        <f t="shared" si="15"/>
        <v>15</v>
      </c>
      <c r="R106" s="11">
        <f t="shared" si="16"/>
        <v>2</v>
      </c>
      <c r="S106" s="12" cm="1">
        <f t="array" ref="S106">INDEX('PatientFollowUp-ConceptMap-1'!$I$15:$N$124,Q106+1,R106)</f>
        <v>0</v>
      </c>
    </row>
    <row r="107" spans="2:19">
      <c r="B107" s="11"/>
      <c r="C107" s="11"/>
      <c r="D107" s="12"/>
      <c r="E107" s="12"/>
      <c r="F107" s="64"/>
      <c r="G107" s="123"/>
      <c r="P107" s="11">
        <v>93</v>
      </c>
      <c r="Q107" s="11">
        <f t="shared" si="15"/>
        <v>15</v>
      </c>
      <c r="R107" s="11">
        <f t="shared" si="16"/>
        <v>3</v>
      </c>
      <c r="S107" s="12" cm="1">
        <f t="array" ref="S107">INDEX('PatientFollowUp-ConceptMap-1'!$I$15:$N$124,Q107+1,R107)</f>
        <v>0</v>
      </c>
    </row>
    <row r="108" spans="2:19">
      <c r="B108" s="11"/>
      <c r="C108" s="11"/>
      <c r="D108" s="12"/>
      <c r="E108" s="12"/>
      <c r="F108" s="64"/>
      <c r="G108" s="123"/>
      <c r="P108" s="11">
        <v>94</v>
      </c>
      <c r="Q108" s="11">
        <f t="shared" si="15"/>
        <v>15</v>
      </c>
      <c r="R108" s="11">
        <f t="shared" si="16"/>
        <v>4</v>
      </c>
      <c r="S108" s="12" cm="1">
        <f t="array" ref="S108">INDEX('PatientFollowUp-ConceptMap-1'!$I$15:$N$124,Q108+1,R108)</f>
        <v>0</v>
      </c>
    </row>
    <row r="109" spans="2:19">
      <c r="B109" s="11"/>
      <c r="C109" s="11"/>
      <c r="D109" s="12"/>
      <c r="E109" s="12"/>
      <c r="F109" s="64"/>
      <c r="G109" s="123"/>
      <c r="P109" s="11">
        <v>95</v>
      </c>
      <c r="Q109" s="11">
        <f t="shared" si="15"/>
        <v>15</v>
      </c>
      <c r="R109" s="11">
        <f t="shared" si="16"/>
        <v>5</v>
      </c>
      <c r="S109" s="12" cm="1">
        <f t="array" ref="S109">INDEX('PatientFollowUp-ConceptMap-1'!$I$15:$N$124,Q109+1,R109)</f>
        <v>0</v>
      </c>
    </row>
    <row r="110" spans="2:19">
      <c r="B110" s="11"/>
      <c r="C110" s="11"/>
      <c r="D110" s="12"/>
      <c r="E110" s="12"/>
      <c r="F110" s="64"/>
      <c r="G110" s="123"/>
      <c r="P110" s="11">
        <v>96</v>
      </c>
      <c r="Q110" s="11">
        <f t="shared" si="15"/>
        <v>15</v>
      </c>
      <c r="R110" s="11">
        <f t="shared" si="16"/>
        <v>6</v>
      </c>
      <c r="S110" s="12" cm="1">
        <f t="array" ref="S110">INDEX('PatientFollowUp-ConceptMap-1'!$I$15:$N$124,Q110+1,R110)</f>
        <v>0</v>
      </c>
    </row>
    <row r="111" spans="2:19">
      <c r="B111" s="11"/>
      <c r="C111" s="11"/>
      <c r="D111" s="12"/>
      <c r="E111" s="12"/>
      <c r="F111" s="64"/>
      <c r="G111" s="123"/>
      <c r="P111" s="11">
        <v>97</v>
      </c>
      <c r="Q111" s="11">
        <f t="shared" si="15"/>
        <v>16</v>
      </c>
      <c r="R111" s="11">
        <f t="shared" si="16"/>
        <v>1</v>
      </c>
      <c r="S111" s="12" cm="1">
        <f t="array" ref="S111">INDEX('PatientFollowUp-ConceptMap-1'!$I$15:$N$124,Q111+1,R111)</f>
        <v>0</v>
      </c>
    </row>
    <row r="112" spans="2:19">
      <c r="B112" s="11"/>
      <c r="C112" s="11"/>
      <c r="D112" s="12"/>
      <c r="E112" s="12"/>
      <c r="F112" s="64"/>
      <c r="G112" s="123"/>
      <c r="P112" s="11">
        <v>98</v>
      </c>
      <c r="Q112" s="11">
        <f t="shared" si="15"/>
        <v>16</v>
      </c>
      <c r="R112" s="11">
        <f t="shared" si="16"/>
        <v>2</v>
      </c>
      <c r="S112" s="12" cm="1">
        <f t="array" ref="S112">INDEX('PatientFollowUp-ConceptMap-1'!$I$15:$N$124,Q112+1,R112)</f>
        <v>0</v>
      </c>
    </row>
    <row r="113" spans="2:19">
      <c r="B113" s="11"/>
      <c r="C113" s="11"/>
      <c r="D113" s="12"/>
      <c r="E113" s="12"/>
      <c r="F113" s="64"/>
      <c r="G113" s="123"/>
      <c r="P113" s="11">
        <v>99</v>
      </c>
      <c r="Q113" s="11">
        <f t="shared" si="15"/>
        <v>16</v>
      </c>
      <c r="R113" s="11">
        <f t="shared" si="16"/>
        <v>3</v>
      </c>
      <c r="S113" s="12" cm="1">
        <f t="array" ref="S113">INDEX('PatientFollowUp-ConceptMap-1'!$I$15:$N$124,Q113+1,R113)</f>
        <v>0</v>
      </c>
    </row>
    <row r="114" spans="2:19">
      <c r="P114" s="11">
        <v>100</v>
      </c>
      <c r="Q114" s="11">
        <f t="shared" si="15"/>
        <v>16</v>
      </c>
      <c r="R114" s="11">
        <f t="shared" si="16"/>
        <v>4</v>
      </c>
      <c r="S114" s="12" cm="1">
        <f t="array" ref="S114">INDEX('PatientFollowUp-ConceptMap-1'!$I$15:$N$124,Q114+1,R114)</f>
        <v>0</v>
      </c>
    </row>
    <row r="115" spans="2:19">
      <c r="P115" s="11">
        <v>101</v>
      </c>
      <c r="Q115" s="11">
        <f t="shared" si="15"/>
        <v>16</v>
      </c>
      <c r="R115" s="11">
        <f t="shared" si="16"/>
        <v>5</v>
      </c>
      <c r="S115" s="12" cm="1">
        <f t="array" ref="S115">INDEX('PatientFollowUp-ConceptMap-1'!$I$15:$N$124,Q115+1,R115)</f>
        <v>0</v>
      </c>
    </row>
    <row r="116" spans="2:19">
      <c r="P116" s="11">
        <v>102</v>
      </c>
      <c r="Q116" s="11">
        <f t="shared" si="15"/>
        <v>16</v>
      </c>
      <c r="R116" s="11">
        <f t="shared" si="16"/>
        <v>6</v>
      </c>
      <c r="S116" s="12" cm="1">
        <f t="array" ref="S116">INDEX('PatientFollowUp-ConceptMap-1'!$I$15:$N$124,Q116+1,R116)</f>
        <v>0</v>
      </c>
    </row>
    <row r="117" spans="2:19">
      <c r="P117" s="11">
        <v>103</v>
      </c>
      <c r="Q117" s="11">
        <f t="shared" si="15"/>
        <v>17</v>
      </c>
      <c r="R117" s="11">
        <f t="shared" si="16"/>
        <v>1</v>
      </c>
      <c r="S117" s="12" cm="1">
        <f t="array" ref="S117">INDEX('PatientFollowUp-ConceptMap-1'!$I$15:$N$124,Q117+1,R117)</f>
        <v>0</v>
      </c>
    </row>
    <row r="118" spans="2:19">
      <c r="P118" s="11">
        <v>104</v>
      </c>
      <c r="Q118" s="11">
        <f t="shared" si="15"/>
        <v>17</v>
      </c>
      <c r="R118" s="11">
        <f t="shared" si="16"/>
        <v>2</v>
      </c>
      <c r="S118" s="12" cm="1">
        <f t="array" ref="S118">INDEX('PatientFollowUp-ConceptMap-1'!$I$15:$N$124,Q118+1,R118)</f>
        <v>0</v>
      </c>
    </row>
    <row r="119" spans="2:19">
      <c r="P119" s="11">
        <v>105</v>
      </c>
      <c r="Q119" s="11">
        <f t="shared" si="15"/>
        <v>17</v>
      </c>
      <c r="R119" s="11">
        <f t="shared" si="16"/>
        <v>3</v>
      </c>
      <c r="S119" s="12" cm="1">
        <f t="array" ref="S119">INDEX('PatientFollowUp-ConceptMap-1'!$I$15:$N$124,Q119+1,R119)</f>
        <v>0</v>
      </c>
    </row>
    <row r="120" spans="2:19">
      <c r="P120" s="11">
        <v>106</v>
      </c>
      <c r="Q120" s="11">
        <f t="shared" si="15"/>
        <v>17</v>
      </c>
      <c r="R120" s="11">
        <f t="shared" si="16"/>
        <v>4</v>
      </c>
      <c r="S120" s="12" cm="1">
        <f t="array" ref="S120">INDEX('PatientFollowUp-ConceptMap-1'!$I$15:$N$124,Q120+1,R120)</f>
        <v>0</v>
      </c>
    </row>
    <row r="121" spans="2:19">
      <c r="P121" s="11">
        <v>107</v>
      </c>
      <c r="Q121" s="11">
        <f t="shared" si="15"/>
        <v>17</v>
      </c>
      <c r="R121" s="11">
        <f t="shared" si="16"/>
        <v>5</v>
      </c>
      <c r="S121" s="12" cm="1">
        <f t="array" ref="S121">INDEX('PatientFollowUp-ConceptMap-1'!$I$15:$N$124,Q121+1,R121)</f>
        <v>0</v>
      </c>
    </row>
    <row r="122" spans="2:19">
      <c r="P122" s="11">
        <v>108</v>
      </c>
      <c r="Q122" s="11">
        <f t="shared" si="15"/>
        <v>17</v>
      </c>
      <c r="R122" s="11">
        <f t="shared" si="16"/>
        <v>6</v>
      </c>
      <c r="S122" s="12" cm="1">
        <f t="array" ref="S122">INDEX('PatientFollowUp-ConceptMap-1'!$I$15:$N$124,Q122+1,R122)</f>
        <v>0</v>
      </c>
    </row>
    <row r="123" spans="2:19">
      <c r="P123" s="11">
        <v>109</v>
      </c>
      <c r="Q123" s="11">
        <f t="shared" si="15"/>
        <v>18</v>
      </c>
      <c r="R123" s="11">
        <f t="shared" si="16"/>
        <v>1</v>
      </c>
      <c r="S123" s="12" cm="1">
        <f t="array" ref="S123">INDEX('PatientFollowUp-ConceptMap-1'!$I$15:$N$124,Q123+1,R123)</f>
        <v>0</v>
      </c>
    </row>
    <row r="124" spans="2:19">
      <c r="P124" s="11">
        <v>110</v>
      </c>
      <c r="Q124" s="11">
        <f t="shared" si="15"/>
        <v>18</v>
      </c>
      <c r="R124" s="11">
        <f t="shared" si="16"/>
        <v>2</v>
      </c>
      <c r="S124" s="12" cm="1">
        <f t="array" ref="S124">INDEX('PatientFollowUp-ConceptMap-1'!$I$15:$N$124,Q124+1,R124)</f>
        <v>0</v>
      </c>
    </row>
    <row r="125" spans="2:19">
      <c r="P125" s="11">
        <v>111</v>
      </c>
      <c r="Q125" s="11">
        <f t="shared" si="15"/>
        <v>18</v>
      </c>
      <c r="R125" s="11">
        <f t="shared" si="16"/>
        <v>3</v>
      </c>
      <c r="S125" s="12" cm="1">
        <f t="array" ref="S125">INDEX('PatientFollowUp-ConceptMap-1'!$I$15:$N$124,Q125+1,R125)</f>
        <v>0</v>
      </c>
    </row>
    <row r="126" spans="2:19">
      <c r="P126" s="11">
        <v>112</v>
      </c>
      <c r="Q126" s="11">
        <f t="shared" si="15"/>
        <v>18</v>
      </c>
      <c r="R126" s="11">
        <f t="shared" si="16"/>
        <v>4</v>
      </c>
      <c r="S126" s="12" cm="1">
        <f t="array" ref="S126">INDEX('PatientFollowUp-ConceptMap-1'!$I$15:$N$124,Q126+1,R126)</f>
        <v>0</v>
      </c>
    </row>
    <row r="127" spans="2:19">
      <c r="P127" s="11">
        <v>113</v>
      </c>
      <c r="Q127" s="11">
        <f t="shared" si="15"/>
        <v>18</v>
      </c>
      <c r="R127" s="11">
        <f t="shared" si="16"/>
        <v>5</v>
      </c>
      <c r="S127" s="12" cm="1">
        <f t="array" ref="S127">INDEX('PatientFollowUp-ConceptMap-1'!$I$15:$N$124,Q127+1,R127)</f>
        <v>0</v>
      </c>
    </row>
    <row r="128" spans="2:19">
      <c r="P128" s="11">
        <v>114</v>
      </c>
      <c r="Q128" s="11">
        <f t="shared" si="15"/>
        <v>18</v>
      </c>
      <c r="R128" s="11">
        <f t="shared" si="16"/>
        <v>6</v>
      </c>
      <c r="S128" s="12" cm="1">
        <f t="array" ref="S128">INDEX('PatientFollowUp-ConceptMap-1'!$I$15:$N$124,Q128+1,R128)</f>
        <v>0</v>
      </c>
    </row>
    <row r="129" spans="16:19">
      <c r="P129" s="11">
        <v>115</v>
      </c>
      <c r="Q129" s="11">
        <f t="shared" si="15"/>
        <v>19</v>
      </c>
      <c r="R129" s="11">
        <f t="shared" si="16"/>
        <v>1</v>
      </c>
      <c r="S129" s="12" cm="1">
        <f t="array" ref="S129">INDEX('PatientFollowUp-ConceptMap-1'!$I$15:$N$124,Q129+1,R129)</f>
        <v>0</v>
      </c>
    </row>
    <row r="130" spans="16:19">
      <c r="P130" s="11">
        <v>116</v>
      </c>
      <c r="Q130" s="11">
        <f t="shared" si="15"/>
        <v>19</v>
      </c>
      <c r="R130" s="11">
        <f t="shared" si="16"/>
        <v>2</v>
      </c>
      <c r="S130" s="12" cm="1">
        <f t="array" ref="S130">INDEX('PatientFollowUp-ConceptMap-1'!$I$15:$N$124,Q130+1,R130)</f>
        <v>0</v>
      </c>
    </row>
    <row r="131" spans="16:19">
      <c r="P131" s="11">
        <v>117</v>
      </c>
      <c r="Q131" s="11">
        <f t="shared" si="15"/>
        <v>19</v>
      </c>
      <c r="R131" s="11">
        <f t="shared" si="16"/>
        <v>3</v>
      </c>
      <c r="S131" s="12" cm="1">
        <f t="array" ref="S131">INDEX('PatientFollowUp-ConceptMap-1'!$I$15:$N$124,Q131+1,R131)</f>
        <v>0</v>
      </c>
    </row>
    <row r="132" spans="16:19">
      <c r="P132" s="11">
        <v>118</v>
      </c>
      <c r="Q132" s="11">
        <f t="shared" si="15"/>
        <v>19</v>
      </c>
      <c r="R132" s="11">
        <f t="shared" si="16"/>
        <v>4</v>
      </c>
      <c r="S132" s="12" cm="1">
        <f t="array" ref="S132">INDEX('PatientFollowUp-ConceptMap-1'!$I$15:$N$124,Q132+1,R132)</f>
        <v>0</v>
      </c>
    </row>
    <row r="133" spans="16:19">
      <c r="P133" s="11">
        <v>119</v>
      </c>
      <c r="Q133" s="11">
        <f t="shared" si="15"/>
        <v>19</v>
      </c>
      <c r="R133" s="11">
        <f t="shared" si="16"/>
        <v>5</v>
      </c>
      <c r="S133" s="12" cm="1">
        <f t="array" ref="S133">INDEX('PatientFollowUp-ConceptMap-1'!$I$15:$N$124,Q133+1,R133)</f>
        <v>0</v>
      </c>
    </row>
    <row r="134" spans="16:19">
      <c r="P134" s="11">
        <v>120</v>
      </c>
      <c r="Q134" s="11">
        <f t="shared" si="15"/>
        <v>19</v>
      </c>
      <c r="R134" s="11">
        <f t="shared" si="16"/>
        <v>6</v>
      </c>
      <c r="S134" s="12" cm="1">
        <f t="array" ref="S134">INDEX('PatientFollowUp-ConceptMap-1'!$I$15:$N$124,Q134+1,R134)</f>
        <v>0</v>
      </c>
    </row>
    <row r="135" spans="16:19">
      <c r="P135" s="11">
        <v>121</v>
      </c>
      <c r="Q135" s="11">
        <f t="shared" si="15"/>
        <v>20</v>
      </c>
      <c r="R135" s="11">
        <f t="shared" si="16"/>
        <v>1</v>
      </c>
      <c r="S135" s="12" cm="1">
        <f t="array" ref="S135">INDEX('PatientFollowUp-ConceptMap-1'!$I$15:$N$124,Q135+1,R135)</f>
        <v>0</v>
      </c>
    </row>
    <row r="136" spans="16:19">
      <c r="P136" s="11">
        <v>122</v>
      </c>
      <c r="Q136" s="11">
        <f t="shared" si="15"/>
        <v>20</v>
      </c>
      <c r="R136" s="11">
        <f t="shared" si="16"/>
        <v>2</v>
      </c>
      <c r="S136" s="12" cm="1">
        <f t="array" ref="S136">INDEX('PatientFollowUp-ConceptMap-1'!$I$15:$N$124,Q136+1,R136)</f>
        <v>0</v>
      </c>
    </row>
    <row r="137" spans="16:19">
      <c r="P137" s="11">
        <v>123</v>
      </c>
      <c r="Q137" s="11">
        <f t="shared" si="15"/>
        <v>20</v>
      </c>
      <c r="R137" s="11">
        <f t="shared" si="16"/>
        <v>3</v>
      </c>
      <c r="S137" s="12" cm="1">
        <f t="array" ref="S137">INDEX('PatientFollowUp-ConceptMap-1'!$I$15:$N$124,Q137+1,R137)</f>
        <v>0</v>
      </c>
    </row>
    <row r="138" spans="16:19">
      <c r="P138" s="11">
        <v>124</v>
      </c>
      <c r="Q138" s="11">
        <f t="shared" si="15"/>
        <v>20</v>
      </c>
      <c r="R138" s="11">
        <f t="shared" si="16"/>
        <v>4</v>
      </c>
      <c r="S138" s="12" cm="1">
        <f t="array" ref="S138">INDEX('PatientFollowUp-ConceptMap-1'!$I$15:$N$124,Q138+1,R138)</f>
        <v>0</v>
      </c>
    </row>
    <row r="139" spans="16:19">
      <c r="P139" s="11">
        <v>125</v>
      </c>
      <c r="Q139" s="11">
        <f t="shared" si="15"/>
        <v>20</v>
      </c>
      <c r="R139" s="11">
        <f t="shared" si="16"/>
        <v>5</v>
      </c>
      <c r="S139" s="12" cm="1">
        <f t="array" ref="S139">INDEX('PatientFollowUp-ConceptMap-1'!$I$15:$N$124,Q139+1,R139)</f>
        <v>0</v>
      </c>
    </row>
    <row r="140" spans="16:19">
      <c r="P140" s="11">
        <v>126</v>
      </c>
      <c r="Q140" s="11">
        <f t="shared" si="15"/>
        <v>20</v>
      </c>
      <c r="R140" s="11">
        <f t="shared" si="16"/>
        <v>6</v>
      </c>
      <c r="S140" s="12" cm="1">
        <f t="array" ref="S140">INDEX('PatientFollowUp-ConceptMap-1'!$I$15:$N$124,Q140+1,R140)</f>
        <v>0</v>
      </c>
    </row>
    <row r="141" spans="16:19">
      <c r="P141" s="11">
        <v>127</v>
      </c>
      <c r="Q141" s="11">
        <f t="shared" si="15"/>
        <v>21</v>
      </c>
      <c r="R141" s="11">
        <f t="shared" si="16"/>
        <v>1</v>
      </c>
      <c r="S141" s="12" cm="1">
        <f t="array" ref="S141">INDEX('PatientFollowUp-ConceptMap-1'!$I$15:$N$124,Q141+1,R141)</f>
        <v>0</v>
      </c>
    </row>
    <row r="142" spans="16:19">
      <c r="P142" s="11">
        <v>128</v>
      </c>
      <c r="Q142" s="11">
        <f t="shared" si="15"/>
        <v>21</v>
      </c>
      <c r="R142" s="11">
        <f t="shared" si="16"/>
        <v>2</v>
      </c>
      <c r="S142" s="12" cm="1">
        <f t="array" ref="S142">INDEX('PatientFollowUp-ConceptMap-1'!$I$15:$N$124,Q142+1,R142)</f>
        <v>0</v>
      </c>
    </row>
    <row r="143" spans="16:19">
      <c r="P143" s="11">
        <v>129</v>
      </c>
      <c r="Q143" s="11">
        <f t="shared" si="15"/>
        <v>21</v>
      </c>
      <c r="R143" s="11">
        <f t="shared" si="16"/>
        <v>3</v>
      </c>
      <c r="S143" s="12" cm="1">
        <f t="array" ref="S143">INDEX('PatientFollowUp-ConceptMap-1'!$I$15:$N$124,Q143+1,R143)</f>
        <v>0</v>
      </c>
    </row>
    <row r="144" spans="16:19">
      <c r="P144" s="11">
        <v>130</v>
      </c>
      <c r="Q144" s="11">
        <f t="shared" ref="Q144:Q184" si="17">IF(MOD(P144,$Q$8)=0,P144/$Q$8-1,INT(P144/$Q$8))</f>
        <v>21</v>
      </c>
      <c r="R144" s="11">
        <f t="shared" ref="R144:R184" si="18">IF(MOD(P144,$Q$8)=0,$Q$8,MOD(P144,$Q$8))</f>
        <v>4</v>
      </c>
      <c r="S144" s="12" cm="1">
        <f t="array" ref="S144">INDEX('PatientFollowUp-ConceptMap-1'!$I$15:$N$124,Q144+1,R144)</f>
        <v>0</v>
      </c>
    </row>
    <row r="145" spans="16:19">
      <c r="P145" s="11">
        <v>131</v>
      </c>
      <c r="Q145" s="11">
        <f t="shared" si="17"/>
        <v>21</v>
      </c>
      <c r="R145" s="11">
        <f t="shared" si="18"/>
        <v>5</v>
      </c>
      <c r="S145" s="12" cm="1">
        <f t="array" ref="S145">INDEX('PatientFollowUp-ConceptMap-1'!$I$15:$N$124,Q145+1,R145)</f>
        <v>0</v>
      </c>
    </row>
    <row r="146" spans="16:19">
      <c r="P146" s="11">
        <v>132</v>
      </c>
      <c r="Q146" s="11">
        <f t="shared" si="17"/>
        <v>21</v>
      </c>
      <c r="R146" s="11">
        <f t="shared" si="18"/>
        <v>6</v>
      </c>
      <c r="S146" s="12" cm="1">
        <f t="array" ref="S146">INDEX('PatientFollowUp-ConceptMap-1'!$I$15:$N$124,Q146+1,R146)</f>
        <v>0</v>
      </c>
    </row>
    <row r="147" spans="16:19">
      <c r="P147" s="11">
        <v>133</v>
      </c>
      <c r="Q147" s="11">
        <f t="shared" si="17"/>
        <v>22</v>
      </c>
      <c r="R147" s="11">
        <f t="shared" si="18"/>
        <v>1</v>
      </c>
      <c r="S147" s="12" cm="1">
        <f t="array" ref="S147">INDEX('PatientFollowUp-ConceptMap-1'!$I$15:$N$124,Q147+1,R147)</f>
        <v>0</v>
      </c>
    </row>
    <row r="148" spans="16:19">
      <c r="P148" s="11">
        <v>134</v>
      </c>
      <c r="Q148" s="11">
        <f t="shared" si="17"/>
        <v>22</v>
      </c>
      <c r="R148" s="11">
        <f t="shared" si="18"/>
        <v>2</v>
      </c>
      <c r="S148" s="12" cm="1">
        <f t="array" ref="S148">INDEX('PatientFollowUp-ConceptMap-1'!$I$15:$N$124,Q148+1,R148)</f>
        <v>0</v>
      </c>
    </row>
    <row r="149" spans="16:19">
      <c r="P149" s="11">
        <v>135</v>
      </c>
      <c r="Q149" s="11">
        <f t="shared" si="17"/>
        <v>22</v>
      </c>
      <c r="R149" s="11">
        <f t="shared" si="18"/>
        <v>3</v>
      </c>
      <c r="S149" s="12" cm="1">
        <f t="array" ref="S149">INDEX('PatientFollowUp-ConceptMap-1'!$I$15:$N$124,Q149+1,R149)</f>
        <v>0</v>
      </c>
    </row>
    <row r="150" spans="16:19">
      <c r="P150" s="11">
        <v>136</v>
      </c>
      <c r="Q150" s="11">
        <f t="shared" si="17"/>
        <v>22</v>
      </c>
      <c r="R150" s="11">
        <f t="shared" si="18"/>
        <v>4</v>
      </c>
      <c r="S150" s="12" cm="1">
        <f t="array" ref="S150">INDEX('PatientFollowUp-ConceptMap-1'!$I$15:$N$124,Q150+1,R150)</f>
        <v>0</v>
      </c>
    </row>
    <row r="151" spans="16:19">
      <c r="P151" s="11">
        <v>137</v>
      </c>
      <c r="Q151" s="11">
        <f t="shared" si="17"/>
        <v>22</v>
      </c>
      <c r="R151" s="11">
        <f t="shared" si="18"/>
        <v>5</v>
      </c>
      <c r="S151" s="12" cm="1">
        <f t="array" ref="S151">INDEX('PatientFollowUp-ConceptMap-1'!$I$15:$N$124,Q151+1,R151)</f>
        <v>0</v>
      </c>
    </row>
    <row r="152" spans="16:19">
      <c r="P152" s="11">
        <v>138</v>
      </c>
      <c r="Q152" s="11">
        <f t="shared" si="17"/>
        <v>22</v>
      </c>
      <c r="R152" s="11">
        <f t="shared" si="18"/>
        <v>6</v>
      </c>
      <c r="S152" s="12" cm="1">
        <f t="array" ref="S152">INDEX('PatientFollowUp-ConceptMap-1'!$I$15:$N$124,Q152+1,R152)</f>
        <v>0</v>
      </c>
    </row>
    <row r="153" spans="16:19">
      <c r="P153" s="11">
        <v>139</v>
      </c>
      <c r="Q153" s="11">
        <f t="shared" si="17"/>
        <v>23</v>
      </c>
      <c r="R153" s="11">
        <f t="shared" si="18"/>
        <v>1</v>
      </c>
      <c r="S153" s="12" cm="1">
        <f t="array" ref="S153">INDEX('PatientFollowUp-ConceptMap-1'!$I$15:$N$124,Q153+1,R153)</f>
        <v>0</v>
      </c>
    </row>
    <row r="154" spans="16:19">
      <c r="P154" s="11">
        <v>140</v>
      </c>
      <c r="Q154" s="11">
        <f t="shared" si="17"/>
        <v>23</v>
      </c>
      <c r="R154" s="11">
        <f t="shared" si="18"/>
        <v>2</v>
      </c>
      <c r="S154" s="12" cm="1">
        <f t="array" ref="S154">INDEX('PatientFollowUp-ConceptMap-1'!$I$15:$N$124,Q154+1,R154)</f>
        <v>0</v>
      </c>
    </row>
    <row r="155" spans="16:19">
      <c r="P155" s="11">
        <v>141</v>
      </c>
      <c r="Q155" s="11">
        <f t="shared" si="17"/>
        <v>23</v>
      </c>
      <c r="R155" s="11">
        <f t="shared" si="18"/>
        <v>3</v>
      </c>
      <c r="S155" s="12" cm="1">
        <f t="array" ref="S155">INDEX('PatientFollowUp-ConceptMap-1'!$I$15:$N$124,Q155+1,R155)</f>
        <v>0</v>
      </c>
    </row>
    <row r="156" spans="16:19">
      <c r="P156" s="11">
        <v>142</v>
      </c>
      <c r="Q156" s="11">
        <f t="shared" si="17"/>
        <v>23</v>
      </c>
      <c r="R156" s="11">
        <f t="shared" si="18"/>
        <v>4</v>
      </c>
      <c r="S156" s="12" cm="1">
        <f t="array" ref="S156">INDEX('PatientFollowUp-ConceptMap-1'!$I$15:$N$124,Q156+1,R156)</f>
        <v>0</v>
      </c>
    </row>
    <row r="157" spans="16:19">
      <c r="P157" s="11">
        <v>143</v>
      </c>
      <c r="Q157" s="11">
        <f t="shared" si="17"/>
        <v>23</v>
      </c>
      <c r="R157" s="11">
        <f t="shared" si="18"/>
        <v>5</v>
      </c>
      <c r="S157" s="12" cm="1">
        <f t="array" ref="S157">INDEX('PatientFollowUp-ConceptMap-1'!$I$15:$N$124,Q157+1,R157)</f>
        <v>0</v>
      </c>
    </row>
    <row r="158" spans="16:19">
      <c r="P158" s="11">
        <v>144</v>
      </c>
      <c r="Q158" s="11">
        <f t="shared" si="17"/>
        <v>23</v>
      </c>
      <c r="R158" s="11">
        <f t="shared" si="18"/>
        <v>6</v>
      </c>
      <c r="S158" s="12" cm="1">
        <f t="array" ref="S158">INDEX('PatientFollowUp-ConceptMap-1'!$I$15:$N$124,Q158+1,R158)</f>
        <v>0</v>
      </c>
    </row>
    <row r="159" spans="16:19">
      <c r="P159" s="11">
        <v>145</v>
      </c>
      <c r="Q159" s="11">
        <f t="shared" si="17"/>
        <v>24</v>
      </c>
      <c r="R159" s="11">
        <f t="shared" si="18"/>
        <v>1</v>
      </c>
      <c r="S159" s="12" cm="1">
        <f t="array" ref="S159">INDEX('PatientFollowUp-ConceptMap-1'!$I$15:$N$124,Q159+1,R159)</f>
        <v>0</v>
      </c>
    </row>
    <row r="160" spans="16:19">
      <c r="P160" s="11">
        <v>146</v>
      </c>
      <c r="Q160" s="11">
        <f t="shared" si="17"/>
        <v>24</v>
      </c>
      <c r="R160" s="11">
        <f t="shared" si="18"/>
        <v>2</v>
      </c>
      <c r="S160" s="12" cm="1">
        <f t="array" ref="S160">INDEX('PatientFollowUp-ConceptMap-1'!$I$15:$N$124,Q160+1,R160)</f>
        <v>0</v>
      </c>
    </row>
    <row r="161" spans="16:19">
      <c r="P161" s="11">
        <v>147</v>
      </c>
      <c r="Q161" s="11">
        <f t="shared" si="17"/>
        <v>24</v>
      </c>
      <c r="R161" s="11">
        <f t="shared" si="18"/>
        <v>3</v>
      </c>
      <c r="S161" s="12" cm="1">
        <f t="array" ref="S161">INDEX('PatientFollowUp-ConceptMap-1'!$I$15:$N$124,Q161+1,R161)</f>
        <v>0</v>
      </c>
    </row>
    <row r="162" spans="16:19">
      <c r="P162" s="11">
        <v>148</v>
      </c>
      <c r="Q162" s="11">
        <f t="shared" si="17"/>
        <v>24</v>
      </c>
      <c r="R162" s="11">
        <f t="shared" si="18"/>
        <v>4</v>
      </c>
      <c r="S162" s="12" cm="1">
        <f t="array" ref="S162">INDEX('PatientFollowUp-ConceptMap-1'!$I$15:$N$124,Q162+1,R162)</f>
        <v>0</v>
      </c>
    </row>
    <row r="163" spans="16:19">
      <c r="P163" s="11">
        <v>149</v>
      </c>
      <c r="Q163" s="11">
        <f t="shared" si="17"/>
        <v>24</v>
      </c>
      <c r="R163" s="11">
        <f t="shared" si="18"/>
        <v>5</v>
      </c>
      <c r="S163" s="12" cm="1">
        <f t="array" ref="S163">INDEX('PatientFollowUp-ConceptMap-1'!$I$15:$N$124,Q163+1,R163)</f>
        <v>0</v>
      </c>
    </row>
    <row r="164" spans="16:19">
      <c r="P164" s="11">
        <v>150</v>
      </c>
      <c r="Q164" s="11">
        <f t="shared" si="17"/>
        <v>24</v>
      </c>
      <c r="R164" s="11">
        <f t="shared" si="18"/>
        <v>6</v>
      </c>
      <c r="S164" s="12" cm="1">
        <f t="array" ref="S164">INDEX('PatientFollowUp-ConceptMap-1'!$I$15:$N$124,Q164+1,R164)</f>
        <v>0</v>
      </c>
    </row>
    <row r="165" spans="16:19">
      <c r="P165" s="11">
        <v>151</v>
      </c>
      <c r="Q165" s="11">
        <f t="shared" si="17"/>
        <v>25</v>
      </c>
      <c r="R165" s="11">
        <f t="shared" si="18"/>
        <v>1</v>
      </c>
      <c r="S165" s="12" cm="1">
        <f t="array" ref="S165">INDEX('PatientFollowUp-ConceptMap-1'!$I$15:$N$124,Q165+1,R165)</f>
        <v>0</v>
      </c>
    </row>
    <row r="166" spans="16:19">
      <c r="P166" s="11">
        <v>152</v>
      </c>
      <c r="Q166" s="11">
        <f t="shared" si="17"/>
        <v>25</v>
      </c>
      <c r="R166" s="11">
        <f t="shared" si="18"/>
        <v>2</v>
      </c>
      <c r="S166" s="12" cm="1">
        <f t="array" ref="S166">INDEX('PatientFollowUp-ConceptMap-1'!$I$15:$N$124,Q166+1,R166)</f>
        <v>0</v>
      </c>
    </row>
    <row r="167" spans="16:19">
      <c r="P167" s="11">
        <v>153</v>
      </c>
      <c r="Q167" s="11">
        <f t="shared" si="17"/>
        <v>25</v>
      </c>
      <c r="R167" s="11">
        <f t="shared" si="18"/>
        <v>3</v>
      </c>
      <c r="S167" s="12" cm="1">
        <f t="array" ref="S167">INDEX('PatientFollowUp-ConceptMap-1'!$I$15:$N$124,Q167+1,R167)</f>
        <v>0</v>
      </c>
    </row>
    <row r="168" spans="16:19">
      <c r="P168" s="11">
        <v>154</v>
      </c>
      <c r="Q168" s="11">
        <f t="shared" si="17"/>
        <v>25</v>
      </c>
      <c r="R168" s="11">
        <f t="shared" si="18"/>
        <v>4</v>
      </c>
      <c r="S168" s="12" cm="1">
        <f t="array" ref="S168">INDEX('PatientFollowUp-ConceptMap-1'!$I$15:$N$124,Q168+1,R168)</f>
        <v>0</v>
      </c>
    </row>
    <row r="169" spans="16:19">
      <c r="P169" s="11">
        <v>155</v>
      </c>
      <c r="Q169" s="11">
        <f t="shared" si="17"/>
        <v>25</v>
      </c>
      <c r="R169" s="11">
        <f t="shared" si="18"/>
        <v>5</v>
      </c>
      <c r="S169" s="12" cm="1">
        <f t="array" ref="S169">INDEX('PatientFollowUp-ConceptMap-1'!$I$15:$N$124,Q169+1,R169)</f>
        <v>0</v>
      </c>
    </row>
    <row r="170" spans="16:19">
      <c r="P170" s="11">
        <v>156</v>
      </c>
      <c r="Q170" s="11">
        <f t="shared" si="17"/>
        <v>25</v>
      </c>
      <c r="R170" s="11">
        <f t="shared" si="18"/>
        <v>6</v>
      </c>
      <c r="S170" s="12" cm="1">
        <f t="array" ref="S170">INDEX('PatientFollowUp-ConceptMap-1'!$I$15:$N$124,Q170+1,R170)</f>
        <v>0</v>
      </c>
    </row>
    <row r="171" spans="16:19">
      <c r="P171" s="11">
        <v>157</v>
      </c>
      <c r="Q171" s="11">
        <f t="shared" si="17"/>
        <v>26</v>
      </c>
      <c r="R171" s="11">
        <f t="shared" si="18"/>
        <v>1</v>
      </c>
      <c r="S171" s="12" cm="1">
        <f t="array" ref="S171">INDEX('PatientFollowUp-ConceptMap-1'!$I$15:$N$124,Q171+1,R171)</f>
        <v>0</v>
      </c>
    </row>
    <row r="172" spans="16:19">
      <c r="P172" s="11">
        <v>158</v>
      </c>
      <c r="Q172" s="11">
        <f t="shared" si="17"/>
        <v>26</v>
      </c>
      <c r="R172" s="11">
        <f t="shared" si="18"/>
        <v>2</v>
      </c>
      <c r="S172" s="12" cm="1">
        <f t="array" ref="S172">INDEX('PatientFollowUp-ConceptMap-1'!$I$15:$N$124,Q172+1,R172)</f>
        <v>0</v>
      </c>
    </row>
    <row r="173" spans="16:19">
      <c r="P173" s="11">
        <v>159</v>
      </c>
      <c r="Q173" s="11">
        <f t="shared" si="17"/>
        <v>26</v>
      </c>
      <c r="R173" s="11">
        <f t="shared" si="18"/>
        <v>3</v>
      </c>
      <c r="S173" s="12" cm="1">
        <f t="array" ref="S173">INDEX('PatientFollowUp-ConceptMap-1'!$I$15:$N$124,Q173+1,R173)</f>
        <v>0</v>
      </c>
    </row>
    <row r="174" spans="16:19">
      <c r="P174" s="11">
        <v>160</v>
      </c>
      <c r="Q174" s="11">
        <f t="shared" si="17"/>
        <v>26</v>
      </c>
      <c r="R174" s="11">
        <f t="shared" si="18"/>
        <v>4</v>
      </c>
      <c r="S174" s="12" cm="1">
        <f t="array" ref="S174">INDEX('PatientFollowUp-ConceptMap-1'!$I$15:$N$124,Q174+1,R174)</f>
        <v>0</v>
      </c>
    </row>
    <row r="175" spans="16:19">
      <c r="P175" s="11">
        <v>161</v>
      </c>
      <c r="Q175" s="11">
        <f t="shared" si="17"/>
        <v>26</v>
      </c>
      <c r="R175" s="11">
        <f t="shared" si="18"/>
        <v>5</v>
      </c>
      <c r="S175" s="12" cm="1">
        <f t="array" ref="S175">INDEX('PatientFollowUp-ConceptMap-1'!$I$15:$N$124,Q175+1,R175)</f>
        <v>0</v>
      </c>
    </row>
    <row r="176" spans="16:19">
      <c r="P176" s="11">
        <v>162</v>
      </c>
      <c r="Q176" s="11">
        <f t="shared" si="17"/>
        <v>26</v>
      </c>
      <c r="R176" s="11">
        <f t="shared" si="18"/>
        <v>6</v>
      </c>
      <c r="S176" s="12" cm="1">
        <f t="array" ref="S176">INDEX('PatientFollowUp-ConceptMap-1'!$I$15:$N$124,Q176+1,R176)</f>
        <v>0</v>
      </c>
    </row>
    <row r="177" spans="16:19">
      <c r="P177" s="11">
        <v>163</v>
      </c>
      <c r="Q177" s="11">
        <f t="shared" si="17"/>
        <v>27</v>
      </c>
      <c r="R177" s="11">
        <f t="shared" si="18"/>
        <v>1</v>
      </c>
      <c r="S177" s="12" cm="1">
        <f t="array" ref="S177">INDEX('PatientFollowUp-ConceptMap-1'!$I$15:$N$124,Q177+1,R177)</f>
        <v>0</v>
      </c>
    </row>
    <row r="178" spans="16:19">
      <c r="P178" s="11">
        <v>164</v>
      </c>
      <c r="Q178" s="11">
        <f t="shared" si="17"/>
        <v>27</v>
      </c>
      <c r="R178" s="11">
        <f t="shared" si="18"/>
        <v>2</v>
      </c>
      <c r="S178" s="12" cm="1">
        <f t="array" ref="S178">INDEX('PatientFollowUp-ConceptMap-1'!$I$15:$N$124,Q178+1,R178)</f>
        <v>0</v>
      </c>
    </row>
    <row r="179" spans="16:19">
      <c r="P179" s="11">
        <v>165</v>
      </c>
      <c r="Q179" s="11">
        <f t="shared" si="17"/>
        <v>27</v>
      </c>
      <c r="R179" s="11">
        <f t="shared" si="18"/>
        <v>3</v>
      </c>
      <c r="S179" s="12" cm="1">
        <f t="array" ref="S179">INDEX('PatientFollowUp-ConceptMap-1'!$I$15:$N$124,Q179+1,R179)</f>
        <v>0</v>
      </c>
    </row>
    <row r="180" spans="16:19">
      <c r="P180" s="11">
        <v>166</v>
      </c>
      <c r="Q180" s="11">
        <f t="shared" si="17"/>
        <v>27</v>
      </c>
      <c r="R180" s="11">
        <f t="shared" si="18"/>
        <v>4</v>
      </c>
      <c r="S180" s="12" cm="1">
        <f t="array" ref="S180">INDEX('PatientFollowUp-ConceptMap-1'!$I$15:$N$124,Q180+1,R180)</f>
        <v>0</v>
      </c>
    </row>
    <row r="181" spans="16:19">
      <c r="P181" s="11">
        <v>167</v>
      </c>
      <c r="Q181" s="11">
        <f t="shared" si="17"/>
        <v>27</v>
      </c>
      <c r="R181" s="11">
        <f t="shared" si="18"/>
        <v>5</v>
      </c>
      <c r="S181" s="12" cm="1">
        <f t="array" ref="S181">INDEX('PatientFollowUp-ConceptMap-1'!$I$15:$N$124,Q181+1,R181)</f>
        <v>0</v>
      </c>
    </row>
    <row r="182" spans="16:19">
      <c r="P182" s="11">
        <v>168</v>
      </c>
      <c r="Q182" s="11">
        <f t="shared" si="17"/>
        <v>27</v>
      </c>
      <c r="R182" s="11">
        <f t="shared" si="18"/>
        <v>6</v>
      </c>
      <c r="S182" s="12" cm="1">
        <f t="array" ref="S182">INDEX('PatientFollowUp-ConceptMap-1'!$I$15:$N$124,Q182+1,R182)</f>
        <v>0</v>
      </c>
    </row>
    <row r="183" spans="16:19">
      <c r="P183" s="11">
        <v>169</v>
      </c>
      <c r="Q183" s="11">
        <f t="shared" si="17"/>
        <v>28</v>
      </c>
      <c r="R183" s="11">
        <f t="shared" si="18"/>
        <v>1</v>
      </c>
      <c r="S183" s="12" cm="1">
        <f t="array" ref="S183">INDEX('PatientFollowUp-ConceptMap-1'!$I$15:$N$124,Q183+1,R183)</f>
        <v>0</v>
      </c>
    </row>
    <row r="184" spans="16:19">
      <c r="P184" s="11">
        <v>170</v>
      </c>
      <c r="Q184" s="11">
        <f t="shared" si="17"/>
        <v>28</v>
      </c>
      <c r="R184" s="11">
        <f t="shared" si="18"/>
        <v>2</v>
      </c>
      <c r="S184" s="12" cm="1">
        <f t="array" ref="S184">INDEX('PatientFollowUp-ConceptMap-1'!$I$15:$N$124,Q184+1,R184)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F15:F113</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184"/>
  <sheetViews>
    <sheetView topLeftCell="L21" workbookViewId="0">
      <selection activeCell="P15" sqref="P15:S184"/>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2366</v>
      </c>
      <c r="D3" s="62" t="s">
        <v>1769</v>
      </c>
      <c r="E3" s="117" t="str">
        <f>$C$1&amp;B14</f>
        <v>http://hl7.eu/fhir/ig/idea4rc/StructureDefinition/PatientFollowUpI4rc</v>
      </c>
    </row>
    <row r="4" spans="1:19">
      <c r="B4" s="62" t="s">
        <v>16</v>
      </c>
      <c r="C4" s="28" t="s">
        <v>2366</v>
      </c>
      <c r="D4" s="62" t="s">
        <v>1770</v>
      </c>
      <c r="E4" s="184" t="s">
        <v>2365</v>
      </c>
      <c r="F4" s="185"/>
      <c r="G4" s="185"/>
    </row>
    <row r="5" spans="1:19">
      <c r="B5" s="62" t="s">
        <v>10</v>
      </c>
      <c r="C5" s="7" t="s">
        <v>2367</v>
      </c>
      <c r="D5" s="62"/>
      <c r="E5" s="7"/>
    </row>
    <row r="6" spans="1:19">
      <c r="B6" s="62" t="s">
        <v>18</v>
      </c>
      <c r="C6" s="56"/>
      <c r="D6" s="62" t="s">
        <v>1771</v>
      </c>
      <c r="E6" s="184" t="str">
        <f>E3</f>
        <v>http://hl7.eu/fhir/ig/idea4rc/StructureDefinition/PatientFollowUpI4rc</v>
      </c>
      <c r="F6" s="185"/>
      <c r="G6" s="185"/>
    </row>
    <row r="7" spans="1:19">
      <c r="B7" s="62" t="s">
        <v>15</v>
      </c>
      <c r="C7" s="118"/>
      <c r="D7" s="62" t="s">
        <v>1772</v>
      </c>
      <c r="E7" s="184" t="str">
        <f>C1&amp;"Condition-primaryCancer-eu-i4rc"</f>
        <v>http://hl7.eu/fhir/ig/idea4rc/StructureDefinition/Condition-primaryCancer-eu-i4rc</v>
      </c>
      <c r="F7" s="185"/>
      <c r="G7" s="185"/>
    </row>
    <row r="8" spans="1:19" ht="45" thickBot="1">
      <c r="B8" s="62" t="s">
        <v>1773</v>
      </c>
      <c r="C8" s="7" t="s">
        <v>2367</v>
      </c>
      <c r="D8" s="62"/>
      <c r="E8" s="7"/>
      <c r="I8" s="12" t="s">
        <v>1402</v>
      </c>
      <c r="J8" s="12" t="s">
        <v>1403</v>
      </c>
      <c r="K8" s="12" t="s">
        <v>1404</v>
      </c>
      <c r="L8" s="12" t="s">
        <v>1405</v>
      </c>
      <c r="M8" s="11" t="s">
        <v>1406</v>
      </c>
      <c r="P8" s="49" t="s">
        <v>1441</v>
      </c>
      <c r="Q8" s="49">
        <v>6</v>
      </c>
    </row>
    <row r="9" spans="1:19" ht="30.25" thickBot="1">
      <c r="B9" s="62" t="s">
        <v>1774</v>
      </c>
      <c r="C9" s="12" t="s">
        <v>2368</v>
      </c>
      <c r="D9" s="143"/>
      <c r="E9" s="186"/>
      <c r="F9" s="187"/>
      <c r="G9" s="188"/>
      <c r="I9" s="12"/>
      <c r="J9" s="11"/>
      <c r="K9" s="11"/>
      <c r="L9" s="11"/>
      <c r="M9" s="11"/>
    </row>
    <row r="10" spans="1:19">
      <c r="B10" s="62"/>
      <c r="C10" s="119"/>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PatientFollowUp!B4</f>
        <v>PatientFollowUpI4rc</v>
      </c>
      <c r="C14" s="11"/>
      <c r="D14" s="4" t="s">
        <v>2369</v>
      </c>
      <c r="E14" s="6"/>
      <c r="F14" s="64"/>
      <c r="G14" s="64"/>
      <c r="I14" s="12"/>
      <c r="J14" s="11"/>
      <c r="K14" s="11"/>
      <c r="L14" s="11"/>
      <c r="M14" s="63"/>
      <c r="N14" s="66"/>
    </row>
    <row r="15" spans="1:19" ht="44.25">
      <c r="A15" s="59"/>
      <c r="B15" s="11" t="str">
        <f>PatientFollowUp!B8</f>
        <v>patient</v>
      </c>
      <c r="C15" s="11" t="str">
        <f>PatientFollowUp!C8</f>
        <v>Patient</v>
      </c>
      <c r="D15" s="12" t="s">
        <v>1783</v>
      </c>
      <c r="E15" s="12"/>
      <c r="F15" s="64" t="s">
        <v>1429</v>
      </c>
      <c r="G15" s="123"/>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INDEX('PatientFollowUp-ConceptMap-2'!$I$15:$N$124,Q15+1,R15)</f>
        <v>* group[=].element[+].code = #PatientFollowUpI4rc.patient</v>
      </c>
    </row>
    <row r="16" spans="1:19" ht="73.75">
      <c r="A16" s="59"/>
      <c r="B16" s="11" t="str">
        <f>PatientFollowUp!B9</f>
        <v>statusAtLastFollowUp</v>
      </c>
      <c r="C16" s="11" t="str">
        <f>PatientFollowUp!C9</f>
        <v>Status at last follow-up</v>
      </c>
      <c r="D16" s="12"/>
      <c r="E16" s="12"/>
      <c r="F16" s="64" t="s">
        <v>1424</v>
      </c>
      <c r="G16" s="122" t="s">
        <v>2370</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unmatched</v>
      </c>
      <c r="L16" s="12" t="str">
        <f t="shared" ref="L16:L20" si="10">IF(F16="unmatched","//-- unmatched","* group[=].element[=].target.display = ##34#"&amp;E16&amp;"##34#")</f>
        <v>//-- unmatched</v>
      </c>
      <c r="M16" s="12" t="str">
        <f t="shared" ref="M16:M20" si="11">"* group[=].element[=].target.equivalence = #"&amp;F16</f>
        <v>* group[=].element[=].target.equivalence = #unmatched</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INDEX('PatientFollowUp-ConceptMap-2'!$I$15:$N$124,Q16+1,R16)</f>
        <v>* group[=].element[=].display = ##34#Patient##34#</v>
      </c>
    </row>
    <row r="17" spans="1:19" ht="59" customHeight="1">
      <c r="A17" s="59"/>
      <c r="B17" s="6" t="str">
        <f>PatientFollowUp!B10</f>
        <v>patientFollowUpDate</v>
      </c>
      <c r="C17" s="11" t="str">
        <f>PatientFollowUp!C10</f>
        <v>Patient Follow Up date</v>
      </c>
      <c r="D17" s="12"/>
      <c r="E17" s="12"/>
      <c r="F17" s="64" t="s">
        <v>1424</v>
      </c>
      <c r="G17" s="123"/>
      <c r="H17" s="58"/>
      <c r="I17" s="12" t="str">
        <f t="shared" si="7"/>
        <v>* group[=].element[+].code = #PatientFollowUpI4rc.patientFollowUpDate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INDEX('PatientFollowUp-ConceptMap-2'!$I$15:$N$124,Q17+1,R17)</f>
        <v>* group[=].element[=].target.code = #Encounter.patient</v>
      </c>
    </row>
    <row r="18" spans="1:19" ht="118">
      <c r="A18" s="59"/>
      <c r="B18" s="11" t="str">
        <f>PatientFollowUp!B11</f>
        <v>newCancerDiagnosis</v>
      </c>
      <c r="C18" s="11" t="str">
        <f>PatientFollowUp!C11</f>
        <v>New cancer diagnosis</v>
      </c>
      <c r="D18" s="12" t="s">
        <v>1970</v>
      </c>
      <c r="E18" s="12"/>
      <c r="F18" s="64" t="s">
        <v>1407</v>
      </c>
      <c r="G18" s="123" t="s">
        <v>2373</v>
      </c>
      <c r="H18" s="58"/>
      <c r="I18" s="12" t="str">
        <f t="shared" si="7"/>
        <v>* group[=].element[+].code = #PatientFollowUpI4rc.newCancerDiagnosis</v>
      </c>
      <c r="J18" s="12" t="str">
        <f t="shared" si="8"/>
        <v>* group[=].element[=].display = ##34#New cancer diagnosis##34#</v>
      </c>
      <c r="K18" s="12" t="str">
        <f t="shared" si="9"/>
        <v>* group[=].element[=].target.code = #Encounter.extension:condition-occurredFollowing</v>
      </c>
      <c r="L18" s="12" t="str">
        <f t="shared" si="10"/>
        <v>* group[=].element[=].target.display = ##34###34#</v>
      </c>
      <c r="M18" s="12" t="str">
        <f t="shared" si="11"/>
        <v>* group[=].element[=].target.equivalence = #relatedto</v>
      </c>
      <c r="N18" s="12" t="str">
        <f t="shared" si="12"/>
        <v>* group[=].element[=].target.comment = ##34#If  extension:condition-occurredFollowing exists, this is a new primary cancer diagnosis identified during a follow up##34#</v>
      </c>
      <c r="P18" s="11">
        <v>4</v>
      </c>
      <c r="Q18" s="11">
        <f t="shared" si="13"/>
        <v>0</v>
      </c>
      <c r="R18" s="11">
        <f t="shared" si="14"/>
        <v>4</v>
      </c>
      <c r="S18" s="12" t="str" cm="1">
        <f t="array" ref="S18">INDEX('PatientFollowUp-ConceptMap-2'!$I$15:$N$124,Q18+1,R18)</f>
        <v>* group[=].element[=].target.display = ##34###34#</v>
      </c>
    </row>
    <row r="19" spans="1:19" ht="73.75">
      <c r="A19" s="59"/>
      <c r="B19" s="11" t="str">
        <f>PatientFollowUp!B12</f>
        <v>dateOfNewCancerDiagnosis</v>
      </c>
      <c r="C19" s="11" t="str">
        <f>PatientFollowUp!C12</f>
        <v>Date of new cancer diagnosis</v>
      </c>
      <c r="D19" s="103" t="s">
        <v>2374</v>
      </c>
      <c r="E19" s="12"/>
      <c r="F19" s="64" t="s">
        <v>1407</v>
      </c>
      <c r="G19" s="122" t="s">
        <v>1775</v>
      </c>
      <c r="H19" s="58"/>
      <c r="I19" s="12" t="str">
        <f t="shared" si="7"/>
        <v>* group[=].element[+].code = #PatientFollowUpI4rc.dateOfNewCancerDiagnosis</v>
      </c>
      <c r="J19" s="12" t="str">
        <f t="shared" si="8"/>
        <v>* group[=].element[=].display = ##34#Date of new cancer diagnosis##34#</v>
      </c>
      <c r="K19" s="12" t="str">
        <f t="shared" si="9"/>
        <v>* group[=].element[=].target.code = #Encounter.extension:assertedDate</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INDEX('PatientFollowUp-ConceptMap-2'!$I$15:$N$124,Q19+1,R19)</f>
        <v>* group[=].element[=].target.equivalence = #equivalent</v>
      </c>
    </row>
    <row r="20" spans="1:19" ht="44.25">
      <c r="A20" s="59"/>
      <c r="B20" s="6" t="str">
        <f>PatientFollowUp!B13</f>
        <v>newCancerTopography</v>
      </c>
      <c r="C20" s="11" t="str">
        <f>PatientFollowUp!C13</f>
        <v>New cancer topography</v>
      </c>
      <c r="D20" s="12" t="s">
        <v>1977</v>
      </c>
      <c r="E20" s="12"/>
      <c r="F20" s="64" t="s">
        <v>1407</v>
      </c>
      <c r="G20" s="122" t="s">
        <v>1775</v>
      </c>
      <c r="H20" s="58"/>
      <c r="I20" s="12" t="str">
        <f t="shared" si="7"/>
        <v>* group[=].element[+].code = #PatientFollowUpI4rc.newCancerTopography</v>
      </c>
      <c r="J20" s="12" t="str">
        <f t="shared" si="8"/>
        <v>* group[=].element[=].display = ##34#New cancer topography##34#</v>
      </c>
      <c r="K20" s="12" t="str">
        <f t="shared" si="9"/>
        <v>* group[=].element[=].target.code = #Encounter.bodySite</v>
      </c>
      <c r="L20" s="12" t="str">
        <f t="shared" si="10"/>
        <v>* group[=].element[=].target.display = ##34###34#</v>
      </c>
      <c r="M20" s="12" t="str">
        <f t="shared" si="11"/>
        <v>* group[=].element[=].target.equivalence = #relatedto</v>
      </c>
      <c r="N20" s="12" t="str">
        <f t="shared" si="12"/>
        <v>* group[=].element[=].target.comment = ##34#to be checked##34#</v>
      </c>
      <c r="P20" s="11">
        <v>6</v>
      </c>
      <c r="Q20" s="11">
        <f t="shared" si="13"/>
        <v>0</v>
      </c>
      <c r="R20" s="11">
        <f t="shared" si="14"/>
        <v>6</v>
      </c>
      <c r="S20" s="12" t="str" cm="1">
        <f t="array" ref="S20">INDEX('PatientFollowUp-ConceptMap-2'!$I$15:$N$124,Q20+1,R20)</f>
        <v/>
      </c>
    </row>
    <row r="21" spans="1:19">
      <c r="A21" s="59"/>
      <c r="B21" s="11"/>
      <c r="C21" s="11"/>
      <c r="D21" s="12"/>
      <c r="E21" s="12"/>
      <c r="F21" s="64"/>
      <c r="G21" s="123"/>
      <c r="H21" s="58"/>
      <c r="I21" s="12"/>
      <c r="J21" s="12"/>
      <c r="K21" s="12"/>
      <c r="L21" s="12"/>
      <c r="M21" s="12"/>
      <c r="N21" s="12"/>
      <c r="P21" s="11">
        <v>7</v>
      </c>
      <c r="Q21" s="11">
        <f t="shared" si="13"/>
        <v>1</v>
      </c>
      <c r="R21" s="11">
        <f t="shared" si="14"/>
        <v>1</v>
      </c>
      <c r="S21" s="12" t="str" cm="1">
        <f t="array" ref="S21">INDEX('PatientFollowUp-ConceptMap-2'!$I$15:$N$124,Q21+1,R21)</f>
        <v>* group[=].element[+].code = #PatientFollowUpI4rc.statusAtLastFollowUp</v>
      </c>
    </row>
    <row r="22" spans="1:19">
      <c r="A22" s="59"/>
      <c r="B22" s="11"/>
      <c r="C22" s="11"/>
      <c r="D22" s="12"/>
      <c r="E22" s="12"/>
      <c r="F22" s="64"/>
      <c r="G22" s="123"/>
      <c r="H22" s="58"/>
      <c r="I22" s="12"/>
      <c r="J22" s="12"/>
      <c r="K22" s="12"/>
      <c r="L22" s="12"/>
      <c r="M22" s="12"/>
      <c r="N22" s="12"/>
      <c r="P22" s="11">
        <v>8</v>
      </c>
      <c r="Q22" s="11">
        <f t="shared" si="13"/>
        <v>1</v>
      </c>
      <c r="R22" s="11">
        <f t="shared" si="14"/>
        <v>2</v>
      </c>
      <c r="S22" s="12" t="str" cm="1">
        <f t="array" ref="S22">INDEX('PatientFollowUp-ConceptMap-2'!$I$15:$N$124,Q22+1,R22)</f>
        <v>* group[=].element[=].display = ##34#Status at last follow-up##34#</v>
      </c>
    </row>
    <row r="23" spans="1:19">
      <c r="A23" s="59"/>
      <c r="B23" s="11"/>
      <c r="C23" s="11"/>
      <c r="D23" s="12"/>
      <c r="E23" s="12"/>
      <c r="F23" s="64"/>
      <c r="G23" s="123"/>
      <c r="H23" s="58"/>
      <c r="I23" s="12"/>
      <c r="J23" s="12"/>
      <c r="K23" s="12"/>
      <c r="L23" s="12"/>
      <c r="M23" s="12"/>
      <c r="N23" s="12"/>
      <c r="P23" s="11">
        <v>9</v>
      </c>
      <c r="Q23" s="11">
        <f t="shared" si="13"/>
        <v>1</v>
      </c>
      <c r="R23" s="11">
        <f t="shared" si="14"/>
        <v>3</v>
      </c>
      <c r="S23" s="12" t="str" cm="1">
        <f t="array" ref="S23">INDEX('PatientFollowUp-ConceptMap-2'!$I$15:$N$124,Q23+1,R23)</f>
        <v>//-- unmatched</v>
      </c>
    </row>
    <row r="24" spans="1:19" ht="29.5" customHeight="1">
      <c r="A24" s="59"/>
      <c r="B24" s="11"/>
      <c r="C24" s="11"/>
      <c r="D24" s="12"/>
      <c r="E24" s="12"/>
      <c r="F24" s="64"/>
      <c r="G24" s="123"/>
      <c r="H24" s="58"/>
      <c r="I24" s="12"/>
      <c r="J24" s="12"/>
      <c r="K24" s="12"/>
      <c r="L24" s="12"/>
      <c r="M24" s="12"/>
      <c r="N24" s="12"/>
      <c r="P24" s="11">
        <v>10</v>
      </c>
      <c r="Q24" s="11">
        <f t="shared" si="13"/>
        <v>1</v>
      </c>
      <c r="R24" s="11">
        <f t="shared" si="14"/>
        <v>4</v>
      </c>
      <c r="S24" s="12" t="str" cm="1">
        <f t="array" ref="S24">INDEX('PatientFollowUp-ConceptMap-2'!$I$15:$N$124,Q24+1,R24)</f>
        <v>//-- unmatched</v>
      </c>
    </row>
    <row r="25" spans="1:19">
      <c r="A25" s="59"/>
      <c r="B25" s="11"/>
      <c r="C25" s="11"/>
      <c r="D25" s="12"/>
      <c r="E25" s="12"/>
      <c r="F25" s="64"/>
      <c r="G25" s="123"/>
      <c r="H25" s="58"/>
      <c r="I25" s="12"/>
      <c r="J25" s="12"/>
      <c r="K25" s="12"/>
      <c r="L25" s="12"/>
      <c r="M25" s="12"/>
      <c r="N25" s="12"/>
      <c r="P25" s="11">
        <v>11</v>
      </c>
      <c r="Q25" s="11">
        <f t="shared" si="13"/>
        <v>1</v>
      </c>
      <c r="R25" s="11">
        <f t="shared" si="14"/>
        <v>5</v>
      </c>
      <c r="S25" s="12" t="str" cm="1">
        <f t="array" ref="S25">INDEX('PatientFollowUp-ConceptMap-2'!$I$15:$N$124,Q25+1,R25)</f>
        <v>* group[=].element[=].target.equivalence = #unmatched</v>
      </c>
    </row>
    <row r="26" spans="1:19" ht="29.5">
      <c r="A26" s="59"/>
      <c r="B26" s="11"/>
      <c r="C26" s="11"/>
      <c r="D26" s="12"/>
      <c r="E26" s="12"/>
      <c r="F26" s="64"/>
      <c r="G26" s="123"/>
      <c r="H26" s="58"/>
      <c r="I26" s="12"/>
      <c r="J26" s="12"/>
      <c r="K26" s="12"/>
      <c r="L26" s="12"/>
      <c r="M26" s="12"/>
      <c r="N26" s="12"/>
      <c r="P26" s="11">
        <v>12</v>
      </c>
      <c r="Q26" s="11">
        <f t="shared" si="13"/>
        <v>1</v>
      </c>
      <c r="R26" s="11">
        <f t="shared" si="14"/>
        <v>6</v>
      </c>
      <c r="S26" s="12" t="str" cm="1">
        <f t="array" ref="S26">INDEX('PatientFollowUp-ConceptMap-2'!$I$15:$N$124,Q26+1,R26)</f>
        <v>* group[=].element[=].target.comment = ##34#CLARIFY THE MEANING OF THE MODEL ELEMENT##34#</v>
      </c>
    </row>
    <row r="27" spans="1:19">
      <c r="A27" s="59"/>
      <c r="B27" s="11"/>
      <c r="C27" s="11"/>
      <c r="D27" s="12"/>
      <c r="E27" s="12"/>
      <c r="F27" s="64"/>
      <c r="G27" s="123"/>
      <c r="H27" s="58"/>
      <c r="I27" s="12"/>
      <c r="J27" s="12"/>
      <c r="K27" s="12"/>
      <c r="L27" s="12"/>
      <c r="M27" s="12"/>
      <c r="N27" s="12"/>
      <c r="P27" s="11">
        <v>13</v>
      </c>
      <c r="Q27" s="11">
        <f t="shared" si="13"/>
        <v>2</v>
      </c>
      <c r="R27" s="11">
        <f t="shared" si="14"/>
        <v>1</v>
      </c>
      <c r="S27" s="12" t="str" cm="1">
        <f t="array" ref="S27">INDEX('PatientFollowUp-ConceptMap-2'!$I$15:$N$124,Q27+1,R27)</f>
        <v>* group[=].element[+].code = #PatientFollowUpI4rc.patientFollowUpDate</v>
      </c>
    </row>
    <row r="28" spans="1:19">
      <c r="B28" s="11"/>
      <c r="C28" s="11"/>
      <c r="D28" s="12"/>
      <c r="E28" s="12"/>
      <c r="F28" s="64"/>
      <c r="G28" s="123"/>
      <c r="H28" s="58"/>
      <c r="I28" s="12"/>
      <c r="J28" s="12"/>
      <c r="K28" s="12"/>
      <c r="L28" s="12"/>
      <c r="M28" s="12"/>
      <c r="N28" s="12"/>
      <c r="P28" s="11">
        <v>14</v>
      </c>
      <c r="Q28" s="11">
        <f t="shared" si="13"/>
        <v>2</v>
      </c>
      <c r="R28" s="11">
        <f t="shared" si="14"/>
        <v>2</v>
      </c>
      <c r="S28" s="12" t="str" cm="1">
        <f t="array" ref="S28">INDEX('PatientFollowUp-ConceptMap-2'!$I$15:$N$124,Q28+1,R28)</f>
        <v>* group[=].element[=].display = ##34#Patient Follow Up date##34#</v>
      </c>
    </row>
    <row r="29" spans="1:19">
      <c r="B29" s="11"/>
      <c r="C29" s="11"/>
      <c r="D29" s="12"/>
      <c r="E29" s="12"/>
      <c r="F29" s="64"/>
      <c r="G29" s="123"/>
      <c r="H29" s="58"/>
      <c r="I29" s="12"/>
      <c r="J29" s="12"/>
      <c r="K29" s="12"/>
      <c r="L29" s="12"/>
      <c r="M29" s="12"/>
      <c r="N29" s="12"/>
      <c r="P29" s="11">
        <v>15</v>
      </c>
      <c r="Q29" s="11">
        <f t="shared" si="13"/>
        <v>2</v>
      </c>
      <c r="R29" s="11">
        <f t="shared" si="14"/>
        <v>3</v>
      </c>
      <c r="S29" s="12" t="str" cm="1">
        <f t="array" ref="S29">INDEX('PatientFollowUp-ConceptMap-2'!$I$15:$N$124,Q29+1,R29)</f>
        <v>//-- unmatched</v>
      </c>
    </row>
    <row r="30" spans="1:19">
      <c r="B30" s="11"/>
      <c r="C30" s="11"/>
      <c r="D30" s="12"/>
      <c r="E30" s="12"/>
      <c r="F30" s="64"/>
      <c r="G30" s="123"/>
      <c r="H30" s="58"/>
      <c r="I30" s="12"/>
      <c r="J30" s="12"/>
      <c r="K30" s="12"/>
      <c r="L30" s="12"/>
      <c r="M30" s="12"/>
      <c r="N30" s="12"/>
      <c r="P30" s="11">
        <v>16</v>
      </c>
      <c r="Q30" s="11">
        <f t="shared" si="13"/>
        <v>2</v>
      </c>
      <c r="R30" s="11">
        <f t="shared" si="14"/>
        <v>4</v>
      </c>
      <c r="S30" s="12" t="str" cm="1">
        <f t="array" ref="S30">INDEX('PatientFollowUp-ConceptMap-2'!$I$15:$N$124,Q30+1,R30)</f>
        <v>//-- unmatched</v>
      </c>
    </row>
    <row r="31" spans="1:19">
      <c r="B31" s="11"/>
      <c r="C31" s="11"/>
      <c r="D31" s="12"/>
      <c r="E31" s="12"/>
      <c r="F31" s="64"/>
      <c r="G31" s="123"/>
      <c r="H31" s="58"/>
      <c r="I31" s="12"/>
      <c r="J31" s="12"/>
      <c r="K31" s="12"/>
      <c r="L31" s="12"/>
      <c r="M31" s="12"/>
      <c r="N31" s="12"/>
      <c r="P31" s="11">
        <v>17</v>
      </c>
      <c r="Q31" s="11">
        <f t="shared" si="13"/>
        <v>2</v>
      </c>
      <c r="R31" s="11">
        <f t="shared" si="14"/>
        <v>5</v>
      </c>
      <c r="S31" s="12" t="str" cm="1">
        <f t="array" ref="S31">INDEX('PatientFollowUp-ConceptMap-2'!$I$15:$N$124,Q31+1,R31)</f>
        <v>* group[=].element[=].target.equivalence = #unmatched</v>
      </c>
    </row>
    <row r="32" spans="1:19">
      <c r="B32" s="11"/>
      <c r="C32" s="11"/>
      <c r="D32" s="12"/>
      <c r="E32" s="12"/>
      <c r="F32" s="64"/>
      <c r="G32" s="123"/>
      <c r="H32" s="58"/>
      <c r="I32" s="12"/>
      <c r="J32" s="12"/>
      <c r="K32" s="12"/>
      <c r="L32" s="12"/>
      <c r="M32" s="12"/>
      <c r="N32" s="12"/>
      <c r="P32" s="11">
        <v>18</v>
      </c>
      <c r="Q32" s="11">
        <f t="shared" si="13"/>
        <v>2</v>
      </c>
      <c r="R32" s="11">
        <f t="shared" si="14"/>
        <v>6</v>
      </c>
      <c r="S32" s="12" t="str" cm="1">
        <f t="array" ref="S32">INDEX('PatientFollowUp-ConceptMap-2'!$I$15:$N$124,Q32+1,R32)</f>
        <v/>
      </c>
    </row>
    <row r="33" spans="1:19">
      <c r="B33" s="11"/>
      <c r="C33" s="11"/>
      <c r="D33" s="12"/>
      <c r="E33" s="12"/>
      <c r="F33" s="64"/>
      <c r="G33" s="123"/>
      <c r="H33" s="58"/>
      <c r="I33" s="12"/>
      <c r="J33" s="12"/>
      <c r="K33" s="12"/>
      <c r="L33" s="12"/>
      <c r="M33" s="12"/>
      <c r="N33" s="12"/>
      <c r="P33" s="11">
        <v>19</v>
      </c>
      <c r="Q33" s="11">
        <f t="shared" si="13"/>
        <v>3</v>
      </c>
      <c r="R33" s="11">
        <f t="shared" si="14"/>
        <v>1</v>
      </c>
      <c r="S33" s="12" t="str" cm="1">
        <f t="array" ref="S33">INDEX('PatientFollowUp-ConceptMap-2'!$I$15:$N$124,Q33+1,R33)</f>
        <v>* group[=].element[+].code = #PatientFollowUpI4rc.newCancerDiagnosis</v>
      </c>
    </row>
    <row r="34" spans="1:19">
      <c r="B34" s="11"/>
      <c r="C34" s="11"/>
      <c r="D34" s="12"/>
      <c r="E34" s="12"/>
      <c r="F34" s="64"/>
      <c r="G34" s="123"/>
      <c r="H34" s="58"/>
      <c r="I34" s="12"/>
      <c r="J34" s="12"/>
      <c r="K34" s="12"/>
      <c r="L34" s="12"/>
      <c r="M34" s="12"/>
      <c r="N34" s="12"/>
      <c r="P34" s="11">
        <v>20</v>
      </c>
      <c r="Q34" s="11">
        <f t="shared" si="13"/>
        <v>3</v>
      </c>
      <c r="R34" s="11">
        <f t="shared" si="14"/>
        <v>2</v>
      </c>
      <c r="S34" s="12" t="str" cm="1">
        <f t="array" ref="S34">INDEX('PatientFollowUp-ConceptMap-2'!$I$15:$N$124,Q34+1,R34)</f>
        <v>* group[=].element[=].display = ##34#New cancer diagnosis##34#</v>
      </c>
    </row>
    <row r="35" spans="1:19" ht="29.5">
      <c r="B35" s="11"/>
      <c r="C35" s="11"/>
      <c r="D35" s="12"/>
      <c r="E35" s="12"/>
      <c r="F35" s="64"/>
      <c r="G35" s="123"/>
      <c r="H35" s="58"/>
      <c r="I35" s="12"/>
      <c r="J35" s="12"/>
      <c r="K35" s="12"/>
      <c r="L35" s="12"/>
      <c r="M35" s="12"/>
      <c r="N35" s="12"/>
      <c r="P35" s="11">
        <v>21</v>
      </c>
      <c r="Q35" s="11">
        <f t="shared" si="13"/>
        <v>3</v>
      </c>
      <c r="R35" s="11">
        <f t="shared" si="14"/>
        <v>3</v>
      </c>
      <c r="S35" s="12" t="str" cm="1">
        <f t="array" ref="S35">INDEX('PatientFollowUp-ConceptMap-2'!$I$15:$N$124,Q35+1,R35)</f>
        <v>* group[=].element[=].target.code = #Encounter.extension:condition-occurredFollowing</v>
      </c>
    </row>
    <row r="36" spans="1:19">
      <c r="B36" s="11"/>
      <c r="C36" s="11"/>
      <c r="D36" s="12"/>
      <c r="E36" s="12"/>
      <c r="F36" s="64"/>
      <c r="G36" s="123"/>
      <c r="H36" s="58"/>
      <c r="I36" s="12"/>
      <c r="J36" s="12"/>
      <c r="K36" s="12"/>
      <c r="L36" s="12"/>
      <c r="M36" s="12"/>
      <c r="N36" s="12"/>
      <c r="P36" s="11">
        <v>22</v>
      </c>
      <c r="Q36" s="11">
        <f t="shared" si="13"/>
        <v>3</v>
      </c>
      <c r="R36" s="11">
        <f t="shared" si="14"/>
        <v>4</v>
      </c>
      <c r="S36" s="12" t="str" cm="1">
        <f t="array" ref="S36">INDEX('PatientFollowUp-ConceptMap-2'!$I$15:$N$124,Q36+1,R36)</f>
        <v>* group[=].element[=].target.display = ##34###34#</v>
      </c>
    </row>
    <row r="37" spans="1:19">
      <c r="B37" s="11"/>
      <c r="C37" s="11"/>
      <c r="D37" s="12"/>
      <c r="E37" s="12"/>
      <c r="F37" s="64"/>
      <c r="G37" s="123"/>
      <c r="H37" s="58"/>
      <c r="I37" s="12"/>
      <c r="J37" s="12"/>
      <c r="K37" s="12"/>
      <c r="L37" s="12"/>
      <c r="M37" s="12"/>
      <c r="N37" s="12"/>
      <c r="P37" s="11">
        <v>23</v>
      </c>
      <c r="Q37" s="11">
        <f t="shared" si="13"/>
        <v>3</v>
      </c>
      <c r="R37" s="11">
        <f t="shared" si="14"/>
        <v>5</v>
      </c>
      <c r="S37" s="12" t="str" cm="1">
        <f t="array" ref="S37">INDEX('PatientFollowUp-ConceptMap-2'!$I$15:$N$124,Q37+1,R37)</f>
        <v>* group[=].element[=].target.equivalence = #relatedto</v>
      </c>
    </row>
    <row r="38" spans="1:19" ht="14.75" customHeight="1">
      <c r="B38" s="11"/>
      <c r="C38" s="11"/>
      <c r="D38" s="12"/>
      <c r="E38" s="12"/>
      <c r="F38" s="64"/>
      <c r="G38" s="123"/>
      <c r="H38" s="58"/>
      <c r="I38" s="12"/>
      <c r="J38" s="12"/>
      <c r="K38" s="12"/>
      <c r="L38" s="12"/>
      <c r="M38" s="12"/>
      <c r="N38" s="12"/>
      <c r="P38" s="11">
        <v>24</v>
      </c>
      <c r="Q38" s="11">
        <f t="shared" si="13"/>
        <v>3</v>
      </c>
      <c r="R38" s="11">
        <f t="shared" si="14"/>
        <v>6</v>
      </c>
      <c r="S38" s="12" t="str" cm="1">
        <f t="array" ref="S38">INDEX('PatientFollowUp-ConceptMap-2'!$I$15:$N$124,Q38+1,R38)</f>
        <v>* group[=].element[=].target.comment = ##34#If  extension:condition-occurredFollowing exists, this is a new primary cancer diagnosis identified during a follow up##34#</v>
      </c>
    </row>
    <row r="39" spans="1:19">
      <c r="B39" s="11"/>
      <c r="C39" s="11"/>
      <c r="D39" s="12"/>
      <c r="E39" s="12"/>
      <c r="F39" s="64"/>
      <c r="G39" s="123"/>
      <c r="H39" s="58"/>
      <c r="I39" s="12"/>
      <c r="J39" s="12"/>
      <c r="K39" s="12"/>
      <c r="L39" s="12"/>
      <c r="M39" s="12"/>
      <c r="N39" s="12"/>
      <c r="P39" s="11">
        <v>25</v>
      </c>
      <c r="Q39" s="11">
        <f t="shared" si="13"/>
        <v>4</v>
      </c>
      <c r="R39" s="11">
        <f t="shared" si="14"/>
        <v>1</v>
      </c>
      <c r="S39" s="12" t="str" cm="1">
        <f t="array" ref="S39">INDEX('PatientFollowUp-ConceptMap-2'!$I$15:$N$124,Q39+1,R39)</f>
        <v>* group[=].element[+].code = #PatientFollowUpI4rc.dateOfNewCancerDiagnosis</v>
      </c>
    </row>
    <row r="40" spans="1:19" s="2" customFormat="1">
      <c r="A40"/>
      <c r="B40" s="11"/>
      <c r="C40" s="11"/>
      <c r="D40" s="12"/>
      <c r="E40" s="12"/>
      <c r="F40" s="64"/>
      <c r="G40" s="123"/>
      <c r="H40" s="58"/>
      <c r="I40" s="12"/>
      <c r="J40" s="12"/>
      <c r="K40" s="12"/>
      <c r="L40" s="12"/>
      <c r="M40" s="12"/>
      <c r="N40" s="12"/>
      <c r="P40" s="11">
        <v>26</v>
      </c>
      <c r="Q40" s="11">
        <f t="shared" si="13"/>
        <v>4</v>
      </c>
      <c r="R40" s="11">
        <f t="shared" si="14"/>
        <v>2</v>
      </c>
      <c r="S40" s="12" t="str" cm="1">
        <f t="array" ref="S40">INDEX('PatientFollowUp-ConceptMap-2'!$I$15:$N$124,Q40+1,R40)</f>
        <v>* group[=].element[=].display = ##34#Date of new cancer diagnosis##34#</v>
      </c>
    </row>
    <row r="41" spans="1:19" s="2" customFormat="1">
      <c r="A41"/>
      <c r="B41" s="11"/>
      <c r="C41" s="11"/>
      <c r="D41" s="12"/>
      <c r="E41" s="12"/>
      <c r="F41" s="64"/>
      <c r="G41" s="123"/>
      <c r="H41" s="58"/>
      <c r="I41" s="12"/>
      <c r="J41" s="12"/>
      <c r="K41" s="12"/>
      <c r="L41" s="12"/>
      <c r="M41" s="12"/>
      <c r="N41" s="12"/>
      <c r="P41" s="11">
        <v>27</v>
      </c>
      <c r="Q41" s="11">
        <f t="shared" si="13"/>
        <v>4</v>
      </c>
      <c r="R41" s="11">
        <f t="shared" si="14"/>
        <v>3</v>
      </c>
      <c r="S41" s="12" t="str" cm="1">
        <f t="array" ref="S41">INDEX('PatientFollowUp-ConceptMap-2'!$I$15:$N$124,Q41+1,R41)</f>
        <v>* group[=].element[=].target.code = #Encounter.extension:assertedDate</v>
      </c>
    </row>
    <row r="42" spans="1:19" s="2" customFormat="1">
      <c r="A42"/>
      <c r="B42" s="11"/>
      <c r="C42" s="11"/>
      <c r="D42" s="12"/>
      <c r="E42" s="12"/>
      <c r="F42" s="64"/>
      <c r="G42" s="123"/>
      <c r="H42" s="58"/>
      <c r="J42"/>
      <c r="K42" s="58"/>
      <c r="L42" s="58"/>
      <c r="M42" s="66"/>
      <c r="N42" s="66"/>
      <c r="P42" s="11">
        <v>28</v>
      </c>
      <c r="Q42" s="11">
        <f t="shared" si="13"/>
        <v>4</v>
      </c>
      <c r="R42" s="11">
        <f t="shared" si="14"/>
        <v>4</v>
      </c>
      <c r="S42" s="12" t="str" cm="1">
        <f t="array" ref="S42">INDEX('PatientFollowUp-ConceptMap-2'!$I$15:$N$124,Q42+1,R42)</f>
        <v>* group[=].element[=].target.display = ##34###34#</v>
      </c>
    </row>
    <row r="43" spans="1:19" s="2" customFormat="1">
      <c r="A43"/>
      <c r="B43" s="11"/>
      <c r="C43" s="11"/>
      <c r="D43" s="12"/>
      <c r="E43" s="12"/>
      <c r="F43" s="64"/>
      <c r="G43" s="123"/>
      <c r="H43" s="58"/>
      <c r="J43" s="58"/>
      <c r="K43" s="58"/>
      <c r="L43" s="58"/>
      <c r="M43" s="66"/>
      <c r="N43" s="66"/>
      <c r="P43" s="11">
        <v>29</v>
      </c>
      <c r="Q43" s="11">
        <f t="shared" si="13"/>
        <v>4</v>
      </c>
      <c r="R43" s="11">
        <f t="shared" si="14"/>
        <v>5</v>
      </c>
      <c r="S43" s="12" t="str" cm="1">
        <f t="array" ref="S43">INDEX('PatientFollowUp-ConceptMap-2'!$I$15:$N$124,Q43+1,R43)</f>
        <v>* group[=].element[=].target.equivalence = #relatedto</v>
      </c>
    </row>
    <row r="44" spans="1:19" s="2" customFormat="1">
      <c r="A44"/>
      <c r="B44" s="11"/>
      <c r="C44" s="11"/>
      <c r="D44" s="12"/>
      <c r="E44" s="12"/>
      <c r="F44" s="64"/>
      <c r="G44" s="123"/>
      <c r="H44" s="58"/>
      <c r="J44" s="58"/>
      <c r="K44" s="58"/>
      <c r="L44" s="58"/>
      <c r="M44" s="66"/>
      <c r="N44" s="66"/>
      <c r="P44" s="11">
        <v>30</v>
      </c>
      <c r="Q44" s="11">
        <f t="shared" si="13"/>
        <v>4</v>
      </c>
      <c r="R44" s="11">
        <f t="shared" si="14"/>
        <v>6</v>
      </c>
      <c r="S44" s="12" t="str" cm="1">
        <f t="array" ref="S44">INDEX('PatientFollowUp-ConceptMap-2'!$I$15:$N$124,Q44+1,R44)</f>
        <v>* group[=].element[=].target.comment = ##34#to be checked##34#</v>
      </c>
    </row>
    <row r="45" spans="1:19">
      <c r="B45" s="11"/>
      <c r="C45" s="11"/>
      <c r="D45" s="12"/>
      <c r="E45" s="12"/>
      <c r="F45" s="64"/>
      <c r="G45" s="123"/>
      <c r="P45" s="11">
        <v>31</v>
      </c>
      <c r="Q45" s="11">
        <f t="shared" si="13"/>
        <v>5</v>
      </c>
      <c r="R45" s="11">
        <f t="shared" si="14"/>
        <v>1</v>
      </c>
      <c r="S45" s="12" t="str" cm="1">
        <f t="array" ref="S45">INDEX('PatientFollowUp-ConceptMap-2'!$I$15:$N$124,Q45+1,R45)</f>
        <v>* group[=].element[+].code = #PatientFollowUpI4rc.newCancerTopography</v>
      </c>
    </row>
    <row r="46" spans="1:19">
      <c r="B46" s="11"/>
      <c r="C46" s="11"/>
      <c r="D46" s="12"/>
      <c r="E46" s="12"/>
      <c r="F46" s="64"/>
      <c r="G46" s="123"/>
      <c r="P46" s="11">
        <v>32</v>
      </c>
      <c r="Q46" s="11">
        <f t="shared" si="13"/>
        <v>5</v>
      </c>
      <c r="R46" s="11">
        <f t="shared" si="14"/>
        <v>2</v>
      </c>
      <c r="S46" s="12" t="str" cm="1">
        <f t="array" ref="S46">INDEX('PatientFollowUp-ConceptMap-2'!$I$15:$N$124,Q46+1,R46)</f>
        <v>* group[=].element[=].display = ##34#New cancer topography##34#</v>
      </c>
    </row>
    <row r="47" spans="1:19">
      <c r="B47" s="11"/>
      <c r="C47" s="11"/>
      <c r="D47" s="12"/>
      <c r="E47" s="12"/>
      <c r="F47" s="64"/>
      <c r="G47" s="123"/>
      <c r="P47" s="11">
        <v>33</v>
      </c>
      <c r="Q47" s="11">
        <f t="shared" si="13"/>
        <v>5</v>
      </c>
      <c r="R47" s="11">
        <f t="shared" si="14"/>
        <v>3</v>
      </c>
      <c r="S47" s="12" t="str" cm="1">
        <f t="array" ref="S47">INDEX('PatientFollowUp-ConceptMap-2'!$I$15:$N$124,Q47+1,R47)</f>
        <v>* group[=].element[=].target.code = #Encounter.bodySite</v>
      </c>
    </row>
    <row r="48" spans="1:19">
      <c r="B48" s="11"/>
      <c r="C48" s="11"/>
      <c r="D48" s="12"/>
      <c r="E48" s="12"/>
      <c r="F48" s="64"/>
      <c r="G48" s="123"/>
      <c r="P48" s="11">
        <v>34</v>
      </c>
      <c r="Q48" s="11">
        <f t="shared" si="13"/>
        <v>5</v>
      </c>
      <c r="R48" s="11">
        <f t="shared" si="14"/>
        <v>4</v>
      </c>
      <c r="S48" s="12" t="str" cm="1">
        <f t="array" ref="S48">INDEX('PatientFollowUp-ConceptMap-2'!$I$15:$N$124,Q48+1,R48)</f>
        <v>* group[=].element[=].target.display = ##34###34#</v>
      </c>
    </row>
    <row r="49" spans="2:19">
      <c r="B49" s="11"/>
      <c r="C49" s="11"/>
      <c r="D49" s="12"/>
      <c r="E49" s="12"/>
      <c r="F49" s="64"/>
      <c r="G49" s="123"/>
      <c r="P49" s="11">
        <v>35</v>
      </c>
      <c r="Q49" s="11">
        <f t="shared" si="13"/>
        <v>5</v>
      </c>
      <c r="R49" s="11">
        <f t="shared" si="14"/>
        <v>5</v>
      </c>
      <c r="S49" s="12" t="str" cm="1">
        <f t="array" ref="S49">INDEX('PatientFollowUp-ConceptMap-2'!$I$15:$N$124,Q49+1,R49)</f>
        <v>* group[=].element[=].target.equivalence = #relatedto</v>
      </c>
    </row>
    <row r="50" spans="2:19">
      <c r="B50" s="11"/>
      <c r="C50" s="11"/>
      <c r="D50" s="12"/>
      <c r="E50" s="12"/>
      <c r="F50" s="64"/>
      <c r="G50" s="123"/>
      <c r="P50" s="11">
        <v>36</v>
      </c>
      <c r="Q50" s="11">
        <f t="shared" si="13"/>
        <v>5</v>
      </c>
      <c r="R50" s="11">
        <f t="shared" si="14"/>
        <v>6</v>
      </c>
      <c r="S50" s="12" t="str" cm="1">
        <f t="array" ref="S50">INDEX('PatientFollowUp-ConceptMap-2'!$I$15:$N$124,Q50+1,R50)</f>
        <v>* group[=].element[=].target.comment = ##34#to be checked##34#</v>
      </c>
    </row>
    <row r="51" spans="2:19">
      <c r="B51" s="11"/>
      <c r="C51" s="11"/>
      <c r="D51" s="12"/>
      <c r="E51" s="12"/>
      <c r="F51" s="64"/>
      <c r="G51" s="123"/>
      <c r="P51" s="11">
        <v>37</v>
      </c>
      <c r="Q51" s="11">
        <f t="shared" si="13"/>
        <v>6</v>
      </c>
      <c r="R51" s="11">
        <f t="shared" si="14"/>
        <v>1</v>
      </c>
      <c r="S51" s="12" cm="1">
        <f t="array" ref="S51">INDEX('PatientFollowUp-ConceptMap-2'!$I$15:$N$124,Q51+1,R51)</f>
        <v>0</v>
      </c>
    </row>
    <row r="52" spans="2:19">
      <c r="B52" s="11"/>
      <c r="C52" s="11"/>
      <c r="D52" s="12"/>
      <c r="E52" s="12"/>
      <c r="F52" s="64"/>
      <c r="G52" s="123"/>
      <c r="P52" s="11">
        <v>38</v>
      </c>
      <c r="Q52" s="11">
        <f t="shared" si="13"/>
        <v>6</v>
      </c>
      <c r="R52" s="11">
        <f t="shared" si="14"/>
        <v>2</v>
      </c>
      <c r="S52" s="12" cm="1">
        <f t="array" ref="S52">INDEX('PatientFollowUp-ConceptMap-2'!$I$15:$N$124,Q52+1,R52)</f>
        <v>0</v>
      </c>
    </row>
    <row r="53" spans="2:19">
      <c r="B53" s="11"/>
      <c r="C53" s="11"/>
      <c r="D53" s="12"/>
      <c r="E53" s="12"/>
      <c r="F53" s="64"/>
      <c r="G53" s="123"/>
      <c r="P53" s="11">
        <v>39</v>
      </c>
      <c r="Q53" s="11">
        <f t="shared" si="13"/>
        <v>6</v>
      </c>
      <c r="R53" s="11">
        <f t="shared" si="14"/>
        <v>3</v>
      </c>
      <c r="S53" s="12" cm="1">
        <f t="array" ref="S53">INDEX('PatientFollowUp-ConceptMap-2'!$I$15:$N$124,Q53+1,R53)</f>
        <v>0</v>
      </c>
    </row>
    <row r="54" spans="2:19">
      <c r="B54" s="11"/>
      <c r="C54" s="11"/>
      <c r="D54" s="12"/>
      <c r="E54" s="12"/>
      <c r="F54" s="64"/>
      <c r="G54" s="123"/>
      <c r="P54" s="11">
        <v>40</v>
      </c>
      <c r="Q54" s="11">
        <f t="shared" si="13"/>
        <v>6</v>
      </c>
      <c r="R54" s="11">
        <f t="shared" si="14"/>
        <v>4</v>
      </c>
      <c r="S54" s="12" cm="1">
        <f t="array" ref="S54">INDEX('PatientFollowUp-ConceptMap-2'!$I$15:$N$124,Q54+1,R54)</f>
        <v>0</v>
      </c>
    </row>
    <row r="55" spans="2:19">
      <c r="B55" s="11"/>
      <c r="C55" s="11"/>
      <c r="D55" s="12"/>
      <c r="E55" s="12"/>
      <c r="F55" s="64"/>
      <c r="G55" s="123"/>
      <c r="P55" s="11">
        <v>41</v>
      </c>
      <c r="Q55" s="11">
        <f t="shared" si="13"/>
        <v>6</v>
      </c>
      <c r="R55" s="11">
        <f t="shared" si="14"/>
        <v>5</v>
      </c>
      <c r="S55" s="12" cm="1">
        <f t="array" ref="S55">INDEX('PatientFollowUp-ConceptMap-2'!$I$15:$N$124,Q55+1,R55)</f>
        <v>0</v>
      </c>
    </row>
    <row r="56" spans="2:19">
      <c r="B56" s="11"/>
      <c r="C56" s="11"/>
      <c r="D56" s="12"/>
      <c r="E56" s="12"/>
      <c r="F56" s="64"/>
      <c r="G56" s="123"/>
      <c r="P56" s="11">
        <v>42</v>
      </c>
      <c r="Q56" s="11">
        <f t="shared" si="13"/>
        <v>6</v>
      </c>
      <c r="R56" s="11">
        <f t="shared" si="14"/>
        <v>6</v>
      </c>
      <c r="S56" s="12" cm="1">
        <f t="array" ref="S56">INDEX('PatientFollowUp-ConceptMap-2'!$I$15:$N$124,Q56+1,R56)</f>
        <v>0</v>
      </c>
    </row>
    <row r="57" spans="2:19">
      <c r="B57" s="11"/>
      <c r="C57" s="11"/>
      <c r="D57" s="12"/>
      <c r="E57" s="12"/>
      <c r="F57" s="64"/>
      <c r="G57" s="123"/>
      <c r="P57" s="11">
        <v>43</v>
      </c>
      <c r="Q57" s="11">
        <f t="shared" si="13"/>
        <v>7</v>
      </c>
      <c r="R57" s="11">
        <f t="shared" si="14"/>
        <v>1</v>
      </c>
      <c r="S57" s="12" cm="1">
        <f t="array" ref="S57">INDEX('PatientFollowUp-ConceptMap-2'!$I$15:$N$124,Q57+1,R57)</f>
        <v>0</v>
      </c>
    </row>
    <row r="58" spans="2:19">
      <c r="B58" s="11"/>
      <c r="C58" s="11"/>
      <c r="D58" s="12"/>
      <c r="E58" s="12"/>
      <c r="F58" s="64"/>
      <c r="G58" s="123"/>
      <c r="P58" s="11">
        <v>44</v>
      </c>
      <c r="Q58" s="11">
        <f t="shared" si="13"/>
        <v>7</v>
      </c>
      <c r="R58" s="11">
        <f t="shared" si="14"/>
        <v>2</v>
      </c>
      <c r="S58" s="12" cm="1">
        <f t="array" ref="S58">INDEX('PatientFollowUp-ConceptMap-2'!$I$15:$N$124,Q58+1,R58)</f>
        <v>0</v>
      </c>
    </row>
    <row r="59" spans="2:19">
      <c r="B59" s="11"/>
      <c r="C59" s="11"/>
      <c r="D59" s="12"/>
      <c r="E59" s="12"/>
      <c r="F59" s="64"/>
      <c r="G59" s="123"/>
      <c r="P59" s="11">
        <v>45</v>
      </c>
      <c r="Q59" s="11">
        <f t="shared" si="13"/>
        <v>7</v>
      </c>
      <c r="R59" s="11">
        <f t="shared" si="14"/>
        <v>3</v>
      </c>
      <c r="S59" s="12" cm="1">
        <f t="array" ref="S59">INDEX('PatientFollowUp-ConceptMap-2'!$I$15:$N$124,Q59+1,R59)</f>
        <v>0</v>
      </c>
    </row>
    <row r="60" spans="2:19">
      <c r="B60" s="11"/>
      <c r="C60" s="11"/>
      <c r="D60" s="12"/>
      <c r="E60" s="12"/>
      <c r="F60" s="64"/>
      <c r="G60" s="123"/>
      <c r="P60" s="11">
        <v>46</v>
      </c>
      <c r="Q60" s="11">
        <f t="shared" si="13"/>
        <v>7</v>
      </c>
      <c r="R60" s="11">
        <f t="shared" si="14"/>
        <v>4</v>
      </c>
      <c r="S60" s="12" cm="1">
        <f t="array" ref="S60">INDEX('PatientFollowUp-ConceptMap-2'!$I$15:$N$124,Q60+1,R60)</f>
        <v>0</v>
      </c>
    </row>
    <row r="61" spans="2:19">
      <c r="B61" s="11"/>
      <c r="C61" s="11"/>
      <c r="D61" s="12"/>
      <c r="E61" s="12"/>
      <c r="F61" s="64"/>
      <c r="G61" s="123"/>
      <c r="P61" s="11">
        <v>47</v>
      </c>
      <c r="Q61" s="11">
        <f t="shared" si="13"/>
        <v>7</v>
      </c>
      <c r="R61" s="11">
        <f t="shared" si="14"/>
        <v>5</v>
      </c>
      <c r="S61" s="12" cm="1">
        <f t="array" ref="S61">INDEX('PatientFollowUp-ConceptMap-2'!$I$15:$N$124,Q61+1,R61)</f>
        <v>0</v>
      </c>
    </row>
    <row r="62" spans="2:19">
      <c r="B62" s="11"/>
      <c r="C62" s="11"/>
      <c r="D62" s="12"/>
      <c r="E62" s="12"/>
      <c r="F62" s="64"/>
      <c r="G62" s="123"/>
      <c r="P62" s="11">
        <v>48</v>
      </c>
      <c r="Q62" s="11">
        <f t="shared" si="13"/>
        <v>7</v>
      </c>
      <c r="R62" s="11">
        <f t="shared" si="14"/>
        <v>6</v>
      </c>
      <c r="S62" s="12" cm="1">
        <f t="array" ref="S62">INDEX('PatientFollowUp-ConceptMap-2'!$I$15:$N$124,Q62+1,R62)</f>
        <v>0</v>
      </c>
    </row>
    <row r="63" spans="2:19">
      <c r="B63" s="11"/>
      <c r="C63" s="11"/>
      <c r="D63" s="12"/>
      <c r="E63" s="12"/>
      <c r="F63" s="64"/>
      <c r="G63" s="123"/>
      <c r="P63" s="11">
        <v>49</v>
      </c>
      <c r="Q63" s="11">
        <f t="shared" si="13"/>
        <v>8</v>
      </c>
      <c r="R63" s="11">
        <f t="shared" si="14"/>
        <v>1</v>
      </c>
      <c r="S63" s="12" cm="1">
        <f t="array" ref="S63">INDEX('PatientFollowUp-ConceptMap-2'!$I$15:$N$124,Q63+1,R63)</f>
        <v>0</v>
      </c>
    </row>
    <row r="64" spans="2:19">
      <c r="B64" s="11"/>
      <c r="C64" s="11"/>
      <c r="D64" s="12"/>
      <c r="E64" s="12"/>
      <c r="F64" s="64"/>
      <c r="G64" s="123"/>
      <c r="P64" s="11">
        <v>50</v>
      </c>
      <c r="Q64" s="11">
        <f t="shared" si="13"/>
        <v>8</v>
      </c>
      <c r="R64" s="11">
        <f t="shared" si="14"/>
        <v>2</v>
      </c>
      <c r="S64" s="12" cm="1">
        <f t="array" ref="S64">INDEX('PatientFollowUp-ConceptMap-2'!$I$15:$N$124,Q64+1,R64)</f>
        <v>0</v>
      </c>
    </row>
    <row r="65" spans="2:19">
      <c r="B65" s="11"/>
      <c r="C65" s="11"/>
      <c r="D65" s="12"/>
      <c r="E65" s="12"/>
      <c r="F65" s="64"/>
      <c r="G65" s="123"/>
      <c r="P65" s="11">
        <v>51</v>
      </c>
      <c r="Q65" s="11">
        <f t="shared" si="13"/>
        <v>8</v>
      </c>
      <c r="R65" s="11">
        <f t="shared" si="14"/>
        <v>3</v>
      </c>
      <c r="S65" s="12" cm="1">
        <f t="array" ref="S65">INDEX('PatientFollowUp-ConceptMap-2'!$I$15:$N$124,Q65+1,R65)</f>
        <v>0</v>
      </c>
    </row>
    <row r="66" spans="2:19">
      <c r="B66" s="11"/>
      <c r="C66" s="11"/>
      <c r="D66" s="12"/>
      <c r="E66" s="12"/>
      <c r="F66" s="64"/>
      <c r="G66" s="123"/>
      <c r="P66" s="11">
        <v>52</v>
      </c>
      <c r="Q66" s="11">
        <f t="shared" si="13"/>
        <v>8</v>
      </c>
      <c r="R66" s="11">
        <f t="shared" si="14"/>
        <v>4</v>
      </c>
      <c r="S66" s="12" cm="1">
        <f t="array" ref="S66">INDEX('PatientFollowUp-ConceptMap-2'!$I$15:$N$124,Q66+1,R66)</f>
        <v>0</v>
      </c>
    </row>
    <row r="67" spans="2:19">
      <c r="B67" s="11"/>
      <c r="C67" s="11"/>
      <c r="D67" s="12"/>
      <c r="E67" s="12"/>
      <c r="F67" s="64"/>
      <c r="G67" s="123"/>
      <c r="P67" s="11">
        <v>53</v>
      </c>
      <c r="Q67" s="11">
        <f t="shared" si="13"/>
        <v>8</v>
      </c>
      <c r="R67" s="11">
        <f t="shared" si="14"/>
        <v>5</v>
      </c>
      <c r="S67" s="12" cm="1">
        <f t="array" ref="S67">INDEX('PatientFollowUp-ConceptMap-2'!$I$15:$N$124,Q67+1,R67)</f>
        <v>0</v>
      </c>
    </row>
    <row r="68" spans="2:19">
      <c r="B68" s="11"/>
      <c r="C68" s="11"/>
      <c r="D68" s="12"/>
      <c r="E68" s="12"/>
      <c r="F68" s="64"/>
      <c r="G68" s="123"/>
      <c r="P68" s="11">
        <v>54</v>
      </c>
      <c r="Q68" s="11">
        <f t="shared" si="13"/>
        <v>8</v>
      </c>
      <c r="R68" s="11">
        <f t="shared" si="14"/>
        <v>6</v>
      </c>
      <c r="S68" s="12" cm="1">
        <f t="array" ref="S68">INDEX('PatientFollowUp-ConceptMap-2'!$I$15:$N$124,Q68+1,R68)</f>
        <v>0</v>
      </c>
    </row>
    <row r="69" spans="2:19">
      <c r="B69" s="11"/>
      <c r="C69" s="11"/>
      <c r="D69" s="12"/>
      <c r="E69" s="12"/>
      <c r="F69" s="64"/>
      <c r="G69" s="123"/>
      <c r="P69" s="11">
        <v>55</v>
      </c>
      <c r="Q69" s="11">
        <f t="shared" si="13"/>
        <v>9</v>
      </c>
      <c r="R69" s="11">
        <f t="shared" si="14"/>
        <v>1</v>
      </c>
      <c r="S69" s="12" cm="1">
        <f t="array" ref="S69">INDEX('PatientFollowUp-ConceptMap-2'!$I$15:$N$124,Q69+1,R69)</f>
        <v>0</v>
      </c>
    </row>
    <row r="70" spans="2:19">
      <c r="B70" s="11"/>
      <c r="C70" s="11"/>
      <c r="D70" s="12"/>
      <c r="E70" s="12"/>
      <c r="F70" s="64"/>
      <c r="G70" s="123"/>
      <c r="P70" s="11">
        <v>56</v>
      </c>
      <c r="Q70" s="11">
        <f t="shared" si="13"/>
        <v>9</v>
      </c>
      <c r="R70" s="11">
        <f t="shared" si="14"/>
        <v>2</v>
      </c>
      <c r="S70" s="12" cm="1">
        <f t="array" ref="S70">INDEX('PatientFollowUp-ConceptMap-2'!$I$15:$N$124,Q70+1,R70)</f>
        <v>0</v>
      </c>
    </row>
    <row r="71" spans="2:19">
      <c r="B71" s="11"/>
      <c r="C71" s="11"/>
      <c r="D71" s="12"/>
      <c r="E71" s="12"/>
      <c r="F71" s="64"/>
      <c r="G71" s="123"/>
      <c r="P71" s="11">
        <v>57</v>
      </c>
      <c r="Q71" s="11">
        <f t="shared" si="13"/>
        <v>9</v>
      </c>
      <c r="R71" s="11">
        <f t="shared" si="14"/>
        <v>3</v>
      </c>
      <c r="S71" s="12" cm="1">
        <f t="array" ref="S71">INDEX('PatientFollowUp-ConceptMap-2'!$I$15:$N$124,Q71+1,R71)</f>
        <v>0</v>
      </c>
    </row>
    <row r="72" spans="2:19">
      <c r="B72" s="11"/>
      <c r="C72" s="11"/>
      <c r="D72" s="12"/>
      <c r="E72" s="12"/>
      <c r="F72" s="64"/>
      <c r="G72" s="123"/>
      <c r="P72" s="11">
        <v>58</v>
      </c>
      <c r="Q72" s="11">
        <f t="shared" si="13"/>
        <v>9</v>
      </c>
      <c r="R72" s="11">
        <f t="shared" si="14"/>
        <v>4</v>
      </c>
      <c r="S72" s="12" cm="1">
        <f t="array" ref="S72">INDEX('PatientFollowUp-ConceptMap-2'!$I$15:$N$124,Q72+1,R72)</f>
        <v>0</v>
      </c>
    </row>
    <row r="73" spans="2:19">
      <c r="B73" s="11"/>
      <c r="C73" s="11"/>
      <c r="D73" s="12"/>
      <c r="E73" s="12"/>
      <c r="F73" s="64"/>
      <c r="G73" s="123"/>
      <c r="P73" s="11">
        <v>59</v>
      </c>
      <c r="Q73" s="11">
        <f t="shared" si="13"/>
        <v>9</v>
      </c>
      <c r="R73" s="11">
        <f t="shared" si="14"/>
        <v>5</v>
      </c>
      <c r="S73" s="12" cm="1">
        <f t="array" ref="S73">INDEX('PatientFollowUp-ConceptMap-2'!$I$15:$N$124,Q73+1,R73)</f>
        <v>0</v>
      </c>
    </row>
    <row r="74" spans="2:19">
      <c r="B74" s="11"/>
      <c r="C74" s="11"/>
      <c r="D74" s="12"/>
      <c r="E74" s="12"/>
      <c r="F74" s="64"/>
      <c r="G74" s="123"/>
      <c r="P74" s="11">
        <v>60</v>
      </c>
      <c r="Q74" s="11">
        <f t="shared" si="13"/>
        <v>9</v>
      </c>
      <c r="R74" s="11">
        <f t="shared" si="14"/>
        <v>6</v>
      </c>
      <c r="S74" s="12" cm="1">
        <f t="array" ref="S74">INDEX('PatientFollowUp-ConceptMap-2'!$I$15:$N$124,Q74+1,R74)</f>
        <v>0</v>
      </c>
    </row>
    <row r="75" spans="2:19">
      <c r="B75" s="11"/>
      <c r="C75" s="11"/>
      <c r="D75" s="12"/>
      <c r="E75" s="12"/>
      <c r="F75" s="64"/>
      <c r="G75" s="123"/>
      <c r="P75" s="11">
        <v>61</v>
      </c>
      <c r="Q75" s="11">
        <f t="shared" si="13"/>
        <v>10</v>
      </c>
      <c r="R75" s="11">
        <f t="shared" si="14"/>
        <v>1</v>
      </c>
      <c r="S75" s="12" cm="1">
        <f t="array" ref="S75">INDEX('PatientFollowUp-ConceptMap-2'!$I$15:$N$124,Q75+1,R75)</f>
        <v>0</v>
      </c>
    </row>
    <row r="76" spans="2:19">
      <c r="B76" s="11"/>
      <c r="C76" s="11"/>
      <c r="D76" s="12"/>
      <c r="E76" s="12"/>
      <c r="F76" s="64"/>
      <c r="G76" s="123"/>
      <c r="P76" s="11">
        <v>62</v>
      </c>
      <c r="Q76" s="11">
        <f t="shared" si="13"/>
        <v>10</v>
      </c>
      <c r="R76" s="11">
        <f t="shared" si="14"/>
        <v>2</v>
      </c>
      <c r="S76" s="12" cm="1">
        <f t="array" ref="S76">INDEX('PatientFollowUp-ConceptMap-2'!$I$15:$N$124,Q76+1,R76)</f>
        <v>0</v>
      </c>
    </row>
    <row r="77" spans="2:19">
      <c r="B77" s="11"/>
      <c r="C77" s="11"/>
      <c r="D77" s="12"/>
      <c r="E77" s="12"/>
      <c r="F77" s="64"/>
      <c r="G77" s="123"/>
      <c r="P77" s="11">
        <v>63</v>
      </c>
      <c r="Q77" s="11">
        <f t="shared" si="13"/>
        <v>10</v>
      </c>
      <c r="R77" s="11">
        <f t="shared" si="14"/>
        <v>3</v>
      </c>
      <c r="S77" s="12" cm="1">
        <f t="array" ref="S77">INDEX('PatientFollowUp-ConceptMap-2'!$I$15:$N$124,Q77+1,R77)</f>
        <v>0</v>
      </c>
    </row>
    <row r="78" spans="2:19">
      <c r="B78" s="11"/>
      <c r="C78" s="11"/>
      <c r="D78" s="12"/>
      <c r="E78" s="12"/>
      <c r="F78" s="64"/>
      <c r="G78" s="123"/>
      <c r="P78" s="11">
        <v>64</v>
      </c>
      <c r="Q78" s="11">
        <f t="shared" si="13"/>
        <v>10</v>
      </c>
      <c r="R78" s="11">
        <f t="shared" si="14"/>
        <v>4</v>
      </c>
      <c r="S78" s="12" cm="1">
        <f t="array" ref="S78">INDEX('PatientFollowUp-ConceptMap-2'!$I$15:$N$124,Q78+1,R78)</f>
        <v>0</v>
      </c>
    </row>
    <row r="79" spans="2:19">
      <c r="B79" s="11"/>
      <c r="C79" s="11"/>
      <c r="D79" s="12"/>
      <c r="E79" s="12"/>
      <c r="F79" s="64"/>
      <c r="G79" s="123"/>
      <c r="P79" s="11">
        <v>65</v>
      </c>
      <c r="Q79" s="11">
        <f t="shared" si="13"/>
        <v>10</v>
      </c>
      <c r="R79" s="11">
        <f t="shared" si="14"/>
        <v>5</v>
      </c>
      <c r="S79" s="12" cm="1">
        <f t="array" ref="S79">INDEX('PatientFollowUp-ConceptMap-2'!$I$15:$N$124,Q79+1,R79)</f>
        <v>0</v>
      </c>
    </row>
    <row r="80" spans="2:19">
      <c r="B80" s="11"/>
      <c r="C80" s="11"/>
      <c r="D80" s="12"/>
      <c r="E80" s="12"/>
      <c r="F80" s="64"/>
      <c r="G80" s="123"/>
      <c r="P80" s="11">
        <v>66</v>
      </c>
      <c r="Q80" s="11">
        <f t="shared" ref="Q80:Q143" si="15">IF(MOD(P80,$Q$8)=0,P80/$Q$8-1,INT(P80/$Q$8))</f>
        <v>10</v>
      </c>
      <c r="R80" s="11">
        <f t="shared" ref="R80:R143" si="16">IF(MOD(P80,$Q$8)=0,$Q$8,MOD(P80,$Q$8))</f>
        <v>6</v>
      </c>
      <c r="S80" s="12" cm="1">
        <f t="array" ref="S80">INDEX('PatientFollowUp-ConceptMap-2'!$I$15:$N$124,Q80+1,R80)</f>
        <v>0</v>
      </c>
    </row>
    <row r="81" spans="2:19">
      <c r="B81" s="11"/>
      <c r="C81" s="11"/>
      <c r="D81" s="12"/>
      <c r="E81" s="12"/>
      <c r="F81" s="64"/>
      <c r="G81" s="123"/>
      <c r="P81" s="11">
        <v>67</v>
      </c>
      <c r="Q81" s="11">
        <f t="shared" si="15"/>
        <v>11</v>
      </c>
      <c r="R81" s="11">
        <f t="shared" si="16"/>
        <v>1</v>
      </c>
      <c r="S81" s="12" cm="1">
        <f t="array" ref="S81">INDEX('PatientFollowUp-ConceptMap-2'!$I$15:$N$124,Q81+1,R81)</f>
        <v>0</v>
      </c>
    </row>
    <row r="82" spans="2:19">
      <c r="B82" s="11"/>
      <c r="C82" s="11"/>
      <c r="D82" s="12"/>
      <c r="E82" s="12"/>
      <c r="F82" s="64"/>
      <c r="G82" s="123"/>
      <c r="P82" s="11">
        <v>68</v>
      </c>
      <c r="Q82" s="11">
        <f t="shared" si="15"/>
        <v>11</v>
      </c>
      <c r="R82" s="11">
        <f t="shared" si="16"/>
        <v>2</v>
      </c>
      <c r="S82" s="12" cm="1">
        <f t="array" ref="S82">INDEX('PatientFollowUp-ConceptMap-2'!$I$15:$N$124,Q82+1,R82)</f>
        <v>0</v>
      </c>
    </row>
    <row r="83" spans="2:19">
      <c r="B83" s="11"/>
      <c r="C83" s="11"/>
      <c r="D83" s="12"/>
      <c r="E83" s="12"/>
      <c r="F83" s="64"/>
      <c r="G83" s="123"/>
      <c r="P83" s="11">
        <v>69</v>
      </c>
      <c r="Q83" s="11">
        <f t="shared" si="15"/>
        <v>11</v>
      </c>
      <c r="R83" s="11">
        <f t="shared" si="16"/>
        <v>3</v>
      </c>
      <c r="S83" s="12" cm="1">
        <f t="array" ref="S83">INDEX('PatientFollowUp-ConceptMap-2'!$I$15:$N$124,Q83+1,R83)</f>
        <v>0</v>
      </c>
    </row>
    <row r="84" spans="2:19">
      <c r="B84" s="11"/>
      <c r="C84" s="11"/>
      <c r="D84" s="12"/>
      <c r="E84" s="12"/>
      <c r="F84" s="64"/>
      <c r="G84" s="123"/>
      <c r="P84" s="11">
        <v>70</v>
      </c>
      <c r="Q84" s="11">
        <f t="shared" si="15"/>
        <v>11</v>
      </c>
      <c r="R84" s="11">
        <f t="shared" si="16"/>
        <v>4</v>
      </c>
      <c r="S84" s="12" cm="1">
        <f t="array" ref="S84">INDEX('PatientFollowUp-ConceptMap-2'!$I$15:$N$124,Q84+1,R84)</f>
        <v>0</v>
      </c>
    </row>
    <row r="85" spans="2:19">
      <c r="B85" s="11"/>
      <c r="C85" s="11"/>
      <c r="D85" s="12"/>
      <c r="E85" s="12"/>
      <c r="F85" s="64"/>
      <c r="G85" s="123"/>
      <c r="P85" s="11">
        <v>71</v>
      </c>
      <c r="Q85" s="11">
        <f t="shared" si="15"/>
        <v>11</v>
      </c>
      <c r="R85" s="11">
        <f t="shared" si="16"/>
        <v>5</v>
      </c>
      <c r="S85" s="12" cm="1">
        <f t="array" ref="S85">INDEX('PatientFollowUp-ConceptMap-2'!$I$15:$N$124,Q85+1,R85)</f>
        <v>0</v>
      </c>
    </row>
    <row r="86" spans="2:19">
      <c r="B86" s="11"/>
      <c r="C86" s="11"/>
      <c r="D86" s="12"/>
      <c r="E86" s="12"/>
      <c r="F86" s="64"/>
      <c r="G86" s="123"/>
      <c r="P86" s="11">
        <v>72</v>
      </c>
      <c r="Q86" s="11">
        <f t="shared" si="15"/>
        <v>11</v>
      </c>
      <c r="R86" s="11">
        <f t="shared" si="16"/>
        <v>6</v>
      </c>
      <c r="S86" s="12" cm="1">
        <f t="array" ref="S86">INDEX('PatientFollowUp-ConceptMap-2'!$I$15:$N$124,Q86+1,R86)</f>
        <v>0</v>
      </c>
    </row>
    <row r="87" spans="2:19">
      <c r="B87" s="11"/>
      <c r="C87" s="11"/>
      <c r="D87" s="12"/>
      <c r="E87" s="12"/>
      <c r="F87" s="64"/>
      <c r="G87" s="123"/>
      <c r="P87" s="11">
        <v>73</v>
      </c>
      <c r="Q87" s="11">
        <f t="shared" si="15"/>
        <v>12</v>
      </c>
      <c r="R87" s="11">
        <f t="shared" si="16"/>
        <v>1</v>
      </c>
      <c r="S87" s="12" cm="1">
        <f t="array" ref="S87">INDEX('PatientFollowUp-ConceptMap-2'!$I$15:$N$124,Q87+1,R87)</f>
        <v>0</v>
      </c>
    </row>
    <row r="88" spans="2:19">
      <c r="B88" s="11"/>
      <c r="C88" s="11"/>
      <c r="D88" s="12"/>
      <c r="E88" s="12"/>
      <c r="F88" s="64"/>
      <c r="G88" s="123"/>
      <c r="P88" s="11">
        <v>74</v>
      </c>
      <c r="Q88" s="11">
        <f t="shared" si="15"/>
        <v>12</v>
      </c>
      <c r="R88" s="11">
        <f t="shared" si="16"/>
        <v>2</v>
      </c>
      <c r="S88" s="12" cm="1">
        <f t="array" ref="S88">INDEX('PatientFollowUp-ConceptMap-2'!$I$15:$N$124,Q88+1,R88)</f>
        <v>0</v>
      </c>
    </row>
    <row r="89" spans="2:19">
      <c r="B89" s="11"/>
      <c r="C89" s="11"/>
      <c r="D89" s="12"/>
      <c r="E89" s="12"/>
      <c r="F89" s="64"/>
      <c r="G89" s="123"/>
      <c r="P89" s="11">
        <v>75</v>
      </c>
      <c r="Q89" s="11">
        <f t="shared" si="15"/>
        <v>12</v>
      </c>
      <c r="R89" s="11">
        <f t="shared" si="16"/>
        <v>3</v>
      </c>
      <c r="S89" s="12" cm="1">
        <f t="array" ref="S89">INDEX('PatientFollowUp-ConceptMap-2'!$I$15:$N$124,Q89+1,R89)</f>
        <v>0</v>
      </c>
    </row>
    <row r="90" spans="2:19">
      <c r="B90" s="11"/>
      <c r="C90" s="11"/>
      <c r="D90" s="12"/>
      <c r="E90" s="12"/>
      <c r="F90" s="64"/>
      <c r="G90" s="123"/>
      <c r="P90" s="11">
        <v>76</v>
      </c>
      <c r="Q90" s="11">
        <f t="shared" si="15"/>
        <v>12</v>
      </c>
      <c r="R90" s="11">
        <f t="shared" si="16"/>
        <v>4</v>
      </c>
      <c r="S90" s="12" cm="1">
        <f t="array" ref="S90">INDEX('PatientFollowUp-ConceptMap-2'!$I$15:$N$124,Q90+1,R90)</f>
        <v>0</v>
      </c>
    </row>
    <row r="91" spans="2:19">
      <c r="B91" s="11"/>
      <c r="C91" s="11"/>
      <c r="D91" s="12"/>
      <c r="E91" s="12"/>
      <c r="F91" s="64"/>
      <c r="G91" s="123"/>
      <c r="P91" s="11">
        <v>77</v>
      </c>
      <c r="Q91" s="11">
        <f t="shared" si="15"/>
        <v>12</v>
      </c>
      <c r="R91" s="11">
        <f t="shared" si="16"/>
        <v>5</v>
      </c>
      <c r="S91" s="12" cm="1">
        <f t="array" ref="S91">INDEX('PatientFollowUp-ConceptMap-2'!$I$15:$N$124,Q91+1,R91)</f>
        <v>0</v>
      </c>
    </row>
    <row r="92" spans="2:19">
      <c r="B92" s="11"/>
      <c r="C92" s="11"/>
      <c r="D92" s="12"/>
      <c r="E92" s="12"/>
      <c r="F92" s="64"/>
      <c r="G92" s="123"/>
      <c r="P92" s="11">
        <v>78</v>
      </c>
      <c r="Q92" s="11">
        <f t="shared" si="15"/>
        <v>12</v>
      </c>
      <c r="R92" s="11">
        <f t="shared" si="16"/>
        <v>6</v>
      </c>
      <c r="S92" s="12" cm="1">
        <f t="array" ref="S92">INDEX('PatientFollowUp-ConceptMap-2'!$I$15:$N$124,Q92+1,R92)</f>
        <v>0</v>
      </c>
    </row>
    <row r="93" spans="2:19">
      <c r="B93" s="11"/>
      <c r="C93" s="11"/>
      <c r="D93" s="12"/>
      <c r="E93" s="12"/>
      <c r="F93" s="64"/>
      <c r="G93" s="123"/>
      <c r="P93" s="11">
        <v>79</v>
      </c>
      <c r="Q93" s="11">
        <f t="shared" si="15"/>
        <v>13</v>
      </c>
      <c r="R93" s="11">
        <f t="shared" si="16"/>
        <v>1</v>
      </c>
      <c r="S93" s="12" cm="1">
        <f t="array" ref="S93">INDEX('PatientFollowUp-ConceptMap-2'!$I$15:$N$124,Q93+1,R93)</f>
        <v>0</v>
      </c>
    </row>
    <row r="94" spans="2:19">
      <c r="B94" s="11"/>
      <c r="C94" s="11"/>
      <c r="D94" s="12"/>
      <c r="E94" s="12"/>
      <c r="F94" s="64"/>
      <c r="G94" s="123"/>
      <c r="P94" s="11">
        <v>80</v>
      </c>
      <c r="Q94" s="11">
        <f t="shared" si="15"/>
        <v>13</v>
      </c>
      <c r="R94" s="11">
        <f t="shared" si="16"/>
        <v>2</v>
      </c>
      <c r="S94" s="12" cm="1">
        <f t="array" ref="S94">INDEX('PatientFollowUp-ConceptMap-2'!$I$15:$N$124,Q94+1,R94)</f>
        <v>0</v>
      </c>
    </row>
    <row r="95" spans="2:19">
      <c r="B95" s="11"/>
      <c r="C95" s="11"/>
      <c r="D95" s="12"/>
      <c r="E95" s="12"/>
      <c r="F95" s="64"/>
      <c r="G95" s="123"/>
      <c r="P95" s="11">
        <v>81</v>
      </c>
      <c r="Q95" s="11">
        <f t="shared" si="15"/>
        <v>13</v>
      </c>
      <c r="R95" s="11">
        <f t="shared" si="16"/>
        <v>3</v>
      </c>
      <c r="S95" s="12" cm="1">
        <f t="array" ref="S95">INDEX('PatientFollowUp-ConceptMap-2'!$I$15:$N$124,Q95+1,R95)</f>
        <v>0</v>
      </c>
    </row>
    <row r="96" spans="2:19">
      <c r="B96" s="11"/>
      <c r="C96" s="11"/>
      <c r="D96" s="12"/>
      <c r="E96" s="12"/>
      <c r="F96" s="64"/>
      <c r="G96" s="123"/>
      <c r="P96" s="11">
        <v>82</v>
      </c>
      <c r="Q96" s="11">
        <f t="shared" si="15"/>
        <v>13</v>
      </c>
      <c r="R96" s="11">
        <f t="shared" si="16"/>
        <v>4</v>
      </c>
      <c r="S96" s="12" cm="1">
        <f t="array" ref="S96">INDEX('PatientFollowUp-ConceptMap-2'!$I$15:$N$124,Q96+1,R96)</f>
        <v>0</v>
      </c>
    </row>
    <row r="97" spans="2:19">
      <c r="B97" s="11"/>
      <c r="C97" s="11"/>
      <c r="D97" s="12"/>
      <c r="E97" s="12"/>
      <c r="F97" s="64"/>
      <c r="G97" s="123"/>
      <c r="P97" s="11">
        <v>83</v>
      </c>
      <c r="Q97" s="11">
        <f t="shared" si="15"/>
        <v>13</v>
      </c>
      <c r="R97" s="11">
        <f t="shared" si="16"/>
        <v>5</v>
      </c>
      <c r="S97" s="12" cm="1">
        <f t="array" ref="S97">INDEX('PatientFollowUp-ConceptMap-2'!$I$15:$N$124,Q97+1,R97)</f>
        <v>0</v>
      </c>
    </row>
    <row r="98" spans="2:19">
      <c r="B98" s="11"/>
      <c r="C98" s="11"/>
      <c r="D98" s="12"/>
      <c r="E98" s="12"/>
      <c r="F98" s="64"/>
      <c r="G98" s="123"/>
      <c r="P98" s="11">
        <v>84</v>
      </c>
      <c r="Q98" s="11">
        <f t="shared" si="15"/>
        <v>13</v>
      </c>
      <c r="R98" s="11">
        <f t="shared" si="16"/>
        <v>6</v>
      </c>
      <c r="S98" s="12" cm="1">
        <f t="array" ref="S98">INDEX('PatientFollowUp-ConceptMap-2'!$I$15:$N$124,Q98+1,R98)</f>
        <v>0</v>
      </c>
    </row>
    <row r="99" spans="2:19">
      <c r="B99" s="11"/>
      <c r="C99" s="11"/>
      <c r="D99" s="12"/>
      <c r="E99" s="12"/>
      <c r="F99" s="64"/>
      <c r="G99" s="123"/>
      <c r="P99" s="11">
        <v>85</v>
      </c>
      <c r="Q99" s="11">
        <f t="shared" si="15"/>
        <v>14</v>
      </c>
      <c r="R99" s="11">
        <f t="shared" si="16"/>
        <v>1</v>
      </c>
      <c r="S99" s="12" cm="1">
        <f t="array" ref="S99">INDEX('PatientFollowUp-ConceptMap-2'!$I$15:$N$124,Q99+1,R99)</f>
        <v>0</v>
      </c>
    </row>
    <row r="100" spans="2:19">
      <c r="B100" s="11"/>
      <c r="C100" s="11"/>
      <c r="D100" s="12"/>
      <c r="E100" s="12"/>
      <c r="F100" s="64"/>
      <c r="G100" s="123"/>
      <c r="P100" s="11">
        <v>86</v>
      </c>
      <c r="Q100" s="11">
        <f t="shared" si="15"/>
        <v>14</v>
      </c>
      <c r="R100" s="11">
        <f t="shared" si="16"/>
        <v>2</v>
      </c>
      <c r="S100" s="12" cm="1">
        <f t="array" ref="S100">INDEX('PatientFollowUp-ConceptMap-2'!$I$15:$N$124,Q100+1,R100)</f>
        <v>0</v>
      </c>
    </row>
    <row r="101" spans="2:19">
      <c r="B101" s="11"/>
      <c r="C101" s="11"/>
      <c r="D101" s="12"/>
      <c r="E101" s="12"/>
      <c r="F101" s="64"/>
      <c r="G101" s="123"/>
      <c r="P101" s="11">
        <v>87</v>
      </c>
      <c r="Q101" s="11">
        <f t="shared" si="15"/>
        <v>14</v>
      </c>
      <c r="R101" s="11">
        <f t="shared" si="16"/>
        <v>3</v>
      </c>
      <c r="S101" s="12" cm="1">
        <f t="array" ref="S101">INDEX('PatientFollowUp-ConceptMap-2'!$I$15:$N$124,Q101+1,R101)</f>
        <v>0</v>
      </c>
    </row>
    <row r="102" spans="2:19">
      <c r="B102" s="11"/>
      <c r="C102" s="11"/>
      <c r="D102" s="12"/>
      <c r="E102" s="12"/>
      <c r="F102" s="64"/>
      <c r="G102" s="123"/>
      <c r="P102" s="11">
        <v>88</v>
      </c>
      <c r="Q102" s="11">
        <f t="shared" si="15"/>
        <v>14</v>
      </c>
      <c r="R102" s="11">
        <f t="shared" si="16"/>
        <v>4</v>
      </c>
      <c r="S102" s="12" cm="1">
        <f t="array" ref="S102">INDEX('PatientFollowUp-ConceptMap-2'!$I$15:$N$124,Q102+1,R102)</f>
        <v>0</v>
      </c>
    </row>
    <row r="103" spans="2:19">
      <c r="B103" s="11"/>
      <c r="C103" s="11"/>
      <c r="D103" s="12"/>
      <c r="E103" s="12"/>
      <c r="F103" s="64"/>
      <c r="G103" s="123"/>
      <c r="P103" s="11">
        <v>89</v>
      </c>
      <c r="Q103" s="11">
        <f t="shared" si="15"/>
        <v>14</v>
      </c>
      <c r="R103" s="11">
        <f t="shared" si="16"/>
        <v>5</v>
      </c>
      <c r="S103" s="12" cm="1">
        <f t="array" ref="S103">INDEX('PatientFollowUp-ConceptMap-2'!$I$15:$N$124,Q103+1,R103)</f>
        <v>0</v>
      </c>
    </row>
    <row r="104" spans="2:19">
      <c r="B104" s="11"/>
      <c r="C104" s="11"/>
      <c r="D104" s="12"/>
      <c r="E104" s="12"/>
      <c r="F104" s="64"/>
      <c r="G104" s="123"/>
      <c r="P104" s="11">
        <v>90</v>
      </c>
      <c r="Q104" s="11">
        <f t="shared" si="15"/>
        <v>14</v>
      </c>
      <c r="R104" s="11">
        <f t="shared" si="16"/>
        <v>6</v>
      </c>
      <c r="S104" s="12" cm="1">
        <f t="array" ref="S104">INDEX('PatientFollowUp-ConceptMap-2'!$I$15:$N$124,Q104+1,R104)</f>
        <v>0</v>
      </c>
    </row>
    <row r="105" spans="2:19">
      <c r="B105" s="11"/>
      <c r="C105" s="11"/>
      <c r="D105" s="12"/>
      <c r="E105" s="12"/>
      <c r="F105" s="64"/>
      <c r="G105" s="123"/>
      <c r="P105" s="11">
        <v>91</v>
      </c>
      <c r="Q105" s="11">
        <f t="shared" si="15"/>
        <v>15</v>
      </c>
      <c r="R105" s="11">
        <f t="shared" si="16"/>
        <v>1</v>
      </c>
      <c r="S105" s="12" cm="1">
        <f t="array" ref="S105">INDEX('PatientFollowUp-ConceptMap-2'!$I$15:$N$124,Q105+1,R105)</f>
        <v>0</v>
      </c>
    </row>
    <row r="106" spans="2:19">
      <c r="B106" s="11"/>
      <c r="C106" s="11"/>
      <c r="D106" s="12"/>
      <c r="E106" s="12"/>
      <c r="F106" s="64"/>
      <c r="G106" s="123"/>
      <c r="P106" s="11">
        <v>92</v>
      </c>
      <c r="Q106" s="11">
        <f t="shared" si="15"/>
        <v>15</v>
      </c>
      <c r="R106" s="11">
        <f t="shared" si="16"/>
        <v>2</v>
      </c>
      <c r="S106" s="12" cm="1">
        <f t="array" ref="S106">INDEX('PatientFollowUp-ConceptMap-2'!$I$15:$N$124,Q106+1,R106)</f>
        <v>0</v>
      </c>
    </row>
    <row r="107" spans="2:19">
      <c r="B107" s="11"/>
      <c r="C107" s="11"/>
      <c r="D107" s="12"/>
      <c r="E107" s="12"/>
      <c r="F107" s="64"/>
      <c r="G107" s="123"/>
      <c r="P107" s="11">
        <v>93</v>
      </c>
      <c r="Q107" s="11">
        <f t="shared" si="15"/>
        <v>15</v>
      </c>
      <c r="R107" s="11">
        <f t="shared" si="16"/>
        <v>3</v>
      </c>
      <c r="S107" s="12" cm="1">
        <f t="array" ref="S107">INDEX('PatientFollowUp-ConceptMap-2'!$I$15:$N$124,Q107+1,R107)</f>
        <v>0</v>
      </c>
    </row>
    <row r="108" spans="2:19">
      <c r="B108" s="11"/>
      <c r="C108" s="11"/>
      <c r="D108" s="12"/>
      <c r="E108" s="12"/>
      <c r="F108" s="64"/>
      <c r="G108" s="123"/>
      <c r="P108" s="11">
        <v>94</v>
      </c>
      <c r="Q108" s="11">
        <f t="shared" si="15"/>
        <v>15</v>
      </c>
      <c r="R108" s="11">
        <f t="shared" si="16"/>
        <v>4</v>
      </c>
      <c r="S108" s="12" cm="1">
        <f t="array" ref="S108">INDEX('PatientFollowUp-ConceptMap-2'!$I$15:$N$124,Q108+1,R108)</f>
        <v>0</v>
      </c>
    </row>
    <row r="109" spans="2:19">
      <c r="B109" s="11"/>
      <c r="C109" s="11"/>
      <c r="D109" s="12"/>
      <c r="E109" s="12"/>
      <c r="F109" s="64"/>
      <c r="G109" s="123"/>
      <c r="P109" s="11">
        <v>95</v>
      </c>
      <c r="Q109" s="11">
        <f t="shared" si="15"/>
        <v>15</v>
      </c>
      <c r="R109" s="11">
        <f t="shared" si="16"/>
        <v>5</v>
      </c>
      <c r="S109" s="12" cm="1">
        <f t="array" ref="S109">INDEX('PatientFollowUp-ConceptMap-2'!$I$15:$N$124,Q109+1,R109)</f>
        <v>0</v>
      </c>
    </row>
    <row r="110" spans="2:19">
      <c r="B110" s="11"/>
      <c r="C110" s="11"/>
      <c r="D110" s="12"/>
      <c r="E110" s="12"/>
      <c r="F110" s="64"/>
      <c r="G110" s="123"/>
      <c r="P110" s="11">
        <v>96</v>
      </c>
      <c r="Q110" s="11">
        <f t="shared" si="15"/>
        <v>15</v>
      </c>
      <c r="R110" s="11">
        <f t="shared" si="16"/>
        <v>6</v>
      </c>
      <c r="S110" s="12" cm="1">
        <f t="array" ref="S110">INDEX('PatientFollowUp-ConceptMap-2'!$I$15:$N$124,Q110+1,R110)</f>
        <v>0</v>
      </c>
    </row>
    <row r="111" spans="2:19">
      <c r="B111" s="11"/>
      <c r="C111" s="11"/>
      <c r="D111" s="12"/>
      <c r="E111" s="12"/>
      <c r="F111" s="64"/>
      <c r="G111" s="123"/>
      <c r="P111" s="11">
        <v>97</v>
      </c>
      <c r="Q111" s="11">
        <f t="shared" si="15"/>
        <v>16</v>
      </c>
      <c r="R111" s="11">
        <f t="shared" si="16"/>
        <v>1</v>
      </c>
      <c r="S111" s="12" cm="1">
        <f t="array" ref="S111">INDEX('PatientFollowUp-ConceptMap-2'!$I$15:$N$124,Q111+1,R111)</f>
        <v>0</v>
      </c>
    </row>
    <row r="112" spans="2:19">
      <c r="B112" s="11"/>
      <c r="C112" s="11"/>
      <c r="D112" s="12"/>
      <c r="E112" s="12"/>
      <c r="F112" s="64"/>
      <c r="G112" s="123"/>
      <c r="P112" s="11">
        <v>98</v>
      </c>
      <c r="Q112" s="11">
        <f t="shared" si="15"/>
        <v>16</v>
      </c>
      <c r="R112" s="11">
        <f t="shared" si="16"/>
        <v>2</v>
      </c>
      <c r="S112" s="12" cm="1">
        <f t="array" ref="S112">INDEX('PatientFollowUp-ConceptMap-2'!$I$15:$N$124,Q112+1,R112)</f>
        <v>0</v>
      </c>
    </row>
    <row r="113" spans="2:19">
      <c r="B113" s="11"/>
      <c r="C113" s="11"/>
      <c r="D113" s="12"/>
      <c r="E113" s="12"/>
      <c r="F113" s="64"/>
      <c r="G113" s="123"/>
      <c r="P113" s="11">
        <v>99</v>
      </c>
      <c r="Q113" s="11">
        <f t="shared" si="15"/>
        <v>16</v>
      </c>
      <c r="R113" s="11">
        <f t="shared" si="16"/>
        <v>3</v>
      </c>
      <c r="S113" s="12" cm="1">
        <f t="array" ref="S113">INDEX('PatientFollowUp-ConceptMap-2'!$I$15:$N$124,Q113+1,R113)</f>
        <v>0</v>
      </c>
    </row>
    <row r="114" spans="2:19">
      <c r="P114" s="11">
        <v>100</v>
      </c>
      <c r="Q114" s="11">
        <f t="shared" si="15"/>
        <v>16</v>
      </c>
      <c r="R114" s="11">
        <f t="shared" si="16"/>
        <v>4</v>
      </c>
      <c r="S114" s="12" cm="1">
        <f t="array" ref="S114">INDEX('PatientFollowUp-ConceptMap-2'!$I$15:$N$124,Q114+1,R114)</f>
        <v>0</v>
      </c>
    </row>
    <row r="115" spans="2:19">
      <c r="P115" s="11">
        <v>101</v>
      </c>
      <c r="Q115" s="11">
        <f t="shared" si="15"/>
        <v>16</v>
      </c>
      <c r="R115" s="11">
        <f t="shared" si="16"/>
        <v>5</v>
      </c>
      <c r="S115" s="12" cm="1">
        <f t="array" ref="S115">INDEX('PatientFollowUp-ConceptMap-2'!$I$15:$N$124,Q115+1,R115)</f>
        <v>0</v>
      </c>
    </row>
    <row r="116" spans="2:19">
      <c r="P116" s="11">
        <v>102</v>
      </c>
      <c r="Q116" s="11">
        <f t="shared" si="15"/>
        <v>16</v>
      </c>
      <c r="R116" s="11">
        <f t="shared" si="16"/>
        <v>6</v>
      </c>
      <c r="S116" s="12" cm="1">
        <f t="array" ref="S116">INDEX('PatientFollowUp-ConceptMap-2'!$I$15:$N$124,Q116+1,R116)</f>
        <v>0</v>
      </c>
    </row>
    <row r="117" spans="2:19">
      <c r="P117" s="11">
        <v>103</v>
      </c>
      <c r="Q117" s="11">
        <f t="shared" si="15"/>
        <v>17</v>
      </c>
      <c r="R117" s="11">
        <f t="shared" si="16"/>
        <v>1</v>
      </c>
      <c r="S117" s="12" cm="1">
        <f t="array" ref="S117">INDEX('PatientFollowUp-ConceptMap-2'!$I$15:$N$124,Q117+1,R117)</f>
        <v>0</v>
      </c>
    </row>
    <row r="118" spans="2:19">
      <c r="P118" s="11">
        <v>104</v>
      </c>
      <c r="Q118" s="11">
        <f t="shared" si="15"/>
        <v>17</v>
      </c>
      <c r="R118" s="11">
        <f t="shared" si="16"/>
        <v>2</v>
      </c>
      <c r="S118" s="12" cm="1">
        <f t="array" ref="S118">INDEX('PatientFollowUp-ConceptMap-2'!$I$15:$N$124,Q118+1,R118)</f>
        <v>0</v>
      </c>
    </row>
    <row r="119" spans="2:19">
      <c r="P119" s="11">
        <v>105</v>
      </c>
      <c r="Q119" s="11">
        <f t="shared" si="15"/>
        <v>17</v>
      </c>
      <c r="R119" s="11">
        <f t="shared" si="16"/>
        <v>3</v>
      </c>
      <c r="S119" s="12" cm="1">
        <f t="array" ref="S119">INDEX('PatientFollowUp-ConceptMap-2'!$I$15:$N$124,Q119+1,R119)</f>
        <v>0</v>
      </c>
    </row>
    <row r="120" spans="2:19">
      <c r="P120" s="11">
        <v>106</v>
      </c>
      <c r="Q120" s="11">
        <f t="shared" si="15"/>
        <v>17</v>
      </c>
      <c r="R120" s="11">
        <f t="shared" si="16"/>
        <v>4</v>
      </c>
      <c r="S120" s="12" cm="1">
        <f t="array" ref="S120">INDEX('PatientFollowUp-ConceptMap-2'!$I$15:$N$124,Q120+1,R120)</f>
        <v>0</v>
      </c>
    </row>
    <row r="121" spans="2:19">
      <c r="P121" s="11">
        <v>107</v>
      </c>
      <c r="Q121" s="11">
        <f t="shared" si="15"/>
        <v>17</v>
      </c>
      <c r="R121" s="11">
        <f t="shared" si="16"/>
        <v>5</v>
      </c>
      <c r="S121" s="12" cm="1">
        <f t="array" ref="S121">INDEX('PatientFollowUp-ConceptMap-2'!$I$15:$N$124,Q121+1,R121)</f>
        <v>0</v>
      </c>
    </row>
    <row r="122" spans="2:19">
      <c r="P122" s="11">
        <v>108</v>
      </c>
      <c r="Q122" s="11">
        <f t="shared" si="15"/>
        <v>17</v>
      </c>
      <c r="R122" s="11">
        <f t="shared" si="16"/>
        <v>6</v>
      </c>
      <c r="S122" s="12" cm="1">
        <f t="array" ref="S122">INDEX('PatientFollowUp-ConceptMap-2'!$I$15:$N$124,Q122+1,R122)</f>
        <v>0</v>
      </c>
    </row>
    <row r="123" spans="2:19">
      <c r="P123" s="11">
        <v>109</v>
      </c>
      <c r="Q123" s="11">
        <f t="shared" si="15"/>
        <v>18</v>
      </c>
      <c r="R123" s="11">
        <f t="shared" si="16"/>
        <v>1</v>
      </c>
      <c r="S123" s="12" cm="1">
        <f t="array" ref="S123">INDEX('PatientFollowUp-ConceptMap-2'!$I$15:$N$124,Q123+1,R123)</f>
        <v>0</v>
      </c>
    </row>
    <row r="124" spans="2:19">
      <c r="P124" s="11">
        <v>110</v>
      </c>
      <c r="Q124" s="11">
        <f t="shared" si="15"/>
        <v>18</v>
      </c>
      <c r="R124" s="11">
        <f t="shared" si="16"/>
        <v>2</v>
      </c>
      <c r="S124" s="12" cm="1">
        <f t="array" ref="S124">INDEX('PatientFollowUp-ConceptMap-2'!$I$15:$N$124,Q124+1,R124)</f>
        <v>0</v>
      </c>
    </row>
    <row r="125" spans="2:19">
      <c r="P125" s="11">
        <v>111</v>
      </c>
      <c r="Q125" s="11">
        <f t="shared" si="15"/>
        <v>18</v>
      </c>
      <c r="R125" s="11">
        <f t="shared" si="16"/>
        <v>3</v>
      </c>
      <c r="S125" s="12" cm="1">
        <f t="array" ref="S125">INDEX('PatientFollowUp-ConceptMap-2'!$I$15:$N$124,Q125+1,R125)</f>
        <v>0</v>
      </c>
    </row>
    <row r="126" spans="2:19">
      <c r="P126" s="11">
        <v>112</v>
      </c>
      <c r="Q126" s="11">
        <f t="shared" si="15"/>
        <v>18</v>
      </c>
      <c r="R126" s="11">
        <f t="shared" si="16"/>
        <v>4</v>
      </c>
      <c r="S126" s="12" cm="1">
        <f t="array" ref="S126">INDEX('PatientFollowUp-ConceptMap-2'!$I$15:$N$124,Q126+1,R126)</f>
        <v>0</v>
      </c>
    </row>
    <row r="127" spans="2:19">
      <c r="P127" s="11">
        <v>113</v>
      </c>
      <c r="Q127" s="11">
        <f t="shared" si="15"/>
        <v>18</v>
      </c>
      <c r="R127" s="11">
        <f t="shared" si="16"/>
        <v>5</v>
      </c>
      <c r="S127" s="12" cm="1">
        <f t="array" ref="S127">INDEX('PatientFollowUp-ConceptMap-2'!$I$15:$N$124,Q127+1,R127)</f>
        <v>0</v>
      </c>
    </row>
    <row r="128" spans="2:19">
      <c r="P128" s="11">
        <v>114</v>
      </c>
      <c r="Q128" s="11">
        <f t="shared" si="15"/>
        <v>18</v>
      </c>
      <c r="R128" s="11">
        <f t="shared" si="16"/>
        <v>6</v>
      </c>
      <c r="S128" s="12" cm="1">
        <f t="array" ref="S128">INDEX('PatientFollowUp-ConceptMap-2'!$I$15:$N$124,Q128+1,R128)</f>
        <v>0</v>
      </c>
    </row>
    <row r="129" spans="16:19">
      <c r="P129" s="11">
        <v>115</v>
      </c>
      <c r="Q129" s="11">
        <f t="shared" si="15"/>
        <v>19</v>
      </c>
      <c r="R129" s="11">
        <f t="shared" si="16"/>
        <v>1</v>
      </c>
      <c r="S129" s="12" cm="1">
        <f t="array" ref="S129">INDEX('PatientFollowUp-ConceptMap-2'!$I$15:$N$124,Q129+1,R129)</f>
        <v>0</v>
      </c>
    </row>
    <row r="130" spans="16:19">
      <c r="P130" s="11">
        <v>116</v>
      </c>
      <c r="Q130" s="11">
        <f t="shared" si="15"/>
        <v>19</v>
      </c>
      <c r="R130" s="11">
        <f t="shared" si="16"/>
        <v>2</v>
      </c>
      <c r="S130" s="12" cm="1">
        <f t="array" ref="S130">INDEX('PatientFollowUp-ConceptMap-2'!$I$15:$N$124,Q130+1,R130)</f>
        <v>0</v>
      </c>
    </row>
    <row r="131" spans="16:19">
      <c r="P131" s="11">
        <v>117</v>
      </c>
      <c r="Q131" s="11">
        <f t="shared" si="15"/>
        <v>19</v>
      </c>
      <c r="R131" s="11">
        <f t="shared" si="16"/>
        <v>3</v>
      </c>
      <c r="S131" s="12" cm="1">
        <f t="array" ref="S131">INDEX('PatientFollowUp-ConceptMap-2'!$I$15:$N$124,Q131+1,R131)</f>
        <v>0</v>
      </c>
    </row>
    <row r="132" spans="16:19">
      <c r="P132" s="11">
        <v>118</v>
      </c>
      <c r="Q132" s="11">
        <f t="shared" si="15"/>
        <v>19</v>
      </c>
      <c r="R132" s="11">
        <f t="shared" si="16"/>
        <v>4</v>
      </c>
      <c r="S132" s="12" cm="1">
        <f t="array" ref="S132">INDEX('PatientFollowUp-ConceptMap-2'!$I$15:$N$124,Q132+1,R132)</f>
        <v>0</v>
      </c>
    </row>
    <row r="133" spans="16:19">
      <c r="P133" s="11">
        <v>119</v>
      </c>
      <c r="Q133" s="11">
        <f t="shared" si="15"/>
        <v>19</v>
      </c>
      <c r="R133" s="11">
        <f t="shared" si="16"/>
        <v>5</v>
      </c>
      <c r="S133" s="12" cm="1">
        <f t="array" ref="S133">INDEX('PatientFollowUp-ConceptMap-2'!$I$15:$N$124,Q133+1,R133)</f>
        <v>0</v>
      </c>
    </row>
    <row r="134" spans="16:19">
      <c r="P134" s="11">
        <v>120</v>
      </c>
      <c r="Q134" s="11">
        <f t="shared" si="15"/>
        <v>19</v>
      </c>
      <c r="R134" s="11">
        <f t="shared" si="16"/>
        <v>6</v>
      </c>
      <c r="S134" s="12" cm="1">
        <f t="array" ref="S134">INDEX('PatientFollowUp-ConceptMap-2'!$I$15:$N$124,Q134+1,R134)</f>
        <v>0</v>
      </c>
    </row>
    <row r="135" spans="16:19">
      <c r="P135" s="11">
        <v>121</v>
      </c>
      <c r="Q135" s="11">
        <f t="shared" si="15"/>
        <v>20</v>
      </c>
      <c r="R135" s="11">
        <f t="shared" si="16"/>
        <v>1</v>
      </c>
      <c r="S135" s="12" cm="1">
        <f t="array" ref="S135">INDEX('PatientFollowUp-ConceptMap-2'!$I$15:$N$124,Q135+1,R135)</f>
        <v>0</v>
      </c>
    </row>
    <row r="136" spans="16:19">
      <c r="P136" s="11">
        <v>122</v>
      </c>
      <c r="Q136" s="11">
        <f t="shared" si="15"/>
        <v>20</v>
      </c>
      <c r="R136" s="11">
        <f t="shared" si="16"/>
        <v>2</v>
      </c>
      <c r="S136" s="12" cm="1">
        <f t="array" ref="S136">INDEX('PatientFollowUp-ConceptMap-2'!$I$15:$N$124,Q136+1,R136)</f>
        <v>0</v>
      </c>
    </row>
    <row r="137" spans="16:19">
      <c r="P137" s="11">
        <v>123</v>
      </c>
      <c r="Q137" s="11">
        <f t="shared" si="15"/>
        <v>20</v>
      </c>
      <c r="R137" s="11">
        <f t="shared" si="16"/>
        <v>3</v>
      </c>
      <c r="S137" s="12" cm="1">
        <f t="array" ref="S137">INDEX('PatientFollowUp-ConceptMap-2'!$I$15:$N$124,Q137+1,R137)</f>
        <v>0</v>
      </c>
    </row>
    <row r="138" spans="16:19">
      <c r="P138" s="11">
        <v>124</v>
      </c>
      <c r="Q138" s="11">
        <f t="shared" si="15"/>
        <v>20</v>
      </c>
      <c r="R138" s="11">
        <f t="shared" si="16"/>
        <v>4</v>
      </c>
      <c r="S138" s="12" cm="1">
        <f t="array" ref="S138">INDEX('PatientFollowUp-ConceptMap-2'!$I$15:$N$124,Q138+1,R138)</f>
        <v>0</v>
      </c>
    </row>
    <row r="139" spans="16:19">
      <c r="P139" s="11">
        <v>125</v>
      </c>
      <c r="Q139" s="11">
        <f t="shared" si="15"/>
        <v>20</v>
      </c>
      <c r="R139" s="11">
        <f t="shared" si="16"/>
        <v>5</v>
      </c>
      <c r="S139" s="12" cm="1">
        <f t="array" ref="S139">INDEX('PatientFollowUp-ConceptMap-2'!$I$15:$N$124,Q139+1,R139)</f>
        <v>0</v>
      </c>
    </row>
    <row r="140" spans="16:19">
      <c r="P140" s="11">
        <v>126</v>
      </c>
      <c r="Q140" s="11">
        <f t="shared" si="15"/>
        <v>20</v>
      </c>
      <c r="R140" s="11">
        <f t="shared" si="16"/>
        <v>6</v>
      </c>
      <c r="S140" s="12" cm="1">
        <f t="array" ref="S140">INDEX('PatientFollowUp-ConceptMap-2'!$I$15:$N$124,Q140+1,R140)</f>
        <v>0</v>
      </c>
    </row>
    <row r="141" spans="16:19">
      <c r="P141" s="11">
        <v>127</v>
      </c>
      <c r="Q141" s="11">
        <f t="shared" si="15"/>
        <v>21</v>
      </c>
      <c r="R141" s="11">
        <f t="shared" si="16"/>
        <v>1</v>
      </c>
      <c r="S141" s="12" cm="1">
        <f t="array" ref="S141">INDEX('PatientFollowUp-ConceptMap-2'!$I$15:$N$124,Q141+1,R141)</f>
        <v>0</v>
      </c>
    </row>
    <row r="142" spans="16:19">
      <c r="P142" s="11">
        <v>128</v>
      </c>
      <c r="Q142" s="11">
        <f t="shared" si="15"/>
        <v>21</v>
      </c>
      <c r="R142" s="11">
        <f t="shared" si="16"/>
        <v>2</v>
      </c>
      <c r="S142" s="12" cm="1">
        <f t="array" ref="S142">INDEX('PatientFollowUp-ConceptMap-2'!$I$15:$N$124,Q142+1,R142)</f>
        <v>0</v>
      </c>
    </row>
    <row r="143" spans="16:19">
      <c r="P143" s="11">
        <v>129</v>
      </c>
      <c r="Q143" s="11">
        <f t="shared" si="15"/>
        <v>21</v>
      </c>
      <c r="R143" s="11">
        <f t="shared" si="16"/>
        <v>3</v>
      </c>
      <c r="S143" s="12" cm="1">
        <f t="array" ref="S143">INDEX('PatientFollowUp-ConceptMap-2'!$I$15:$N$124,Q143+1,R143)</f>
        <v>0</v>
      </c>
    </row>
    <row r="144" spans="16:19">
      <c r="P144" s="11">
        <v>130</v>
      </c>
      <c r="Q144" s="11">
        <f t="shared" ref="Q144:Q184" si="17">IF(MOD(P144,$Q$8)=0,P144/$Q$8-1,INT(P144/$Q$8))</f>
        <v>21</v>
      </c>
      <c r="R144" s="11">
        <f t="shared" ref="R144:R184" si="18">IF(MOD(P144,$Q$8)=0,$Q$8,MOD(P144,$Q$8))</f>
        <v>4</v>
      </c>
      <c r="S144" s="12" cm="1">
        <f t="array" ref="S144">INDEX('PatientFollowUp-ConceptMap-2'!$I$15:$N$124,Q144+1,R144)</f>
        <v>0</v>
      </c>
    </row>
    <row r="145" spans="16:19">
      <c r="P145" s="11">
        <v>131</v>
      </c>
      <c r="Q145" s="11">
        <f t="shared" si="17"/>
        <v>21</v>
      </c>
      <c r="R145" s="11">
        <f t="shared" si="18"/>
        <v>5</v>
      </c>
      <c r="S145" s="12" cm="1">
        <f t="array" ref="S145">INDEX('PatientFollowUp-ConceptMap-2'!$I$15:$N$124,Q145+1,R145)</f>
        <v>0</v>
      </c>
    </row>
    <row r="146" spans="16:19">
      <c r="P146" s="11">
        <v>132</v>
      </c>
      <c r="Q146" s="11">
        <f t="shared" si="17"/>
        <v>21</v>
      </c>
      <c r="R146" s="11">
        <f t="shared" si="18"/>
        <v>6</v>
      </c>
      <c r="S146" s="12" cm="1">
        <f t="array" ref="S146">INDEX('PatientFollowUp-ConceptMap-2'!$I$15:$N$124,Q146+1,R146)</f>
        <v>0</v>
      </c>
    </row>
    <row r="147" spans="16:19">
      <c r="P147" s="11">
        <v>133</v>
      </c>
      <c r="Q147" s="11">
        <f t="shared" si="17"/>
        <v>22</v>
      </c>
      <c r="R147" s="11">
        <f t="shared" si="18"/>
        <v>1</v>
      </c>
      <c r="S147" s="12" cm="1">
        <f t="array" ref="S147">INDEX('PatientFollowUp-ConceptMap-2'!$I$15:$N$124,Q147+1,R147)</f>
        <v>0</v>
      </c>
    </row>
    <row r="148" spans="16:19">
      <c r="P148" s="11">
        <v>134</v>
      </c>
      <c r="Q148" s="11">
        <f t="shared" si="17"/>
        <v>22</v>
      </c>
      <c r="R148" s="11">
        <f t="shared" si="18"/>
        <v>2</v>
      </c>
      <c r="S148" s="12" cm="1">
        <f t="array" ref="S148">INDEX('PatientFollowUp-ConceptMap-2'!$I$15:$N$124,Q148+1,R148)</f>
        <v>0</v>
      </c>
    </row>
    <row r="149" spans="16:19">
      <c r="P149" s="11">
        <v>135</v>
      </c>
      <c r="Q149" s="11">
        <f t="shared" si="17"/>
        <v>22</v>
      </c>
      <c r="R149" s="11">
        <f t="shared" si="18"/>
        <v>3</v>
      </c>
      <c r="S149" s="12" cm="1">
        <f t="array" ref="S149">INDEX('PatientFollowUp-ConceptMap-2'!$I$15:$N$124,Q149+1,R149)</f>
        <v>0</v>
      </c>
    </row>
    <row r="150" spans="16:19">
      <c r="P150" s="11">
        <v>136</v>
      </c>
      <c r="Q150" s="11">
        <f t="shared" si="17"/>
        <v>22</v>
      </c>
      <c r="R150" s="11">
        <f t="shared" si="18"/>
        <v>4</v>
      </c>
      <c r="S150" s="12" cm="1">
        <f t="array" ref="S150">INDEX('PatientFollowUp-ConceptMap-2'!$I$15:$N$124,Q150+1,R150)</f>
        <v>0</v>
      </c>
    </row>
    <row r="151" spans="16:19">
      <c r="P151" s="11">
        <v>137</v>
      </c>
      <c r="Q151" s="11">
        <f t="shared" si="17"/>
        <v>22</v>
      </c>
      <c r="R151" s="11">
        <f t="shared" si="18"/>
        <v>5</v>
      </c>
      <c r="S151" s="12" cm="1">
        <f t="array" ref="S151">INDEX('PatientFollowUp-ConceptMap-2'!$I$15:$N$124,Q151+1,R151)</f>
        <v>0</v>
      </c>
    </row>
    <row r="152" spans="16:19">
      <c r="P152" s="11">
        <v>138</v>
      </c>
      <c r="Q152" s="11">
        <f t="shared" si="17"/>
        <v>22</v>
      </c>
      <c r="R152" s="11">
        <f t="shared" si="18"/>
        <v>6</v>
      </c>
      <c r="S152" s="12" cm="1">
        <f t="array" ref="S152">INDEX('PatientFollowUp-ConceptMap-2'!$I$15:$N$124,Q152+1,R152)</f>
        <v>0</v>
      </c>
    </row>
    <row r="153" spans="16:19">
      <c r="P153" s="11">
        <v>139</v>
      </c>
      <c r="Q153" s="11">
        <f t="shared" si="17"/>
        <v>23</v>
      </c>
      <c r="R153" s="11">
        <f t="shared" si="18"/>
        <v>1</v>
      </c>
      <c r="S153" s="12" cm="1">
        <f t="array" ref="S153">INDEX('PatientFollowUp-ConceptMap-2'!$I$15:$N$124,Q153+1,R153)</f>
        <v>0</v>
      </c>
    </row>
    <row r="154" spans="16:19">
      <c r="P154" s="11">
        <v>140</v>
      </c>
      <c r="Q154" s="11">
        <f t="shared" si="17"/>
        <v>23</v>
      </c>
      <c r="R154" s="11">
        <f t="shared" si="18"/>
        <v>2</v>
      </c>
      <c r="S154" s="12" cm="1">
        <f t="array" ref="S154">INDEX('PatientFollowUp-ConceptMap-2'!$I$15:$N$124,Q154+1,R154)</f>
        <v>0</v>
      </c>
    </row>
    <row r="155" spans="16:19">
      <c r="P155" s="11">
        <v>141</v>
      </c>
      <c r="Q155" s="11">
        <f t="shared" si="17"/>
        <v>23</v>
      </c>
      <c r="R155" s="11">
        <f t="shared" si="18"/>
        <v>3</v>
      </c>
      <c r="S155" s="12" cm="1">
        <f t="array" ref="S155">INDEX('PatientFollowUp-ConceptMap-2'!$I$15:$N$124,Q155+1,R155)</f>
        <v>0</v>
      </c>
    </row>
    <row r="156" spans="16:19">
      <c r="P156" s="11">
        <v>142</v>
      </c>
      <c r="Q156" s="11">
        <f t="shared" si="17"/>
        <v>23</v>
      </c>
      <c r="R156" s="11">
        <f t="shared" si="18"/>
        <v>4</v>
      </c>
      <c r="S156" s="12" cm="1">
        <f t="array" ref="S156">INDEX('PatientFollowUp-ConceptMap-2'!$I$15:$N$124,Q156+1,R156)</f>
        <v>0</v>
      </c>
    </row>
    <row r="157" spans="16:19">
      <c r="P157" s="11">
        <v>143</v>
      </c>
      <c r="Q157" s="11">
        <f t="shared" si="17"/>
        <v>23</v>
      </c>
      <c r="R157" s="11">
        <f t="shared" si="18"/>
        <v>5</v>
      </c>
      <c r="S157" s="12" cm="1">
        <f t="array" ref="S157">INDEX('PatientFollowUp-ConceptMap-2'!$I$15:$N$124,Q157+1,R157)</f>
        <v>0</v>
      </c>
    </row>
    <row r="158" spans="16:19">
      <c r="P158" s="11">
        <v>144</v>
      </c>
      <c r="Q158" s="11">
        <f t="shared" si="17"/>
        <v>23</v>
      </c>
      <c r="R158" s="11">
        <f t="shared" si="18"/>
        <v>6</v>
      </c>
      <c r="S158" s="12" cm="1">
        <f t="array" ref="S158">INDEX('PatientFollowUp-ConceptMap-2'!$I$15:$N$124,Q158+1,R158)</f>
        <v>0</v>
      </c>
    </row>
    <row r="159" spans="16:19">
      <c r="P159" s="11">
        <v>145</v>
      </c>
      <c r="Q159" s="11">
        <f t="shared" si="17"/>
        <v>24</v>
      </c>
      <c r="R159" s="11">
        <f t="shared" si="18"/>
        <v>1</v>
      </c>
      <c r="S159" s="12" cm="1">
        <f t="array" ref="S159">INDEX('PatientFollowUp-ConceptMap-2'!$I$15:$N$124,Q159+1,R159)</f>
        <v>0</v>
      </c>
    </row>
    <row r="160" spans="16:19">
      <c r="P160" s="11">
        <v>146</v>
      </c>
      <c r="Q160" s="11">
        <f t="shared" si="17"/>
        <v>24</v>
      </c>
      <c r="R160" s="11">
        <f t="shared" si="18"/>
        <v>2</v>
      </c>
      <c r="S160" s="12" cm="1">
        <f t="array" ref="S160">INDEX('PatientFollowUp-ConceptMap-2'!$I$15:$N$124,Q160+1,R160)</f>
        <v>0</v>
      </c>
    </row>
    <row r="161" spans="16:19">
      <c r="P161" s="11">
        <v>147</v>
      </c>
      <c r="Q161" s="11">
        <f t="shared" si="17"/>
        <v>24</v>
      </c>
      <c r="R161" s="11">
        <f t="shared" si="18"/>
        <v>3</v>
      </c>
      <c r="S161" s="12" cm="1">
        <f t="array" ref="S161">INDEX('PatientFollowUp-ConceptMap-2'!$I$15:$N$124,Q161+1,R161)</f>
        <v>0</v>
      </c>
    </row>
    <row r="162" spans="16:19">
      <c r="P162" s="11">
        <v>148</v>
      </c>
      <c r="Q162" s="11">
        <f t="shared" si="17"/>
        <v>24</v>
      </c>
      <c r="R162" s="11">
        <f t="shared" si="18"/>
        <v>4</v>
      </c>
      <c r="S162" s="12" cm="1">
        <f t="array" ref="S162">INDEX('PatientFollowUp-ConceptMap-2'!$I$15:$N$124,Q162+1,R162)</f>
        <v>0</v>
      </c>
    </row>
    <row r="163" spans="16:19">
      <c r="P163" s="11">
        <v>149</v>
      </c>
      <c r="Q163" s="11">
        <f t="shared" si="17"/>
        <v>24</v>
      </c>
      <c r="R163" s="11">
        <f t="shared" si="18"/>
        <v>5</v>
      </c>
      <c r="S163" s="12" cm="1">
        <f t="array" ref="S163">INDEX('PatientFollowUp-ConceptMap-2'!$I$15:$N$124,Q163+1,R163)</f>
        <v>0</v>
      </c>
    </row>
    <row r="164" spans="16:19">
      <c r="P164" s="11">
        <v>150</v>
      </c>
      <c r="Q164" s="11">
        <f t="shared" si="17"/>
        <v>24</v>
      </c>
      <c r="R164" s="11">
        <f t="shared" si="18"/>
        <v>6</v>
      </c>
      <c r="S164" s="12" cm="1">
        <f t="array" ref="S164">INDEX('PatientFollowUp-ConceptMap-2'!$I$15:$N$124,Q164+1,R164)</f>
        <v>0</v>
      </c>
    </row>
    <row r="165" spans="16:19">
      <c r="P165" s="11">
        <v>151</v>
      </c>
      <c r="Q165" s="11">
        <f t="shared" si="17"/>
        <v>25</v>
      </c>
      <c r="R165" s="11">
        <f t="shared" si="18"/>
        <v>1</v>
      </c>
      <c r="S165" s="12" cm="1">
        <f t="array" ref="S165">INDEX('PatientFollowUp-ConceptMap-2'!$I$15:$N$124,Q165+1,R165)</f>
        <v>0</v>
      </c>
    </row>
    <row r="166" spans="16:19">
      <c r="P166" s="11">
        <v>152</v>
      </c>
      <c r="Q166" s="11">
        <f t="shared" si="17"/>
        <v>25</v>
      </c>
      <c r="R166" s="11">
        <f t="shared" si="18"/>
        <v>2</v>
      </c>
      <c r="S166" s="12" cm="1">
        <f t="array" ref="S166">INDEX('PatientFollowUp-ConceptMap-2'!$I$15:$N$124,Q166+1,R166)</f>
        <v>0</v>
      </c>
    </row>
    <row r="167" spans="16:19">
      <c r="P167" s="11">
        <v>153</v>
      </c>
      <c r="Q167" s="11">
        <f t="shared" si="17"/>
        <v>25</v>
      </c>
      <c r="R167" s="11">
        <f t="shared" si="18"/>
        <v>3</v>
      </c>
      <c r="S167" s="12" cm="1">
        <f t="array" ref="S167">INDEX('PatientFollowUp-ConceptMap-2'!$I$15:$N$124,Q167+1,R167)</f>
        <v>0</v>
      </c>
    </row>
    <row r="168" spans="16:19">
      <c r="P168" s="11">
        <v>154</v>
      </c>
      <c r="Q168" s="11">
        <f t="shared" si="17"/>
        <v>25</v>
      </c>
      <c r="R168" s="11">
        <f t="shared" si="18"/>
        <v>4</v>
      </c>
      <c r="S168" s="12" cm="1">
        <f t="array" ref="S168">INDEX('PatientFollowUp-ConceptMap-2'!$I$15:$N$124,Q168+1,R168)</f>
        <v>0</v>
      </c>
    </row>
    <row r="169" spans="16:19">
      <c r="P169" s="11">
        <v>155</v>
      </c>
      <c r="Q169" s="11">
        <f t="shared" si="17"/>
        <v>25</v>
      </c>
      <c r="R169" s="11">
        <f t="shared" si="18"/>
        <v>5</v>
      </c>
      <c r="S169" s="12" cm="1">
        <f t="array" ref="S169">INDEX('PatientFollowUp-ConceptMap-2'!$I$15:$N$124,Q169+1,R169)</f>
        <v>0</v>
      </c>
    </row>
    <row r="170" spans="16:19">
      <c r="P170" s="11">
        <v>156</v>
      </c>
      <c r="Q170" s="11">
        <f t="shared" si="17"/>
        <v>25</v>
      </c>
      <c r="R170" s="11">
        <f t="shared" si="18"/>
        <v>6</v>
      </c>
      <c r="S170" s="12" cm="1">
        <f t="array" ref="S170">INDEX('PatientFollowUp-ConceptMap-2'!$I$15:$N$124,Q170+1,R170)</f>
        <v>0</v>
      </c>
    </row>
    <row r="171" spans="16:19">
      <c r="P171" s="11">
        <v>157</v>
      </c>
      <c r="Q171" s="11">
        <f t="shared" si="17"/>
        <v>26</v>
      </c>
      <c r="R171" s="11">
        <f t="shared" si="18"/>
        <v>1</v>
      </c>
      <c r="S171" s="12" cm="1">
        <f t="array" ref="S171">INDEX('PatientFollowUp-ConceptMap-2'!$I$15:$N$124,Q171+1,R171)</f>
        <v>0</v>
      </c>
    </row>
    <row r="172" spans="16:19">
      <c r="P172" s="11">
        <v>158</v>
      </c>
      <c r="Q172" s="11">
        <f t="shared" si="17"/>
        <v>26</v>
      </c>
      <c r="R172" s="11">
        <f t="shared" si="18"/>
        <v>2</v>
      </c>
      <c r="S172" s="12" cm="1">
        <f t="array" ref="S172">INDEX('PatientFollowUp-ConceptMap-2'!$I$15:$N$124,Q172+1,R172)</f>
        <v>0</v>
      </c>
    </row>
    <row r="173" spans="16:19">
      <c r="P173" s="11">
        <v>159</v>
      </c>
      <c r="Q173" s="11">
        <f t="shared" si="17"/>
        <v>26</v>
      </c>
      <c r="R173" s="11">
        <f t="shared" si="18"/>
        <v>3</v>
      </c>
      <c r="S173" s="12" cm="1">
        <f t="array" ref="S173">INDEX('PatientFollowUp-ConceptMap-2'!$I$15:$N$124,Q173+1,R173)</f>
        <v>0</v>
      </c>
    </row>
    <row r="174" spans="16:19">
      <c r="P174" s="11">
        <v>160</v>
      </c>
      <c r="Q174" s="11">
        <f t="shared" si="17"/>
        <v>26</v>
      </c>
      <c r="R174" s="11">
        <f t="shared" si="18"/>
        <v>4</v>
      </c>
      <c r="S174" s="12" cm="1">
        <f t="array" ref="S174">INDEX('PatientFollowUp-ConceptMap-2'!$I$15:$N$124,Q174+1,R174)</f>
        <v>0</v>
      </c>
    </row>
    <row r="175" spans="16:19">
      <c r="P175" s="11">
        <v>161</v>
      </c>
      <c r="Q175" s="11">
        <f t="shared" si="17"/>
        <v>26</v>
      </c>
      <c r="R175" s="11">
        <f t="shared" si="18"/>
        <v>5</v>
      </c>
      <c r="S175" s="12" cm="1">
        <f t="array" ref="S175">INDEX('PatientFollowUp-ConceptMap-2'!$I$15:$N$124,Q175+1,R175)</f>
        <v>0</v>
      </c>
    </row>
    <row r="176" spans="16:19">
      <c r="P176" s="11">
        <v>162</v>
      </c>
      <c r="Q176" s="11">
        <f t="shared" si="17"/>
        <v>26</v>
      </c>
      <c r="R176" s="11">
        <f t="shared" si="18"/>
        <v>6</v>
      </c>
      <c r="S176" s="12" cm="1">
        <f t="array" ref="S176">INDEX('PatientFollowUp-ConceptMap-2'!$I$15:$N$124,Q176+1,R176)</f>
        <v>0</v>
      </c>
    </row>
    <row r="177" spans="16:19">
      <c r="P177" s="11">
        <v>163</v>
      </c>
      <c r="Q177" s="11">
        <f t="shared" si="17"/>
        <v>27</v>
      </c>
      <c r="R177" s="11">
        <f t="shared" si="18"/>
        <v>1</v>
      </c>
      <c r="S177" s="12" cm="1">
        <f t="array" ref="S177">INDEX('PatientFollowUp-ConceptMap-2'!$I$15:$N$124,Q177+1,R177)</f>
        <v>0</v>
      </c>
    </row>
    <row r="178" spans="16:19">
      <c r="P178" s="11">
        <v>164</v>
      </c>
      <c r="Q178" s="11">
        <f t="shared" si="17"/>
        <v>27</v>
      </c>
      <c r="R178" s="11">
        <f t="shared" si="18"/>
        <v>2</v>
      </c>
      <c r="S178" s="12" cm="1">
        <f t="array" ref="S178">INDEX('PatientFollowUp-ConceptMap-2'!$I$15:$N$124,Q178+1,R178)</f>
        <v>0</v>
      </c>
    </row>
    <row r="179" spans="16:19">
      <c r="P179" s="11">
        <v>165</v>
      </c>
      <c r="Q179" s="11">
        <f t="shared" si="17"/>
        <v>27</v>
      </c>
      <c r="R179" s="11">
        <f t="shared" si="18"/>
        <v>3</v>
      </c>
      <c r="S179" s="12" cm="1">
        <f t="array" ref="S179">INDEX('PatientFollowUp-ConceptMap-2'!$I$15:$N$124,Q179+1,R179)</f>
        <v>0</v>
      </c>
    </row>
    <row r="180" spans="16:19">
      <c r="P180" s="11">
        <v>166</v>
      </c>
      <c r="Q180" s="11">
        <f t="shared" si="17"/>
        <v>27</v>
      </c>
      <c r="R180" s="11">
        <f t="shared" si="18"/>
        <v>4</v>
      </c>
      <c r="S180" s="12" cm="1">
        <f t="array" ref="S180">INDEX('PatientFollowUp-ConceptMap-2'!$I$15:$N$124,Q180+1,R180)</f>
        <v>0</v>
      </c>
    </row>
    <row r="181" spans="16:19">
      <c r="P181" s="11">
        <v>167</v>
      </c>
      <c r="Q181" s="11">
        <f t="shared" si="17"/>
        <v>27</v>
      </c>
      <c r="R181" s="11">
        <f t="shared" si="18"/>
        <v>5</v>
      </c>
      <c r="S181" s="12" cm="1">
        <f t="array" ref="S181">INDEX('PatientFollowUp-ConceptMap-2'!$I$15:$N$124,Q181+1,R181)</f>
        <v>0</v>
      </c>
    </row>
    <row r="182" spans="16:19">
      <c r="P182" s="11">
        <v>168</v>
      </c>
      <c r="Q182" s="11">
        <f t="shared" si="17"/>
        <v>27</v>
      </c>
      <c r="R182" s="11">
        <f t="shared" si="18"/>
        <v>6</v>
      </c>
      <c r="S182" s="12" cm="1">
        <f t="array" ref="S182">INDEX('PatientFollowUp-ConceptMap-2'!$I$15:$N$124,Q182+1,R182)</f>
        <v>0</v>
      </c>
    </row>
    <row r="183" spans="16:19">
      <c r="P183" s="11">
        <v>169</v>
      </c>
      <c r="Q183" s="11">
        <f t="shared" si="17"/>
        <v>28</v>
      </c>
      <c r="R183" s="11">
        <f t="shared" si="18"/>
        <v>1</v>
      </c>
      <c r="S183" s="12" cm="1">
        <f t="array" ref="S183">INDEX('PatientFollowUp-ConceptMap-2'!$I$15:$N$124,Q183+1,R183)</f>
        <v>0</v>
      </c>
    </row>
    <row r="184" spans="16:19">
      <c r="P184" s="11">
        <v>170</v>
      </c>
      <c r="Q184" s="11">
        <f t="shared" si="17"/>
        <v>28</v>
      </c>
      <c r="R184" s="11">
        <f t="shared" si="18"/>
        <v>2</v>
      </c>
      <c r="S184" s="12" cm="1">
        <f t="array" ref="S184">INDEX('PatientFollowUp-ConceptMap-2'!$I$15:$N$124,Q184+1,R184)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F15:F113</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0" tint="-0.34998626667073579"/>
  </sheetPr>
  <dimension ref="B1:G192"/>
  <sheetViews>
    <sheetView topLeftCell="A2" workbookViewId="0">
      <selection activeCell="B104" sqref="B104"/>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2277</v>
      </c>
    </row>
    <row r="3" spans="2:7">
      <c r="B3" s="24" t="s">
        <v>20</v>
      </c>
    </row>
    <row r="4" spans="2:7">
      <c r="B4" s="65" t="str">
        <f>"Instance: "&amp;'PatientFollowUp-ConceptMap-1'!C4</f>
        <v>Instance: followup2FHIR</v>
      </c>
    </row>
    <row r="5" spans="2:7">
      <c r="B5" s="65" t="s">
        <v>1447</v>
      </c>
    </row>
    <row r="6" spans="2:7">
      <c r="B6" s="65" t="s">
        <v>1438</v>
      </c>
    </row>
    <row r="7" spans="2:7">
      <c r="B7" s="65" t="s">
        <v>1776</v>
      </c>
    </row>
    <row r="8" spans="2:7">
      <c r="B8" s="65" t="str">
        <f>"* name = ##34#"&amp;'PatientFollowUp-ConceptMap-1'!C3&amp;"##34#"</f>
        <v>* name = ##34#followup2FHIR##34#</v>
      </c>
    </row>
    <row r="9" spans="2:7">
      <c r="B9" s="65" t="str">
        <f>"* title = ##34#"&amp;'PatientFollowUp-ConceptMap-1'!C5&amp;"##34#"</f>
        <v>* title = ##34#Patient Follow up Model to this guide Map##34#</v>
      </c>
    </row>
    <row r="10" spans="2:7">
      <c r="B10" s="65" t="s">
        <v>1439</v>
      </c>
    </row>
    <row r="11" spans="2:7">
      <c r="B11" s="65" t="s">
        <v>1440</v>
      </c>
    </row>
    <row r="12" spans="2:7">
      <c r="B12" s="65" t="str">
        <f>"* description = ##34#"&amp;'PatientFollowUp-ConceptMap-1'!C8&amp;"##34#"</f>
        <v>* description = ##34#Patient Follow up Model to this guide Map##34#</v>
      </c>
    </row>
    <row r="13" spans="2:7">
      <c r="B13" s="65" t="str">
        <f>"* purpose = ##34#"&amp;'PatientFollowUp-ConceptMap-1'!C9&amp;"##34#"</f>
        <v>* purpose = ##34#It shows how the Patient Follow up model is mapped into this guide##34#</v>
      </c>
    </row>
    <row r="14" spans="2:7">
      <c r="B14" s="69" t="str">
        <f>"* sourceUri = ##34#"&amp;'PatientFollowUp-ConceptMap-1'!E3&amp;"##34#"</f>
        <v>* sourceUri = ##34#http://hl7.eu/fhir/ig/idea4rc/StructureDefinition/PatientFollowUpI4rc##34#</v>
      </c>
    </row>
    <row r="15" spans="2:7">
      <c r="B15" s="69" t="str">
        <f>"* targetUri = ##34#"&amp;'PatientFollowUp-ConceptMap-1'!E4&amp;"##34#"</f>
        <v>* targetUri = ##34#http://hl7.org/fhir/StrcutureDefinition/DomainResource##34#</v>
      </c>
    </row>
    <row r="16" spans="2:7">
      <c r="B16" s="68" t="str">
        <f>"* group[+].source = ##34#"&amp;'PatientFollowUp-ConceptMap-1'!E6&amp;"##34#"</f>
        <v>* group[+].source = ##34#http://hl7.eu/fhir/ig/idea4rc/StructureDefinition/PatientFollowUpI4rc##34#</v>
      </c>
    </row>
    <row r="17" spans="2:7">
      <c r="B17" s="68" t="str">
        <f>"* group[=].target = ##34#"&amp;'PatientFollowUp-ConceptMap-1'!E7&amp;"##34#"</f>
        <v>* group[=].target = ##34#http://hl7.eu/fhir/ig/idea4rc/StructureDefinition/encounter-followup-eu-i4rc##34#</v>
      </c>
    </row>
    <row r="18" spans="2:7">
      <c r="B18" s="121"/>
    </row>
    <row r="19" spans="2:7">
      <c r="B19" s="12" t="str">
        <f>IF('PatientFollowUp-ConceptMap-1'!S15=0,"//---END",'PatientFollowUp-ConceptMap-1'!S15)</f>
        <v>* group[=].element[+].code = #PatientFollowUpI4rc.patient</v>
      </c>
    </row>
    <row r="20" spans="2:7">
      <c r="B20" s="12" t="str">
        <f>IF('PatientFollowUp-ConceptMap-1'!S16=0,"//---END",'PatientFollowUp-ConceptMap-1'!S16)</f>
        <v>* group[=].element[=].display = ##34#Patient##34#</v>
      </c>
    </row>
    <row r="21" spans="2:7">
      <c r="B21" s="12" t="str">
        <f>IF('PatientFollowUp-ConceptMap-1'!S17=0,"//---END",'PatientFollowUp-ConceptMap-1'!S17)</f>
        <v>* group[=].element[=].target.code = #Encounter.subject</v>
      </c>
    </row>
    <row r="22" spans="2:7">
      <c r="B22" s="12" t="str">
        <f>IF('PatientFollowUp-ConceptMap-1'!S18=0,"//---END",'PatientFollowUp-ConceptMap-1'!S18)</f>
        <v>* group[=].element[=].target.display = ##34###34#</v>
      </c>
    </row>
    <row r="23" spans="2:7">
      <c r="B23" s="12" t="str">
        <f>IF('PatientFollowUp-ConceptMap-1'!S19=0,"//---END",'PatientFollowUp-ConceptMap-1'!S19)</f>
        <v>* group[=].element[=].target.equivalence = #equivalent</v>
      </c>
    </row>
    <row r="24" spans="2:7">
      <c r="B24" s="12" t="str">
        <f>IF('PatientFollowUp-ConceptMap-1'!S20=0,"//---END",'PatientFollowUp-ConceptMap-1'!S20)</f>
        <v/>
      </c>
      <c r="G24" s="7"/>
    </row>
    <row r="25" spans="2:7">
      <c r="B25" s="12" t="str">
        <f>IF('PatientFollowUp-ConceptMap-1'!S21=0,"//---END",'PatientFollowUp-ConceptMap-1'!S21)</f>
        <v>* group[=].element[+].code = #PatientFollowUpI4rc.statusAtLastFollowUp</v>
      </c>
    </row>
    <row r="26" spans="2:7">
      <c r="B26" s="12" t="str">
        <f>IF('PatientFollowUp-ConceptMap-1'!S22=0,"//---END",'PatientFollowUp-ConceptMap-1'!S22)</f>
        <v>* group[=].element[=].display = ##34#Status at last follow-up##34#</v>
      </c>
    </row>
    <row r="27" spans="2:7">
      <c r="B27" s="12" t="str">
        <f>IF('PatientFollowUp-ConceptMap-1'!S23=0,"//---END",'PatientFollowUp-ConceptMap-1'!S23)</f>
        <v>* group[=].element[=].target.code = #Encounter.</v>
      </c>
    </row>
    <row r="28" spans="2:7">
      <c r="B28" s="12" t="str">
        <f>IF('PatientFollowUp-ConceptMap-1'!S24=0,"//---END",'PatientFollowUp-ConceptMap-1'!S24)</f>
        <v>* group[=].element[=].target.display = ##34###34#</v>
      </c>
    </row>
    <row r="29" spans="2:7">
      <c r="B29" s="12" t="str">
        <f>IF('PatientFollowUp-ConceptMap-1'!S25=0,"//---END",'PatientFollowUp-ConceptMap-1'!S25)</f>
        <v>* group[=].element[=].target.equivalence = #relatedto</v>
      </c>
    </row>
    <row r="30" spans="2:7">
      <c r="B30" s="12" t="str">
        <f>IF('PatientFollowUp-ConceptMap-1'!S26=0,"//---END",'PatientFollowUp-ConceptMap-1'!S26)</f>
        <v>* group[=].element[=].target.comment = ##34#CLARIFY THE MEANING OF THE MODEL ELEMENT##34#</v>
      </c>
    </row>
    <row r="31" spans="2:7">
      <c r="B31" s="12" t="str">
        <f>IF('PatientFollowUp-ConceptMap-1'!S27=0,"//---END",'PatientFollowUp-ConceptMap-1'!S27)</f>
        <v>* group[=].element[+].code = #PatientFollowUpI4rc.patientFollowUpDate</v>
      </c>
    </row>
    <row r="32" spans="2:7">
      <c r="B32" s="12" t="str">
        <f>IF('PatientFollowUp-ConceptMap-1'!S28=0,"//---END",'PatientFollowUp-ConceptMap-1'!S28)</f>
        <v>* group[=].element[=].display = ##34#Patient Follow Up date##34#</v>
      </c>
    </row>
    <row r="33" spans="2:2">
      <c r="B33" s="12" t="str">
        <f>IF('PatientFollowUp-ConceptMap-1'!S29=0,"//---END",'PatientFollowUp-ConceptMap-1'!S29)</f>
        <v>* group[=].element[=].target.code = #Encounter.period.end</v>
      </c>
    </row>
    <row r="34" spans="2:2">
      <c r="B34" s="12" t="str">
        <f>IF('PatientFollowUp-ConceptMap-1'!S30=0,"//---END",'PatientFollowUp-ConceptMap-1'!S30)</f>
        <v>* group[=].element[=].target.display = ##34###34#</v>
      </c>
    </row>
    <row r="35" spans="2:2">
      <c r="B35" s="12" t="str">
        <f>IF('PatientFollowUp-ConceptMap-1'!S31=0,"//---END",'PatientFollowUp-ConceptMap-1'!S31)</f>
        <v>* group[=].element[=].target.equivalence = #relatedto</v>
      </c>
    </row>
    <row r="36" spans="2:2">
      <c r="B36" s="12" t="str">
        <f>IF('PatientFollowUp-ConceptMap-1'!S32=0,"//---END",'PatientFollowUp-ConceptMap-1'!S32)</f>
        <v>* group[=].element[=].target.comment = ##34#check if the period end is the appropriate date##34#</v>
      </c>
    </row>
    <row r="37" spans="2:2">
      <c r="B37" s="12" t="str">
        <f>IF('PatientFollowUp-ConceptMap-1'!S33=0,"//---END",'PatientFollowUp-ConceptMap-1'!S33)</f>
        <v>* group[=].element[+].code = #PatientFollowUpI4rc.newCancerDiagnosis</v>
      </c>
    </row>
    <row r="38" spans="2:2">
      <c r="B38" s="12" t="str">
        <f>IF('PatientFollowUp-ConceptMap-1'!S34=0,"//---END",'PatientFollowUp-ConceptMap-1'!S34)</f>
        <v>* group[=].element[=].display = ##34#New cancer diagnosis##34#</v>
      </c>
    </row>
    <row r="39" spans="2:2">
      <c r="B39" s="12" t="str">
        <f>IF('PatientFollowUp-ConceptMap-1'!S35=0,"//---END",'PatientFollowUp-ConceptMap-1'!S35)</f>
        <v>//-- unmatched</v>
      </c>
    </row>
    <row r="40" spans="2:2">
      <c r="B40" s="12" t="str">
        <f>IF('PatientFollowUp-ConceptMap-1'!S36=0,"//---END",'PatientFollowUp-ConceptMap-1'!S36)</f>
        <v>//-- unmatched</v>
      </c>
    </row>
    <row r="41" spans="2:2">
      <c r="B41" s="12" t="str">
        <f>IF('PatientFollowUp-ConceptMap-1'!S37=0,"//---END",'PatientFollowUp-ConceptMap-1'!S37)</f>
        <v>* group[=].element[=].target.equivalence = #unmatched</v>
      </c>
    </row>
    <row r="42" spans="2:2">
      <c r="B42" s="12" t="str">
        <f>IF('PatientFollowUp-ConceptMap-1'!S38=0,"//---END",'PatientFollowUp-ConceptMap-1'!S38)</f>
        <v/>
      </c>
    </row>
    <row r="43" spans="2:2">
      <c r="B43" s="12" t="str">
        <f>IF('PatientFollowUp-ConceptMap-1'!S39=0,"//---END",'PatientFollowUp-ConceptMap-1'!S39)</f>
        <v>* group[=].element[+].code = #PatientFollowUpI4rc.dateOfNewCancerDiagnosis</v>
      </c>
    </row>
    <row r="44" spans="2:2">
      <c r="B44" s="12" t="str">
        <f>IF('PatientFollowUp-ConceptMap-1'!S40=0,"//---END",'PatientFollowUp-ConceptMap-1'!S40)</f>
        <v>* group[=].element[=].display = ##34#Date of new cancer diagnosis##34#</v>
      </c>
    </row>
    <row r="45" spans="2:2">
      <c r="B45" s="12" t="str">
        <f>IF('PatientFollowUp-ConceptMap-1'!S41=0,"//---END",'PatientFollowUp-ConceptMap-1'!S41)</f>
        <v>//-- unmatched</v>
      </c>
    </row>
    <row r="46" spans="2:2">
      <c r="B46" s="12" t="str">
        <f>IF('PatientFollowUp-ConceptMap-1'!S42=0,"//---END",'PatientFollowUp-ConceptMap-1'!S42)</f>
        <v>//-- unmatched</v>
      </c>
    </row>
    <row r="47" spans="2:2">
      <c r="B47" s="12" t="str">
        <f>IF('PatientFollowUp-ConceptMap-1'!S43=0,"//---END",'PatientFollowUp-ConceptMap-1'!S43)</f>
        <v>* group[=].element[=].target.equivalence = #unmatched</v>
      </c>
    </row>
    <row r="48" spans="2:2">
      <c r="B48" s="12" t="str">
        <f>IF('PatientFollowUp-ConceptMap-1'!S44=0,"//---END",'PatientFollowUp-ConceptMap-1'!S44)</f>
        <v/>
      </c>
    </row>
    <row r="49" spans="2:2">
      <c r="B49" s="12" t="str">
        <f>IF('PatientFollowUp-ConceptMap-1'!S45=0,"//---END",'PatientFollowUp-ConceptMap-1'!S45)</f>
        <v>* group[=].element[+].code = #PatientFollowUpI4rc.newCancerTopography</v>
      </c>
    </row>
    <row r="50" spans="2:2">
      <c r="B50" s="12" t="str">
        <f>IF('PatientFollowUp-ConceptMap-1'!S46=0,"//---END",'PatientFollowUp-ConceptMap-1'!S46)</f>
        <v>* group[=].element[=].display = ##34#New cancer topography##34#</v>
      </c>
    </row>
    <row r="51" spans="2:2">
      <c r="B51" s="12" t="str">
        <f>IF('PatientFollowUp-ConceptMap-1'!S47=0,"//---END",'PatientFollowUp-ConceptMap-1'!S47)</f>
        <v>//-- unmatched</v>
      </c>
    </row>
    <row r="52" spans="2:2">
      <c r="B52" s="12" t="str">
        <f>IF('PatientFollowUp-ConceptMap-1'!S48=0,"//---END",'PatientFollowUp-ConceptMap-1'!S48)</f>
        <v>//-- unmatched</v>
      </c>
    </row>
    <row r="53" spans="2:2">
      <c r="B53" s="12" t="str">
        <f>IF('PatientFollowUp-ConceptMap-1'!S49=0,"//---END",'PatientFollowUp-ConceptMap-1'!S49)</f>
        <v>* group[=].element[=].target.equivalence = #unmatched</v>
      </c>
    </row>
    <row r="54" spans="2:2">
      <c r="B54" s="12" t="str">
        <f>IF('PatientFollowUp-ConceptMap-1'!S50=0,"//---END",'PatientFollowUp-ConceptMap-1'!S50)</f>
        <v/>
      </c>
    </row>
    <row r="55" spans="2:2">
      <c r="B55" s="12" t="str">
        <f>IF('PatientFollowUp-ConceptMap-1'!S51=0,"//---END",'PatientFollowUp-ConceptMap-1'!S51)</f>
        <v>//---END</v>
      </c>
    </row>
    <row r="56" spans="2:2">
      <c r="B56" s="12" t="str">
        <f>IF('PatientFollowUp-ConceptMap-1'!S52=0,"//---END",'PatientFollowUp-ConceptMap-1'!S52)</f>
        <v>//---END</v>
      </c>
    </row>
    <row r="57" spans="2:2">
      <c r="B57" s="12" t="str">
        <f>IF('PatientFollowUp-ConceptMap-1'!S53=0,"//---END",'PatientFollowUp-ConceptMap-1'!S53)</f>
        <v>//---END</v>
      </c>
    </row>
    <row r="58" spans="2:2">
      <c r="B58" s="12"/>
    </row>
    <row r="59" spans="2:2">
      <c r="B59" s="12"/>
    </row>
    <row r="60" spans="2:2">
      <c r="B60" s="12"/>
    </row>
    <row r="61" spans="2:2">
      <c r="B61" s="12"/>
    </row>
    <row r="62" spans="2:2">
      <c r="B62" s="68" t="str">
        <f>"* group[+].source = ##34#"&amp;'PatientFollowUp-ConceptMap-2'!E6&amp;"##34#"</f>
        <v>* group[+].source = ##34#http://hl7.eu/fhir/ig/idea4rc/StructureDefinition/PatientFollowUpI4rc##34#</v>
      </c>
    </row>
    <row r="63" spans="2:2">
      <c r="B63" s="68" t="str">
        <f>"* group[=].target = ##34#"&amp;'PatientFollowUp-ConceptMap-2'!E7&amp;"##34#"</f>
        <v>* group[=].target = ##34#http://hl7.eu/fhir/ig/idea4rc/StructureDefinition/Condition-primaryCancer-eu-i4rc##34#</v>
      </c>
    </row>
    <row r="64" spans="2:2">
      <c r="B64" s="121"/>
    </row>
    <row r="65" spans="2:2">
      <c r="B65" s="12" t="str">
        <f>IF('PatientFollowUp-ConceptMap-2'!S15=0,"//---END",'PatientFollowUp-ConceptMap-2'!S15)</f>
        <v>* group[=].element[+].code = #PatientFollowUpI4rc.patient</v>
      </c>
    </row>
    <row r="66" spans="2:2">
      <c r="B66" s="12" t="str">
        <f>IF('PatientFollowUp-ConceptMap-2'!S16=0,"//---END",'PatientFollowUp-ConceptMap-2'!S16)</f>
        <v>* group[=].element[=].display = ##34#Patient##34#</v>
      </c>
    </row>
    <row r="67" spans="2:2">
      <c r="B67" s="12" t="str">
        <f>IF('PatientFollowUp-ConceptMap-2'!S17=0,"//---END",'PatientFollowUp-ConceptMap-2'!S17)</f>
        <v>* group[=].element[=].target.code = #Encounter.patient</v>
      </c>
    </row>
    <row r="68" spans="2:2">
      <c r="B68" s="12" t="str">
        <f>IF('PatientFollowUp-ConceptMap-2'!S18=0,"//---END",'PatientFollowUp-ConceptMap-2'!S18)</f>
        <v>* group[=].element[=].target.display = ##34###34#</v>
      </c>
    </row>
    <row r="69" spans="2:2">
      <c r="B69" s="12" t="str">
        <f>IF('PatientFollowUp-ConceptMap-2'!S19=0,"//---END",'PatientFollowUp-ConceptMap-2'!S19)</f>
        <v>* group[=].element[=].target.equivalence = #equivalent</v>
      </c>
    </row>
    <row r="70" spans="2:2">
      <c r="B70" s="12" t="str">
        <f>IF('PatientFollowUp-ConceptMap-2'!S20=0,"//---END",'PatientFollowUp-ConceptMap-2'!S20)</f>
        <v/>
      </c>
    </row>
    <row r="71" spans="2:2">
      <c r="B71" s="12" t="str">
        <f>IF('PatientFollowUp-ConceptMap-2'!S21=0,"//---END",'PatientFollowUp-ConceptMap-2'!S21)</f>
        <v>* group[=].element[+].code = #PatientFollowUpI4rc.statusAtLastFollowUp</v>
      </c>
    </row>
    <row r="72" spans="2:2">
      <c r="B72" s="12" t="str">
        <f>IF('PatientFollowUp-ConceptMap-2'!S22=0,"//---END",'PatientFollowUp-ConceptMap-2'!S22)</f>
        <v>* group[=].element[=].display = ##34#Status at last follow-up##34#</v>
      </c>
    </row>
    <row r="73" spans="2:2">
      <c r="B73" s="12" t="str">
        <f>IF('PatientFollowUp-ConceptMap-2'!S23=0,"//---END",'PatientFollowUp-ConceptMap-2'!S23)</f>
        <v>//-- unmatched</v>
      </c>
    </row>
    <row r="74" spans="2:2">
      <c r="B74" s="12" t="str">
        <f>IF('PatientFollowUp-ConceptMap-2'!S24=0,"//---END",'PatientFollowUp-ConceptMap-2'!S24)</f>
        <v>//-- unmatched</v>
      </c>
    </row>
    <row r="75" spans="2:2">
      <c r="B75" s="12" t="str">
        <f>IF('PatientFollowUp-ConceptMap-2'!S25=0,"//---END",'PatientFollowUp-ConceptMap-2'!S25)</f>
        <v>* group[=].element[=].target.equivalence = #unmatched</v>
      </c>
    </row>
    <row r="76" spans="2:2">
      <c r="B76" s="12" t="str">
        <f>IF('PatientFollowUp-ConceptMap-2'!S26=0,"//---END",'PatientFollowUp-ConceptMap-2'!S26)</f>
        <v>* group[=].element[=].target.comment = ##34#CLARIFY THE MEANING OF THE MODEL ELEMENT##34#</v>
      </c>
    </row>
    <row r="77" spans="2:2">
      <c r="B77" s="12" t="str">
        <f>IF('PatientFollowUp-ConceptMap-2'!S27=0,"//---END",'PatientFollowUp-ConceptMap-2'!S27)</f>
        <v>* group[=].element[+].code = #PatientFollowUpI4rc.patientFollowUpDate</v>
      </c>
    </row>
    <row r="78" spans="2:2">
      <c r="B78" s="12" t="str">
        <f>IF('PatientFollowUp-ConceptMap-2'!S28=0,"//---END",'PatientFollowUp-ConceptMap-2'!S28)</f>
        <v>* group[=].element[=].display = ##34#Patient Follow Up date##34#</v>
      </c>
    </row>
    <row r="79" spans="2:2">
      <c r="B79" s="12" t="str">
        <f>IF('PatientFollowUp-ConceptMap-2'!S29=0,"//---END",'PatientFollowUp-ConceptMap-2'!S29)</f>
        <v>//-- unmatched</v>
      </c>
    </row>
    <row r="80" spans="2:2">
      <c r="B80" s="12" t="str">
        <f>IF('PatientFollowUp-ConceptMap-2'!S30=0,"//---END",'PatientFollowUp-ConceptMap-2'!S30)</f>
        <v>//-- unmatched</v>
      </c>
    </row>
    <row r="81" spans="2:2">
      <c r="B81" s="12" t="str">
        <f>IF('PatientFollowUp-ConceptMap-2'!S31=0,"//---END",'PatientFollowUp-ConceptMap-2'!S31)</f>
        <v>* group[=].element[=].target.equivalence = #unmatched</v>
      </c>
    </row>
    <row r="82" spans="2:2">
      <c r="B82" s="12" t="str">
        <f>IF('PatientFollowUp-ConceptMap-2'!S32=0,"//---END",'PatientFollowUp-ConceptMap-2'!S32)</f>
        <v/>
      </c>
    </row>
    <row r="83" spans="2:2">
      <c r="B83" s="12" t="str">
        <f>IF('PatientFollowUp-ConceptMap-2'!S33=0,"//---END",'PatientFollowUp-ConceptMap-2'!S33)</f>
        <v>* group[=].element[+].code = #PatientFollowUpI4rc.newCancerDiagnosis</v>
      </c>
    </row>
    <row r="84" spans="2:2">
      <c r="B84" s="12" t="str">
        <f>IF('PatientFollowUp-ConceptMap-2'!S34=0,"//---END",'PatientFollowUp-ConceptMap-2'!S34)</f>
        <v>* group[=].element[=].display = ##34#New cancer diagnosis##34#</v>
      </c>
    </row>
    <row r="85" spans="2:2">
      <c r="B85" s="12" t="str">
        <f>IF('PatientFollowUp-ConceptMap-2'!S35=0,"//---END",'PatientFollowUp-ConceptMap-2'!S35)</f>
        <v>* group[=].element[=].target.code = #Encounter.extension:condition-occurredFollowing</v>
      </c>
    </row>
    <row r="86" spans="2:2">
      <c r="B86" s="12" t="str">
        <f>IF('PatientFollowUp-ConceptMap-2'!S36=0,"//---END",'PatientFollowUp-ConceptMap-2'!S36)</f>
        <v>* group[=].element[=].target.display = ##34###34#</v>
      </c>
    </row>
    <row r="87" spans="2:2">
      <c r="B87" s="12" t="str">
        <f>IF('PatientFollowUp-ConceptMap-2'!S37=0,"//---END",'PatientFollowUp-ConceptMap-2'!S37)</f>
        <v>* group[=].element[=].target.equivalence = #relatedto</v>
      </c>
    </row>
    <row r="88" spans="2:2" ht="29.5">
      <c r="B88" s="12" t="str">
        <f>IF('PatientFollowUp-ConceptMap-2'!S38=0,"//---END",'PatientFollowUp-ConceptMap-2'!S38)</f>
        <v>* group[=].element[=].target.comment = ##34#If  extension:condition-occurredFollowing exists, this is a new primary cancer diagnosis identified during a follow up##34#</v>
      </c>
    </row>
    <row r="89" spans="2:2">
      <c r="B89" s="12" t="str">
        <f>IF('PatientFollowUp-ConceptMap-2'!S39=0,"//---END",'PatientFollowUp-ConceptMap-2'!S39)</f>
        <v>* group[=].element[+].code = #PatientFollowUpI4rc.dateOfNewCancerDiagnosis</v>
      </c>
    </row>
    <row r="90" spans="2:2">
      <c r="B90" s="12" t="str">
        <f>IF('PatientFollowUp-ConceptMap-2'!S40=0,"//---END",'PatientFollowUp-ConceptMap-2'!S40)</f>
        <v>* group[=].element[=].display = ##34#Date of new cancer diagnosis##34#</v>
      </c>
    </row>
    <row r="91" spans="2:2">
      <c r="B91" s="12" t="str">
        <f>IF('PatientFollowUp-ConceptMap-2'!S41=0,"//---END",'PatientFollowUp-ConceptMap-2'!S41)</f>
        <v>* group[=].element[=].target.code = #Encounter.extension:assertedDate</v>
      </c>
    </row>
    <row r="92" spans="2:2">
      <c r="B92" s="12" t="str">
        <f>IF('PatientFollowUp-ConceptMap-2'!S42=0,"//---END",'PatientFollowUp-ConceptMap-2'!S42)</f>
        <v>* group[=].element[=].target.display = ##34###34#</v>
      </c>
    </row>
    <row r="93" spans="2:2">
      <c r="B93" s="12" t="str">
        <f>IF('PatientFollowUp-ConceptMap-2'!S43=0,"//---END",'PatientFollowUp-ConceptMap-2'!S43)</f>
        <v>* group[=].element[=].target.equivalence = #relatedto</v>
      </c>
    </row>
    <row r="94" spans="2:2">
      <c r="B94" s="12" t="str">
        <f>IF('PatientFollowUp-ConceptMap-2'!S44=0,"//---END",'PatientFollowUp-ConceptMap-2'!S44)</f>
        <v>* group[=].element[=].target.comment = ##34#to be checked##34#</v>
      </c>
    </row>
    <row r="95" spans="2:2">
      <c r="B95" s="12" t="str">
        <f>IF('PatientFollowUp-ConceptMap-2'!S45=0,"//---END",'PatientFollowUp-ConceptMap-2'!S45)</f>
        <v>* group[=].element[+].code = #PatientFollowUpI4rc.newCancerTopography</v>
      </c>
    </row>
    <row r="96" spans="2:2">
      <c r="B96" s="12" t="str">
        <f>IF('PatientFollowUp-ConceptMap-2'!S46=0,"//---END",'PatientFollowUp-ConceptMap-2'!S46)</f>
        <v>* group[=].element[=].display = ##34#New cancer topography##34#</v>
      </c>
    </row>
    <row r="97" spans="2:2">
      <c r="B97" s="12" t="str">
        <f>IF('PatientFollowUp-ConceptMap-2'!S47=0,"//---END",'PatientFollowUp-ConceptMap-2'!S47)</f>
        <v>* group[=].element[=].target.code = #Encounter.bodySite</v>
      </c>
    </row>
    <row r="98" spans="2:2">
      <c r="B98" s="12" t="str">
        <f>IF('PatientFollowUp-ConceptMap-2'!S48=0,"//---END",'PatientFollowUp-ConceptMap-2'!S48)</f>
        <v>* group[=].element[=].target.display = ##34###34#</v>
      </c>
    </row>
    <row r="99" spans="2:2">
      <c r="B99" s="12" t="str">
        <f>IF('PatientFollowUp-ConceptMap-2'!S49=0,"//---END",'PatientFollowUp-ConceptMap-2'!S49)</f>
        <v>* group[=].element[=].target.equivalence = #relatedto</v>
      </c>
    </row>
    <row r="100" spans="2:2">
      <c r="B100" s="12" t="str">
        <f>IF('PatientFollowUp-ConceptMap-2'!S50=0,"//---END",'PatientFollowUp-ConceptMap-2'!S50)</f>
        <v>* group[=].element[=].target.comment = ##34#to be checked##34#</v>
      </c>
    </row>
    <row r="101" spans="2:2">
      <c r="B101" s="12" t="str">
        <f>IF('PatientFollowUp-ConceptMap-2'!S51=0,"//---END",'PatientFollowUp-ConceptMap-2'!S51)</f>
        <v>//---END</v>
      </c>
    </row>
    <row r="102" spans="2:2">
      <c r="B102" s="12" t="str">
        <f>IF('PatientFollowUp-ConceptMap-2'!S52=0,"//---END",'PatientFollowUp-ConceptMap-2'!S52)</f>
        <v>//---END</v>
      </c>
    </row>
    <row r="103" spans="2:2">
      <c r="B103" s="12" t="str">
        <f>IF('PatientFollowUp-ConceptMap-2'!S53=0,"//---END",'PatientFollowUp-ConceptMap-2'!S53)</f>
        <v>//---END</v>
      </c>
    </row>
    <row r="104" spans="2:2">
      <c r="B104" s="12"/>
    </row>
    <row r="105" spans="2:2">
      <c r="B105" s="12"/>
    </row>
    <row r="106" spans="2:2">
      <c r="B106" s="12"/>
    </row>
    <row r="107" spans="2:2">
      <c r="B107" s="12"/>
    </row>
    <row r="108" spans="2:2">
      <c r="B108" s="12"/>
    </row>
    <row r="109" spans="2:2">
      <c r="B109" s="12"/>
    </row>
    <row r="110" spans="2:2">
      <c r="B110" s="12"/>
    </row>
    <row r="111" spans="2:2">
      <c r="B111" s="12"/>
    </row>
    <row r="112" spans="2:2">
      <c r="B112" s="12"/>
    </row>
    <row r="113" spans="2:2">
      <c r="B113" s="12"/>
    </row>
    <row r="114" spans="2:2">
      <c r="B114" s="12"/>
    </row>
    <row r="115" spans="2:2">
      <c r="B115" s="12"/>
    </row>
    <row r="116" spans="2:2">
      <c r="B116" s="12"/>
    </row>
    <row r="117" spans="2:2">
      <c r="B117" s="12"/>
    </row>
    <row r="118" spans="2:2">
      <c r="B118" s="12"/>
    </row>
    <row r="119" spans="2:2">
      <c r="B119" s="12"/>
    </row>
    <row r="120" spans="2:2">
      <c r="B120" s="12"/>
    </row>
    <row r="121" spans="2:2">
      <c r="B121" s="12"/>
    </row>
    <row r="122" spans="2:2">
      <c r="B122" s="12"/>
    </row>
    <row r="123" spans="2:2">
      <c r="B123" s="12"/>
    </row>
    <row r="124" spans="2:2">
      <c r="B124" s="12"/>
    </row>
    <row r="125" spans="2:2">
      <c r="B125" s="12"/>
    </row>
    <row r="126" spans="2:2">
      <c r="B126" s="12"/>
    </row>
    <row r="127" spans="2:2">
      <c r="B127" s="12"/>
    </row>
    <row r="128" spans="2:2">
      <c r="B128" s="12"/>
    </row>
    <row r="129" spans="2:2">
      <c r="B129" s="12"/>
    </row>
    <row r="130" spans="2:2">
      <c r="B130" s="12"/>
    </row>
    <row r="131" spans="2:2">
      <c r="B131" s="12"/>
    </row>
    <row r="132" spans="2:2">
      <c r="B132" s="12"/>
    </row>
    <row r="133" spans="2:2">
      <c r="B133" s="12"/>
    </row>
    <row r="134" spans="2:2">
      <c r="B134" s="12"/>
    </row>
    <row r="135" spans="2:2">
      <c r="B135" s="12"/>
    </row>
    <row r="136" spans="2:2">
      <c r="B136" s="12"/>
    </row>
    <row r="137" spans="2:2">
      <c r="B137" s="12"/>
    </row>
    <row r="138" spans="2:2">
      <c r="B138" s="12"/>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row r="163" spans="2:2">
      <c r="B163" s="12"/>
    </row>
    <row r="164" spans="2:2">
      <c r="B164" s="12"/>
    </row>
    <row r="165" spans="2:2">
      <c r="B165" s="12"/>
    </row>
    <row r="166" spans="2:2">
      <c r="B166" s="12"/>
    </row>
    <row r="167" spans="2:2">
      <c r="B167" s="12"/>
    </row>
    <row r="168" spans="2:2">
      <c r="B168" s="12"/>
    </row>
    <row r="169" spans="2:2">
      <c r="B169" s="12"/>
    </row>
    <row r="170" spans="2:2">
      <c r="B170" s="12"/>
    </row>
    <row r="171" spans="2:2">
      <c r="B171" s="12"/>
    </row>
    <row r="172" spans="2:2">
      <c r="B172" s="12"/>
    </row>
    <row r="173" spans="2:2">
      <c r="B173" s="12"/>
    </row>
    <row r="174" spans="2:2">
      <c r="B174" s="12"/>
    </row>
    <row r="175" spans="2:2">
      <c r="B175" s="12"/>
    </row>
    <row r="176" spans="2:2">
      <c r="B176" s="12"/>
    </row>
    <row r="177" spans="2:2">
      <c r="B177" s="12"/>
    </row>
    <row r="178" spans="2:2">
      <c r="B178" s="12"/>
    </row>
    <row r="179" spans="2:2">
      <c r="B179" s="12"/>
    </row>
    <row r="180" spans="2:2">
      <c r="B180" s="12"/>
    </row>
    <row r="181" spans="2:2">
      <c r="B181" s="12"/>
    </row>
    <row r="182" spans="2:2">
      <c r="B182" s="12"/>
    </row>
    <row r="183" spans="2:2">
      <c r="B183" s="12"/>
    </row>
    <row r="184" spans="2:2">
      <c r="B184" s="12"/>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2348</v>
      </c>
      <c r="J4" s="16" t="str">
        <f>CONCATENATE("Logical: ",B4)</f>
        <v>Logical: TreatmentResponseI4rc</v>
      </c>
    </row>
    <row r="5" spans="1:12" ht="15.5" thickBot="1">
      <c r="A5" s="14" t="s">
        <v>16</v>
      </c>
      <c r="B5" s="45" t="s">
        <v>2279</v>
      </c>
      <c r="J5" s="16" t="str">
        <f>CONCATENATE("Id: ",B5)</f>
        <v>Id: TreatmentResponse</v>
      </c>
    </row>
    <row r="6" spans="1:12" ht="15.5" thickBot="1">
      <c r="A6" s="14" t="s">
        <v>10</v>
      </c>
      <c r="B6" s="45" t="s">
        <v>2281</v>
      </c>
      <c r="J6" s="17" t="str">
        <f>CONCATENATE("Title: ##34#",B6,"##34#")</f>
        <v>Title: ##34#Treatment Response##34#</v>
      </c>
    </row>
    <row r="7" spans="1:12">
      <c r="A7" s="26" t="s">
        <v>2</v>
      </c>
      <c r="B7" s="45" t="s">
        <v>2281</v>
      </c>
      <c r="C7" s="9" t="s">
        <v>3</v>
      </c>
      <c r="D7" s="1" t="s">
        <v>4</v>
      </c>
      <c r="E7" s="3" t="s">
        <v>5</v>
      </c>
      <c r="F7" s="3" t="s">
        <v>6</v>
      </c>
      <c r="G7" s="3" t="s">
        <v>7</v>
      </c>
      <c r="H7" s="105" t="s">
        <v>1610</v>
      </c>
      <c r="J7" s="17" t="str">
        <f>CONCATENATE("Description: "," ##334#",B7,"##334#",)</f>
        <v>Description:  ##334#Treatment Response##334#</v>
      </c>
    </row>
    <row r="8" spans="1:12" ht="59">
      <c r="A8" s="100">
        <v>0</v>
      </c>
      <c r="B8" s="11" t="s">
        <v>2282</v>
      </c>
      <c r="C8" s="11" t="s">
        <v>2283</v>
      </c>
      <c r="D8" s="11" t="s">
        <v>1921</v>
      </c>
      <c r="E8" s="11">
        <v>1</v>
      </c>
      <c r="F8" s="11">
        <v>1</v>
      </c>
      <c r="G8" s="118" t="s">
        <v>1965</v>
      </c>
      <c r="H8" s="12"/>
      <c r="I8" s="25"/>
      <c r="J8" s="12" t="str">
        <f t="shared" ref="J8:J40" si="0">CONCATENATE("* ",B8, " ",E8,"..",F8," ",G8," ##34#",C8,"##34# ##334#",D8,"##334#")</f>
        <v>* cancerEpisodeReference 1..1 http://hl7.eu/fhir/ig/idea4rc/StructureDefinition/CancerEpisode ##34#Cancer Episode reference##34# ##334#CancerEpisode element containing the data regarding the patient's cancer##334#</v>
      </c>
      <c r="L8" s="12" t="str">
        <f>IF(H8="",IF(J8="*  ..  ##34###34# ##334###334#",J8,""),IF(J8="*  ..  ##34###34# ##334###334#",J8,CONCATENATE("* ",B8," ^comment = ##334#",H8,"##334#")))</f>
        <v/>
      </c>
    </row>
    <row r="9" spans="1:12" s="2" customFormat="1" ht="103.25">
      <c r="A9" s="100">
        <v>1</v>
      </c>
      <c r="B9" s="57" t="s">
        <v>2280</v>
      </c>
      <c r="C9" s="11" t="s">
        <v>2032</v>
      </c>
      <c r="D9" s="11" t="s">
        <v>2284</v>
      </c>
      <c r="E9" s="11">
        <v>1</v>
      </c>
      <c r="F9" s="11">
        <v>1</v>
      </c>
      <c r="G9" s="119" t="s">
        <v>1764</v>
      </c>
      <c r="H9" s="12" t="s">
        <v>2285</v>
      </c>
      <c r="I9" s="25"/>
      <c r="J9" s="12" t="str">
        <f t="shared" si="0"/>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K9"/>
      <c r="L9" s="12" t="str">
        <f t="shared" ref="L9:L40" si="1">IF(H9="",IF(J9="*  ..  ##34###34# ##334###334#",J9,""),IF(J9="*  ..  ##34###34# ##334###334#",J9,CONCATENATE("* ",B9," ^comment = ##334#",H9,"##334#")))</f>
        <v>* treatmentResponse ^comment = ##334#Complete response; partial response; stable disease; progression; unknown
Complete response - 4163135
Partial response -  4161302
Stable disease - 4241442
Progression - 4168352
Unknown - 4129922##334#</v>
      </c>
    </row>
    <row r="10" spans="1:12" s="2" customFormat="1" ht="44.25">
      <c r="A10" s="100">
        <v>2</v>
      </c>
      <c r="B10" s="57" t="s">
        <v>2289</v>
      </c>
      <c r="C10" s="11" t="s">
        <v>2286</v>
      </c>
      <c r="D10" s="11" t="s">
        <v>2287</v>
      </c>
      <c r="E10" s="11">
        <v>1</v>
      </c>
      <c r="F10" s="11">
        <v>1</v>
      </c>
      <c r="G10" s="11" t="s">
        <v>1764</v>
      </c>
      <c r="H10" s="12" t="s">
        <v>2288</v>
      </c>
      <c r="I10" s="25"/>
      <c r="J10" s="12" t="str">
        <f t="shared" si="0"/>
        <v>* whereDone 1..1 CodeableConcept ##34#Treatment response defined/done##34# ##334#refers to whether overall treatment reponse was assessed at the registering hospital or another.##334#</v>
      </c>
      <c r="K10"/>
      <c r="L10" s="12" t="str">
        <f t="shared" si="1"/>
        <v>* whereDone ^comment = ##334#At the hospital; At a different hospital
Custom##334#</v>
      </c>
    </row>
    <row r="11" spans="1:12" s="2" customFormat="1">
      <c r="A11" s="100"/>
      <c r="B11" s="119"/>
      <c r="C11" s="11"/>
      <c r="D11" s="11"/>
      <c r="E11" s="11"/>
      <c r="F11" s="11"/>
      <c r="G11" s="11"/>
      <c r="H11" s="12"/>
      <c r="I11" s="25"/>
      <c r="J11" s="12" t="str">
        <f t="shared" si="0"/>
        <v>*  ..  ##34###34# ##334###334#</v>
      </c>
      <c r="K11"/>
      <c r="L11" s="12" t="str">
        <f t="shared" si="1"/>
        <v>*  ..  ##34###34# ##334###334#</v>
      </c>
    </row>
    <row r="12" spans="1:12" s="2" customFormat="1">
      <c r="A12" s="100"/>
      <c r="B12" s="11"/>
      <c r="C12" s="11"/>
      <c r="D12" s="11"/>
      <c r="E12" s="11"/>
      <c r="F12" s="11"/>
      <c r="G12" s="11"/>
      <c r="H12" s="12"/>
      <c r="I12" s="25"/>
      <c r="J12" s="12" t="str">
        <f t="shared" si="0"/>
        <v>*  ..  ##34###34# ##334###334#</v>
      </c>
      <c r="K12"/>
      <c r="L12" s="12" t="str">
        <f t="shared" si="1"/>
        <v>*  ..  ##34###34# ##334###334#</v>
      </c>
    </row>
    <row r="13" spans="1:12" s="2" customFormat="1">
      <c r="A13" s="100"/>
      <c r="B13" s="11"/>
      <c r="C13" s="11"/>
      <c r="D13" s="11"/>
      <c r="E13" s="11"/>
      <c r="F13" s="11"/>
      <c r="G13" s="11"/>
      <c r="H13" s="12"/>
      <c r="I13" s="25"/>
      <c r="J13" s="12" t="str">
        <f t="shared" si="0"/>
        <v>*  ..  ##34###34# ##334###334#</v>
      </c>
      <c r="K13"/>
      <c r="L13" s="12" t="str">
        <f t="shared" si="1"/>
        <v>*  ..  ##34###34# ##334###334#</v>
      </c>
    </row>
    <row r="14" spans="1:12" s="2" customFormat="1">
      <c r="A14" s="100">
        <v>5</v>
      </c>
      <c r="B14" s="11"/>
      <c r="C14" s="11"/>
      <c r="D14" s="11"/>
      <c r="E14" s="11"/>
      <c r="F14" s="11"/>
      <c r="G14" s="11"/>
      <c r="H14" s="12"/>
      <c r="I14" s="25"/>
      <c r="J14" s="12" t="str">
        <f t="shared" si="0"/>
        <v>*  ..  ##34###34# ##334###334#</v>
      </c>
      <c r="K14"/>
      <c r="L14" s="12" t="str">
        <f t="shared" si="1"/>
        <v>*  ..  ##34###34# ##334###334#</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si="1"/>
        <v>*  ..  ##34###34# ##334###334#</v>
      </c>
    </row>
    <row r="17" spans="1:13" s="2" customFormat="1">
      <c r="A17" s="100">
        <v>8</v>
      </c>
      <c r="B17" s="11"/>
      <c r="C17" s="11"/>
      <c r="D17" s="11"/>
      <c r="E17" s="11"/>
      <c r="F17" s="11"/>
      <c r="G17" s="11"/>
      <c r="H17" s="12"/>
      <c r="I17" s="25"/>
      <c r="J17" s="12" t="str">
        <f t="shared" si="0"/>
        <v>*  ..  ##34###34# ##334###334#</v>
      </c>
      <c r="K17"/>
      <c r="L17" s="12" t="str">
        <f t="shared" si="1"/>
        <v>*  ..  ##34###34# ##334###334#</v>
      </c>
    </row>
    <row r="18" spans="1:13">
      <c r="A18" s="100">
        <v>9</v>
      </c>
      <c r="B18" s="11"/>
      <c r="C18" s="11"/>
      <c r="D18" s="11"/>
      <c r="E18" s="11"/>
      <c r="F18" s="11"/>
      <c r="G18" s="11"/>
      <c r="H18" s="12"/>
      <c r="I18" s="25"/>
      <c r="J18" s="12" t="str">
        <f t="shared" si="0"/>
        <v>*  ..  ##34###34# ##334###334#</v>
      </c>
      <c r="L18" s="12" t="str">
        <f t="shared" si="1"/>
        <v>*  ..  ##34###34# ##334###334#</v>
      </c>
    </row>
    <row r="19" spans="1:13">
      <c r="A19" s="100">
        <v>10</v>
      </c>
      <c r="B19" s="11"/>
      <c r="C19" s="11"/>
      <c r="D19" s="11"/>
      <c r="E19" s="11"/>
      <c r="F19" s="11"/>
      <c r="G19" s="11"/>
      <c r="H19" s="12"/>
      <c r="J19" s="12" t="str">
        <f t="shared" si="0"/>
        <v>*  ..  ##34###34# ##334###334#</v>
      </c>
      <c r="L19" s="12" t="str">
        <f t="shared" si="1"/>
        <v>*  ..  ##34###34# ##334###334#</v>
      </c>
    </row>
    <row r="20" spans="1:13">
      <c r="A20" s="100">
        <v>11</v>
      </c>
      <c r="B20" s="11"/>
      <c r="C20" s="11"/>
      <c r="D20" s="11"/>
      <c r="E20" s="11"/>
      <c r="F20" s="11"/>
      <c r="G20" s="11"/>
      <c r="H20" s="12"/>
      <c r="J20" s="12" t="str">
        <f t="shared" si="0"/>
        <v>*  ..  ##34###34# ##334###334#</v>
      </c>
      <c r="L20" s="12" t="str">
        <f t="shared" si="1"/>
        <v>*  ..  ##34###34# ##334###334#</v>
      </c>
    </row>
    <row r="21" spans="1:13">
      <c r="A21" s="100">
        <v>12</v>
      </c>
      <c r="B21" s="11"/>
      <c r="C21" s="11"/>
      <c r="D21" s="11"/>
      <c r="E21" s="11"/>
      <c r="F21" s="11"/>
      <c r="G21" s="11"/>
      <c r="H21" s="12"/>
      <c r="J21" s="12" t="str">
        <f t="shared" si="0"/>
        <v>*  ..  ##34###34# ##334###334#</v>
      </c>
      <c r="L21" s="12" t="str">
        <f t="shared" si="1"/>
        <v>*  ..  ##34###34# ##334###334#</v>
      </c>
    </row>
    <row r="22" spans="1:13">
      <c r="A22" s="100">
        <v>13</v>
      </c>
      <c r="B22" s="11"/>
      <c r="C22" s="11"/>
      <c r="D22" s="11"/>
      <c r="E22" s="11"/>
      <c r="F22" s="11"/>
      <c r="G22" s="11"/>
      <c r="H22" s="12"/>
      <c r="J22" s="12" t="str">
        <f t="shared" si="0"/>
        <v>*  ..  ##34###34# ##334###334#</v>
      </c>
      <c r="L22" s="12" t="str">
        <f t="shared" si="1"/>
        <v>*  ..  ##34###34# ##334###334#</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A1:G43"/>
  <sheetViews>
    <sheetView workbookViewId="0">
      <selection activeCell="L8" sqref="L8:L40"/>
    </sheetView>
  </sheetViews>
  <sheetFormatPr defaultRowHeight="14.75"/>
  <cols>
    <col min="3" max="3" width="108.2265625" style="12" customWidth="1"/>
    <col min="7" max="7" width="29.54296875" customWidth="1"/>
    <col min="8" max="8" width="54.90625" customWidth="1"/>
  </cols>
  <sheetData>
    <row r="1" spans="1:7" ht="15.5" thickBot="1">
      <c r="C1" s="23" t="str">
        <f>TreatmentResponse!J1</f>
        <v>//===================================================</v>
      </c>
    </row>
    <row r="2" spans="1:7" ht="16.75" thickBot="1">
      <c r="C2" s="24" t="str">
        <f>TreatmentResponse!J2</f>
        <v>//  Logical Model</v>
      </c>
      <c r="G2" s="29" t="s">
        <v>2290</v>
      </c>
    </row>
    <row r="3" spans="1:7">
      <c r="C3" s="24" t="str">
        <f>TreatmentResponse!J3</f>
        <v>//===================================================</v>
      </c>
    </row>
    <row r="4" spans="1:7">
      <c r="C4" s="16" t="str">
        <f>TreatmentResponse!J4</f>
        <v>Logical: TreatmentResponseI4rc</v>
      </c>
    </row>
    <row r="5" spans="1:7">
      <c r="C5" s="16" t="str">
        <f>TreatmentResponse!J5</f>
        <v>Id: TreatmentResponse</v>
      </c>
    </row>
    <row r="6" spans="1:7">
      <c r="C6" s="16" t="str">
        <f>TreatmentResponse!J6</f>
        <v>Title: ##34#Treatment Response##34#</v>
      </c>
    </row>
    <row r="7" spans="1:7">
      <c r="C7" s="16" t="str">
        <f>TreatmentResponse!J7</f>
        <v>Description:  ##334#Treatment Response##334#</v>
      </c>
    </row>
    <row r="8" spans="1:7" ht="29.5">
      <c r="A8" s="100"/>
      <c r="C8" s="12" t="str">
        <f>IF(TreatmentResponse!J8="*  ..  ##34###34# ##334###334#","//--- END",TreatmentResponse!J8)</f>
        <v>* cancerEpisodeReference 1..1 http://hl7.eu/fhir/ig/idea4rc/StructureDefinition/CancerEpisode ##34#Cancer Episode reference##34# ##334#CancerEpisode element containing the data regarding the patient's cancer##334#</v>
      </c>
    </row>
    <row r="9" spans="1:7" ht="59">
      <c r="A9" s="100"/>
      <c r="C9" s="12" t="str">
        <f>IF(TreatmentResponse!J9="*  ..  ##34###34# ##334###334#","//--- END",TreatmentResponse!J9)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1:7" ht="29.5">
      <c r="A10" s="100"/>
      <c r="C10" s="12" t="str">
        <f>IF(TreatmentResponse!J10="*  ..  ##34###34# ##334###334#","//--- END",TreatmentResponse!J10)</f>
        <v>* whereDone 1..1 CodeableConcept ##34#Treatment response defined/done##34# ##334#refers to whether overall treatment reponse was assessed at the registering hospital or another.##334#</v>
      </c>
    </row>
    <row r="11" spans="1:7">
      <c r="C11" s="12" t="str">
        <f>IF(TreatmentResponse!J11="*  ..  ##34###34# ##334###334#","//--- END",TreatmentResponse!J11)</f>
        <v>//--- END</v>
      </c>
    </row>
    <row r="12" spans="1:7">
      <c r="C12" s="12" t="str">
        <f>IF(TreatmentResponse!J12="*  ..  ##34###34# ##334###334#","//--- END",TreatmentResponse!J12)</f>
        <v>//--- END</v>
      </c>
    </row>
    <row r="13" spans="1:7">
      <c r="C13" s="12" t="str">
        <f>IF(TreatmentResponse!J13="*  ..  ##34###34# ##334###334#","//--- END",TreatmentResponse!J13)</f>
        <v>//--- END</v>
      </c>
    </row>
    <row r="14" spans="1:7">
      <c r="C14" s="12" t="str">
        <f>IF(TreatmentResponse!J14="*  ..  ##34###34# ##334###334#","//--- END",TreatmentResponse!J14)</f>
        <v>//--- END</v>
      </c>
    </row>
    <row r="15" spans="1:7">
      <c r="C15" s="12" t="str">
        <f>IF(TreatmentResponse!J15="*  ..  ##34###34# ##334###334#","//--- END",TreatmentResponse!J15)</f>
        <v>//--- END</v>
      </c>
    </row>
    <row r="16" spans="1:7">
      <c r="C16" s="12" t="str">
        <f>IF(TreatmentResponse!J16="*  ..  ##34###34# ##334###334#","//--- END",TreatmentResponse!J16)</f>
        <v>//--- END</v>
      </c>
    </row>
    <row r="17" spans="3:3">
      <c r="C17" s="12" t="str">
        <f>IF(TreatmentResponse!J17="*  ..  ##34###34# ##334###334#","//--- END",TreatmentResponse!J17)</f>
        <v>//--- END</v>
      </c>
    </row>
    <row r="18" spans="3:3">
      <c r="C18" s="12" t="str">
        <f>IF(TreatmentResponse!J18="*  ..  ##34###34# ##334###334#","//--- END",TreatmentResponse!J18)</f>
        <v>//--- END</v>
      </c>
    </row>
    <row r="19" spans="3:3">
      <c r="C19" s="12" t="str">
        <f>IF(TreatmentResponse!J19="*  ..  ##34###34# ##334###334#","//--- END",TreatmentResponse!J19)</f>
        <v>//--- END</v>
      </c>
    </row>
    <row r="20" spans="3:3">
      <c r="C20" s="12" t="str">
        <f>IF(TreatmentResponse!J20="*  ..  ##34###34# ##334###334#","//--- END",TreatmentResponse!J20)</f>
        <v>//--- END</v>
      </c>
    </row>
    <row r="21" spans="3:3">
      <c r="C21" s="12" t="str">
        <f>IF(TreatmentResponse!J21="*  ..  ##34###34# ##334###334#","//--- END",TreatmentResponse!J21)</f>
        <v>//--- END</v>
      </c>
    </row>
    <row r="22" spans="3:3">
      <c r="C22" s="12" t="str">
        <f>IF(TreatmentResponse!J22="*  ..  ##34###34# ##334###334#","//--- END",TreatmentResponse!J22)</f>
        <v>//--- END</v>
      </c>
    </row>
    <row r="23" spans="3:3">
      <c r="C23" s="12" t="str">
        <f>IF(TreatmentResponse!J23="*  ..  ##34###34# ##334###334#","//--- END",TreatmentResponse!J23)</f>
        <v>//--- END</v>
      </c>
    </row>
    <row r="24" spans="3:3">
      <c r="C24" s="12" t="str">
        <f>IF(TreatmentResponse!J24="*  ..  ##34###34# ##334###334#","//--- END",TreatmentResponse!J24)</f>
        <v>//--- END</v>
      </c>
    </row>
    <row r="31" spans="3:3">
      <c r="C31" s="23" t="s">
        <v>1613</v>
      </c>
    </row>
    <row r="32" spans="3:3">
      <c r="C32" s="24" t="s">
        <v>1651</v>
      </c>
    </row>
    <row r="33" spans="3:3">
      <c r="C33" s="24" t="s">
        <v>1613</v>
      </c>
    </row>
    <row r="34" spans="3:3">
      <c r="C34" s="12" t="str">
        <f>IF(TreatmentResponse!L8="*  ..  ##34###34# ##334###334#","//--- END",TreatmentResponse!L8)</f>
        <v/>
      </c>
    </row>
    <row r="35" spans="3:3" ht="88.5">
      <c r="C35" s="12" t="str">
        <f>IF(TreatmentResponse!L9="*  ..  ##34###34# ##334###334#","//--- END",TreatmentResponse!L9)</f>
        <v>* treatmentResponse ^comment = ##334#Complete response; partial response; stable disease; progression; unknown
Complete response - 4163135
Partial response -  4161302
Stable disease - 4241442
Progression - 4168352
Unknown - 4129922##334#</v>
      </c>
    </row>
    <row r="36" spans="3:3" ht="29.5">
      <c r="C36" s="12" t="str">
        <f>IF(TreatmentResponse!L10="*  ..  ##34###34# ##334###334#","//--- END",TreatmentResponse!L10)</f>
        <v>* whereDone ^comment = ##334#At the hospital; At a different hospital
Custom##334#</v>
      </c>
    </row>
    <row r="37" spans="3:3">
      <c r="C37" s="12" t="str">
        <f>IF(TreatmentResponse!L11="*  ..  ##34###34# ##334###334#","//--- END",TreatmentResponse!L11)</f>
        <v>//--- END</v>
      </c>
    </row>
    <row r="38" spans="3:3">
      <c r="C38" s="12" t="str">
        <f>IF(TreatmentResponse!L12="*  ..  ##34###34# ##334###334#","//--- END",TreatmentResponse!L12)</f>
        <v>//--- END</v>
      </c>
    </row>
    <row r="39" spans="3:3">
      <c r="C39" s="12" t="str">
        <f>IF(TreatmentResponse!L13="*  ..  ##34###34# ##334###334#","//--- END",TreatmentResponse!L13)</f>
        <v>//--- END</v>
      </c>
    </row>
    <row r="40" spans="3:3">
      <c r="C40" s="12" t="str">
        <f>IF(TreatmentResponse!L14="*  ..  ##34###34# ##334###334#","//--- END",TreatmentResponse!L14)</f>
        <v>//--- END</v>
      </c>
    </row>
    <row r="41" spans="3:3">
      <c r="C41" s="12" t="str">
        <f>IF(TreatmentResponse!L15="*  ..  ##34###34# ##334###334#","//--- END",TreatmentResponse!L15)</f>
        <v>//--- END</v>
      </c>
    </row>
    <row r="42" spans="3:3">
      <c r="C42" s="12" t="str">
        <f>IF(TreatmentResponse!L16="*  ..  ##34###34# ##334###334#","//--- END",TreatmentResponse!L16)</f>
        <v>//--- END</v>
      </c>
    </row>
    <row r="43" spans="3:3">
      <c r="C43" s="12" t="str">
        <f>IF(TreatmentResponse!L17="*  ..  ##34###34# ##334###334#","//--- END",TreatmentResponse!L17)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2291</v>
      </c>
      <c r="D3" s="62" t="s">
        <v>1769</v>
      </c>
      <c r="E3" s="117" t="str">
        <f>$C$1&amp;B14</f>
        <v>http://hl7.eu/fhir/ig/idea4rc/StructureDefinition/TreatmentResponseI4rc</v>
      </c>
    </row>
    <row r="4" spans="1:19">
      <c r="B4" s="62" t="s">
        <v>16</v>
      </c>
      <c r="C4" s="28" t="s">
        <v>2291</v>
      </c>
      <c r="D4" s="62" t="s">
        <v>1770</v>
      </c>
      <c r="E4" s="184" t="s">
        <v>2242</v>
      </c>
      <c r="F4" s="185"/>
      <c r="G4" s="185"/>
    </row>
    <row r="5" spans="1:19">
      <c r="B5" s="62" t="s">
        <v>10</v>
      </c>
      <c r="C5" s="7" t="s">
        <v>2199</v>
      </c>
      <c r="D5" s="62"/>
      <c r="E5" s="7"/>
    </row>
    <row r="6" spans="1:19">
      <c r="B6" s="62" t="s">
        <v>18</v>
      </c>
      <c r="C6" s="56"/>
      <c r="D6" s="62" t="s">
        <v>1771</v>
      </c>
      <c r="E6" s="184" t="str">
        <f>E3</f>
        <v>http://hl7.eu/fhir/ig/idea4rc/StructureDefinition/TreatmentResponseI4rc</v>
      </c>
      <c r="F6" s="185"/>
      <c r="G6" s="185"/>
    </row>
    <row r="7" spans="1:19">
      <c r="B7" s="62" t="s">
        <v>15</v>
      </c>
      <c r="C7" s="118"/>
      <c r="D7" s="62" t="s">
        <v>1772</v>
      </c>
      <c r="E7" s="184" t="str">
        <f>E4</f>
        <v>http://hl7.eu/fhir/ig/idea4rc/StructureDefinition/Procedure-radiotheraphy-eu-i4rc</v>
      </c>
      <c r="F7" s="185"/>
      <c r="G7" s="185"/>
    </row>
    <row r="8" spans="1:19" ht="45" thickBot="1">
      <c r="B8" s="62" t="s">
        <v>1773</v>
      </c>
      <c r="C8" s="7" t="s">
        <v>2199</v>
      </c>
      <c r="D8" s="62"/>
      <c r="E8" s="7"/>
      <c r="I8" s="12" t="s">
        <v>1402</v>
      </c>
      <c r="J8" s="12" t="s">
        <v>1403</v>
      </c>
      <c r="K8" s="12" t="s">
        <v>1404</v>
      </c>
      <c r="L8" s="12" t="s">
        <v>1405</v>
      </c>
      <c r="M8" s="11" t="s">
        <v>1406</v>
      </c>
      <c r="P8" s="49" t="s">
        <v>1441</v>
      </c>
      <c r="Q8" s="49">
        <v>6</v>
      </c>
    </row>
    <row r="9" spans="1:19" ht="30.25" thickBot="1">
      <c r="B9" s="62" t="s">
        <v>1774</v>
      </c>
      <c r="C9" s="12" t="s">
        <v>2200</v>
      </c>
      <c r="D9" s="143"/>
      <c r="E9" s="186"/>
      <c r="F9" s="187"/>
      <c r="G9" s="18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TreatmentResponse!B4</f>
        <v>TreatmentResponseI4rc</v>
      </c>
      <c r="C14" s="11"/>
      <c r="D14" s="4" t="s">
        <v>2182</v>
      </c>
      <c r="E14" s="6"/>
      <c r="F14" s="64"/>
      <c r="G14" s="64"/>
      <c r="I14" s="12"/>
      <c r="J14" s="11"/>
      <c r="K14" s="11"/>
      <c r="L14" s="11"/>
      <c r="M14" s="63"/>
      <c r="N14" s="66"/>
    </row>
    <row r="15" spans="1:19" ht="44.25">
      <c r="A15" s="59"/>
      <c r="B15" s="11"/>
      <c r="C15" s="11"/>
      <c r="D15" s="12"/>
      <c r="E15" s="12"/>
      <c r="F15" s="64"/>
      <c r="G15" s="123"/>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c r="A16" s="59"/>
      <c r="B16" s="11"/>
      <c r="C16" s="11"/>
      <c r="D16" s="12"/>
      <c r="E16" s="12"/>
      <c r="F16" s="64"/>
      <c r="G16" s="123"/>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c r="A17" s="59"/>
      <c r="B17" s="11"/>
      <c r="C17" s="11"/>
      <c r="D17" s="12"/>
      <c r="E17" s="12"/>
      <c r="F17" s="64"/>
      <c r="G17" s="123"/>
      <c r="H17" s="58"/>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c r="A18" s="59"/>
      <c r="B18" s="11"/>
      <c r="C18" s="11"/>
      <c r="D18" s="12"/>
      <c r="E18" s="12"/>
      <c r="F18" s="64"/>
      <c r="G18" s="123"/>
      <c r="H18" s="58"/>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c r="A19" s="59"/>
      <c r="B19" s="11"/>
      <c r="C19" s="11"/>
      <c r="D19" s="12"/>
      <c r="E19" s="12"/>
      <c r="F19" s="64"/>
      <c r="G19" s="123"/>
      <c r="H19" s="58"/>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c r="A20" s="59"/>
      <c r="B20" s="11"/>
      <c r="C20" s="11"/>
      <c r="D20" s="12"/>
      <c r="E20" s="12"/>
      <c r="F20" s="64"/>
      <c r="G20" s="123"/>
      <c r="H20" s="58"/>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c r="A21" s="59"/>
      <c r="B21" s="11"/>
      <c r="C21" s="11"/>
      <c r="D21" s="12"/>
      <c r="E21" s="12"/>
      <c r="F21" s="64"/>
      <c r="G21" s="123"/>
      <c r="H21" s="58"/>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c r="A22" s="59"/>
      <c r="B22" s="11"/>
      <c r="C22" s="11"/>
      <c r="D22" s="12"/>
      <c r="E22" s="12"/>
      <c r="F22" s="64"/>
      <c r="G22" s="123"/>
      <c r="H22" s="58"/>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c r="A23" s="59"/>
      <c r="B23" s="11"/>
      <c r="C23" s="11"/>
      <c r="D23" s="12"/>
      <c r="E23" s="12"/>
      <c r="F23" s="64"/>
      <c r="G23" s="123"/>
      <c r="H23" s="58"/>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c r="A24" s="59"/>
      <c r="B24" s="11"/>
      <c r="C24" s="11"/>
      <c r="D24" s="12"/>
      <c r="E24" s="12"/>
      <c r="F24" s="64"/>
      <c r="G24" s="123"/>
      <c r="H24" s="58"/>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c r="A25" s="59"/>
      <c r="B25" s="11"/>
      <c r="C25" s="11"/>
      <c r="D25" s="12"/>
      <c r="E25" s="12"/>
      <c r="F25" s="64"/>
      <c r="G25" s="123"/>
      <c r="H25" s="58"/>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c r="A26" s="59"/>
      <c r="B26" s="11"/>
      <c r="C26" s="11"/>
      <c r="D26" s="12"/>
      <c r="E26" s="12"/>
      <c r="F26" s="64"/>
      <c r="G26" s="123"/>
      <c r="H26" s="58"/>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c r="A27" s="59"/>
      <c r="B27" s="11"/>
      <c r="C27" s="11"/>
      <c r="D27" s="12"/>
      <c r="E27" s="12"/>
      <c r="F27" s="64"/>
      <c r="G27" s="123"/>
      <c r="H27" s="58"/>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c r="B28" s="11"/>
      <c r="C28" s="11"/>
      <c r="D28" s="12"/>
      <c r="E28" s="12"/>
      <c r="F28" s="64"/>
      <c r="G28" s="123"/>
      <c r="H28" s="58"/>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c r="B29" s="11"/>
      <c r="C29" s="11"/>
      <c r="D29" s="12"/>
      <c r="E29" s="12"/>
      <c r="F29" s="64"/>
      <c r="G29" s="123"/>
      <c r="H29" s="58"/>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c r="B30" s="11"/>
      <c r="C30" s="11"/>
      <c r="D30" s="12"/>
      <c r="E30" s="12"/>
      <c r="F30" s="64"/>
      <c r="G30" s="123"/>
      <c r="H30" s="58"/>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c r="B31" s="11"/>
      <c r="C31" s="11"/>
      <c r="D31" s="12"/>
      <c r="E31" s="12"/>
      <c r="F31" s="64"/>
      <c r="G31" s="123"/>
      <c r="H31" s="58"/>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c r="B32" s="11"/>
      <c r="C32" s="11"/>
      <c r="D32" s="12"/>
      <c r="E32" s="12"/>
      <c r="F32" s="64"/>
      <c r="G32" s="123"/>
      <c r="H32" s="58"/>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c r="B33" s="11"/>
      <c r="C33" s="11"/>
      <c r="D33" s="12"/>
      <c r="E33" s="12"/>
      <c r="F33" s="64"/>
      <c r="G33" s="123"/>
      <c r="H33" s="58"/>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c r="B34" s="11"/>
      <c r="C34" s="11"/>
      <c r="D34" s="12"/>
      <c r="E34" s="12"/>
      <c r="F34" s="64"/>
      <c r="G34" s="123"/>
      <c r="H34" s="58"/>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c r="B35" s="11"/>
      <c r="C35" s="11"/>
      <c r="D35" s="12"/>
      <c r="E35" s="12"/>
      <c r="F35" s="64"/>
      <c r="G35" s="123"/>
      <c r="H35" s="58"/>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c r="B36" s="11"/>
      <c r="C36" s="11"/>
      <c r="D36" s="12"/>
      <c r="E36" s="12"/>
      <c r="F36" s="64"/>
      <c r="G36" s="123"/>
      <c r="H36" s="58"/>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c r="B37" s="11"/>
      <c r="C37" s="11"/>
      <c r="D37" s="12"/>
      <c r="E37" s="12"/>
      <c r="F37" s="64"/>
      <c r="G37" s="123"/>
      <c r="H37" s="58"/>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c r="B38" s="11"/>
      <c r="C38" s="11"/>
      <c r="D38" s="12"/>
      <c r="E38" s="12"/>
      <c r="F38" s="64"/>
      <c r="G38" s="123"/>
      <c r="H38" s="58"/>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c r="B39" s="11"/>
      <c r="C39" s="11"/>
      <c r="D39" s="12"/>
      <c r="E39" s="12"/>
      <c r="F39" s="64"/>
      <c r="G39" s="123"/>
      <c r="H39" s="58"/>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c r="A40"/>
      <c r="B40" s="11"/>
      <c r="C40" s="11"/>
      <c r="D40" s="12"/>
      <c r="E40" s="12"/>
      <c r="F40" s="64"/>
      <c r="G40" s="123"/>
      <c r="H40" s="58"/>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c r="A41"/>
      <c r="B41" s="11"/>
      <c r="C41" s="11"/>
      <c r="D41" s="12"/>
      <c r="E41" s="12"/>
      <c r="F41" s="64"/>
      <c r="G41" s="123"/>
      <c r="H41" s="58"/>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c r="A42"/>
      <c r="B42" s="11"/>
      <c r="C42" s="11"/>
      <c r="D42" s="12"/>
      <c r="E42" s="12"/>
      <c r="F42" s="64"/>
      <c r="G42" s="123"/>
      <c r="H42" s="58"/>
      <c r="J42"/>
      <c r="K42" s="58"/>
      <c r="L42" s="58"/>
      <c r="M42" s="66"/>
      <c r="N42" s="66"/>
      <c r="P42" s="11">
        <v>28</v>
      </c>
      <c r="Q42" s="11">
        <f t="shared" si="5"/>
        <v>4</v>
      </c>
      <c r="R42" s="11">
        <f t="shared" si="6"/>
        <v>4</v>
      </c>
      <c r="S42" s="12" t="str" cm="1">
        <f t="array" ref="S42">INDEX('TreatmentRespon-ConceptMap-1'!$I$15:$N$124,Q42+1,R42)</f>
        <v>* group[=].element[=].target.display = ##34###34#</v>
      </c>
    </row>
    <row r="43" spans="1:19" s="2" customFormat="1">
      <c r="A43"/>
      <c r="B43" s="11"/>
      <c r="C43" s="11"/>
      <c r="D43" s="12"/>
      <c r="E43" s="12"/>
      <c r="F43" s="64"/>
      <c r="G43" s="123"/>
      <c r="H43" s="58"/>
      <c r="J43" s="58"/>
      <c r="K43" s="58"/>
      <c r="L43" s="58"/>
      <c r="M43" s="66"/>
      <c r="N43" s="66"/>
      <c r="P43" s="11">
        <v>29</v>
      </c>
      <c r="Q43" s="11">
        <f t="shared" si="5"/>
        <v>4</v>
      </c>
      <c r="R43" s="11">
        <f t="shared" si="6"/>
        <v>5</v>
      </c>
      <c r="S43" s="12" t="str" cm="1">
        <f t="array" ref="S43">INDEX('TreatmentRespon-ConceptMap-1'!$I$15:$N$124,Q43+1,R43)</f>
        <v>* group[=].element[=].target.equivalence = #</v>
      </c>
    </row>
    <row r="44" spans="1:19" s="2" customFormat="1">
      <c r="A44"/>
      <c r="B44" s="11"/>
      <c r="C44" s="11"/>
      <c r="D44" s="12"/>
      <c r="E44" s="12"/>
      <c r="F44" s="64"/>
      <c r="G44" s="123"/>
      <c r="H44" s="58"/>
      <c r="J44" s="58"/>
      <c r="K44" s="58"/>
      <c r="L44" s="58"/>
      <c r="M44" s="66"/>
      <c r="N44" s="66"/>
      <c r="P44" s="11">
        <v>30</v>
      </c>
      <c r="Q44" s="11">
        <f t="shared" si="5"/>
        <v>4</v>
      </c>
      <c r="R44" s="11">
        <f t="shared" si="6"/>
        <v>6</v>
      </c>
      <c r="S44" s="12" t="str" cm="1">
        <f t="array" ref="S44">INDEX('TreatmentRespon-ConceptMap-1'!$I$15:$N$124,Q44+1,R44)</f>
        <v/>
      </c>
    </row>
    <row r="45" spans="1:19">
      <c r="B45" s="11"/>
      <c r="C45" s="11"/>
      <c r="D45" s="12"/>
      <c r="E45" s="12"/>
      <c r="F45" s="64"/>
      <c r="G45" s="123"/>
      <c r="P45" s="11">
        <v>31</v>
      </c>
      <c r="Q45" s="11">
        <f t="shared" si="5"/>
        <v>5</v>
      </c>
      <c r="R45" s="11">
        <f t="shared" si="6"/>
        <v>1</v>
      </c>
      <c r="S45" s="12" t="str" cm="1">
        <f t="array" ref="S45">INDEX('TreatmentRespon-ConceptMap-1'!$I$15:$N$124,Q45+1,R45)</f>
        <v>* group[=].element[+].code = #TreatmentResponseI4rc.</v>
      </c>
    </row>
    <row r="46" spans="1:19">
      <c r="B46" s="11"/>
      <c r="C46" s="11"/>
      <c r="D46" s="12"/>
      <c r="E46" s="12"/>
      <c r="F46" s="64"/>
      <c r="G46" s="123"/>
      <c r="P46" s="11">
        <v>32</v>
      </c>
      <c r="Q46" s="11">
        <f t="shared" si="5"/>
        <v>5</v>
      </c>
      <c r="R46" s="11">
        <f t="shared" si="6"/>
        <v>2</v>
      </c>
      <c r="S46" s="12" t="str" cm="1">
        <f t="array" ref="S46">INDEX('TreatmentRespon-ConceptMap-1'!$I$15:$N$124,Q46+1,R46)</f>
        <v>* group[=].element[=].display = ##34###34#</v>
      </c>
    </row>
    <row r="47" spans="1:19">
      <c r="B47" s="11"/>
      <c r="C47" s="11"/>
      <c r="D47" s="12"/>
      <c r="E47" s="12"/>
      <c r="F47" s="64"/>
      <c r="G47" s="123"/>
      <c r="P47" s="11">
        <v>33</v>
      </c>
      <c r="Q47" s="11">
        <f t="shared" si="5"/>
        <v>5</v>
      </c>
      <c r="R47" s="11">
        <f t="shared" si="6"/>
        <v>3</v>
      </c>
      <c r="S47" s="12" t="str" cm="1">
        <f t="array" ref="S47">INDEX('TreatmentRespon-ConceptMap-1'!$I$15:$N$124,Q47+1,R47)</f>
        <v>* group[=].element[=].target.code = #Procedure.</v>
      </c>
    </row>
    <row r="48" spans="1:19">
      <c r="B48" s="11"/>
      <c r="C48" s="11"/>
      <c r="D48" s="12"/>
      <c r="E48" s="12"/>
      <c r="F48" s="64"/>
      <c r="G48" s="123"/>
      <c r="P48" s="11">
        <v>34</v>
      </c>
      <c r="Q48" s="11">
        <f t="shared" si="5"/>
        <v>5</v>
      </c>
      <c r="R48" s="11">
        <f t="shared" si="6"/>
        <v>4</v>
      </c>
      <c r="S48" s="12" t="str" cm="1">
        <f t="array" ref="S48">INDEX('TreatmentRespon-ConceptMap-1'!$I$15:$N$124,Q48+1,R48)</f>
        <v>* group[=].element[=].target.display = ##34###34#</v>
      </c>
    </row>
    <row r="49" spans="2:19">
      <c r="B49" s="11"/>
      <c r="C49" s="11"/>
      <c r="D49" s="12"/>
      <c r="E49" s="12"/>
      <c r="F49" s="64"/>
      <c r="G49" s="123"/>
      <c r="P49" s="11">
        <v>35</v>
      </c>
      <c r="Q49" s="11">
        <f t="shared" si="5"/>
        <v>5</v>
      </c>
      <c r="R49" s="11">
        <f t="shared" si="6"/>
        <v>5</v>
      </c>
      <c r="S49" s="12" t="str" cm="1">
        <f t="array" ref="S49">INDEX('TreatmentRespon-ConceptMap-1'!$I$15:$N$124,Q49+1,R49)</f>
        <v>* group[=].element[=].target.equivalence = #</v>
      </c>
    </row>
    <row r="50" spans="2:19">
      <c r="B50" s="11"/>
      <c r="C50" s="11"/>
      <c r="D50" s="12"/>
      <c r="E50" s="12"/>
      <c r="F50" s="64"/>
      <c r="G50" s="123"/>
      <c r="P50" s="11">
        <v>36</v>
      </c>
      <c r="Q50" s="11">
        <f t="shared" si="5"/>
        <v>5</v>
      </c>
      <c r="R50" s="11">
        <f t="shared" si="6"/>
        <v>6</v>
      </c>
      <c r="S50" s="12" t="str" cm="1">
        <f t="array" ref="S50">INDEX('TreatmentRespon-ConceptMap-1'!$I$15:$N$124,Q50+1,R50)</f>
        <v/>
      </c>
    </row>
    <row r="51" spans="2:19">
      <c r="B51" s="11"/>
      <c r="C51" s="11"/>
      <c r="D51" s="12"/>
      <c r="E51" s="12"/>
      <c r="F51" s="64"/>
      <c r="G51" s="123"/>
      <c r="P51" s="11">
        <v>37</v>
      </c>
      <c r="Q51" s="11">
        <f t="shared" si="5"/>
        <v>6</v>
      </c>
      <c r="R51" s="11">
        <f t="shared" si="6"/>
        <v>1</v>
      </c>
      <c r="S51" s="12" t="str" cm="1">
        <f t="array" ref="S51">INDEX('TreatmentRespon-ConceptMap-1'!$I$15:$N$124,Q51+1,R51)</f>
        <v>* group[=].element[+].code = #TreatmentResponseI4rc.</v>
      </c>
    </row>
    <row r="52" spans="2:19">
      <c r="B52" s="11"/>
      <c r="C52" s="11"/>
      <c r="D52" s="12"/>
      <c r="E52" s="12"/>
      <c r="F52" s="64"/>
      <c r="G52" s="123"/>
      <c r="P52" s="11">
        <v>38</v>
      </c>
      <c r="Q52" s="11">
        <f t="shared" si="5"/>
        <v>6</v>
      </c>
      <c r="R52" s="11">
        <f t="shared" si="6"/>
        <v>2</v>
      </c>
      <c r="S52" s="12" t="str" cm="1">
        <f t="array" ref="S52">INDEX('TreatmentRespon-ConceptMap-1'!$I$15:$N$124,Q52+1,R52)</f>
        <v>* group[=].element[=].display = ##34###34#</v>
      </c>
    </row>
    <row r="53" spans="2:19">
      <c r="B53" s="11"/>
      <c r="C53" s="11"/>
      <c r="D53" s="12"/>
      <c r="E53" s="12"/>
      <c r="F53" s="64"/>
      <c r="G53" s="123"/>
      <c r="P53" s="11">
        <v>39</v>
      </c>
      <c r="Q53" s="11">
        <f t="shared" si="5"/>
        <v>6</v>
      </c>
      <c r="R53" s="11">
        <f t="shared" si="6"/>
        <v>3</v>
      </c>
      <c r="S53" s="12" t="str" cm="1">
        <f t="array" ref="S53">INDEX('TreatmentRespon-ConceptMap-1'!$I$15:$N$124,Q53+1,R53)</f>
        <v>* group[=].element[=].target.code = #Procedure.</v>
      </c>
    </row>
    <row r="54" spans="2:19">
      <c r="B54" s="11"/>
      <c r="C54" s="11"/>
      <c r="D54" s="12"/>
      <c r="E54" s="12"/>
      <c r="F54" s="64"/>
      <c r="G54" s="123"/>
      <c r="P54" s="11">
        <v>40</v>
      </c>
      <c r="Q54" s="11">
        <f t="shared" si="5"/>
        <v>6</v>
      </c>
      <c r="R54" s="11">
        <f t="shared" si="6"/>
        <v>4</v>
      </c>
      <c r="S54" s="12" t="str" cm="1">
        <f t="array" ref="S54">INDEX('TreatmentRespon-ConceptMap-1'!$I$15:$N$124,Q54+1,R54)</f>
        <v>* group[=].element[=].target.display = ##34###34#</v>
      </c>
    </row>
    <row r="55" spans="2:19">
      <c r="B55" s="11"/>
      <c r="C55" s="11"/>
      <c r="D55" s="12"/>
      <c r="E55" s="12"/>
      <c r="F55" s="64"/>
      <c r="G55" s="123"/>
      <c r="P55" s="11">
        <v>41</v>
      </c>
      <c r="Q55" s="11">
        <f t="shared" si="5"/>
        <v>6</v>
      </c>
      <c r="R55" s="11">
        <f t="shared" si="6"/>
        <v>5</v>
      </c>
      <c r="S55" s="12" t="str" cm="1">
        <f t="array" ref="S55">INDEX('TreatmentRespon-ConceptMap-1'!$I$15:$N$124,Q55+1,R55)</f>
        <v>* group[=].element[=].target.equivalence = #</v>
      </c>
    </row>
    <row r="56" spans="2:19">
      <c r="B56" s="11"/>
      <c r="C56" s="11"/>
      <c r="D56" s="12"/>
      <c r="E56" s="12"/>
      <c r="F56" s="64"/>
      <c r="G56" s="123"/>
      <c r="P56" s="11">
        <v>42</v>
      </c>
      <c r="Q56" s="11">
        <f t="shared" si="5"/>
        <v>6</v>
      </c>
      <c r="R56" s="11">
        <f t="shared" si="6"/>
        <v>6</v>
      </c>
      <c r="S56" s="12" t="str" cm="1">
        <f t="array" ref="S56">INDEX('TreatmentRespon-ConceptMap-1'!$I$15:$N$124,Q56+1,R56)</f>
        <v/>
      </c>
    </row>
    <row r="57" spans="2:19">
      <c r="B57" s="11"/>
      <c r="C57" s="11"/>
      <c r="D57" s="12"/>
      <c r="E57" s="12"/>
      <c r="F57" s="64"/>
      <c r="G57" s="123"/>
      <c r="P57" s="11">
        <v>43</v>
      </c>
      <c r="Q57" s="11">
        <f t="shared" si="5"/>
        <v>7</v>
      </c>
      <c r="R57" s="11">
        <f t="shared" si="6"/>
        <v>1</v>
      </c>
      <c r="S57" s="12" t="str" cm="1">
        <f t="array" ref="S57">INDEX('TreatmentRespon-ConceptMap-1'!$I$15:$N$124,Q57+1,R57)</f>
        <v>* group[=].element[+].code = #TreatmentResponseI4rc.</v>
      </c>
    </row>
    <row r="58" spans="2:19">
      <c r="B58" s="11"/>
      <c r="C58" s="11"/>
      <c r="D58" s="12"/>
      <c r="E58" s="12"/>
      <c r="F58" s="64"/>
      <c r="G58" s="123"/>
      <c r="P58" s="11">
        <v>44</v>
      </c>
      <c r="Q58" s="11">
        <f t="shared" si="5"/>
        <v>7</v>
      </c>
      <c r="R58" s="11">
        <f t="shared" si="6"/>
        <v>2</v>
      </c>
      <c r="S58" s="12" t="str" cm="1">
        <f t="array" ref="S58">INDEX('TreatmentRespon-ConceptMap-1'!$I$15:$N$124,Q58+1,R58)</f>
        <v>* group[=].element[=].display = ##34###34#</v>
      </c>
    </row>
    <row r="59" spans="2:19">
      <c r="B59" s="11"/>
      <c r="C59" s="11"/>
      <c r="D59" s="12"/>
      <c r="E59" s="12"/>
      <c r="F59" s="64"/>
      <c r="G59" s="123"/>
      <c r="P59" s="11">
        <v>45</v>
      </c>
      <c r="Q59" s="11">
        <f t="shared" si="5"/>
        <v>7</v>
      </c>
      <c r="R59" s="11">
        <f t="shared" si="6"/>
        <v>3</v>
      </c>
      <c r="S59" s="12" t="str" cm="1">
        <f t="array" ref="S59">INDEX('TreatmentRespon-ConceptMap-1'!$I$15:$N$124,Q59+1,R59)</f>
        <v>* group[=].element[=].target.code = #Procedure.</v>
      </c>
    </row>
    <row r="60" spans="2:19">
      <c r="B60" s="11"/>
      <c r="C60" s="11"/>
      <c r="D60" s="12"/>
      <c r="E60" s="12"/>
      <c r="F60" s="64"/>
      <c r="G60" s="123"/>
      <c r="P60" s="11">
        <v>46</v>
      </c>
      <c r="Q60" s="11">
        <f t="shared" si="5"/>
        <v>7</v>
      </c>
      <c r="R60" s="11">
        <f t="shared" si="6"/>
        <v>4</v>
      </c>
      <c r="S60" s="12" t="str" cm="1">
        <f t="array" ref="S60">INDEX('TreatmentRespon-ConceptMap-1'!$I$15:$N$124,Q60+1,R60)</f>
        <v>* group[=].element[=].target.display = ##34###34#</v>
      </c>
    </row>
    <row r="61" spans="2:19">
      <c r="B61" s="11"/>
      <c r="C61" s="11"/>
      <c r="D61" s="12"/>
      <c r="E61" s="12"/>
      <c r="F61" s="64"/>
      <c r="G61" s="123"/>
      <c r="P61" s="11">
        <v>47</v>
      </c>
      <c r="Q61" s="11">
        <f t="shared" si="5"/>
        <v>7</v>
      </c>
      <c r="R61" s="11">
        <f t="shared" si="6"/>
        <v>5</v>
      </c>
      <c r="S61" s="12" t="str" cm="1">
        <f t="array" ref="S61">INDEX('TreatmentRespon-ConceptMap-1'!$I$15:$N$124,Q61+1,R61)</f>
        <v>* group[=].element[=].target.equivalence = #</v>
      </c>
    </row>
    <row r="62" spans="2:19">
      <c r="B62" s="11"/>
      <c r="C62" s="11"/>
      <c r="D62" s="12"/>
      <c r="E62" s="12"/>
      <c r="F62" s="64"/>
      <c r="G62" s="123"/>
      <c r="P62" s="11">
        <v>48</v>
      </c>
      <c r="Q62" s="11">
        <f t="shared" si="5"/>
        <v>7</v>
      </c>
      <c r="R62" s="11">
        <f t="shared" si="6"/>
        <v>6</v>
      </c>
      <c r="S62" s="12" t="str" cm="1">
        <f t="array" ref="S62">INDEX('TreatmentRespon-ConceptMap-1'!$I$15:$N$124,Q62+1,R62)</f>
        <v/>
      </c>
    </row>
    <row r="63" spans="2:19">
      <c r="B63" s="11"/>
      <c r="C63" s="11"/>
      <c r="D63" s="12"/>
      <c r="E63" s="12"/>
      <c r="F63" s="64"/>
      <c r="G63" s="123"/>
      <c r="P63" s="11">
        <v>49</v>
      </c>
      <c r="Q63" s="11">
        <f t="shared" si="5"/>
        <v>8</v>
      </c>
      <c r="R63" s="11">
        <f t="shared" si="6"/>
        <v>1</v>
      </c>
      <c r="S63" s="12" t="str" cm="1">
        <f t="array" ref="S63">INDEX('TreatmentRespon-ConceptMap-1'!$I$15:$N$124,Q63+1,R63)</f>
        <v>* group[=].element[+].code = #TreatmentResponseI4rc.</v>
      </c>
    </row>
    <row r="64" spans="2:19">
      <c r="B64" s="11"/>
      <c r="C64" s="11"/>
      <c r="D64" s="12"/>
      <c r="E64" s="12"/>
      <c r="F64" s="64"/>
      <c r="G64" s="123"/>
      <c r="P64" s="11">
        <v>50</v>
      </c>
      <c r="Q64" s="11">
        <f t="shared" si="5"/>
        <v>8</v>
      </c>
      <c r="R64" s="11">
        <f t="shared" si="6"/>
        <v>2</v>
      </c>
      <c r="S64" s="12" t="str" cm="1">
        <f t="array" ref="S64">INDEX('TreatmentRespon-ConceptMap-1'!$I$15:$N$124,Q64+1,R64)</f>
        <v>* group[=].element[=].display = ##34###34#</v>
      </c>
    </row>
    <row r="65" spans="2:19">
      <c r="B65" s="11"/>
      <c r="C65" s="11"/>
      <c r="D65" s="12"/>
      <c r="E65" s="12"/>
      <c r="F65" s="64"/>
      <c r="G65" s="123"/>
      <c r="P65" s="11">
        <v>51</v>
      </c>
      <c r="Q65" s="11">
        <f t="shared" si="5"/>
        <v>8</v>
      </c>
      <c r="R65" s="11">
        <f t="shared" si="6"/>
        <v>3</v>
      </c>
      <c r="S65" s="12" t="str" cm="1">
        <f t="array" ref="S65">INDEX('TreatmentRespon-ConceptMap-1'!$I$15:$N$124,Q65+1,R65)</f>
        <v>* group[=].element[=].target.code = #Procedure.</v>
      </c>
    </row>
    <row r="66" spans="2:19">
      <c r="B66" s="11"/>
      <c r="C66" s="11"/>
      <c r="D66" s="12"/>
      <c r="E66" s="12"/>
      <c r="F66" s="64"/>
      <c r="G66" s="123"/>
      <c r="P66" s="11">
        <v>52</v>
      </c>
      <c r="Q66" s="11">
        <f t="shared" si="5"/>
        <v>8</v>
      </c>
      <c r="R66" s="11">
        <f t="shared" si="6"/>
        <v>4</v>
      </c>
      <c r="S66" s="12" t="str" cm="1">
        <f t="array" ref="S66">INDEX('TreatmentRespon-ConceptMap-1'!$I$15:$N$124,Q66+1,R66)</f>
        <v>* group[=].element[=].target.display = ##34###34#</v>
      </c>
    </row>
    <row r="67" spans="2:19">
      <c r="B67" s="11"/>
      <c r="C67" s="11"/>
      <c r="D67" s="12"/>
      <c r="E67" s="12"/>
      <c r="F67" s="64"/>
      <c r="G67" s="123"/>
      <c r="P67" s="11">
        <v>53</v>
      </c>
      <c r="Q67" s="11">
        <f t="shared" si="5"/>
        <v>8</v>
      </c>
      <c r="R67" s="11">
        <f t="shared" si="6"/>
        <v>5</v>
      </c>
      <c r="S67" s="12" t="str" cm="1">
        <f t="array" ref="S67">INDEX('TreatmentRespon-ConceptMap-1'!$I$15:$N$124,Q67+1,R67)</f>
        <v>* group[=].element[=].target.equivalence = #</v>
      </c>
    </row>
    <row r="68" spans="2:19">
      <c r="B68" s="11"/>
      <c r="C68" s="11"/>
      <c r="D68" s="12"/>
      <c r="E68" s="12"/>
      <c r="F68" s="64"/>
      <c r="G68" s="123"/>
      <c r="P68" s="11">
        <v>54</v>
      </c>
      <c r="Q68" s="11">
        <f t="shared" si="5"/>
        <v>8</v>
      </c>
      <c r="R68" s="11">
        <f t="shared" si="6"/>
        <v>6</v>
      </c>
      <c r="S68" s="12" t="str" cm="1">
        <f t="array" ref="S68">INDEX('TreatmentRespon-ConceptMap-1'!$I$15:$N$124,Q68+1,R68)</f>
        <v/>
      </c>
    </row>
    <row r="69" spans="2:19">
      <c r="B69" s="11"/>
      <c r="C69" s="11"/>
      <c r="D69" s="12"/>
      <c r="E69" s="12"/>
      <c r="F69" s="64"/>
      <c r="G69" s="123"/>
      <c r="P69" s="11">
        <v>55</v>
      </c>
      <c r="Q69" s="11">
        <f t="shared" si="5"/>
        <v>9</v>
      </c>
      <c r="R69" s="11">
        <f t="shared" si="6"/>
        <v>1</v>
      </c>
      <c r="S69" s="12" t="str" cm="1">
        <f t="array" ref="S69">INDEX('TreatmentRespon-ConceptMap-1'!$I$15:$N$124,Q69+1,R69)</f>
        <v>* group[=].element[+].code = #TreatmentResponseI4rc.</v>
      </c>
    </row>
    <row r="70" spans="2:19">
      <c r="B70" s="11"/>
      <c r="C70" s="11"/>
      <c r="D70" s="12"/>
      <c r="E70" s="12"/>
      <c r="F70" s="64"/>
      <c r="G70" s="123"/>
      <c r="P70" s="11">
        <v>56</v>
      </c>
      <c r="Q70" s="11">
        <f t="shared" si="5"/>
        <v>9</v>
      </c>
      <c r="R70" s="11">
        <f t="shared" si="6"/>
        <v>2</v>
      </c>
      <c r="S70" s="12" t="str" cm="1">
        <f t="array" ref="S70">INDEX('TreatmentRespon-ConceptMap-1'!$I$15:$N$124,Q70+1,R70)</f>
        <v>* group[=].element[=].display = ##34###34#</v>
      </c>
    </row>
    <row r="71" spans="2:19">
      <c r="B71" s="11"/>
      <c r="C71" s="11"/>
      <c r="D71" s="12"/>
      <c r="E71" s="12"/>
      <c r="F71" s="64"/>
      <c r="G71" s="123"/>
      <c r="P71" s="11">
        <v>57</v>
      </c>
      <c r="Q71" s="11">
        <f t="shared" si="5"/>
        <v>9</v>
      </c>
      <c r="R71" s="11">
        <f t="shared" si="6"/>
        <v>3</v>
      </c>
      <c r="S71" s="12" t="str" cm="1">
        <f t="array" ref="S71">INDEX('TreatmentRespon-ConceptMap-1'!$I$15:$N$124,Q71+1,R71)</f>
        <v>* group[=].element[=].target.code = #Procedure.</v>
      </c>
    </row>
    <row r="72" spans="2:19">
      <c r="B72" s="11"/>
      <c r="C72" s="11"/>
      <c r="D72" s="12"/>
      <c r="E72" s="12"/>
      <c r="F72" s="64"/>
      <c r="G72" s="123"/>
      <c r="P72" s="11">
        <v>58</v>
      </c>
      <c r="Q72" s="11">
        <f t="shared" si="5"/>
        <v>9</v>
      </c>
      <c r="R72" s="11">
        <f t="shared" si="6"/>
        <v>4</v>
      </c>
      <c r="S72" s="12" t="str" cm="1">
        <f t="array" ref="S72">INDEX('TreatmentRespon-ConceptMap-1'!$I$15:$N$124,Q72+1,R72)</f>
        <v>* group[=].element[=].target.display = ##34###34#</v>
      </c>
    </row>
    <row r="73" spans="2:19">
      <c r="B73" s="11"/>
      <c r="C73" s="11"/>
      <c r="D73" s="12"/>
      <c r="E73" s="12"/>
      <c r="F73" s="64"/>
      <c r="G73" s="123"/>
      <c r="P73" s="11">
        <v>59</v>
      </c>
      <c r="Q73" s="11">
        <f t="shared" si="5"/>
        <v>9</v>
      </c>
      <c r="R73" s="11">
        <f t="shared" si="6"/>
        <v>5</v>
      </c>
      <c r="S73" s="12" t="str" cm="1">
        <f t="array" ref="S73">INDEX('TreatmentRespon-ConceptMap-1'!$I$15:$N$124,Q73+1,R73)</f>
        <v>* group[=].element[=].target.equivalence = #</v>
      </c>
    </row>
    <row r="74" spans="2:19">
      <c r="B74" s="11"/>
      <c r="C74" s="11"/>
      <c r="D74" s="12"/>
      <c r="E74" s="12"/>
      <c r="F74" s="64"/>
      <c r="G74" s="123"/>
      <c r="P74" s="11">
        <v>60</v>
      </c>
      <c r="Q74" s="11">
        <f t="shared" si="5"/>
        <v>9</v>
      </c>
      <c r="R74" s="11">
        <f t="shared" si="6"/>
        <v>6</v>
      </c>
      <c r="S74" s="12" t="str" cm="1">
        <f t="array" ref="S74">INDEX('TreatmentRespon-ConceptMap-1'!$I$15:$N$124,Q74+1,R74)</f>
        <v/>
      </c>
    </row>
    <row r="75" spans="2:19">
      <c r="B75" s="11"/>
      <c r="C75" s="11"/>
      <c r="D75" s="12"/>
      <c r="E75" s="12"/>
      <c r="F75" s="64"/>
      <c r="G75" s="123"/>
      <c r="P75" s="11">
        <v>61</v>
      </c>
      <c r="Q75" s="11">
        <f t="shared" si="5"/>
        <v>10</v>
      </c>
      <c r="R75" s="11">
        <f t="shared" si="6"/>
        <v>1</v>
      </c>
      <c r="S75" s="12" t="str" cm="1">
        <f t="array" ref="S75">INDEX('TreatmentRespon-ConceptMap-1'!$I$15:$N$124,Q75+1,R75)</f>
        <v>* group[=].element[+].code = #TreatmentResponseI4rc.</v>
      </c>
    </row>
    <row r="76" spans="2:19">
      <c r="B76" s="11"/>
      <c r="C76" s="11"/>
      <c r="D76" s="12"/>
      <c r="E76" s="12"/>
      <c r="F76" s="64"/>
      <c r="G76" s="123"/>
      <c r="P76" s="11">
        <v>62</v>
      </c>
      <c r="Q76" s="11">
        <f t="shared" si="5"/>
        <v>10</v>
      </c>
      <c r="R76" s="11">
        <f t="shared" si="6"/>
        <v>2</v>
      </c>
      <c r="S76" s="12" t="str" cm="1">
        <f t="array" ref="S76">INDEX('TreatmentRespon-ConceptMap-1'!$I$15:$N$124,Q76+1,R76)</f>
        <v>* group[=].element[=].display = ##34###34#</v>
      </c>
    </row>
    <row r="77" spans="2:19">
      <c r="B77" s="11"/>
      <c r="C77" s="11"/>
      <c r="D77" s="12"/>
      <c r="E77" s="12"/>
      <c r="F77" s="64"/>
      <c r="G77" s="123"/>
      <c r="P77" s="11">
        <v>63</v>
      </c>
      <c r="Q77" s="11">
        <f t="shared" si="5"/>
        <v>10</v>
      </c>
      <c r="R77" s="11">
        <f t="shared" si="6"/>
        <v>3</v>
      </c>
      <c r="S77" s="12" t="str" cm="1">
        <f t="array" ref="S77">INDEX('TreatmentRespon-ConceptMap-1'!$I$15:$N$124,Q77+1,R77)</f>
        <v>* group[=].element[=].target.code = #Procedure.</v>
      </c>
    </row>
    <row r="78" spans="2:19">
      <c r="B78" s="11"/>
      <c r="C78" s="11"/>
      <c r="D78" s="12"/>
      <c r="E78" s="12"/>
      <c r="F78" s="64"/>
      <c r="G78" s="123"/>
      <c r="P78" s="11">
        <v>64</v>
      </c>
      <c r="Q78" s="11">
        <f t="shared" si="5"/>
        <v>10</v>
      </c>
      <c r="R78" s="11">
        <f t="shared" si="6"/>
        <v>4</v>
      </c>
      <c r="S78" s="12" t="str" cm="1">
        <f t="array" ref="S78">INDEX('TreatmentRespon-ConceptMap-1'!$I$15:$N$124,Q78+1,R78)</f>
        <v>* group[=].element[=].target.display = ##34###34#</v>
      </c>
    </row>
    <row r="79" spans="2:19">
      <c r="B79" s="11"/>
      <c r="C79" s="11"/>
      <c r="D79" s="12"/>
      <c r="E79" s="12"/>
      <c r="F79" s="64"/>
      <c r="G79" s="123"/>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c r="B80" s="11"/>
      <c r="C80" s="11"/>
      <c r="D80" s="12"/>
      <c r="E80" s="12"/>
      <c r="F80" s="64"/>
      <c r="G80" s="123"/>
      <c r="P80" s="11">
        <v>66</v>
      </c>
      <c r="Q80" s="11">
        <f t="shared" si="9"/>
        <v>10</v>
      </c>
      <c r="R80" s="11">
        <f t="shared" si="10"/>
        <v>6</v>
      </c>
      <c r="S80" s="12" t="str" cm="1">
        <f t="array" ref="S80">INDEX('TreatmentRespon-ConceptMap-1'!$I$15:$N$124,Q80+1,R80)</f>
        <v/>
      </c>
    </row>
    <row r="81" spans="2:19">
      <c r="B81" s="11"/>
      <c r="C81" s="11"/>
      <c r="D81" s="12"/>
      <c r="E81" s="12"/>
      <c r="F81" s="64"/>
      <c r="G81" s="123"/>
      <c r="P81" s="11">
        <v>67</v>
      </c>
      <c r="Q81" s="11">
        <f t="shared" si="9"/>
        <v>11</v>
      </c>
      <c r="R81" s="11">
        <f t="shared" si="10"/>
        <v>1</v>
      </c>
      <c r="S81" s="12" t="str" cm="1">
        <f t="array" ref="S81">INDEX('TreatmentRespon-ConceptMap-1'!$I$15:$N$124,Q81+1,R81)</f>
        <v>* group[=].element[+].code = #TreatmentResponseI4rc.</v>
      </c>
    </row>
    <row r="82" spans="2:19">
      <c r="B82" s="11"/>
      <c r="C82" s="11"/>
      <c r="D82" s="12"/>
      <c r="E82" s="12"/>
      <c r="F82" s="64"/>
      <c r="G82" s="123"/>
      <c r="P82" s="11">
        <v>68</v>
      </c>
      <c r="Q82" s="11">
        <f t="shared" si="9"/>
        <v>11</v>
      </c>
      <c r="R82" s="11">
        <f t="shared" si="10"/>
        <v>2</v>
      </c>
      <c r="S82" s="12" t="str" cm="1">
        <f t="array" ref="S82">INDEX('TreatmentRespon-ConceptMap-1'!$I$15:$N$124,Q82+1,R82)</f>
        <v>* group[=].element[=].display = ##34###34#</v>
      </c>
    </row>
    <row r="83" spans="2:19">
      <c r="B83" s="11"/>
      <c r="C83" s="11"/>
      <c r="D83" s="12"/>
      <c r="E83" s="12"/>
      <c r="F83" s="64"/>
      <c r="G83" s="123"/>
      <c r="P83" s="11">
        <v>69</v>
      </c>
      <c r="Q83" s="11">
        <f t="shared" si="9"/>
        <v>11</v>
      </c>
      <c r="R83" s="11">
        <f t="shared" si="10"/>
        <v>3</v>
      </c>
      <c r="S83" s="12" t="str" cm="1">
        <f t="array" ref="S83">INDEX('TreatmentRespon-ConceptMap-1'!$I$15:$N$124,Q83+1,R83)</f>
        <v>* group[=].element[=].target.code = #Procedure.</v>
      </c>
    </row>
    <row r="84" spans="2:19">
      <c r="B84" s="11"/>
      <c r="C84" s="11"/>
      <c r="D84" s="12"/>
      <c r="E84" s="12"/>
      <c r="F84" s="64"/>
      <c r="G84" s="123"/>
      <c r="P84" s="11">
        <v>70</v>
      </c>
      <c r="Q84" s="11">
        <f t="shared" si="9"/>
        <v>11</v>
      </c>
      <c r="R84" s="11">
        <f t="shared" si="10"/>
        <v>4</v>
      </c>
      <c r="S84" s="12" t="str" cm="1">
        <f t="array" ref="S84">INDEX('TreatmentRespon-ConceptMap-1'!$I$15:$N$124,Q84+1,R84)</f>
        <v>* group[=].element[=].target.display = ##34###34#</v>
      </c>
    </row>
    <row r="85" spans="2:19">
      <c r="B85" s="11"/>
      <c r="C85" s="11"/>
      <c r="D85" s="12"/>
      <c r="E85" s="12"/>
      <c r="F85" s="64"/>
      <c r="G85" s="123"/>
      <c r="P85" s="11">
        <v>71</v>
      </c>
      <c r="Q85" s="11">
        <f t="shared" si="9"/>
        <v>11</v>
      </c>
      <c r="R85" s="11">
        <f t="shared" si="10"/>
        <v>5</v>
      </c>
      <c r="S85" s="12" t="str" cm="1">
        <f t="array" ref="S85">INDEX('TreatmentRespon-ConceptMap-1'!$I$15:$N$124,Q85+1,R85)</f>
        <v>* group[=].element[=].target.equivalence = #</v>
      </c>
    </row>
    <row r="86" spans="2:19">
      <c r="B86" s="11"/>
      <c r="C86" s="11"/>
      <c r="D86" s="12"/>
      <c r="E86" s="12"/>
      <c r="F86" s="64"/>
      <c r="G86" s="123"/>
      <c r="P86" s="11">
        <v>72</v>
      </c>
      <c r="Q86" s="11">
        <f t="shared" si="9"/>
        <v>11</v>
      </c>
      <c r="R86" s="11">
        <f t="shared" si="10"/>
        <v>6</v>
      </c>
      <c r="S86" s="12" t="str" cm="1">
        <f t="array" ref="S86">INDEX('TreatmentRespon-ConceptMap-1'!$I$15:$N$124,Q86+1,R86)</f>
        <v/>
      </c>
    </row>
    <row r="87" spans="2:19">
      <c r="B87" s="11"/>
      <c r="C87" s="11"/>
      <c r="D87" s="12"/>
      <c r="E87" s="12"/>
      <c r="F87" s="64"/>
      <c r="G87" s="123"/>
      <c r="P87" s="11">
        <v>73</v>
      </c>
      <c r="Q87" s="11">
        <f t="shared" si="9"/>
        <v>12</v>
      </c>
      <c r="R87" s="11">
        <f t="shared" si="10"/>
        <v>1</v>
      </c>
      <c r="S87" s="12" t="str" cm="1">
        <f t="array" ref="S87">INDEX('TreatmentRespon-ConceptMap-1'!$I$15:$N$124,Q87+1,R87)</f>
        <v>* group[=].element[+].code = #TreatmentResponseI4rc.</v>
      </c>
    </row>
    <row r="88" spans="2:19">
      <c r="B88" s="11"/>
      <c r="C88" s="11"/>
      <c r="D88" s="12"/>
      <c r="E88" s="12"/>
      <c r="F88" s="64"/>
      <c r="G88" s="123"/>
      <c r="P88" s="11">
        <v>74</v>
      </c>
      <c r="Q88" s="11">
        <f t="shared" si="9"/>
        <v>12</v>
      </c>
      <c r="R88" s="11">
        <f t="shared" si="10"/>
        <v>2</v>
      </c>
      <c r="S88" s="12" t="str" cm="1">
        <f t="array" ref="S88">INDEX('TreatmentRespon-ConceptMap-1'!$I$15:$N$124,Q88+1,R88)</f>
        <v>* group[=].element[=].display = ##34###34#</v>
      </c>
    </row>
    <row r="89" spans="2:19">
      <c r="B89" s="11"/>
      <c r="C89" s="11"/>
      <c r="D89" s="12"/>
      <c r="E89" s="12"/>
      <c r="F89" s="64"/>
      <c r="G89" s="123"/>
      <c r="P89" s="11">
        <v>75</v>
      </c>
      <c r="Q89" s="11">
        <f t="shared" si="9"/>
        <v>12</v>
      </c>
      <c r="R89" s="11">
        <f t="shared" si="10"/>
        <v>3</v>
      </c>
      <c r="S89" s="12" t="str" cm="1">
        <f t="array" ref="S89">INDEX('TreatmentRespon-ConceptMap-1'!$I$15:$N$124,Q89+1,R89)</f>
        <v>* group[=].element[=].target.code = #Procedure.</v>
      </c>
    </row>
    <row r="90" spans="2:19">
      <c r="B90" s="11"/>
      <c r="C90" s="11"/>
      <c r="D90" s="12"/>
      <c r="E90" s="12"/>
      <c r="F90" s="64"/>
      <c r="G90" s="123"/>
      <c r="P90" s="11">
        <v>76</v>
      </c>
      <c r="Q90" s="11">
        <f t="shared" si="9"/>
        <v>12</v>
      </c>
      <c r="R90" s="11">
        <f t="shared" si="10"/>
        <v>4</v>
      </c>
      <c r="S90" s="12" t="str" cm="1">
        <f t="array" ref="S90">INDEX('TreatmentRespon-ConceptMap-1'!$I$15:$N$124,Q90+1,R90)</f>
        <v>* group[=].element[=].target.display = ##34###34#</v>
      </c>
    </row>
    <row r="91" spans="2:19">
      <c r="B91" s="11"/>
      <c r="C91" s="11"/>
      <c r="D91" s="12"/>
      <c r="E91" s="12"/>
      <c r="F91" s="64"/>
      <c r="G91" s="123"/>
      <c r="P91" s="11">
        <v>77</v>
      </c>
      <c r="Q91" s="11">
        <f t="shared" si="9"/>
        <v>12</v>
      </c>
      <c r="R91" s="11">
        <f t="shared" si="10"/>
        <v>5</v>
      </c>
      <c r="S91" s="12" t="str" cm="1">
        <f t="array" ref="S91">INDEX('TreatmentRespon-ConceptMap-1'!$I$15:$N$124,Q91+1,R91)</f>
        <v>* group[=].element[=].target.equivalence = #</v>
      </c>
    </row>
    <row r="92" spans="2:19">
      <c r="B92" s="11"/>
      <c r="C92" s="11"/>
      <c r="D92" s="12"/>
      <c r="E92" s="12"/>
      <c r="F92" s="64"/>
      <c r="G92" s="123"/>
      <c r="P92" s="11">
        <v>78</v>
      </c>
      <c r="Q92" s="11">
        <f t="shared" si="9"/>
        <v>12</v>
      </c>
      <c r="R92" s="11">
        <f t="shared" si="10"/>
        <v>6</v>
      </c>
      <c r="S92" s="12" t="str" cm="1">
        <f t="array" ref="S92">INDEX('TreatmentRespon-ConceptMap-1'!$I$15:$N$124,Q92+1,R92)</f>
        <v/>
      </c>
    </row>
    <row r="93" spans="2:19">
      <c r="B93" s="11"/>
      <c r="C93" s="11"/>
      <c r="D93" s="12"/>
      <c r="E93" s="12"/>
      <c r="F93" s="64"/>
      <c r="G93" s="123"/>
      <c r="P93" s="11">
        <v>79</v>
      </c>
      <c r="Q93" s="11">
        <f t="shared" si="9"/>
        <v>13</v>
      </c>
      <c r="R93" s="11">
        <f t="shared" si="10"/>
        <v>1</v>
      </c>
      <c r="S93" s="12" t="str" cm="1">
        <f t="array" ref="S93">INDEX('TreatmentRespon-ConceptMap-1'!$I$15:$N$124,Q93+1,R93)</f>
        <v>* group[=].element[+].code = #TreatmentResponseI4rc.</v>
      </c>
    </row>
    <row r="94" spans="2:19">
      <c r="B94" s="11"/>
      <c r="C94" s="11"/>
      <c r="D94" s="12"/>
      <c r="E94" s="12"/>
      <c r="F94" s="64"/>
      <c r="G94" s="123"/>
      <c r="P94" s="11">
        <v>80</v>
      </c>
      <c r="Q94" s="11">
        <f t="shared" si="9"/>
        <v>13</v>
      </c>
      <c r="R94" s="11">
        <f t="shared" si="10"/>
        <v>2</v>
      </c>
      <c r="S94" s="12" t="str" cm="1">
        <f t="array" ref="S94">INDEX('TreatmentRespon-ConceptMap-1'!$I$15:$N$124,Q94+1,R94)</f>
        <v>* group[=].element[=].display = ##34###34#</v>
      </c>
    </row>
    <row r="95" spans="2:19">
      <c r="B95" s="11"/>
      <c r="C95" s="11"/>
      <c r="D95" s="12"/>
      <c r="E95" s="12"/>
      <c r="F95" s="64"/>
      <c r="G95" s="123"/>
      <c r="P95" s="11">
        <v>81</v>
      </c>
      <c r="Q95" s="11">
        <f t="shared" si="9"/>
        <v>13</v>
      </c>
      <c r="R95" s="11">
        <f t="shared" si="10"/>
        <v>3</v>
      </c>
      <c r="S95" s="12" t="str" cm="1">
        <f t="array" ref="S95">INDEX('TreatmentRespon-ConceptMap-1'!$I$15:$N$124,Q95+1,R95)</f>
        <v>* group[=].element[=].target.code = #Procedure.</v>
      </c>
    </row>
    <row r="96" spans="2:19">
      <c r="B96" s="11"/>
      <c r="C96" s="11"/>
      <c r="D96" s="12"/>
      <c r="E96" s="12"/>
      <c r="F96" s="64"/>
      <c r="G96" s="123"/>
      <c r="P96" s="11">
        <v>82</v>
      </c>
      <c r="Q96" s="11">
        <f t="shared" si="9"/>
        <v>13</v>
      </c>
      <c r="R96" s="11">
        <f t="shared" si="10"/>
        <v>4</v>
      </c>
      <c r="S96" s="12" t="str" cm="1">
        <f t="array" ref="S96">INDEX('TreatmentRespon-ConceptMap-1'!$I$15:$N$124,Q96+1,R96)</f>
        <v>* group[=].element[=].target.display = ##34###34#</v>
      </c>
    </row>
    <row r="97" spans="2:19">
      <c r="B97" s="11"/>
      <c r="C97" s="11"/>
      <c r="D97" s="12"/>
      <c r="E97" s="12"/>
      <c r="F97" s="64"/>
      <c r="G97" s="123"/>
      <c r="P97" s="11">
        <v>83</v>
      </c>
      <c r="Q97" s="11">
        <f t="shared" si="9"/>
        <v>13</v>
      </c>
      <c r="R97" s="11">
        <f t="shared" si="10"/>
        <v>5</v>
      </c>
      <c r="S97" s="12" t="str" cm="1">
        <f t="array" ref="S97">INDEX('TreatmentRespon-ConceptMap-1'!$I$15:$N$124,Q97+1,R97)</f>
        <v>* group[=].element[=].target.equivalence = #</v>
      </c>
    </row>
    <row r="98" spans="2:19">
      <c r="B98" s="11"/>
      <c r="C98" s="11"/>
      <c r="D98" s="12"/>
      <c r="E98" s="12"/>
      <c r="F98" s="64"/>
      <c r="G98" s="123"/>
      <c r="P98" s="11">
        <v>84</v>
      </c>
      <c r="Q98" s="11">
        <f t="shared" si="9"/>
        <v>13</v>
      </c>
      <c r="R98" s="11">
        <f t="shared" si="10"/>
        <v>6</v>
      </c>
      <c r="S98" s="12" t="str" cm="1">
        <f t="array" ref="S98">INDEX('TreatmentRespon-ConceptMap-1'!$I$15:$N$124,Q98+1,R98)</f>
        <v/>
      </c>
    </row>
    <row r="99" spans="2:19">
      <c r="B99" s="11"/>
      <c r="C99" s="11"/>
      <c r="D99" s="12"/>
      <c r="E99" s="12"/>
      <c r="F99" s="64"/>
      <c r="G99" s="123"/>
      <c r="P99" s="11">
        <v>85</v>
      </c>
      <c r="Q99" s="11">
        <f t="shared" si="9"/>
        <v>14</v>
      </c>
      <c r="R99" s="11">
        <f t="shared" si="10"/>
        <v>1</v>
      </c>
      <c r="S99" s="12" t="str" cm="1">
        <f t="array" ref="S99">INDEX('TreatmentRespon-ConceptMap-1'!$I$15:$N$124,Q99+1,R99)</f>
        <v>* group[=].element[+].code = #TreatmentResponseI4rc.</v>
      </c>
    </row>
    <row r="100" spans="2:19">
      <c r="B100" s="11"/>
      <c r="C100" s="11"/>
      <c r="D100" s="12"/>
      <c r="E100" s="12"/>
      <c r="F100" s="64"/>
      <c r="G100" s="123"/>
      <c r="P100" s="11">
        <v>86</v>
      </c>
      <c r="Q100" s="11">
        <f t="shared" si="9"/>
        <v>14</v>
      </c>
      <c r="R100" s="11">
        <f t="shared" si="10"/>
        <v>2</v>
      </c>
      <c r="S100" s="12" t="str" cm="1">
        <f t="array" ref="S100">INDEX('TreatmentRespon-ConceptMap-1'!$I$15:$N$124,Q100+1,R100)</f>
        <v>* group[=].element[=].display = ##34###34#</v>
      </c>
    </row>
    <row r="101" spans="2:19">
      <c r="B101" s="11"/>
      <c r="C101" s="11"/>
      <c r="D101" s="12"/>
      <c r="E101" s="12"/>
      <c r="F101" s="64"/>
      <c r="G101" s="123"/>
      <c r="P101" s="11">
        <v>87</v>
      </c>
      <c r="Q101" s="11">
        <f t="shared" si="9"/>
        <v>14</v>
      </c>
      <c r="R101" s="11">
        <f t="shared" si="10"/>
        <v>3</v>
      </c>
      <c r="S101" s="12" t="str" cm="1">
        <f t="array" ref="S101">INDEX('TreatmentRespon-ConceptMap-1'!$I$15:$N$124,Q101+1,R101)</f>
        <v>* group[=].element[=].target.code = #Procedure.</v>
      </c>
    </row>
    <row r="102" spans="2:19">
      <c r="B102" s="11"/>
      <c r="C102" s="11"/>
      <c r="D102" s="12"/>
      <c r="E102" s="12"/>
      <c r="F102" s="64"/>
      <c r="G102" s="123"/>
      <c r="P102" s="11">
        <v>88</v>
      </c>
      <c r="Q102" s="11">
        <f t="shared" si="9"/>
        <v>14</v>
      </c>
      <c r="R102" s="11">
        <f t="shared" si="10"/>
        <v>4</v>
      </c>
      <c r="S102" s="12" t="str" cm="1">
        <f t="array" ref="S102">INDEX('TreatmentRespon-ConceptMap-1'!$I$15:$N$124,Q102+1,R102)</f>
        <v>* group[=].element[=].target.display = ##34###34#</v>
      </c>
    </row>
    <row r="103" spans="2:19">
      <c r="B103" s="11"/>
      <c r="C103" s="11"/>
      <c r="D103" s="12"/>
      <c r="E103" s="12"/>
      <c r="F103" s="64"/>
      <c r="G103" s="123"/>
      <c r="P103" s="11">
        <v>89</v>
      </c>
      <c r="Q103" s="11">
        <f t="shared" si="9"/>
        <v>14</v>
      </c>
      <c r="R103" s="11">
        <f t="shared" si="10"/>
        <v>5</v>
      </c>
      <c r="S103" s="12" t="str" cm="1">
        <f t="array" ref="S103">INDEX('TreatmentRespon-ConceptMap-1'!$I$15:$N$124,Q103+1,R103)</f>
        <v>* group[=].element[=].target.equivalence = #</v>
      </c>
    </row>
    <row r="104" spans="2:19">
      <c r="B104" s="11"/>
      <c r="C104" s="11"/>
      <c r="D104" s="12"/>
      <c r="E104" s="12"/>
      <c r="F104" s="64"/>
      <c r="G104" s="123"/>
      <c r="P104" s="11">
        <v>90</v>
      </c>
      <c r="Q104" s="11">
        <f t="shared" si="9"/>
        <v>14</v>
      </c>
      <c r="R104" s="11">
        <f t="shared" si="10"/>
        <v>6</v>
      </c>
      <c r="S104" s="12" t="str" cm="1">
        <f t="array" ref="S104">INDEX('TreatmentRespon-ConceptMap-1'!$I$15:$N$124,Q104+1,R104)</f>
        <v/>
      </c>
    </row>
    <row r="105" spans="2:19">
      <c r="B105" s="11"/>
      <c r="C105" s="11"/>
      <c r="D105" s="12"/>
      <c r="E105" s="12"/>
      <c r="F105" s="64"/>
      <c r="G105" s="123"/>
      <c r="P105" s="11">
        <v>91</v>
      </c>
      <c r="Q105" s="11">
        <f t="shared" si="9"/>
        <v>15</v>
      </c>
      <c r="R105" s="11">
        <f t="shared" si="10"/>
        <v>1</v>
      </c>
      <c r="S105" s="12" t="str" cm="1">
        <f t="array" ref="S105">INDEX('TreatmentRespon-ConceptMap-1'!$I$15:$N$124,Q105+1,R105)</f>
        <v>* group[=].element[+].code = #TreatmentResponseI4rc.</v>
      </c>
    </row>
    <row r="106" spans="2:19">
      <c r="B106" s="11"/>
      <c r="C106" s="11"/>
      <c r="D106" s="12"/>
      <c r="E106" s="12"/>
      <c r="F106" s="64"/>
      <c r="G106" s="123"/>
      <c r="P106" s="11">
        <v>92</v>
      </c>
      <c r="Q106" s="11">
        <f t="shared" si="9"/>
        <v>15</v>
      </c>
      <c r="R106" s="11">
        <f t="shared" si="10"/>
        <v>2</v>
      </c>
      <c r="S106" s="12" t="str" cm="1">
        <f t="array" ref="S106">INDEX('TreatmentRespon-ConceptMap-1'!$I$15:$N$124,Q106+1,R106)</f>
        <v>* group[=].element[=].display = ##34###34#</v>
      </c>
    </row>
    <row r="107" spans="2:19">
      <c r="B107" s="11"/>
      <c r="C107" s="11"/>
      <c r="D107" s="12"/>
      <c r="E107" s="12"/>
      <c r="F107" s="64"/>
      <c r="G107" s="123"/>
      <c r="P107" s="11">
        <v>93</v>
      </c>
      <c r="Q107" s="11">
        <f t="shared" si="9"/>
        <v>15</v>
      </c>
      <c r="R107" s="11">
        <f t="shared" si="10"/>
        <v>3</v>
      </c>
      <c r="S107" s="12" t="str" cm="1">
        <f t="array" ref="S107">INDEX('TreatmentRespon-ConceptMap-1'!$I$15:$N$124,Q107+1,R107)</f>
        <v>* group[=].element[=].target.code = #Procedure.</v>
      </c>
    </row>
    <row r="108" spans="2:19">
      <c r="B108" s="11"/>
      <c r="C108" s="11"/>
      <c r="D108" s="12"/>
      <c r="E108" s="12"/>
      <c r="F108" s="64"/>
      <c r="G108" s="123"/>
      <c r="P108" s="11">
        <v>94</v>
      </c>
      <c r="Q108" s="11">
        <f t="shared" si="9"/>
        <v>15</v>
      </c>
      <c r="R108" s="11">
        <f t="shared" si="10"/>
        <v>4</v>
      </c>
      <c r="S108" s="12" t="str" cm="1">
        <f t="array" ref="S108">INDEX('TreatmentRespon-ConceptMap-1'!$I$15:$N$124,Q108+1,R108)</f>
        <v>* group[=].element[=].target.display = ##34###34#</v>
      </c>
    </row>
    <row r="109" spans="2:19">
      <c r="B109" s="11"/>
      <c r="C109" s="11"/>
      <c r="D109" s="12"/>
      <c r="E109" s="12"/>
      <c r="F109" s="64"/>
      <c r="G109" s="123"/>
      <c r="P109" s="11">
        <v>95</v>
      </c>
      <c r="Q109" s="11">
        <f t="shared" si="9"/>
        <v>15</v>
      </c>
      <c r="R109" s="11">
        <f t="shared" si="10"/>
        <v>5</v>
      </c>
      <c r="S109" s="12" t="str" cm="1">
        <f t="array" ref="S109">INDEX('TreatmentRespon-ConceptMap-1'!$I$15:$N$124,Q109+1,R109)</f>
        <v>* group[=].element[=].target.equivalence = #</v>
      </c>
    </row>
    <row r="110" spans="2:19">
      <c r="B110" s="11"/>
      <c r="C110" s="11"/>
      <c r="D110" s="12"/>
      <c r="E110" s="12"/>
      <c r="F110" s="64"/>
      <c r="G110" s="123"/>
      <c r="P110" s="11">
        <v>96</v>
      </c>
      <c r="Q110" s="11">
        <f t="shared" si="9"/>
        <v>15</v>
      </c>
      <c r="R110" s="11">
        <f t="shared" si="10"/>
        <v>6</v>
      </c>
      <c r="S110" s="12" t="str" cm="1">
        <f t="array" ref="S110">INDEX('TreatmentRespon-ConceptMap-1'!$I$15:$N$124,Q110+1,R110)</f>
        <v/>
      </c>
    </row>
    <row r="111" spans="2:19">
      <c r="B111" s="11"/>
      <c r="C111" s="11"/>
      <c r="D111" s="12"/>
      <c r="E111" s="12"/>
      <c r="F111" s="64"/>
      <c r="G111" s="123"/>
      <c r="P111" s="11">
        <v>97</v>
      </c>
      <c r="Q111" s="11">
        <f t="shared" si="9"/>
        <v>16</v>
      </c>
      <c r="R111" s="11">
        <f t="shared" si="10"/>
        <v>1</v>
      </c>
      <c r="S111" s="12" t="str" cm="1">
        <f t="array" ref="S111">INDEX('TreatmentRespon-ConceptMap-1'!$I$15:$N$124,Q111+1,R111)</f>
        <v>* group[=].element[+].code = #TreatmentResponseI4rc.</v>
      </c>
    </row>
    <row r="112" spans="2:19">
      <c r="B112" s="11"/>
      <c r="C112" s="11"/>
      <c r="D112" s="12"/>
      <c r="E112" s="12"/>
      <c r="F112" s="64"/>
      <c r="G112" s="123"/>
      <c r="P112" s="11">
        <v>98</v>
      </c>
      <c r="Q112" s="11">
        <f t="shared" si="9"/>
        <v>16</v>
      </c>
      <c r="R112" s="11">
        <f t="shared" si="10"/>
        <v>2</v>
      </c>
      <c r="S112" s="12" t="str" cm="1">
        <f t="array" ref="S112">INDEX('TreatmentRespon-ConceptMap-1'!$I$15:$N$124,Q112+1,R112)</f>
        <v>* group[=].element[=].display = ##34###34#</v>
      </c>
    </row>
    <row r="113" spans="2:19">
      <c r="B113" s="11"/>
      <c r="C113" s="11"/>
      <c r="D113" s="12"/>
      <c r="E113" s="12"/>
      <c r="F113" s="64"/>
      <c r="G113" s="123"/>
      <c r="P113" s="11">
        <v>99</v>
      </c>
      <c r="Q113" s="11">
        <f t="shared" si="9"/>
        <v>16</v>
      </c>
      <c r="R113" s="11">
        <f t="shared" si="10"/>
        <v>3</v>
      </c>
      <c r="S113" s="12" t="str" cm="1">
        <f t="array" ref="S113">INDEX('TreatmentRespon-ConceptMap-1'!$I$15:$N$124,Q113+1,R113)</f>
        <v>* group[=].element[=].target.code = #Procedure.</v>
      </c>
    </row>
    <row r="114" spans="2:19">
      <c r="P114" s="11">
        <v>100</v>
      </c>
      <c r="Q114" s="11">
        <f t="shared" si="9"/>
        <v>16</v>
      </c>
      <c r="R114" s="11">
        <f t="shared" si="10"/>
        <v>4</v>
      </c>
      <c r="S114" s="12" t="str" cm="1">
        <f t="array" ref="S114">INDEX('TreatmentRespon-ConceptMap-1'!$I$15:$N$124,Q114+1,R114)</f>
        <v>* group[=].element[=].target.display = ##34###34#</v>
      </c>
    </row>
    <row r="115" spans="2:19">
      <c r="P115" s="11">
        <v>101</v>
      </c>
      <c r="Q115" s="11">
        <f t="shared" si="9"/>
        <v>16</v>
      </c>
      <c r="R115" s="11">
        <f t="shared" si="10"/>
        <v>5</v>
      </c>
      <c r="S115" s="12" t="str" cm="1">
        <f t="array" ref="S115">INDEX('TreatmentRespon-ConceptMap-1'!$I$15:$N$124,Q115+1,R115)</f>
        <v>* group[=].element[=].target.equivalence = #</v>
      </c>
    </row>
    <row r="116" spans="2:19">
      <c r="P116" s="11">
        <v>102</v>
      </c>
      <c r="Q116" s="11">
        <f t="shared" si="9"/>
        <v>16</v>
      </c>
      <c r="R116" s="11">
        <f t="shared" si="10"/>
        <v>6</v>
      </c>
      <c r="S116" s="12" t="str" cm="1">
        <f t="array" ref="S116">INDEX('TreatmentRespon-ConceptMap-1'!$I$15:$N$124,Q116+1,R116)</f>
        <v/>
      </c>
    </row>
    <row r="117" spans="2:19">
      <c r="P117" s="11">
        <v>103</v>
      </c>
      <c r="Q117" s="11">
        <f t="shared" si="9"/>
        <v>17</v>
      </c>
      <c r="R117" s="11">
        <f t="shared" si="10"/>
        <v>1</v>
      </c>
      <c r="S117" s="12" t="str" cm="1">
        <f t="array" ref="S117">INDEX('TreatmentRespon-ConceptMap-1'!$I$15:$N$124,Q117+1,R117)</f>
        <v>* group[=].element[+].code = #TreatmentResponseI4rc.</v>
      </c>
    </row>
    <row r="118" spans="2:19">
      <c r="P118" s="11">
        <v>104</v>
      </c>
      <c r="Q118" s="11">
        <f t="shared" si="9"/>
        <v>17</v>
      </c>
      <c r="R118" s="11">
        <f t="shared" si="10"/>
        <v>2</v>
      </c>
      <c r="S118" s="12" t="str" cm="1">
        <f t="array" ref="S118">INDEX('TreatmentRespon-ConceptMap-1'!$I$15:$N$124,Q118+1,R118)</f>
        <v>* group[=].element[=].display = ##34###34#</v>
      </c>
    </row>
    <row r="119" spans="2:19">
      <c r="P119" s="11">
        <v>105</v>
      </c>
      <c r="Q119" s="11">
        <f t="shared" si="9"/>
        <v>17</v>
      </c>
      <c r="R119" s="11">
        <f t="shared" si="10"/>
        <v>3</v>
      </c>
      <c r="S119" s="12" t="str" cm="1">
        <f t="array" ref="S119">INDEX('TreatmentRespon-ConceptMap-1'!$I$15:$N$124,Q119+1,R119)</f>
        <v>* group[=].element[=].target.code = #Procedure.</v>
      </c>
    </row>
    <row r="120" spans="2:19">
      <c r="P120" s="11">
        <v>106</v>
      </c>
      <c r="Q120" s="11">
        <f t="shared" si="9"/>
        <v>17</v>
      </c>
      <c r="R120" s="11">
        <f t="shared" si="10"/>
        <v>4</v>
      </c>
      <c r="S120" s="12" t="str" cm="1">
        <f t="array" ref="S120">INDEX('TreatmentRespon-ConceptMap-1'!$I$15:$N$124,Q120+1,R120)</f>
        <v>* group[=].element[=].target.display = ##34###34#</v>
      </c>
    </row>
    <row r="121" spans="2:19">
      <c r="P121" s="11">
        <v>107</v>
      </c>
      <c r="Q121" s="11">
        <f t="shared" si="9"/>
        <v>17</v>
      </c>
      <c r="R121" s="11">
        <f t="shared" si="10"/>
        <v>5</v>
      </c>
      <c r="S121" s="12" t="str" cm="1">
        <f t="array" ref="S121">INDEX('TreatmentRespon-ConceptMap-1'!$I$15:$N$124,Q121+1,R121)</f>
        <v>* group[=].element[=].target.equivalence = #</v>
      </c>
    </row>
    <row r="122" spans="2:19">
      <c r="P122" s="11">
        <v>108</v>
      </c>
      <c r="Q122" s="11">
        <f t="shared" si="9"/>
        <v>17</v>
      </c>
      <c r="R122" s="11">
        <f t="shared" si="10"/>
        <v>6</v>
      </c>
      <c r="S122" s="12" t="str" cm="1">
        <f t="array" ref="S122">INDEX('TreatmentRespon-ConceptMap-1'!$I$15:$N$124,Q122+1,R122)</f>
        <v/>
      </c>
    </row>
    <row r="123" spans="2:19">
      <c r="P123" s="11">
        <v>109</v>
      </c>
      <c r="Q123" s="11">
        <f t="shared" si="9"/>
        <v>18</v>
      </c>
      <c r="R123" s="11">
        <f t="shared" si="10"/>
        <v>1</v>
      </c>
      <c r="S123" s="12" t="str" cm="1">
        <f t="array" ref="S123">INDEX('TreatmentRespon-ConceptMap-1'!$I$15:$N$124,Q123+1,R123)</f>
        <v>* group[=].element[+].code = #TreatmentResponseI4rc.</v>
      </c>
    </row>
    <row r="124" spans="2:19">
      <c r="P124" s="11">
        <v>110</v>
      </c>
      <c r="Q124" s="11">
        <f t="shared" si="9"/>
        <v>18</v>
      </c>
      <c r="R124" s="11">
        <f t="shared" si="10"/>
        <v>2</v>
      </c>
      <c r="S124" s="12" t="str" cm="1">
        <f t="array" ref="S124">INDEX('TreatmentRespon-ConceptMap-1'!$I$15:$N$124,Q124+1,R124)</f>
        <v>* group[=].element[=].display = ##34###34#</v>
      </c>
    </row>
    <row r="125" spans="2:19">
      <c r="P125" s="11">
        <v>111</v>
      </c>
      <c r="Q125" s="11">
        <f t="shared" si="9"/>
        <v>18</v>
      </c>
      <c r="R125" s="11">
        <f t="shared" si="10"/>
        <v>3</v>
      </c>
      <c r="S125" s="12" t="str" cm="1">
        <f t="array" ref="S125">INDEX('TreatmentRespon-ConceptMap-1'!$I$15:$N$124,Q125+1,R125)</f>
        <v>* group[=].element[=].target.code = #Procedure.</v>
      </c>
    </row>
    <row r="126" spans="2:19">
      <c r="P126" s="11">
        <v>112</v>
      </c>
      <c r="Q126" s="11">
        <f t="shared" si="9"/>
        <v>18</v>
      </c>
      <c r="R126" s="11">
        <f t="shared" si="10"/>
        <v>4</v>
      </c>
      <c r="S126" s="12" t="str" cm="1">
        <f t="array" ref="S126">INDEX('TreatmentRespon-ConceptMap-1'!$I$15:$N$124,Q126+1,R126)</f>
        <v>* group[=].element[=].target.display = ##34###34#</v>
      </c>
    </row>
    <row r="127" spans="2:19">
      <c r="P127" s="11">
        <v>113</v>
      </c>
      <c r="Q127" s="11">
        <f t="shared" si="9"/>
        <v>18</v>
      </c>
      <c r="R127" s="11">
        <f t="shared" si="10"/>
        <v>5</v>
      </c>
      <c r="S127" s="12" t="str" cm="1">
        <f t="array" ref="S127">INDEX('TreatmentRespon-ConceptMap-1'!$I$15:$N$124,Q127+1,R127)</f>
        <v>* group[=].element[=].target.equivalence = #</v>
      </c>
    </row>
    <row r="128" spans="2:19">
      <c r="P128" s="11">
        <v>114</v>
      </c>
      <c r="Q128" s="11">
        <f t="shared" si="9"/>
        <v>18</v>
      </c>
      <c r="R128" s="11">
        <f t="shared" si="10"/>
        <v>6</v>
      </c>
      <c r="S128" s="12" t="str" cm="1">
        <f t="array" ref="S128">INDEX('TreatmentRespon-ConceptMap-1'!$I$15:$N$124,Q128+1,R128)</f>
        <v/>
      </c>
    </row>
    <row r="129" spans="16:19">
      <c r="P129" s="11">
        <v>115</v>
      </c>
      <c r="Q129" s="11">
        <f t="shared" si="9"/>
        <v>19</v>
      </c>
      <c r="R129" s="11">
        <f t="shared" si="10"/>
        <v>1</v>
      </c>
      <c r="S129" s="12" t="str" cm="1">
        <f t="array" ref="S129">INDEX('TreatmentRespon-ConceptMap-1'!$I$15:$N$124,Q129+1,R129)</f>
        <v>* group[=].element[+].code = #TreatmentResponseI4rc.</v>
      </c>
    </row>
    <row r="130" spans="16:19">
      <c r="P130" s="11">
        <v>116</v>
      </c>
      <c r="Q130" s="11">
        <f t="shared" si="9"/>
        <v>19</v>
      </c>
      <c r="R130" s="11">
        <f t="shared" si="10"/>
        <v>2</v>
      </c>
      <c r="S130" s="12" t="str" cm="1">
        <f t="array" ref="S130">INDEX('TreatmentRespon-ConceptMap-1'!$I$15:$N$124,Q130+1,R130)</f>
        <v>* group[=].element[=].display = ##34###34#</v>
      </c>
    </row>
    <row r="131" spans="16:19">
      <c r="P131" s="11">
        <v>117</v>
      </c>
      <c r="Q131" s="11">
        <f t="shared" si="9"/>
        <v>19</v>
      </c>
      <c r="R131" s="11">
        <f t="shared" si="10"/>
        <v>3</v>
      </c>
      <c r="S131" s="12" t="str" cm="1">
        <f t="array" ref="S131">INDEX('TreatmentRespon-ConceptMap-1'!$I$15:$N$124,Q131+1,R131)</f>
        <v>* group[=].element[=].target.code = #Procedure.</v>
      </c>
    </row>
    <row r="132" spans="16:19">
      <c r="P132" s="11">
        <v>118</v>
      </c>
      <c r="Q132" s="11">
        <f t="shared" si="9"/>
        <v>19</v>
      </c>
      <c r="R132" s="11">
        <f t="shared" si="10"/>
        <v>4</v>
      </c>
      <c r="S132" s="12" t="str" cm="1">
        <f t="array" ref="S132">INDEX('TreatmentRespon-ConceptMap-1'!$I$15:$N$124,Q132+1,R132)</f>
        <v>* group[=].element[=].target.display = ##34###34#</v>
      </c>
    </row>
    <row r="133" spans="16:19">
      <c r="P133" s="11">
        <v>119</v>
      </c>
      <c r="Q133" s="11">
        <f t="shared" si="9"/>
        <v>19</v>
      </c>
      <c r="R133" s="11">
        <f t="shared" si="10"/>
        <v>5</v>
      </c>
      <c r="S133" s="12" t="str" cm="1">
        <f t="array" ref="S133">INDEX('TreatmentRespon-ConceptMap-1'!$I$15:$N$124,Q133+1,R133)</f>
        <v>* group[=].element[=].target.equivalence = #</v>
      </c>
    </row>
    <row r="134" spans="16:19">
      <c r="P134" s="11">
        <v>120</v>
      </c>
      <c r="Q134" s="11">
        <f t="shared" si="9"/>
        <v>19</v>
      </c>
      <c r="R134" s="11">
        <f t="shared" si="10"/>
        <v>6</v>
      </c>
      <c r="S134" s="12" t="str" cm="1">
        <f t="array" ref="S134">INDEX('TreatmentRespon-ConceptMap-1'!$I$15:$N$124,Q134+1,R134)</f>
        <v/>
      </c>
    </row>
    <row r="135" spans="16:19">
      <c r="P135" s="11">
        <v>121</v>
      </c>
      <c r="Q135" s="11">
        <f t="shared" si="9"/>
        <v>20</v>
      </c>
      <c r="R135" s="11">
        <f t="shared" si="10"/>
        <v>1</v>
      </c>
      <c r="S135" s="12" t="str" cm="1">
        <f t="array" ref="S135">INDEX('TreatmentRespon-ConceptMap-1'!$I$15:$N$124,Q135+1,R135)</f>
        <v>* group[=].element[+].code = #TreatmentResponseI4rc.</v>
      </c>
    </row>
    <row r="136" spans="16:19">
      <c r="P136" s="11">
        <v>122</v>
      </c>
      <c r="Q136" s="11">
        <f t="shared" si="9"/>
        <v>20</v>
      </c>
      <c r="R136" s="11">
        <f t="shared" si="10"/>
        <v>2</v>
      </c>
      <c r="S136" s="12" t="str" cm="1">
        <f t="array" ref="S136">INDEX('TreatmentRespon-ConceptMap-1'!$I$15:$N$124,Q136+1,R136)</f>
        <v>* group[=].element[=].display = ##34###34#</v>
      </c>
    </row>
    <row r="137" spans="16:19">
      <c r="P137" s="11">
        <v>123</v>
      </c>
      <c r="Q137" s="11">
        <f t="shared" si="9"/>
        <v>20</v>
      </c>
      <c r="R137" s="11">
        <f t="shared" si="10"/>
        <v>3</v>
      </c>
      <c r="S137" s="12" t="str" cm="1">
        <f t="array" ref="S137">INDEX('TreatmentRespon-ConceptMap-1'!$I$15:$N$124,Q137+1,R137)</f>
        <v>* group[=].element[=].target.code = #Procedure.</v>
      </c>
    </row>
    <row r="138" spans="16:19">
      <c r="P138" s="11">
        <v>124</v>
      </c>
      <c r="Q138" s="11">
        <f t="shared" si="9"/>
        <v>20</v>
      </c>
      <c r="R138" s="11">
        <f t="shared" si="10"/>
        <v>4</v>
      </c>
      <c r="S138" s="12" t="str" cm="1">
        <f t="array" ref="S138">INDEX('TreatmentRespon-ConceptMap-1'!$I$15:$N$124,Q138+1,R138)</f>
        <v>* group[=].element[=].target.display = ##34###34#</v>
      </c>
    </row>
    <row r="139" spans="16:19">
      <c r="P139" s="11">
        <v>125</v>
      </c>
      <c r="Q139" s="11">
        <f t="shared" si="9"/>
        <v>20</v>
      </c>
      <c r="R139" s="11">
        <f t="shared" si="10"/>
        <v>5</v>
      </c>
      <c r="S139" s="12" t="str" cm="1">
        <f t="array" ref="S139">INDEX('TreatmentRespon-ConceptMap-1'!$I$15:$N$124,Q139+1,R139)</f>
        <v>* group[=].element[=].target.equivalence = #</v>
      </c>
    </row>
    <row r="140" spans="16:19">
      <c r="P140" s="11">
        <v>126</v>
      </c>
      <c r="Q140" s="11">
        <f t="shared" si="9"/>
        <v>20</v>
      </c>
      <c r="R140" s="11">
        <f t="shared" si="10"/>
        <v>6</v>
      </c>
      <c r="S140" s="12" t="str" cm="1">
        <f t="array" ref="S140">INDEX('TreatmentRespon-ConceptMap-1'!$I$15:$N$124,Q140+1,R140)</f>
        <v/>
      </c>
    </row>
    <row r="141" spans="16:19">
      <c r="P141" s="11">
        <v>127</v>
      </c>
      <c r="Q141" s="11">
        <f t="shared" si="9"/>
        <v>21</v>
      </c>
      <c r="R141" s="11">
        <f t="shared" si="10"/>
        <v>1</v>
      </c>
      <c r="S141" s="12" t="str" cm="1">
        <f t="array" ref="S141">INDEX('TreatmentRespon-ConceptMap-1'!$I$15:$N$124,Q141+1,R141)</f>
        <v>* group[=].element[+].code = #TreatmentResponseI4rc.</v>
      </c>
    </row>
    <row r="142" spans="16:19">
      <c r="P142" s="11">
        <v>128</v>
      </c>
      <c r="Q142" s="11">
        <f t="shared" si="9"/>
        <v>21</v>
      </c>
      <c r="R142" s="11">
        <f t="shared" si="10"/>
        <v>2</v>
      </c>
      <c r="S142" s="12" t="str" cm="1">
        <f t="array" ref="S142">INDEX('TreatmentRespon-ConceptMap-1'!$I$15:$N$124,Q142+1,R142)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c r="P144" s="11">
        <v>130</v>
      </c>
      <c r="Q144" s="11">
        <f t="shared" si="11"/>
        <v>21</v>
      </c>
      <c r="R144" s="11">
        <f t="shared" si="12"/>
        <v>4</v>
      </c>
      <c r="S144" s="12" t="str" cm="1">
        <f t="array" ref="S144">INDEX('TreatmentRespon-ConceptMap-1'!$I$15:$N$124,Q144+1,R144)</f>
        <v>* group[=].element[=].target.display = ##34###34#</v>
      </c>
    </row>
    <row r="145" spans="16:19">
      <c r="P145" s="11">
        <v>131</v>
      </c>
      <c r="Q145" s="11">
        <f t="shared" si="11"/>
        <v>21</v>
      </c>
      <c r="R145" s="11">
        <f t="shared" si="12"/>
        <v>5</v>
      </c>
      <c r="S145" s="12" t="str" cm="1">
        <f t="array" ref="S145">INDEX('TreatmentRespon-ConceptMap-1'!$I$15:$N$124,Q145+1,R145)</f>
        <v>* group[=].element[=].target.equivalence = #</v>
      </c>
    </row>
    <row r="146" spans="16:19">
      <c r="P146" s="11">
        <v>132</v>
      </c>
      <c r="Q146" s="11">
        <f t="shared" si="11"/>
        <v>21</v>
      </c>
      <c r="R146" s="11">
        <f t="shared" si="12"/>
        <v>6</v>
      </c>
      <c r="S146" s="12" t="str" cm="1">
        <f t="array" ref="S146">INDEX('TreatmentRespon-ConceptMap-1'!$I$15:$N$124,Q146+1,R146)</f>
        <v/>
      </c>
    </row>
    <row r="147" spans="16:19">
      <c r="P147" s="11">
        <v>133</v>
      </c>
      <c r="Q147" s="11">
        <f t="shared" si="11"/>
        <v>22</v>
      </c>
      <c r="R147" s="11">
        <f t="shared" si="12"/>
        <v>1</v>
      </c>
      <c r="S147" s="12" t="str" cm="1">
        <f t="array" ref="S147">INDEX('TreatmentRespon-ConceptMap-1'!$I$15:$N$124,Q147+1,R147)</f>
        <v>* group[=].element[+].code = #TreatmentResponseI4rc.</v>
      </c>
    </row>
    <row r="148" spans="16:19">
      <c r="P148" s="11">
        <v>134</v>
      </c>
      <c r="Q148" s="11">
        <f t="shared" si="11"/>
        <v>22</v>
      </c>
      <c r="R148" s="11">
        <f t="shared" si="12"/>
        <v>2</v>
      </c>
      <c r="S148" s="12" t="str" cm="1">
        <f t="array" ref="S148">INDEX('TreatmentRespon-ConceptMap-1'!$I$15:$N$124,Q148+1,R148)</f>
        <v>* group[=].element[=].display = ##34###34#</v>
      </c>
    </row>
    <row r="149" spans="16:19">
      <c r="P149" s="11">
        <v>135</v>
      </c>
      <c r="Q149" s="11">
        <f t="shared" si="11"/>
        <v>22</v>
      </c>
      <c r="R149" s="11">
        <f t="shared" si="12"/>
        <v>3</v>
      </c>
      <c r="S149" s="12" t="str" cm="1">
        <f t="array" ref="S149">INDEX('TreatmentRespon-ConceptMap-1'!$I$15:$N$124,Q149+1,R149)</f>
        <v>* group[=].element[=].target.code = #Procedure.</v>
      </c>
    </row>
    <row r="150" spans="16:19">
      <c r="P150" s="11">
        <v>136</v>
      </c>
      <c r="Q150" s="11">
        <f t="shared" si="11"/>
        <v>22</v>
      </c>
      <c r="R150" s="11">
        <f t="shared" si="12"/>
        <v>4</v>
      </c>
      <c r="S150" s="12" t="str" cm="1">
        <f t="array" ref="S150">INDEX('TreatmentRespon-ConceptMap-1'!$I$15:$N$124,Q150+1,R150)</f>
        <v>* group[=].element[=].target.display = ##34###34#</v>
      </c>
    </row>
    <row r="151" spans="16:19">
      <c r="P151" s="11">
        <v>137</v>
      </c>
      <c r="Q151" s="11">
        <f t="shared" si="11"/>
        <v>22</v>
      </c>
      <c r="R151" s="11">
        <f t="shared" si="12"/>
        <v>5</v>
      </c>
      <c r="S151" s="12" t="str" cm="1">
        <f t="array" ref="S151">INDEX('TreatmentRespon-ConceptMap-1'!$I$15:$N$124,Q151+1,R151)</f>
        <v>* group[=].element[=].target.equivalence = #</v>
      </c>
    </row>
    <row r="152" spans="16:19">
      <c r="P152" s="11">
        <v>138</v>
      </c>
      <c r="Q152" s="11">
        <f t="shared" si="11"/>
        <v>22</v>
      </c>
      <c r="R152" s="11">
        <f t="shared" si="12"/>
        <v>6</v>
      </c>
      <c r="S152" s="12" t="str" cm="1">
        <f t="array" ref="S152">INDEX('TreatmentRespon-ConceptMap-1'!$I$15:$N$124,Q152+1,R152)</f>
        <v/>
      </c>
    </row>
    <row r="153" spans="16:19">
      <c r="P153" s="11">
        <v>139</v>
      </c>
      <c r="Q153" s="11">
        <f t="shared" si="11"/>
        <v>23</v>
      </c>
      <c r="R153" s="11">
        <f t="shared" si="12"/>
        <v>1</v>
      </c>
      <c r="S153" s="12" t="str" cm="1">
        <f t="array" ref="S153">INDEX('TreatmentRespon-ConceptMap-1'!$I$15:$N$124,Q153+1,R153)</f>
        <v>* group[=].element[+].code = #TreatmentResponseI4rc.</v>
      </c>
    </row>
    <row r="154" spans="16:19">
      <c r="P154" s="11">
        <v>140</v>
      </c>
      <c r="Q154" s="11">
        <f t="shared" si="11"/>
        <v>23</v>
      </c>
      <c r="R154" s="11">
        <f t="shared" si="12"/>
        <v>2</v>
      </c>
      <c r="S154" s="12" t="str" cm="1">
        <f t="array" ref="S154">INDEX('TreatmentRespon-ConceptMap-1'!$I$15:$N$124,Q154+1,R154)</f>
        <v>* group[=].element[=].display = ##34###34#</v>
      </c>
    </row>
    <row r="155" spans="16:19">
      <c r="P155" s="11">
        <v>141</v>
      </c>
      <c r="Q155" s="11">
        <f t="shared" si="11"/>
        <v>23</v>
      </c>
      <c r="R155" s="11">
        <f t="shared" si="12"/>
        <v>3</v>
      </c>
      <c r="S155" s="12" t="str" cm="1">
        <f t="array" ref="S155">INDEX('TreatmentRespon-ConceptMap-1'!$I$15:$N$124,Q155+1,R155)</f>
        <v>* group[=].element[=].target.code = #Procedure.</v>
      </c>
    </row>
    <row r="156" spans="16:19">
      <c r="P156" s="11">
        <v>142</v>
      </c>
      <c r="Q156" s="11">
        <f t="shared" si="11"/>
        <v>23</v>
      </c>
      <c r="R156" s="11">
        <f t="shared" si="12"/>
        <v>4</v>
      </c>
      <c r="S156" s="12" t="str" cm="1">
        <f t="array" ref="S156">INDEX('TreatmentRespon-ConceptMap-1'!$I$15:$N$124,Q156+1,R156)</f>
        <v>* group[=].element[=].target.display = ##34###34#</v>
      </c>
    </row>
    <row r="157" spans="16:19">
      <c r="P157" s="11">
        <v>143</v>
      </c>
      <c r="Q157" s="11">
        <f t="shared" si="11"/>
        <v>23</v>
      </c>
      <c r="R157" s="11">
        <f t="shared" si="12"/>
        <v>5</v>
      </c>
      <c r="S157" s="12" t="str" cm="1">
        <f t="array" ref="S157">INDEX('TreatmentRespon-ConceptMap-1'!$I$15:$N$124,Q157+1,R157)</f>
        <v>* group[=].element[=].target.equivalence = #</v>
      </c>
    </row>
    <row r="158" spans="16:19">
      <c r="P158" s="11">
        <v>144</v>
      </c>
      <c r="Q158" s="11">
        <f t="shared" si="11"/>
        <v>23</v>
      </c>
      <c r="R158" s="11">
        <f t="shared" si="12"/>
        <v>6</v>
      </c>
      <c r="S158" s="12" t="str" cm="1">
        <f t="array" ref="S158">INDEX('TreatmentRespon-ConceptMap-1'!$I$15:$N$124,Q158+1,R158)</f>
        <v/>
      </c>
    </row>
    <row r="159" spans="16:19">
      <c r="P159" s="11">
        <v>145</v>
      </c>
      <c r="Q159" s="11">
        <f t="shared" si="11"/>
        <v>24</v>
      </c>
      <c r="R159" s="11">
        <f t="shared" si="12"/>
        <v>1</v>
      </c>
      <c r="S159" s="12" t="str" cm="1">
        <f t="array" ref="S159">INDEX('TreatmentRespon-ConceptMap-1'!$I$15:$N$124,Q159+1,R159)</f>
        <v>* group[=].element[+].code = #TreatmentResponseI4rc.</v>
      </c>
    </row>
    <row r="160" spans="16:19">
      <c r="P160" s="11">
        <v>146</v>
      </c>
      <c r="Q160" s="11">
        <f t="shared" si="11"/>
        <v>24</v>
      </c>
      <c r="R160" s="11">
        <f t="shared" si="12"/>
        <v>2</v>
      </c>
      <c r="S160" s="12" t="str" cm="1">
        <f t="array" ref="S160">INDEX('TreatmentRespon-ConceptMap-1'!$I$15:$N$124,Q160+1,R160)</f>
        <v>* group[=].element[=].display = ##34###34#</v>
      </c>
    </row>
    <row r="161" spans="16:19">
      <c r="P161" s="11">
        <v>147</v>
      </c>
      <c r="Q161" s="11">
        <f t="shared" si="11"/>
        <v>24</v>
      </c>
      <c r="R161" s="11">
        <f t="shared" si="12"/>
        <v>3</v>
      </c>
      <c r="S161" s="12" t="str" cm="1">
        <f t="array" ref="S161">INDEX('TreatmentRespon-ConceptMap-1'!$I$15:$N$124,Q161+1,R161)</f>
        <v>* group[=].element[=].target.code = #Procedure.</v>
      </c>
    </row>
    <row r="162" spans="16:19">
      <c r="P162" s="11">
        <v>148</v>
      </c>
      <c r="Q162" s="11">
        <f t="shared" si="11"/>
        <v>24</v>
      </c>
      <c r="R162" s="11">
        <f t="shared" si="12"/>
        <v>4</v>
      </c>
      <c r="S162" s="12" t="str" cm="1">
        <f t="array" ref="S162">INDEX('TreatmentRespon-ConceptMap-1'!$I$15:$N$124,Q162+1,R162)</f>
        <v>* group[=].element[=].target.display = ##34###34#</v>
      </c>
    </row>
    <row r="163" spans="16:19">
      <c r="P163" s="11">
        <v>149</v>
      </c>
      <c r="Q163" s="11">
        <f t="shared" si="11"/>
        <v>24</v>
      </c>
      <c r="R163" s="11">
        <f t="shared" si="12"/>
        <v>5</v>
      </c>
      <c r="S163" s="12" t="str" cm="1">
        <f t="array" ref="S163">INDEX('TreatmentRespon-ConceptMap-1'!$I$15:$N$124,Q163+1,R163)</f>
        <v>* group[=].element[=].target.equivalence = #</v>
      </c>
    </row>
    <row r="164" spans="16:19">
      <c r="P164" s="11">
        <v>150</v>
      </c>
      <c r="Q164" s="11">
        <f t="shared" si="11"/>
        <v>24</v>
      </c>
      <c r="R164" s="11">
        <f t="shared" si="12"/>
        <v>6</v>
      </c>
      <c r="S164" s="12" t="str" cm="1">
        <f t="array" ref="S164">INDEX('TreatmentRespon-ConceptMap-1'!$I$15:$N$124,Q164+1,R164)</f>
        <v/>
      </c>
    </row>
    <row r="165" spans="16:19">
      <c r="P165" s="11">
        <v>151</v>
      </c>
      <c r="Q165" s="11">
        <f t="shared" si="11"/>
        <v>25</v>
      </c>
      <c r="R165" s="11">
        <f t="shared" si="12"/>
        <v>1</v>
      </c>
      <c r="S165" s="12" t="str" cm="1">
        <f t="array" ref="S165">INDEX('TreatmentRespon-ConceptMap-1'!$I$15:$N$124,Q165+1,R165)</f>
        <v>* group[=].element[+].code = #TreatmentResponseI4rc.</v>
      </c>
    </row>
    <row r="166" spans="16:19">
      <c r="P166" s="11">
        <v>152</v>
      </c>
      <c r="Q166" s="11">
        <f t="shared" si="11"/>
        <v>25</v>
      </c>
      <c r="R166" s="11">
        <f t="shared" si="12"/>
        <v>2</v>
      </c>
      <c r="S166" s="12" t="str" cm="1">
        <f t="array" ref="S166">INDEX('TreatmentRespon-ConceptMap-1'!$I$15:$N$124,Q166+1,R166)</f>
        <v>* group[=].element[=].display = ##34###34#</v>
      </c>
    </row>
    <row r="167" spans="16:19">
      <c r="P167" s="11">
        <v>153</v>
      </c>
      <c r="Q167" s="11">
        <f t="shared" si="11"/>
        <v>25</v>
      </c>
      <c r="R167" s="11">
        <f t="shared" si="12"/>
        <v>3</v>
      </c>
      <c r="S167" s="12" t="str" cm="1">
        <f t="array" ref="S167">INDEX('TreatmentRespon-ConceptMap-1'!$I$15:$N$124,Q167+1,R167)</f>
        <v>* group[=].element[=].target.code = #Procedure.</v>
      </c>
    </row>
    <row r="168" spans="16:19">
      <c r="P168" s="11">
        <v>154</v>
      </c>
      <c r="Q168" s="11">
        <f t="shared" si="11"/>
        <v>25</v>
      </c>
      <c r="R168" s="11">
        <f t="shared" si="12"/>
        <v>4</v>
      </c>
      <c r="S168" s="12" t="str" cm="1">
        <f t="array" ref="S168">INDEX('TreatmentRespon-ConceptMap-1'!$I$15:$N$124,Q168+1,R168)</f>
        <v>* group[=].element[=].target.display = ##34###34#</v>
      </c>
    </row>
    <row r="169" spans="16:19">
      <c r="P169" s="11">
        <v>155</v>
      </c>
      <c r="Q169" s="11">
        <f t="shared" si="11"/>
        <v>25</v>
      </c>
      <c r="R169" s="11">
        <f t="shared" si="12"/>
        <v>5</v>
      </c>
      <c r="S169" s="12" t="str" cm="1">
        <f t="array" ref="S169">INDEX('TreatmentRespon-ConceptMap-1'!$I$15:$N$124,Q169+1,R169)</f>
        <v>* group[=].element[=].target.equivalence = #</v>
      </c>
    </row>
    <row r="170" spans="16:19">
      <c r="P170" s="11">
        <v>156</v>
      </c>
      <c r="Q170" s="11">
        <f t="shared" si="11"/>
        <v>25</v>
      </c>
      <c r="R170" s="11">
        <f t="shared" si="12"/>
        <v>6</v>
      </c>
      <c r="S170" s="12" t="str" cm="1">
        <f t="array" ref="S170">INDEX('TreatmentRespon-ConceptMap-1'!$I$15:$N$124,Q170+1,R170)</f>
        <v/>
      </c>
    </row>
    <row r="171" spans="16:19">
      <c r="P171" s="11">
        <v>157</v>
      </c>
      <c r="Q171" s="11">
        <f t="shared" si="11"/>
        <v>26</v>
      </c>
      <c r="R171" s="11">
        <f t="shared" si="12"/>
        <v>1</v>
      </c>
      <c r="S171" s="12" t="str" cm="1">
        <f t="array" ref="S171">INDEX('TreatmentRespon-ConceptMap-1'!$I$15:$N$124,Q171+1,R171)</f>
        <v>* group[=].element[+].code = #TreatmentResponseI4rc.</v>
      </c>
    </row>
    <row r="172" spans="16:19">
      <c r="P172" s="11">
        <v>158</v>
      </c>
      <c r="Q172" s="11">
        <f t="shared" si="11"/>
        <v>26</v>
      </c>
      <c r="R172" s="11">
        <f t="shared" si="12"/>
        <v>2</v>
      </c>
      <c r="S172" s="12" t="str" cm="1">
        <f t="array" ref="S172">INDEX('TreatmentRespon-ConceptMap-1'!$I$15:$N$124,Q172+1,R172)</f>
        <v>* group[=].element[=].display = ##34###34#</v>
      </c>
    </row>
    <row r="173" spans="16:19">
      <c r="P173" s="11">
        <v>159</v>
      </c>
      <c r="Q173" s="11">
        <f t="shared" si="11"/>
        <v>26</v>
      </c>
      <c r="R173" s="11">
        <f t="shared" si="12"/>
        <v>3</v>
      </c>
      <c r="S173" s="12" t="str" cm="1">
        <f t="array" ref="S173">INDEX('TreatmentRespon-ConceptMap-1'!$I$15:$N$124,Q173+1,R173)</f>
        <v>* group[=].element[=].target.code = #Procedure.</v>
      </c>
    </row>
    <row r="174" spans="16:19">
      <c r="P174" s="11">
        <v>160</v>
      </c>
      <c r="Q174" s="11">
        <f t="shared" si="11"/>
        <v>26</v>
      </c>
      <c r="R174" s="11">
        <f t="shared" si="12"/>
        <v>4</v>
      </c>
      <c r="S174" s="12" t="str" cm="1">
        <f t="array" ref="S174">INDEX('TreatmentRespon-ConceptMap-1'!$I$15:$N$124,Q174+1,R174)</f>
        <v>* group[=].element[=].target.display = ##34###34#</v>
      </c>
    </row>
    <row r="175" spans="16:19">
      <c r="P175" s="11">
        <v>161</v>
      </c>
      <c r="Q175" s="11">
        <f t="shared" si="11"/>
        <v>26</v>
      </c>
      <c r="R175" s="11">
        <f t="shared" si="12"/>
        <v>5</v>
      </c>
      <c r="S175" s="12" t="str" cm="1">
        <f t="array" ref="S175">INDEX('TreatmentRespon-ConceptMap-1'!$I$15:$N$124,Q175+1,R175)</f>
        <v>* group[=].element[=].target.equivalence = #</v>
      </c>
    </row>
    <row r="176" spans="16:19">
      <c r="P176" s="11">
        <v>162</v>
      </c>
      <c r="Q176" s="11">
        <f t="shared" si="11"/>
        <v>26</v>
      </c>
      <c r="R176" s="11">
        <f t="shared" si="12"/>
        <v>6</v>
      </c>
      <c r="S176" s="12" t="str" cm="1">
        <f t="array" ref="S176">INDEX('TreatmentRespon-ConceptMap-1'!$I$15:$N$124,Q176+1,R176)</f>
        <v/>
      </c>
    </row>
    <row r="177" spans="16:19">
      <c r="P177" s="11">
        <v>163</v>
      </c>
      <c r="Q177" s="11">
        <f t="shared" si="11"/>
        <v>27</v>
      </c>
      <c r="R177" s="11">
        <f t="shared" si="12"/>
        <v>1</v>
      </c>
      <c r="S177" s="12" cm="1">
        <f t="array" ref="S177">INDEX('TreatmentRespon-ConceptMap-1'!$I$15:$N$124,Q177+1,R177)</f>
        <v>0</v>
      </c>
    </row>
    <row r="178" spans="16:19">
      <c r="P178" s="11">
        <v>164</v>
      </c>
      <c r="Q178" s="11">
        <f t="shared" si="11"/>
        <v>27</v>
      </c>
      <c r="R178" s="11">
        <f t="shared" si="12"/>
        <v>2</v>
      </c>
      <c r="S178" s="12" cm="1">
        <f t="array" ref="S178">INDEX('TreatmentRespon-ConceptMap-1'!$I$15:$N$124,Q178+1,R178)</f>
        <v>0</v>
      </c>
    </row>
    <row r="179" spans="16:19">
      <c r="P179" s="11">
        <v>165</v>
      </c>
      <c r="Q179" s="11">
        <f t="shared" si="11"/>
        <v>27</v>
      </c>
      <c r="R179" s="11">
        <f t="shared" si="12"/>
        <v>3</v>
      </c>
      <c r="S179" s="12" cm="1">
        <f t="array" ref="S179">INDEX('TreatmentRespon-ConceptMap-1'!$I$15:$N$124,Q179+1,R179)</f>
        <v>0</v>
      </c>
    </row>
    <row r="180" spans="16:19">
      <c r="P180" s="11">
        <v>166</v>
      </c>
      <c r="Q180" s="11">
        <f t="shared" si="11"/>
        <v>27</v>
      </c>
      <c r="R180" s="11">
        <f t="shared" si="12"/>
        <v>4</v>
      </c>
      <c r="S180" s="12" cm="1">
        <f t="array" ref="S180">INDEX('TreatmentRespon-ConceptMap-1'!$I$15:$N$124,Q180+1,R180)</f>
        <v>0</v>
      </c>
    </row>
    <row r="181" spans="16:19">
      <c r="P181" s="11">
        <v>167</v>
      </c>
      <c r="Q181" s="11">
        <f t="shared" si="11"/>
        <v>27</v>
      </c>
      <c r="R181" s="11">
        <f t="shared" si="12"/>
        <v>5</v>
      </c>
      <c r="S181" s="12" cm="1">
        <f t="array" ref="S181">INDEX('TreatmentRespon-ConceptMap-1'!$I$15:$N$124,Q181+1,R181)</f>
        <v>0</v>
      </c>
    </row>
    <row r="182" spans="16:19">
      <c r="P182" s="11">
        <v>168</v>
      </c>
      <c r="Q182" s="11">
        <f t="shared" si="11"/>
        <v>27</v>
      </c>
      <c r="R182" s="11">
        <f t="shared" si="12"/>
        <v>6</v>
      </c>
      <c r="S182" s="12" cm="1">
        <f t="array" ref="S182">INDEX('TreatmentRespon-ConceptMap-1'!$I$15:$N$124,Q182+1,R182)</f>
        <v>0</v>
      </c>
    </row>
    <row r="183" spans="16:19">
      <c r="P183" s="11">
        <v>169</v>
      </c>
      <c r="Q183" s="11">
        <f t="shared" si="11"/>
        <v>28</v>
      </c>
      <c r="R183" s="11">
        <f t="shared" si="12"/>
        <v>1</v>
      </c>
      <c r="S183" s="12" cm="1">
        <f t="array" ref="S183">INDEX('TreatmentRespon-ConceptMap-1'!$I$15:$N$124,Q183+1,R183)</f>
        <v>0</v>
      </c>
    </row>
    <row r="184" spans="16:19">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2292</v>
      </c>
    </row>
    <row r="3" spans="2:7">
      <c r="B3" s="24" t="s">
        <v>20</v>
      </c>
    </row>
    <row r="4" spans="2:7">
      <c r="B4" s="65" t="str">
        <f>"Instance: "&amp;'TreatmentRespon-ConceptMap-1'!C4</f>
        <v>Instance: treatmentResponse2FHIR</v>
      </c>
    </row>
    <row r="5" spans="2:7">
      <c r="B5" s="65" t="s">
        <v>1447</v>
      </c>
    </row>
    <row r="6" spans="2:7">
      <c r="B6" s="65" t="s">
        <v>1438</v>
      </c>
    </row>
    <row r="7" spans="2:7">
      <c r="B7" s="65" t="s">
        <v>1776</v>
      </c>
    </row>
    <row r="8" spans="2:7">
      <c r="B8" s="65" t="str">
        <f>"* name = ##34#"&amp;'TreatmentRespon-ConceptMap-1'!C3&amp;"##34#"</f>
        <v>* name = ##34#treatmentResponse2FHIR##34#</v>
      </c>
    </row>
    <row r="9" spans="2:7">
      <c r="B9" s="65" t="str">
        <f>"* title = ##34#"&amp;'TreatmentRespon-ConceptMap-1'!C5&amp;"##34#"</f>
        <v>* title = ##34#Radiotherapy Model to this guide Map##34#</v>
      </c>
    </row>
    <row r="10" spans="2:7">
      <c r="B10" s="65" t="s">
        <v>1439</v>
      </c>
    </row>
    <row r="11" spans="2:7">
      <c r="B11" s="65" t="s">
        <v>1440</v>
      </c>
    </row>
    <row r="12" spans="2:7">
      <c r="B12" s="65" t="str">
        <f>"* description = ##34#"&amp;'TreatmentRespon-ConceptMap-1'!C8&amp;"##34#"</f>
        <v>* description = ##34#Radiotherapy Model to this guide Map##34#</v>
      </c>
    </row>
    <row r="13" spans="2:7">
      <c r="B13" s="65" t="str">
        <f>"* purpose = ##34#"&amp;'TreatmentRespon-ConceptMap-1'!C9&amp;"##34#"</f>
        <v>* purpose = ##34#It shows how the Radiotherapy model is mapped into this guide##34#</v>
      </c>
    </row>
    <row r="14" spans="2:7">
      <c r="B14" s="69" t="str">
        <f>"* sourceUri = ##34#"&amp;'TreatmentRespon-ConceptMap-1'!E3&amp;"##34#"</f>
        <v>* sourceUri = ##34#http://hl7.eu/fhir/ig/idea4rc/StructureDefinition/TreatmentResponseI4rc##34#</v>
      </c>
    </row>
    <row r="15" spans="2:7">
      <c r="B15" s="69" t="str">
        <f>"* targetUri = ##34#"&amp;'TreatmentRespon-ConceptMap-1'!E4&amp;"##34#"</f>
        <v>* targetUri = ##34#http://hl7.eu/fhir/ig/idea4rc/StructureDefinition/Procedure-radiotheraphy-eu-i4rc##34#</v>
      </c>
    </row>
    <row r="16" spans="2:7">
      <c r="B16" s="68" t="str">
        <f>"* group[+].source = ##34#"&amp;'TreatmentRespon-ConceptMap-1'!E6&amp;"##34#"</f>
        <v>* group[+].source = ##34#http://hl7.eu/fhir/ig/idea4rc/StructureDefinition/TreatmentResponseI4rc##34#</v>
      </c>
    </row>
    <row r="17" spans="2:7">
      <c r="B17" s="68" t="str">
        <f>"* group[=].target = ##34#"&amp;'TreatmentRespon-ConceptMap-1'!E7&amp;"##34#"</f>
        <v>* group[=].target = ##34#http://hl7.eu/fhir/ig/idea4rc/StructureDefinition/Procedure-radiotheraphy-eu-i4rc##34#</v>
      </c>
    </row>
    <row r="18" spans="2:7">
      <c r="B18" s="121"/>
    </row>
    <row r="19" spans="2:7">
      <c r="B19" s="12" t="str">
        <f>IF('TreatmentRespon-ConceptMap-1'!S15=0,"//---END",'TreatmentRespon-ConceptMap-1'!S15)</f>
        <v>* group[=].element[+].code = #TreatmentResponseI4rc.</v>
      </c>
    </row>
    <row r="20" spans="2:7">
      <c r="B20" s="12" t="str">
        <f>IF('TreatmentRespon-ConceptMap-1'!S16=0,"//---END",'TreatmentRespon-ConceptMap-1'!S16)</f>
        <v>* group[=].element[=].display = ##34###34#</v>
      </c>
    </row>
    <row r="21" spans="2:7">
      <c r="B21" s="12" t="str">
        <f>IF('TreatmentRespon-ConceptMap-1'!S17=0,"//---END",'TreatmentRespon-ConceptMap-1'!S17)</f>
        <v>* group[=].element[=].target.code = #Procedure.</v>
      </c>
    </row>
    <row r="22" spans="2:7">
      <c r="B22" s="12" t="str">
        <f>IF('TreatmentRespon-ConceptMap-1'!S18=0,"//---END",'TreatmentRespon-ConceptMap-1'!S18)</f>
        <v>* group[=].element[=].target.display = ##34###34#</v>
      </c>
    </row>
    <row r="23" spans="2:7">
      <c r="B23" s="12" t="str">
        <f>IF('TreatmentRespon-ConceptMap-1'!S19=0,"//---END",'TreatmentRespon-ConceptMap-1'!S19)</f>
        <v>* group[=].element[=].target.equivalence = #</v>
      </c>
    </row>
    <row r="24" spans="2:7">
      <c r="B24" s="12" t="str">
        <f>IF('TreatmentRespon-ConceptMap-1'!S20=0,"//---END",'TreatmentRespon-ConceptMap-1'!S20)</f>
        <v/>
      </c>
      <c r="G24" s="7"/>
    </row>
    <row r="25" spans="2:7">
      <c r="B25" s="12" t="str">
        <f>IF('TreatmentRespon-ConceptMap-1'!S21=0,"//---END",'TreatmentRespon-ConceptMap-1'!S21)</f>
        <v>* group[=].element[+].code = #TreatmentResponseI4rc.</v>
      </c>
    </row>
    <row r="26" spans="2:7">
      <c r="B26" s="12" t="str">
        <f>IF('TreatmentRespon-ConceptMap-1'!S22=0,"//---END",'TreatmentRespon-ConceptMap-1'!S22)</f>
        <v>* group[=].element[=].display = ##34###34#</v>
      </c>
    </row>
    <row r="27" spans="2:7">
      <c r="B27" s="12" t="str">
        <f>IF('TreatmentRespon-ConceptMap-1'!S23=0,"//---END",'TreatmentRespon-ConceptMap-1'!S23)</f>
        <v>* group[=].element[=].target.code = #Procedure.</v>
      </c>
    </row>
    <row r="28" spans="2:7">
      <c r="B28" s="12" t="str">
        <f>IF('TreatmentRespon-ConceptMap-1'!S24=0,"//---END",'TreatmentRespon-ConceptMap-1'!S24)</f>
        <v>* group[=].element[=].target.display = ##34###34#</v>
      </c>
    </row>
    <row r="29" spans="2:7">
      <c r="B29" s="12" t="str">
        <f>IF('TreatmentRespon-ConceptMap-1'!S25=0,"//---END",'TreatmentRespon-ConceptMap-1'!S25)</f>
        <v>* group[=].element[=].target.equivalence = #</v>
      </c>
    </row>
    <row r="30" spans="2:7">
      <c r="B30" s="12" t="str">
        <f>IF('TreatmentRespon-ConceptMap-1'!S26=0,"//---END",'TreatmentRespon-ConceptMap-1'!S26)</f>
        <v/>
      </c>
    </row>
    <row r="31" spans="2:7">
      <c r="B31" s="12" t="str">
        <f>IF('TreatmentRespon-ConceptMap-1'!S27=0,"//---END",'TreatmentRespon-ConceptMap-1'!S27)</f>
        <v>* group[=].element[+].code = #TreatmentResponseI4rc.</v>
      </c>
    </row>
    <row r="32" spans="2:7">
      <c r="B32" s="12" t="str">
        <f>IF('TreatmentRespon-ConceptMap-1'!S28=0,"//---END",'TreatmentRespon-ConceptMap-1'!S28)</f>
        <v>* group[=].element[=].display = ##34###34#</v>
      </c>
    </row>
    <row r="33" spans="2:2">
      <c r="B33" s="12" t="str">
        <f>IF('TreatmentRespon-ConceptMap-1'!S29=0,"//---END",'TreatmentRespon-ConceptMap-1'!S29)</f>
        <v>* group[=].element[=].target.code = #Procedure.</v>
      </c>
    </row>
    <row r="34" spans="2:2">
      <c r="B34" s="12" t="str">
        <f>IF('TreatmentRespon-ConceptMap-1'!S30=0,"//---END",'TreatmentRespon-ConceptMap-1'!S30)</f>
        <v>* group[=].element[=].target.display = ##34###34#</v>
      </c>
    </row>
    <row r="35" spans="2:2">
      <c r="B35" s="12" t="str">
        <f>IF('TreatmentRespon-ConceptMap-1'!S31=0,"//---END",'TreatmentRespon-ConceptMap-1'!S31)</f>
        <v>* group[=].element[=].target.equivalence = #</v>
      </c>
    </row>
    <row r="36" spans="2:2">
      <c r="B36" s="12" t="str">
        <f>IF('TreatmentRespon-ConceptMap-1'!S32=0,"//---END",'TreatmentRespon-ConceptMap-1'!S32)</f>
        <v/>
      </c>
    </row>
    <row r="37" spans="2:2">
      <c r="B37" s="12" t="str">
        <f>IF('TreatmentRespon-ConceptMap-1'!S33=0,"//---END",'TreatmentRespon-ConceptMap-1'!S33)</f>
        <v>* group[=].element[+].code = #TreatmentResponseI4rc.</v>
      </c>
    </row>
    <row r="38" spans="2:2">
      <c r="B38" s="12" t="str">
        <f>IF('TreatmentRespon-ConceptMap-1'!S34=0,"//---END",'TreatmentRespon-ConceptMap-1'!S34)</f>
        <v>* group[=].element[=].display = ##34###34#</v>
      </c>
    </row>
    <row r="39" spans="2:2">
      <c r="B39" s="12" t="str">
        <f>IF('TreatmentRespon-ConceptMap-1'!S35=0,"//---END",'TreatmentRespon-ConceptMap-1'!S35)</f>
        <v>* group[=].element[=].target.code = #Procedure.</v>
      </c>
    </row>
    <row r="40" spans="2:2">
      <c r="B40" s="12" t="str">
        <f>IF('TreatmentRespon-ConceptMap-1'!S36=0,"//---END",'TreatmentRespon-ConceptMap-1'!S36)</f>
        <v>* group[=].element[=].target.display = ##34###34#</v>
      </c>
    </row>
    <row r="41" spans="2:2">
      <c r="B41" s="12" t="str">
        <f>IF('TreatmentRespon-ConceptMap-1'!S37=0,"//---END",'TreatmentRespon-ConceptMap-1'!S37)</f>
        <v>* group[=].element[=].target.equivalence = #</v>
      </c>
    </row>
    <row r="42" spans="2:2">
      <c r="B42" s="12" t="str">
        <f>IF('TreatmentRespon-ConceptMap-1'!S38=0,"//---END",'TreatmentRespon-ConceptMap-1'!S38)</f>
        <v/>
      </c>
    </row>
    <row r="43" spans="2:2">
      <c r="B43" s="12" t="str">
        <f>IF('TreatmentRespon-ConceptMap-1'!S39=0,"//---END",'TreatmentRespon-ConceptMap-1'!S39)</f>
        <v>* group[=].element[+].code = #TreatmentResponseI4rc.</v>
      </c>
    </row>
    <row r="44" spans="2:2">
      <c r="B44" s="12" t="str">
        <f>IF('TreatmentRespon-ConceptMap-1'!S40=0,"//---END",'TreatmentRespon-ConceptMap-1'!S40)</f>
        <v>* group[=].element[=].display = ##34###34#</v>
      </c>
    </row>
    <row r="45" spans="2:2">
      <c r="B45" s="12" t="str">
        <f>IF('TreatmentRespon-ConceptMap-1'!S41=0,"//---END",'TreatmentRespon-ConceptMap-1'!S41)</f>
        <v>* group[=].element[=].target.code = #Procedure.</v>
      </c>
    </row>
    <row r="46" spans="2:2">
      <c r="B46" s="12" t="str">
        <f>IF('TreatmentRespon-ConceptMap-1'!S42=0,"//---END",'TreatmentRespon-ConceptMap-1'!S42)</f>
        <v>* group[=].element[=].target.display = ##34###34#</v>
      </c>
    </row>
    <row r="47" spans="2:2">
      <c r="B47" s="12" t="str">
        <f>IF('TreatmentRespon-ConceptMap-1'!S43=0,"//---END",'TreatmentRespon-ConceptMap-1'!S43)</f>
        <v>* group[=].element[=].target.equivalence = #</v>
      </c>
    </row>
    <row r="48" spans="2:2">
      <c r="B48" s="12" t="str">
        <f>IF('TreatmentRespon-ConceptMap-1'!S44=0,"//---END",'TreatmentRespon-ConceptMap-1'!S44)</f>
        <v/>
      </c>
    </row>
    <row r="49" spans="2:2">
      <c r="B49" s="12" t="str">
        <f>IF('TreatmentRespon-ConceptMap-1'!S45=0,"//---END",'TreatmentRespon-ConceptMap-1'!S45)</f>
        <v>* group[=].element[+].code = #TreatmentResponseI4rc.</v>
      </c>
    </row>
    <row r="50" spans="2:2">
      <c r="B50" s="12" t="str">
        <f>IF('TreatmentRespon-ConceptMap-1'!S46=0,"//---END",'TreatmentRespon-ConceptMap-1'!S46)</f>
        <v>* group[=].element[=].display = ##34###34#</v>
      </c>
    </row>
    <row r="51" spans="2:2">
      <c r="B51" s="12" t="str">
        <f>IF('TreatmentRespon-ConceptMap-1'!S47=0,"//---END",'TreatmentRespon-ConceptMap-1'!S47)</f>
        <v>* group[=].element[=].target.code = #Procedure.</v>
      </c>
    </row>
    <row r="52" spans="2:2">
      <c r="B52" s="12" t="str">
        <f>IF('TreatmentRespon-ConceptMap-1'!S48=0,"//---END",'TreatmentRespon-ConceptMap-1'!S48)</f>
        <v>* group[=].element[=].target.display = ##34###34#</v>
      </c>
    </row>
    <row r="53" spans="2:2">
      <c r="B53" s="12" t="str">
        <f>IF('TreatmentRespon-ConceptMap-1'!S49=0,"//---END",'TreatmentRespon-ConceptMap-1'!S49)</f>
        <v>* group[=].element[=].target.equivalence = #</v>
      </c>
    </row>
    <row r="54" spans="2:2">
      <c r="B54" s="12" t="str">
        <f>IF('TreatmentRespon-ConceptMap-1'!S50=0,"//---END",'TreatmentRespon-ConceptMap-1'!S50)</f>
        <v/>
      </c>
    </row>
    <row r="55" spans="2:2">
      <c r="B55" s="12" t="str">
        <f>IF('TreatmentRespon-ConceptMap-1'!S51=0,"//---END",'TreatmentRespon-ConceptMap-1'!S51)</f>
        <v>* group[=].element[+].code = #TreatmentResponseI4rc.</v>
      </c>
    </row>
    <row r="56" spans="2:2">
      <c r="B56" s="12" t="str">
        <f>IF('TreatmentRespon-ConceptMap-1'!S52=0,"//---END",'TreatmentRespon-ConceptMap-1'!S52)</f>
        <v>* group[=].element[=].display = ##34###34#</v>
      </c>
    </row>
    <row r="57" spans="2:2">
      <c r="B57" s="12" t="str">
        <f>IF('TreatmentRespon-ConceptMap-1'!S53=0,"//---END",'TreatmentRespon-ConceptMap-1'!S53)</f>
        <v>* group[=].element[=].target.code = #Procedure.</v>
      </c>
    </row>
    <row r="58" spans="2:2">
      <c r="B58" s="12" t="str">
        <f>IF('TreatmentRespon-ConceptMap-1'!S54=0,"//---END",'TreatmentRespon-ConceptMap-1'!S54)</f>
        <v>* group[=].element[=].target.display = ##34###34#</v>
      </c>
    </row>
    <row r="59" spans="2:2">
      <c r="B59" s="12" t="str">
        <f>IF('TreatmentRespon-ConceptMap-1'!S55=0,"//---END",'TreatmentRespon-ConceptMap-1'!S55)</f>
        <v>* group[=].element[=].target.equivalence = #</v>
      </c>
    </row>
    <row r="60" spans="2:2">
      <c r="B60" s="12" t="str">
        <f>IF('TreatmentRespon-ConceptMap-1'!S56=0,"//---END",'TreatmentRespon-ConceptMap-1'!S56)</f>
        <v/>
      </c>
    </row>
    <row r="61" spans="2:2">
      <c r="B61" s="12" t="str">
        <f>IF('TreatmentRespon-ConceptMap-1'!S57=0,"//---END",'TreatmentRespon-ConceptMap-1'!S57)</f>
        <v>* group[=].element[+].code = #TreatmentResponseI4rc.</v>
      </c>
    </row>
    <row r="62" spans="2:2">
      <c r="B62" s="12" t="str">
        <f>IF('TreatmentRespon-ConceptMap-1'!S58=0,"//---END",'TreatmentRespon-ConceptMap-1'!S58)</f>
        <v>* group[=].element[=].display = ##34###34#</v>
      </c>
    </row>
    <row r="63" spans="2:2">
      <c r="B63" s="12" t="str">
        <f>IF('TreatmentRespon-ConceptMap-1'!S59=0,"//---END",'TreatmentRespon-ConceptMap-1'!S59)</f>
        <v>* group[=].element[=].target.code = #Procedure.</v>
      </c>
    </row>
    <row r="64" spans="2:2">
      <c r="B64" s="12" t="str">
        <f>IF('TreatmentRespon-ConceptMap-1'!S60=0,"//---END",'TreatmentRespon-ConceptMap-1'!S60)</f>
        <v>* group[=].element[=].target.display = ##34###34#</v>
      </c>
    </row>
    <row r="65" spans="2:2">
      <c r="B65" s="12" t="str">
        <f>IF('TreatmentRespon-ConceptMap-1'!S61=0,"//---END",'TreatmentRespon-ConceptMap-1'!S61)</f>
        <v>* group[=].element[=].target.equivalence = #</v>
      </c>
    </row>
    <row r="66" spans="2:2">
      <c r="B66" s="12" t="str">
        <f>IF('TreatmentRespon-ConceptMap-1'!S62=0,"//---END",'TreatmentRespon-ConceptMap-1'!S62)</f>
        <v/>
      </c>
    </row>
    <row r="67" spans="2:2">
      <c r="B67" s="12" t="str">
        <f>IF('TreatmentRespon-ConceptMap-1'!S63=0,"//---END",'TreatmentRespon-ConceptMap-1'!S63)</f>
        <v>* group[=].element[+].code = #TreatmentResponseI4rc.</v>
      </c>
    </row>
    <row r="68" spans="2:2">
      <c r="B68" s="12" t="str">
        <f>IF('TreatmentRespon-ConceptMap-1'!S64=0,"//---END",'TreatmentRespon-ConceptMap-1'!S64)</f>
        <v>* group[=].element[=].display = ##34###34#</v>
      </c>
    </row>
    <row r="69" spans="2:2">
      <c r="B69" s="12" t="str">
        <f>IF('TreatmentRespon-ConceptMap-1'!S65=0,"//---END",'TreatmentRespon-ConceptMap-1'!S65)</f>
        <v>* group[=].element[=].target.code = #Procedure.</v>
      </c>
    </row>
    <row r="70" spans="2:2">
      <c r="B70" s="12" t="str">
        <f>IF('TreatmentRespon-ConceptMap-1'!S66=0,"//---END",'TreatmentRespon-ConceptMap-1'!S66)</f>
        <v>* group[=].element[=].target.display = ##34###34#</v>
      </c>
    </row>
    <row r="71" spans="2:2">
      <c r="B71" s="12" t="str">
        <f>IF('TreatmentRespon-ConceptMap-1'!S67=0,"//---END",'TreatmentRespon-ConceptMap-1'!S67)</f>
        <v>* group[=].element[=].target.equivalence = #</v>
      </c>
    </row>
    <row r="72" spans="2:2">
      <c r="B72" s="12" t="str">
        <f>IF('TreatmentRespon-ConceptMap-1'!S68=0,"//---END",'TreatmentRespon-ConceptMap-1'!S68)</f>
        <v/>
      </c>
    </row>
    <row r="73" spans="2:2">
      <c r="B73" s="12" t="str">
        <f>IF('TreatmentRespon-ConceptMap-1'!S69=0,"//---END",'TreatmentRespon-ConceptMap-1'!S69)</f>
        <v>* group[=].element[+].code = #TreatmentResponseI4rc.</v>
      </c>
    </row>
    <row r="74" spans="2:2">
      <c r="B74" s="12" t="str">
        <f>IF('TreatmentRespon-ConceptMap-1'!S70=0,"//---END",'TreatmentRespon-ConceptMap-1'!S70)</f>
        <v>* group[=].element[=].display = ##34###34#</v>
      </c>
    </row>
    <row r="75" spans="2:2">
      <c r="B75" s="12" t="str">
        <f>IF('TreatmentRespon-ConceptMap-1'!S71=0,"//---END",'TreatmentRespon-ConceptMap-1'!S71)</f>
        <v>* group[=].element[=].target.code = #Procedure.</v>
      </c>
    </row>
    <row r="76" spans="2:2">
      <c r="B76" s="12" t="str">
        <f>IF('TreatmentRespon-ConceptMap-1'!S72=0,"//---END",'TreatmentRespon-ConceptMap-1'!S72)</f>
        <v>* group[=].element[=].target.display = ##34###34#</v>
      </c>
    </row>
    <row r="77" spans="2:2">
      <c r="B77" s="12" t="str">
        <f>IF('TreatmentRespon-ConceptMap-1'!S73=0,"//---END",'TreatmentRespon-ConceptMap-1'!S73)</f>
        <v>* group[=].element[=].target.equivalence = #</v>
      </c>
    </row>
    <row r="78" spans="2:2">
      <c r="B78" s="12" t="str">
        <f>IF('TreatmentRespon-ConceptMap-1'!S74=0,"//---END",'TreatmentRespon-ConceptMap-1'!S74)</f>
        <v/>
      </c>
    </row>
    <row r="79" spans="2:2">
      <c r="B79" s="12" t="str">
        <f>IF('TreatmentRespon-ConceptMap-1'!S75=0,"//---END",'TreatmentRespon-ConceptMap-1'!S75)</f>
        <v>* group[=].element[+].code = #TreatmentResponseI4rc.</v>
      </c>
    </row>
    <row r="80" spans="2:2">
      <c r="B80" s="12" t="str">
        <f>IF('TreatmentRespon-ConceptMap-1'!S76=0,"//---END",'TreatmentRespon-ConceptMap-1'!S76)</f>
        <v>* group[=].element[=].display = ##34###34#</v>
      </c>
    </row>
    <row r="81" spans="2:2">
      <c r="B81" s="12" t="str">
        <f>IF('TreatmentRespon-ConceptMap-1'!S77=0,"//---END",'TreatmentRespon-ConceptMap-1'!S77)</f>
        <v>* group[=].element[=].target.code = #Procedure.</v>
      </c>
    </row>
    <row r="82" spans="2:2">
      <c r="B82" s="12" t="str">
        <f>IF('TreatmentRespon-ConceptMap-1'!S78=0,"//---END",'TreatmentRespon-ConceptMap-1'!S78)</f>
        <v>* group[=].element[=].target.display = ##34###34#</v>
      </c>
    </row>
    <row r="83" spans="2:2">
      <c r="B83" s="12" t="str">
        <f>IF('TreatmentRespon-ConceptMap-1'!S79=0,"//---END",'TreatmentRespon-ConceptMap-1'!S79)</f>
        <v>* group[=].element[=].target.equivalence = #</v>
      </c>
    </row>
    <row r="84" spans="2:2">
      <c r="B84" s="12" t="str">
        <f>IF('TreatmentRespon-ConceptMap-1'!S80=0,"//---END",'TreatmentRespon-ConceptMap-1'!S80)</f>
        <v/>
      </c>
    </row>
    <row r="85" spans="2:2">
      <c r="B85" s="12" t="str">
        <f>IF('TreatmentRespon-ConceptMap-1'!S81=0,"//---END",'TreatmentRespon-ConceptMap-1'!S81)</f>
        <v>* group[=].element[+].code = #TreatmentResponseI4rc.</v>
      </c>
    </row>
    <row r="86" spans="2:2">
      <c r="B86" s="12" t="str">
        <f>IF('TreatmentRespon-ConceptMap-1'!S82=0,"//---END",'TreatmentRespon-ConceptMap-1'!S82)</f>
        <v>* group[=].element[=].display = ##34###34#</v>
      </c>
    </row>
    <row r="87" spans="2:2">
      <c r="B87" s="12" t="str">
        <f>IF('TreatmentRespon-ConceptMap-1'!S83=0,"//---END",'TreatmentRespon-ConceptMap-1'!S83)</f>
        <v>* group[=].element[=].target.code = #Procedure.</v>
      </c>
    </row>
    <row r="88" spans="2:2">
      <c r="B88" s="12" t="str">
        <f>IF('TreatmentRespon-ConceptMap-1'!S84=0,"//---END",'TreatmentRespon-ConceptMap-1'!S84)</f>
        <v>* group[=].element[=].target.display = ##34###34#</v>
      </c>
    </row>
    <row r="89" spans="2:2">
      <c r="B89" s="12" t="str">
        <f>IF('TreatmentRespon-ConceptMap-1'!S85=0,"//---END",'TreatmentRespon-ConceptMap-1'!S85)</f>
        <v>* group[=].element[=].target.equivalence = #</v>
      </c>
    </row>
    <row r="90" spans="2:2">
      <c r="B90" s="12" t="str">
        <f>IF('TreatmentRespon-ConceptMap-1'!S86=0,"//---END",'TreatmentRespon-ConceptMap-1'!S86)</f>
        <v/>
      </c>
    </row>
    <row r="91" spans="2:2">
      <c r="B91" s="12" t="str">
        <f>IF('TreatmentRespon-ConceptMap-1'!S87=0,"//---END",'TreatmentRespon-ConceptMap-1'!S87)</f>
        <v>* group[=].element[+].code = #TreatmentResponseI4rc.</v>
      </c>
    </row>
    <row r="92" spans="2:2">
      <c r="B92" s="12" t="str">
        <f>IF('TreatmentRespon-ConceptMap-1'!S88=0,"//---END",'TreatmentRespon-ConceptMap-1'!S88)</f>
        <v>* group[=].element[=].display = ##34###34#</v>
      </c>
    </row>
    <row r="93" spans="2:2">
      <c r="B93" s="12" t="str">
        <f>IF('TreatmentRespon-ConceptMap-1'!S89=0,"//---END",'TreatmentRespon-ConceptMap-1'!S89)</f>
        <v>* group[=].element[=].target.code = #Procedure.</v>
      </c>
    </row>
    <row r="94" spans="2:2">
      <c r="B94" s="12" t="str">
        <f>IF('TreatmentRespon-ConceptMap-1'!S90=0,"//---END",'TreatmentRespon-ConceptMap-1'!S90)</f>
        <v>* group[=].element[=].target.display = ##34###34#</v>
      </c>
    </row>
    <row r="95" spans="2:2">
      <c r="B95" s="12" t="str">
        <f>IF('TreatmentRespon-ConceptMap-1'!S91=0,"//---END",'TreatmentRespon-ConceptMap-1'!S91)</f>
        <v>* group[=].element[=].target.equivalence = #</v>
      </c>
    </row>
    <row r="96" spans="2:2">
      <c r="B96" s="12" t="str">
        <f>IF('TreatmentRespon-ConceptMap-1'!S92=0,"//---END",'TreatmentRespon-ConceptMap-1'!S92)</f>
        <v/>
      </c>
    </row>
    <row r="97" spans="2:2">
      <c r="B97" s="12" t="str">
        <f>IF('TreatmentRespon-ConceptMap-1'!S93=0,"//---END",'TreatmentRespon-ConceptMap-1'!S93)</f>
        <v>* group[=].element[+].code = #TreatmentResponseI4rc.</v>
      </c>
    </row>
    <row r="98" spans="2:2">
      <c r="B98" s="12" t="str">
        <f>IF('TreatmentRespon-ConceptMap-1'!S94=0,"//---END",'TreatmentRespon-ConceptMap-1'!S94)</f>
        <v>* group[=].element[=].display = ##34###34#</v>
      </c>
    </row>
    <row r="99" spans="2:2">
      <c r="B99" s="12" t="str">
        <f>IF('TreatmentRespon-ConceptMap-1'!S95=0,"//---END",'TreatmentRespon-ConceptMap-1'!S95)</f>
        <v>* group[=].element[=].target.code = #Procedure.</v>
      </c>
    </row>
    <row r="100" spans="2:2">
      <c r="B100" s="12" t="str">
        <f>IF('TreatmentRespon-ConceptMap-1'!S96=0,"//---END",'TreatmentRespon-ConceptMap-1'!S96)</f>
        <v>* group[=].element[=].target.display = ##34###34#</v>
      </c>
    </row>
    <row r="101" spans="2:2">
      <c r="B101" s="12" t="str">
        <f>IF('TreatmentRespon-ConceptMap-1'!S97=0,"//---END",'TreatmentRespon-ConceptMap-1'!S97)</f>
        <v>* group[=].element[=].target.equivalence = #</v>
      </c>
    </row>
    <row r="102" spans="2:2">
      <c r="B102" s="12" t="str">
        <f>IF('TreatmentRespon-ConceptMap-1'!S98=0,"//---END",'TreatmentRespon-ConceptMap-1'!S98)</f>
        <v/>
      </c>
    </row>
    <row r="103" spans="2:2">
      <c r="B103" s="12" t="str">
        <f>IF('TreatmentRespon-ConceptMap-1'!S99=0,"//---END",'TreatmentRespon-ConceptMap-1'!S99)</f>
        <v>* group[=].element[+].code = #TreatmentResponseI4rc.</v>
      </c>
    </row>
    <row r="104" spans="2:2">
      <c r="B104" s="12" t="str">
        <f>IF('TreatmentRespon-ConceptMap-1'!S100=0,"//---END",'TreatmentRespon-ConceptMap-1'!S100)</f>
        <v>* group[=].element[=].display = ##34###34#</v>
      </c>
    </row>
    <row r="105" spans="2:2">
      <c r="B105" s="12" t="str">
        <f>IF('TreatmentRespon-ConceptMap-1'!S101=0,"//---END",'TreatmentRespon-ConceptMap-1'!S101)</f>
        <v>* group[=].element[=].target.code = #Procedure.</v>
      </c>
    </row>
    <row r="106" spans="2:2">
      <c r="B106" s="12" t="str">
        <f>IF('TreatmentRespon-ConceptMap-1'!S102=0,"//---END",'TreatmentRespon-ConceptMap-1'!S102)</f>
        <v>* group[=].element[=].target.display = ##34###34#</v>
      </c>
    </row>
    <row r="107" spans="2:2">
      <c r="B107" s="12" t="str">
        <f>IF('TreatmentRespon-ConceptMap-1'!S103=0,"//---END",'TreatmentRespon-ConceptMap-1'!S103)</f>
        <v>* group[=].element[=].target.equivalence = #</v>
      </c>
    </row>
    <row r="108" spans="2:2">
      <c r="B108" s="12" t="str">
        <f>IF('TreatmentRespon-ConceptMap-1'!S104=0,"//---END",'TreatmentRespon-ConceptMap-1'!S104)</f>
        <v/>
      </c>
    </row>
    <row r="109" spans="2:2">
      <c r="B109" s="12" t="str">
        <f>IF('TreatmentRespon-ConceptMap-1'!S105=0,"//---END",'TreatmentRespon-ConceptMap-1'!S105)</f>
        <v>* group[=].element[+].code = #TreatmentResponseI4rc.</v>
      </c>
    </row>
    <row r="110" spans="2:2">
      <c r="B110" s="12" t="str">
        <f>IF('TreatmentRespon-ConceptMap-1'!S106=0,"//---END",'TreatmentRespon-ConceptMap-1'!S106)</f>
        <v>* group[=].element[=].display = ##34###34#</v>
      </c>
    </row>
    <row r="111" spans="2:2">
      <c r="B111" s="12" t="str">
        <f>IF('TreatmentRespon-ConceptMap-1'!S107=0,"//---END",'TreatmentRespon-ConceptMap-1'!S107)</f>
        <v>* group[=].element[=].target.code = #Procedure.</v>
      </c>
    </row>
    <row r="112" spans="2:2">
      <c r="B112" s="12" t="str">
        <f>IF('TreatmentRespon-ConceptMap-1'!S108=0,"//---END",'TreatmentRespon-ConceptMap-1'!S108)</f>
        <v>* group[=].element[=].target.display = ##34###34#</v>
      </c>
    </row>
    <row r="113" spans="2:2">
      <c r="B113" s="12" t="str">
        <f>IF('TreatmentRespon-ConceptMap-1'!S109=0,"//---END",'TreatmentRespon-ConceptMap-1'!S109)</f>
        <v>* group[=].element[=].target.equivalence = #</v>
      </c>
    </row>
    <row r="114" spans="2:2">
      <c r="B114" s="12" t="str">
        <f>IF('TreatmentRespon-ConceptMap-1'!S110=0,"//---END",'TreatmentRespon-ConceptMap-1'!S110)</f>
        <v/>
      </c>
    </row>
    <row r="115" spans="2:2">
      <c r="B115" s="12" t="str">
        <f>IF('TreatmentRespon-ConceptMap-1'!S111=0,"//---END",'TreatmentRespon-ConceptMap-1'!S111)</f>
        <v>* group[=].element[+].code = #TreatmentResponseI4rc.</v>
      </c>
    </row>
    <row r="116" spans="2:2">
      <c r="B116" s="12" t="str">
        <f>IF('TreatmentRespon-ConceptMap-1'!S112=0,"//---END",'TreatmentRespon-ConceptMap-1'!S112)</f>
        <v>* group[=].element[=].display = ##34###34#</v>
      </c>
    </row>
    <row r="117" spans="2:2">
      <c r="B117" s="12" t="str">
        <f>IF('TreatmentRespon-ConceptMap-1'!S113=0,"//---END",'TreatmentRespon-ConceptMap-1'!S113)</f>
        <v>* group[=].element[=].target.code = #Procedure.</v>
      </c>
    </row>
    <row r="118" spans="2:2">
      <c r="B118" s="12" t="str">
        <f>IF('TreatmentRespon-ConceptMap-1'!S114=0,"//---END",'TreatmentRespon-ConceptMap-1'!S114)</f>
        <v>* group[=].element[=].target.display = ##34###34#</v>
      </c>
    </row>
    <row r="119" spans="2:2">
      <c r="B119" s="12" t="str">
        <f>IF('TreatmentRespon-ConceptMap-1'!S115=0,"//---END",'TreatmentRespon-ConceptMap-1'!S115)</f>
        <v>* group[=].element[=].target.equivalence = #</v>
      </c>
    </row>
    <row r="120" spans="2:2">
      <c r="B120" s="12" t="str">
        <f>IF('TreatmentRespon-ConceptMap-1'!S116=0,"//---END",'TreatmentRespon-ConceptMap-1'!S116)</f>
        <v/>
      </c>
    </row>
    <row r="121" spans="2:2">
      <c r="B121" s="12" t="str">
        <f>IF('TreatmentRespon-ConceptMap-1'!S117=0,"//---END",'TreatmentRespon-ConceptMap-1'!S117)</f>
        <v>* group[=].element[+].code = #TreatmentResponseI4rc.</v>
      </c>
    </row>
    <row r="122" spans="2:2">
      <c r="B122" s="12" t="str">
        <f>IF('TreatmentRespon-ConceptMap-1'!S118=0,"//---END",'TreatmentRespon-ConceptMap-1'!S118)</f>
        <v>* group[=].element[=].display = ##34###34#</v>
      </c>
    </row>
    <row r="123" spans="2:2">
      <c r="B123" s="12" t="str">
        <f>IF('TreatmentRespon-ConceptMap-1'!S119=0,"//---END",'TreatmentRespon-ConceptMap-1'!S119)</f>
        <v>* group[=].element[=].target.code = #Procedure.</v>
      </c>
    </row>
    <row r="124" spans="2:2">
      <c r="B124" s="12" t="str">
        <f>IF('TreatmentRespon-ConceptMap-1'!S120=0,"//---END",'TreatmentRespon-ConceptMap-1'!S120)</f>
        <v>* group[=].element[=].target.display = ##34###34#</v>
      </c>
    </row>
    <row r="125" spans="2:2">
      <c r="B125" s="12" t="str">
        <f>IF('TreatmentRespon-ConceptMap-1'!S121=0,"//---END",'TreatmentRespon-ConceptMap-1'!S121)</f>
        <v>* group[=].element[=].target.equivalence = #</v>
      </c>
    </row>
    <row r="126" spans="2:2">
      <c r="B126" s="12" t="str">
        <f>IF('TreatmentRespon-ConceptMap-1'!S122=0,"//---END",'TreatmentRespon-ConceptMap-1'!S122)</f>
        <v/>
      </c>
    </row>
    <row r="127" spans="2:2">
      <c r="B127" s="12" t="str">
        <f>IF('TreatmentRespon-ConceptMap-1'!S123=0,"//---END",'TreatmentRespon-ConceptMap-1'!S123)</f>
        <v>* group[=].element[+].code = #TreatmentResponseI4rc.</v>
      </c>
    </row>
    <row r="128" spans="2:2">
      <c r="B128" s="12" t="str">
        <f>IF('TreatmentRespon-ConceptMap-1'!S124=0,"//---END",'TreatmentRespon-ConceptMap-1'!S124)</f>
        <v>* group[=].element[=].display = ##34###34#</v>
      </c>
    </row>
    <row r="129" spans="2:2">
      <c r="B129" s="12" t="str">
        <f>IF('TreatmentRespon-ConceptMap-1'!S125=0,"//---END",'TreatmentRespon-ConceptMap-1'!S125)</f>
        <v>* group[=].element[=].target.code = #Procedure.</v>
      </c>
    </row>
    <row r="130" spans="2:2">
      <c r="B130" s="12" t="str">
        <f>IF('TreatmentRespon-ConceptMap-1'!S126=0,"//---END",'TreatmentRespon-ConceptMap-1'!S126)</f>
        <v>* group[=].element[=].target.display = ##34###34#</v>
      </c>
    </row>
    <row r="131" spans="2:2">
      <c r="B131" s="12" t="str">
        <f>IF('TreatmentRespon-ConceptMap-1'!S127=0,"//---END",'TreatmentRespon-ConceptMap-1'!S127)</f>
        <v>* group[=].element[=].target.equivalence = #</v>
      </c>
    </row>
    <row r="132" spans="2:2">
      <c r="B132" s="12" t="str">
        <f>IF('TreatmentRespon-ConceptMap-1'!S128=0,"//---END",'TreatmentRespon-ConceptMap-1'!S128)</f>
        <v/>
      </c>
    </row>
    <row r="133" spans="2:2">
      <c r="B133" s="12" t="str">
        <f>IF('TreatmentRespon-ConceptMap-1'!S129=0,"//---END",'TreatmentRespon-ConceptMap-1'!S129)</f>
        <v>* group[=].element[+].code = #TreatmentResponseI4rc.</v>
      </c>
    </row>
    <row r="134" spans="2:2">
      <c r="B134" s="12" t="str">
        <f>IF('TreatmentRespon-ConceptMap-1'!S130=0,"//---END",'TreatmentRespon-ConceptMap-1'!S130)</f>
        <v>* group[=].element[=].display = ##34###34#</v>
      </c>
    </row>
    <row r="135" spans="2:2">
      <c r="B135" s="12" t="str">
        <f>IF('TreatmentRespon-ConceptMap-1'!S131=0,"//---END",'TreatmentRespon-ConceptMap-1'!S131)</f>
        <v>* group[=].element[=].target.code = #Procedure.</v>
      </c>
    </row>
    <row r="136" spans="2:2">
      <c r="B136" s="12" t="str">
        <f>IF('TreatmentRespon-ConceptMap-1'!S132=0,"//---END",'TreatmentRespon-ConceptMap-1'!S132)</f>
        <v>* group[=].element[=].target.display = ##34###34#</v>
      </c>
    </row>
    <row r="137" spans="2:2">
      <c r="B137" s="12" t="str">
        <f>IF('TreatmentRespon-ConceptMap-1'!S133=0,"//---END",'TreatmentRespon-ConceptMap-1'!S133)</f>
        <v>* group[=].element[=].target.equivalence = #</v>
      </c>
    </row>
    <row r="138" spans="2:2">
      <c r="B138" s="12" t="str">
        <f>IF('TreatmentRespon-ConceptMap-1'!S134=0,"//---END",'TreatmentRespon-ConceptMap-1'!S134)</f>
        <v/>
      </c>
    </row>
    <row r="139" spans="2:2">
      <c r="B139" s="12" t="str">
        <f>IF('TreatmentRespon-ConceptMap-1'!S135=0,"//---END",'TreatmentRespon-ConceptMap-1'!S135)</f>
        <v>* group[=].element[+].code = #TreatmentResponseI4rc.</v>
      </c>
    </row>
    <row r="140" spans="2:2">
      <c r="B140" s="12" t="str">
        <f>IF('TreatmentRespon-ConceptMap-1'!S136=0,"//---END",'TreatmentRespon-ConceptMap-1'!S136)</f>
        <v>* group[=].element[=].display = ##34###34#</v>
      </c>
    </row>
    <row r="141" spans="2:2">
      <c r="B141" s="12" t="str">
        <f>IF('TreatmentRespon-ConceptMap-1'!S137=0,"//---END",'TreatmentRespon-ConceptMap-1'!S137)</f>
        <v>* group[=].element[=].target.code = #Procedure.</v>
      </c>
    </row>
    <row r="142" spans="2:2">
      <c r="B142" s="12" t="str">
        <f>IF('TreatmentRespon-ConceptMap-1'!S138=0,"//---END",'TreatmentRespon-ConceptMap-1'!S138)</f>
        <v>* group[=].element[=].target.display = ##34###34#</v>
      </c>
    </row>
    <row r="143" spans="2:2">
      <c r="B143" s="12" t="str">
        <f>IF('TreatmentRespon-ConceptMap-1'!S139=0,"//---END",'TreatmentRespon-ConceptMap-1'!S139)</f>
        <v>* group[=].element[=].target.equivalence = #</v>
      </c>
    </row>
    <row r="144" spans="2:2">
      <c r="B144" s="12" t="str">
        <f>IF('TreatmentRespon-ConceptMap-1'!S140=0,"//---END",'TreatmentRespon-ConceptMap-1'!S140)</f>
        <v/>
      </c>
    </row>
    <row r="145" spans="2:2">
      <c r="B145" s="12" t="str">
        <f>IF('TreatmentRespon-ConceptMap-1'!S141=0,"//---END",'TreatmentRespon-ConceptMap-1'!S141)</f>
        <v>* group[=].element[+].code = #TreatmentResponseI4rc.</v>
      </c>
    </row>
    <row r="146" spans="2:2">
      <c r="B146" s="12" t="str">
        <f>IF('TreatmentRespon-ConceptMap-1'!S142=0,"//---END",'TreatmentRespon-ConceptMap-1'!S142)</f>
        <v>* group[=].element[=].display = ##34###34#</v>
      </c>
    </row>
    <row r="147" spans="2:2">
      <c r="B147" s="12" t="str">
        <f>IF('TreatmentRespon-ConceptMap-1'!S143=0,"//---END",'TreatmentRespon-ConceptMap-1'!S143)</f>
        <v>* group[=].element[=].target.code = #Procedure.</v>
      </c>
    </row>
    <row r="148" spans="2:2">
      <c r="B148" s="12" t="str">
        <f>IF('TreatmentRespon-ConceptMap-1'!S144=0,"//---END",'TreatmentRespon-ConceptMap-1'!S144)</f>
        <v>* group[=].element[=].target.display = ##34###34#</v>
      </c>
    </row>
    <row r="149" spans="2:2">
      <c r="B149" s="12" t="str">
        <f>IF('TreatmentRespon-ConceptMap-1'!S145=0,"//---END",'TreatmentRespon-ConceptMap-1'!S145)</f>
        <v>* group[=].element[=].target.equivalence = #</v>
      </c>
    </row>
    <row r="150" spans="2:2">
      <c r="B150" s="12" t="str">
        <f>IF('TreatmentRespon-ConceptMap-1'!S146=0,"//---END",'TreatmentRespon-ConceptMap-1'!S146)</f>
        <v/>
      </c>
    </row>
    <row r="151" spans="2:2">
      <c r="B151" s="12" t="str">
        <f>IF('TreatmentRespon-ConceptMap-1'!S147=0,"//---END",'TreatmentRespon-ConceptMap-1'!S147)</f>
        <v>* group[=].element[+].code = #TreatmentResponseI4rc.</v>
      </c>
    </row>
    <row r="152" spans="2:2">
      <c r="B152" s="12" t="str">
        <f>IF('TreatmentRespon-ConceptMap-1'!S148=0,"//---END",'TreatmentRespon-ConceptMap-1'!S148)</f>
        <v>* group[=].element[=].display = ##34###34#</v>
      </c>
    </row>
    <row r="153" spans="2:2">
      <c r="B153" s="12" t="str">
        <f>IF('TreatmentRespon-ConceptMap-1'!S149=0,"//---END",'TreatmentRespon-ConceptMap-1'!S149)</f>
        <v>* group[=].element[=].target.code = #Procedure.</v>
      </c>
    </row>
    <row r="154" spans="2:2">
      <c r="B154" s="12" t="str">
        <f>IF('TreatmentRespon-ConceptMap-1'!S150=0,"//---END",'TreatmentRespon-ConceptMap-1'!S150)</f>
        <v>* group[=].element[=].target.display = ##34###34#</v>
      </c>
    </row>
    <row r="155" spans="2:2">
      <c r="B155" s="12" t="str">
        <f>IF('TreatmentRespon-ConceptMap-1'!S151=0,"//---END",'TreatmentRespon-ConceptMap-1'!S151)</f>
        <v>* group[=].element[=].target.equivalence = #</v>
      </c>
    </row>
    <row r="156" spans="2:2">
      <c r="B156" s="12" t="str">
        <f>IF('TreatmentRespon-ConceptMap-1'!S152=0,"//---END",'TreatmentRespon-ConceptMap-1'!S152)</f>
        <v/>
      </c>
    </row>
    <row r="157" spans="2:2">
      <c r="B157" s="12" t="str">
        <f>IF('TreatmentRespon-ConceptMap-1'!S153=0,"//---END",'TreatmentRespon-ConceptMap-1'!S153)</f>
        <v>* group[=].element[+].code = #TreatmentResponseI4rc.</v>
      </c>
    </row>
    <row r="158" spans="2:2">
      <c r="B158" s="12" t="str">
        <f>IF('TreatmentRespon-ConceptMap-1'!S154=0,"//---END",'TreatmentRespon-ConceptMap-1'!S154)</f>
        <v>* group[=].element[=].display = ##34###34#</v>
      </c>
    </row>
    <row r="159" spans="2:2">
      <c r="B159" s="12" t="str">
        <f>IF('TreatmentRespon-ConceptMap-1'!S155=0,"//---END",'TreatmentRespon-ConceptMap-1'!S155)</f>
        <v>* group[=].element[=].target.code = #Procedure.</v>
      </c>
    </row>
    <row r="160" spans="2:2">
      <c r="B160" s="12" t="str">
        <f>IF('TreatmentRespon-ConceptMap-1'!S156=0,"//---END",'TreatmentRespon-ConceptMap-1'!S156)</f>
        <v>* group[=].element[=].target.display = ##34###34#</v>
      </c>
    </row>
    <row r="161" spans="2:2">
      <c r="B161" s="12" t="str">
        <f>IF('TreatmentRespon-ConceptMap-1'!S157=0,"//---END",'TreatmentRespon-ConceptMap-1'!S157)</f>
        <v>* group[=].element[=].target.equivalence = #</v>
      </c>
    </row>
    <row r="162" spans="2:2">
      <c r="B162" s="12" t="str">
        <f>IF('TreatmentRespon-ConceptMap-1'!S158=0,"//---END",'TreatmentRespon-ConceptMap-1'!S158)</f>
        <v/>
      </c>
    </row>
    <row r="163" spans="2:2">
      <c r="B163" s="12" t="str">
        <f>IF('TreatmentRespon-ConceptMap-1'!S159=0,"//---END",'TreatmentRespon-ConceptMap-1'!S159)</f>
        <v>* group[=].element[+].code = #TreatmentResponseI4rc.</v>
      </c>
    </row>
    <row r="164" spans="2:2">
      <c r="B164" s="12" t="str">
        <f>IF('TreatmentRespon-ConceptMap-1'!S160=0,"//---END",'TreatmentRespon-ConceptMap-1'!S160)</f>
        <v>* group[=].element[=].display = ##34###34#</v>
      </c>
    </row>
    <row r="165" spans="2:2">
      <c r="B165" s="12" t="str">
        <f>IF('TreatmentRespon-ConceptMap-1'!S161=0,"//---END",'TreatmentRespon-ConceptMap-1'!S161)</f>
        <v>* group[=].element[=].target.code = #Procedure.</v>
      </c>
    </row>
    <row r="166" spans="2:2">
      <c r="B166" s="12" t="str">
        <f>IF('TreatmentRespon-ConceptMap-1'!S162=0,"//---END",'TreatmentRespon-ConceptMap-1'!S162)</f>
        <v>* group[=].element[=].target.display = ##34###34#</v>
      </c>
    </row>
    <row r="167" spans="2:2">
      <c r="B167" s="12" t="str">
        <f>IF('TreatmentRespon-ConceptMap-1'!S163=0,"//---END",'TreatmentRespon-ConceptMap-1'!S163)</f>
        <v>* group[=].element[=].target.equivalence = #</v>
      </c>
    </row>
    <row r="168" spans="2:2">
      <c r="B168" s="12" t="str">
        <f>IF('TreatmentRespon-ConceptMap-1'!S164=0,"//---END",'TreatmentRespon-ConceptMap-1'!S164)</f>
        <v/>
      </c>
    </row>
    <row r="169" spans="2:2">
      <c r="B169" s="12" t="str">
        <f>IF('TreatmentRespon-ConceptMap-1'!S165=0,"//---END",'TreatmentRespon-ConceptMap-1'!S165)</f>
        <v>* group[=].element[+].code = #TreatmentResponseI4rc.</v>
      </c>
    </row>
    <row r="170" spans="2:2">
      <c r="B170" s="12" t="str">
        <f>IF('TreatmentRespon-ConceptMap-1'!S166=0,"//---END",'TreatmentRespon-ConceptMap-1'!S166)</f>
        <v>* group[=].element[=].display = ##34###34#</v>
      </c>
    </row>
    <row r="171" spans="2:2">
      <c r="B171" s="12" t="str">
        <f>IF('TreatmentRespon-ConceptMap-1'!S167=0,"//---END",'TreatmentRespon-ConceptMap-1'!S167)</f>
        <v>* group[=].element[=].target.code = #Procedure.</v>
      </c>
    </row>
    <row r="172" spans="2:2">
      <c r="B172" s="12" t="str">
        <f>IF('TreatmentRespon-ConceptMap-1'!S168=0,"//---END",'TreatmentRespon-ConceptMap-1'!S168)</f>
        <v>* group[=].element[=].target.display = ##34###34#</v>
      </c>
    </row>
    <row r="173" spans="2:2">
      <c r="B173" s="12" t="str">
        <f>IF('TreatmentRespon-ConceptMap-1'!S169=0,"//---END",'TreatmentRespon-ConceptMap-1'!S169)</f>
        <v>* group[=].element[=].target.equivalence = #</v>
      </c>
    </row>
    <row r="174" spans="2:2">
      <c r="B174" s="12" t="str">
        <f>IF('TreatmentRespon-ConceptMap-1'!S170=0,"//---END",'TreatmentRespon-ConceptMap-1'!S170)</f>
        <v/>
      </c>
    </row>
    <row r="175" spans="2:2">
      <c r="B175" s="12" t="str">
        <f>IF('TreatmentRespon-ConceptMap-1'!S171=0,"//---END",'TreatmentRespon-ConceptMap-1'!S171)</f>
        <v>* group[=].element[+].code = #TreatmentResponseI4rc.</v>
      </c>
    </row>
    <row r="176" spans="2:2">
      <c r="B176" s="12" t="str">
        <f>IF('TreatmentRespon-ConceptMap-1'!S172=0,"//---END",'TreatmentRespon-ConceptMap-1'!S172)</f>
        <v>* group[=].element[=].display = ##34###34#</v>
      </c>
    </row>
    <row r="177" spans="2:2">
      <c r="B177" s="12" t="str">
        <f>IF('TreatmentRespon-ConceptMap-1'!S173=0,"//---END",'TreatmentRespon-ConceptMap-1'!S173)</f>
        <v>* group[=].element[=].target.code = #Procedure.</v>
      </c>
    </row>
    <row r="178" spans="2:2">
      <c r="B178" s="12" t="str">
        <f>IF('TreatmentRespon-ConceptMap-1'!S174=0,"//---END",'TreatmentRespon-ConceptMap-1'!S174)</f>
        <v>* group[=].element[=].target.display = ##34###34#</v>
      </c>
    </row>
    <row r="179" spans="2:2">
      <c r="B179" s="12" t="str">
        <f>IF('TreatmentRespon-ConceptMap-1'!S175=0,"//---END",'TreatmentRespon-ConceptMap-1'!S175)</f>
        <v>* group[=].element[=].target.equivalence = #</v>
      </c>
    </row>
    <row r="180" spans="2:2">
      <c r="B180" s="12" t="str">
        <f>IF('TreatmentRespon-ConceptMap-1'!S176=0,"//---END",'TreatmentRespon-ConceptMap-1'!S176)</f>
        <v/>
      </c>
    </row>
    <row r="181" spans="2:2">
      <c r="B181" s="12" t="str">
        <f>IF('TreatmentRespon-ConceptMap-1'!S177=0,"//---END",'TreatmentRespon-ConceptMap-1'!S177)</f>
        <v>//---END</v>
      </c>
    </row>
    <row r="182" spans="2:2">
      <c r="B182" s="12" t="str">
        <f>IF('TreatmentRespon-ConceptMap-1'!S178=0,"//---END",'TreatmentRespon-ConceptMap-1'!S178)</f>
        <v>//---END</v>
      </c>
    </row>
    <row r="183" spans="2:2">
      <c r="B183" s="12" t="str">
        <f>IF('TreatmentRespon-ConceptMap-1'!S179=0,"//---END",'TreatmentRespon-ConceptMap-1'!S179)</f>
        <v>//---END</v>
      </c>
    </row>
    <row r="184" spans="2:2">
      <c r="B184" s="12" t="str">
        <f>IF('TreatmentRespon-ConceptMap-1'!S180=0,"//---END",'TreatmentRespon-ConceptMap-1'!S180)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2346</v>
      </c>
      <c r="J4" s="16" t="str">
        <f>CONCATENATE("Logical: ",B4)</f>
        <v>Logical: AdverseEventI4rc</v>
      </c>
    </row>
    <row r="5" spans="1:12" ht="15.5" thickBot="1">
      <c r="A5" s="14" t="s">
        <v>16</v>
      </c>
      <c r="B5" s="45" t="s">
        <v>553</v>
      </c>
      <c r="J5" s="16" t="str">
        <f>CONCATENATE("Id: ",B5)</f>
        <v>Id: AdverseEvent</v>
      </c>
    </row>
    <row r="6" spans="1:12" ht="15.5" thickBot="1">
      <c r="A6" s="14" t="s">
        <v>10</v>
      </c>
      <c r="B6" s="45" t="s">
        <v>2306</v>
      </c>
      <c r="J6" s="17" t="str">
        <f>CONCATENATE("Title: ##34#",B6,"##34#")</f>
        <v>Title: ##34#Adverse Event##34#</v>
      </c>
    </row>
    <row r="7" spans="1:12">
      <c r="A7" s="26" t="s">
        <v>2</v>
      </c>
      <c r="B7" s="45" t="s">
        <v>2306</v>
      </c>
      <c r="C7" s="9" t="s">
        <v>3</v>
      </c>
      <c r="D7" s="1" t="s">
        <v>4</v>
      </c>
      <c r="E7" s="3" t="s">
        <v>5</v>
      </c>
      <c r="F7" s="3" t="s">
        <v>6</v>
      </c>
      <c r="G7" s="3" t="s">
        <v>7</v>
      </c>
      <c r="H7" s="105" t="s">
        <v>1610</v>
      </c>
      <c r="J7" s="17" t="str">
        <f>CONCATENATE("Description: "," ##334#",B7,"##334#",)</f>
        <v>Description:  ##334#Adverse Event##334#</v>
      </c>
    </row>
    <row r="8" spans="1:12" ht="59">
      <c r="A8" s="100">
        <v>0</v>
      </c>
      <c r="B8" s="11" t="s">
        <v>1913</v>
      </c>
      <c r="C8" s="11" t="s">
        <v>2016</v>
      </c>
      <c r="D8" s="11" t="s">
        <v>1872</v>
      </c>
      <c r="E8" s="11">
        <v>1</v>
      </c>
      <c r="F8" s="11">
        <v>1</v>
      </c>
      <c r="G8" s="11" t="s">
        <v>1969</v>
      </c>
      <c r="H8" s="11"/>
      <c r="I8" s="25"/>
      <c r="J8" s="12" t="str">
        <f t="shared" ref="J8:J40"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s="2" customFormat="1" ht="59">
      <c r="A9" s="100">
        <v>1</v>
      </c>
      <c r="B9" s="57" t="s">
        <v>2307</v>
      </c>
      <c r="C9" s="11" t="s">
        <v>2293</v>
      </c>
      <c r="D9" s="11" t="s">
        <v>2294</v>
      </c>
      <c r="E9" s="11">
        <v>1</v>
      </c>
      <c r="F9" s="11">
        <v>1</v>
      </c>
      <c r="G9" s="11" t="s">
        <v>1764</v>
      </c>
      <c r="H9" s="11"/>
      <c r="I9" s="25"/>
      <c r="J9" s="12" t="str">
        <f t="shared" si="0"/>
        <v>* type 1..1 CodeableConcept ##34#Adverse event type (CTCAE Term)##34# ##334#the Common Terminology Criteria for Adverse Events (CTCAE) is used to identify the adverse events. It includes details of the adverse event type and grade##334#</v>
      </c>
      <c r="K9"/>
      <c r="L9" s="12" t="str">
        <f t="shared" ref="L9:L40" si="1">IF(H9="",IF(J9="*  ..  ##34###34# ##334###334#",J9,""),IF(J9="*  ..  ##34###34# ##334###334#",J9,CONCATENATE("* ",B9," ^comment = ##334#",H9,"##334#")))</f>
        <v/>
      </c>
    </row>
    <row r="10" spans="1:12" s="2" customFormat="1" ht="44.25">
      <c r="A10" s="100">
        <v>2</v>
      </c>
      <c r="B10" s="11" t="s">
        <v>2295</v>
      </c>
      <c r="C10" s="11" t="s">
        <v>2296</v>
      </c>
      <c r="D10" s="11" t="s">
        <v>2297</v>
      </c>
      <c r="E10" s="11">
        <v>1</v>
      </c>
      <c r="F10" s="11">
        <v>1</v>
      </c>
      <c r="G10" s="6" t="s">
        <v>1764</v>
      </c>
      <c r="H10" s="11"/>
      <c r="I10" s="25"/>
      <c r="J10" s="12" t="str">
        <f t="shared" si="0"/>
        <v>* occurredAt 1..1 CodeableConcept ##34#Occurred at##34# ##334#specifies which phase (baseline, progression) of the disease the adverse event is related to##334#</v>
      </c>
      <c r="K10"/>
      <c r="L10" s="12" t="str">
        <f t="shared" si="1"/>
        <v/>
      </c>
    </row>
    <row r="11" spans="1:12" s="2" customFormat="1" ht="29.5">
      <c r="A11" s="100">
        <v>3</v>
      </c>
      <c r="B11" s="11" t="s">
        <v>2308</v>
      </c>
      <c r="C11" s="11" t="s">
        <v>2298</v>
      </c>
      <c r="D11" s="11" t="s">
        <v>2299</v>
      </c>
      <c r="E11" s="11">
        <v>1</v>
      </c>
      <c r="F11" s="11">
        <v>1</v>
      </c>
      <c r="G11" s="6" t="s">
        <v>2311</v>
      </c>
      <c r="H11" s="11"/>
      <c r="I11" s="25"/>
      <c r="J11" s="12" t="str">
        <f t="shared" si="0"/>
        <v>* relatedTo 1..1 Reference ##34#Adverse event related to##34# ##334#specifies which treatment the adverse event is related to##334#</v>
      </c>
      <c r="K11"/>
      <c r="L11" s="12" t="str">
        <f t="shared" si="1"/>
        <v/>
      </c>
    </row>
    <row r="12" spans="1:12" s="2" customFormat="1" ht="29.5">
      <c r="A12" s="100">
        <v>4</v>
      </c>
      <c r="B12" s="11" t="s">
        <v>2309</v>
      </c>
      <c r="C12" s="11" t="s">
        <v>2300</v>
      </c>
      <c r="D12" s="11" t="s">
        <v>2301</v>
      </c>
      <c r="E12" s="11">
        <v>1</v>
      </c>
      <c r="F12" s="11">
        <v>1</v>
      </c>
      <c r="G12" s="11" t="s">
        <v>156</v>
      </c>
      <c r="H12" s="11"/>
      <c r="I12" s="25"/>
      <c r="J12" s="12" t="str">
        <f t="shared" si="0"/>
        <v>* eventStartingDate 1..1 date ##34#Adverse event starting date  ##34# ##334#specifies when adverse events begins##334#</v>
      </c>
      <c r="K12"/>
      <c r="L12" s="12" t="str">
        <f t="shared" si="1"/>
        <v/>
      </c>
    </row>
    <row r="13" spans="1:12" s="2" customFormat="1" ht="59">
      <c r="A13" s="100">
        <v>5</v>
      </c>
      <c r="B13" s="11" t="s">
        <v>2310</v>
      </c>
      <c r="C13" s="11" t="s">
        <v>2302</v>
      </c>
      <c r="D13" s="11" t="s">
        <v>2303</v>
      </c>
      <c r="E13" s="11">
        <v>1</v>
      </c>
      <c r="F13" s="11">
        <v>1</v>
      </c>
      <c r="G13" s="11" t="s">
        <v>1764</v>
      </c>
      <c r="H13" s="103" t="s">
        <v>2304</v>
      </c>
      <c r="I13" s="25"/>
      <c r="J13" s="12" t="str">
        <f t="shared" si="0"/>
        <v>* eventDuration 1..1 CodeableConcept ##34#Adverse event duration##34# ##334#specifies the duration of the adverse event##334#</v>
      </c>
      <c r="K13"/>
      <c r="L13" s="12" t="str">
        <f t="shared" si="1"/>
        <v>* eventDuration ^comment = ##334#Less than one week; More than one week but  less than a month; More than a month but less than 3 months; More than 3 months; Unknown.
Custom##334#</v>
      </c>
    </row>
    <row r="14" spans="1:12" s="2" customFormat="1" ht="29.5">
      <c r="A14" s="100">
        <v>6</v>
      </c>
      <c r="B14" s="6" t="s">
        <v>2305</v>
      </c>
      <c r="C14" s="6" t="s">
        <v>419</v>
      </c>
      <c r="D14" s="6" t="s">
        <v>419</v>
      </c>
      <c r="E14" s="11">
        <v>1</v>
      </c>
      <c r="F14" s="11">
        <v>1</v>
      </c>
      <c r="G14" s="6" t="s">
        <v>1</v>
      </c>
      <c r="H14" s="11"/>
      <c r="I14" s="25"/>
      <c r="J14" s="12" t="str">
        <f t="shared" si="0"/>
        <v>* referstothepatientsfirstadverseevent 1..1 BackboneElement ##34#M##34# ##334#M##334#</v>
      </c>
      <c r="K14"/>
      <c r="L14" s="12" t="str">
        <f t="shared" si="1"/>
        <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si="1"/>
        <v>*  ..  ##34###34# ##334###334#</v>
      </c>
    </row>
    <row r="17" spans="1:13" s="2" customFormat="1">
      <c r="A17" s="100">
        <v>8</v>
      </c>
      <c r="B17" s="11"/>
      <c r="C17" s="11"/>
      <c r="D17" s="11"/>
      <c r="E17" s="11"/>
      <c r="F17" s="11"/>
      <c r="G17" s="11"/>
      <c r="H17" s="12"/>
      <c r="I17" s="25"/>
      <c r="J17" s="12" t="str">
        <f t="shared" si="0"/>
        <v>*  ..  ##34###34# ##334###334#</v>
      </c>
      <c r="K17"/>
      <c r="L17" s="12" t="str">
        <f t="shared" si="1"/>
        <v>*  ..  ##34###34# ##334###334#</v>
      </c>
    </row>
    <row r="18" spans="1:13">
      <c r="A18" s="100">
        <v>9</v>
      </c>
      <c r="B18" s="11"/>
      <c r="C18" s="11"/>
      <c r="D18" s="11"/>
      <c r="E18" s="11"/>
      <c r="F18" s="11"/>
      <c r="G18" s="11"/>
      <c r="H18" s="12"/>
      <c r="I18" s="25"/>
      <c r="J18" s="12" t="str">
        <f t="shared" si="0"/>
        <v>*  ..  ##34###34# ##334###334#</v>
      </c>
      <c r="L18" s="12" t="str">
        <f t="shared" si="1"/>
        <v>*  ..  ##34###34# ##334###334#</v>
      </c>
    </row>
    <row r="19" spans="1:13">
      <c r="A19" s="100">
        <v>10</v>
      </c>
      <c r="B19" s="11"/>
      <c r="C19" s="11"/>
      <c r="D19" s="11"/>
      <c r="E19" s="11"/>
      <c r="F19" s="11"/>
      <c r="G19" s="11"/>
      <c r="H19" s="12"/>
      <c r="J19" s="12" t="str">
        <f t="shared" si="0"/>
        <v>*  ..  ##34###34# ##334###334#</v>
      </c>
      <c r="L19" s="12" t="str">
        <f t="shared" si="1"/>
        <v>*  ..  ##34###34# ##334###334#</v>
      </c>
    </row>
    <row r="20" spans="1:13">
      <c r="A20" s="100">
        <v>11</v>
      </c>
      <c r="B20" s="11"/>
      <c r="C20" s="11"/>
      <c r="D20" s="11"/>
      <c r="E20" s="11"/>
      <c r="F20" s="11"/>
      <c r="G20" s="11"/>
      <c r="H20" s="12"/>
      <c r="J20" s="12" t="str">
        <f t="shared" si="0"/>
        <v>*  ..  ##34###34# ##334###334#</v>
      </c>
      <c r="L20" s="12" t="str">
        <f t="shared" si="1"/>
        <v>*  ..  ##34###34# ##334###334#</v>
      </c>
    </row>
    <row r="21" spans="1:13">
      <c r="A21" s="100">
        <v>12</v>
      </c>
      <c r="B21" s="11"/>
      <c r="C21" s="11"/>
      <c r="D21" s="11"/>
      <c r="E21" s="11"/>
      <c r="F21" s="11"/>
      <c r="G21" s="11"/>
      <c r="H21" s="12"/>
      <c r="J21" s="12" t="str">
        <f t="shared" si="0"/>
        <v>*  ..  ##34###34# ##334###334#</v>
      </c>
      <c r="L21" s="12" t="str">
        <f t="shared" si="1"/>
        <v>*  ..  ##34###34# ##334###334#</v>
      </c>
    </row>
    <row r="22" spans="1:13">
      <c r="A22" s="100">
        <v>13</v>
      </c>
      <c r="B22" s="11"/>
      <c r="C22" s="11"/>
      <c r="D22" s="11"/>
      <c r="E22" s="11"/>
      <c r="F22" s="11"/>
      <c r="G22" s="11"/>
      <c r="H22" s="12"/>
      <c r="J22" s="12" t="str">
        <f t="shared" si="0"/>
        <v>*  ..  ##34###34# ##334###334#</v>
      </c>
      <c r="L22" s="12" t="str">
        <f t="shared" si="1"/>
        <v>*  ..  ##34###34# ##334###334#</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A1:G43"/>
  <sheetViews>
    <sheetView workbookViewId="0">
      <selection activeCell="A8" sqref="A8"/>
    </sheetView>
  </sheetViews>
  <sheetFormatPr defaultRowHeight="14.75"/>
  <cols>
    <col min="3" max="3" width="108.2265625" style="154" customWidth="1"/>
    <col min="7" max="7" width="29.54296875" customWidth="1"/>
    <col min="8" max="8" width="54.90625" customWidth="1"/>
  </cols>
  <sheetData>
    <row r="1" spans="1:7" ht="15.5" thickBot="1">
      <c r="C1" s="152" t="str">
        <f>AdverseEvent!J1</f>
        <v>//===================================================</v>
      </c>
    </row>
    <row r="2" spans="1:7" ht="16.75" thickBot="1">
      <c r="C2" s="24" t="str">
        <f>AdverseEvent!J2</f>
        <v>//  Logical Model</v>
      </c>
      <c r="G2" s="29" t="s">
        <v>2312</v>
      </c>
    </row>
    <row r="3" spans="1:7">
      <c r="C3" s="24" t="str">
        <f>AdverseEvent!J3</f>
        <v>//===================================================</v>
      </c>
    </row>
    <row r="4" spans="1:7">
      <c r="C4" s="153" t="str">
        <f>AdverseEvent!J4</f>
        <v>Logical: AdverseEventI4rc</v>
      </c>
    </row>
    <row r="5" spans="1:7">
      <c r="C5" s="153" t="str">
        <f>AdverseEvent!J5</f>
        <v>Id: AdverseEvent</v>
      </c>
    </row>
    <row r="6" spans="1:7">
      <c r="C6" s="153" t="str">
        <f>AdverseEvent!J6</f>
        <v>Title: ##34#Adverse Event##34#</v>
      </c>
    </row>
    <row r="7" spans="1:7">
      <c r="C7" s="153" t="str">
        <f>AdverseEvent!J7</f>
        <v>Description:  ##334#Adverse Event##334#</v>
      </c>
    </row>
    <row r="8" spans="1:7" ht="29.5">
      <c r="A8" s="155"/>
      <c r="C8" s="154" t="str">
        <f>IF(AdverseEvent!J8="*  ..  ##34###34# ##334###334#","//--- END",AdverseEvent!J8)</f>
        <v>* episodeEventReference 1..1 http://hl7.eu/fhir/ig/idea4rc/StructureDefinition/EpisodeEvent ##34#Episode Event reference##34# ##334#EpisodeEvent element containing the data regarding the patient's cancer##334#</v>
      </c>
    </row>
    <row r="9" spans="1:7" ht="29.5">
      <c r="A9" s="155"/>
      <c r="C9" s="154" t="str">
        <f>IF(AdverseEvent!J9="*  ..  ##34###34# ##334###334#","//--- END",AdverseEvent!J9)</f>
        <v>* type 1..1 CodeableConcept ##34#Adverse event type (CTCAE Term)##34# ##334#the Common Terminology Criteria for Adverse Events (CTCAE) is used to identify the adverse events. It includes details of the adverse event type and grade##334#</v>
      </c>
    </row>
    <row r="10" spans="1:7" ht="29.5">
      <c r="A10" s="155"/>
      <c r="C10" s="154" t="str">
        <f>IF(AdverseEvent!J10="*  ..  ##34###34# ##334###334#","//--- END",AdverseEvent!J10)</f>
        <v>* occurredAt 1..1 CodeableConcept ##34#Occurred at##34# ##334#specifies which phase (baseline, progression) of the disease the adverse event is related to##334#</v>
      </c>
    </row>
    <row r="11" spans="1:7" ht="29.5">
      <c r="C11" s="154" t="str">
        <f>IF(AdverseEvent!J11="*  ..  ##34###34# ##334###334#","//--- END",AdverseEvent!J11)</f>
        <v>* relatedTo 1..1 Reference ##34#Adverse event related to##34# ##334#specifies which treatment the adverse event is related to##334#</v>
      </c>
    </row>
    <row r="12" spans="1:7">
      <c r="C12" s="154" t="str">
        <f>IF(AdverseEvent!J12="*  ..  ##34###34# ##334###334#","//--- END",AdverseEvent!J12)</f>
        <v>* eventStartingDate 1..1 date ##34#Adverse event starting date  ##34# ##334#specifies when adverse events begins##334#</v>
      </c>
    </row>
    <row r="13" spans="1:7" ht="29.5">
      <c r="C13" s="154" t="str">
        <f>IF(AdverseEvent!J13="*  ..  ##34###34# ##334###334#","//--- END",AdverseEvent!J13)</f>
        <v>* eventDuration 1..1 CodeableConcept ##34#Adverse event duration##34# ##334#specifies the duration of the adverse event##334#</v>
      </c>
    </row>
    <row r="14" spans="1:7">
      <c r="C14" s="154" t="str">
        <f>IF(AdverseEvent!J14="*  ..  ##34###34# ##334###334#","//--- END",AdverseEvent!J14)</f>
        <v>* referstothepatientsfirstadverseevent 1..1 BackboneElement ##34#M##34# ##334#M##334#</v>
      </c>
    </row>
    <row r="15" spans="1:7">
      <c r="C15" s="154" t="str">
        <f>IF(AdverseEvent!J15="*  ..  ##34###34# ##334###334#","//--- END",AdverseEvent!J15)</f>
        <v>//--- END</v>
      </c>
    </row>
    <row r="16" spans="1:7">
      <c r="C16" s="154" t="str">
        <f>IF(AdverseEvent!J16="*  ..  ##34###34# ##334###334#","//--- END",AdverseEvent!J16)</f>
        <v>//--- END</v>
      </c>
    </row>
    <row r="17" spans="3:3">
      <c r="C17" s="154" t="str">
        <f>IF(AdverseEvent!J17="*  ..  ##34###34# ##334###334#","//--- END",AdverseEvent!J17)</f>
        <v>//--- END</v>
      </c>
    </row>
    <row r="18" spans="3:3">
      <c r="C18" s="154" t="str">
        <f>IF(AdverseEvent!J18="*  ..  ##34###34# ##334###334#","//--- END",AdverseEvent!J18)</f>
        <v>//--- END</v>
      </c>
    </row>
    <row r="19" spans="3:3">
      <c r="C19" s="154" t="str">
        <f>IF(AdverseEvent!J19="*  ..  ##34###34# ##334###334#","//--- END",AdverseEvent!J19)</f>
        <v>//--- END</v>
      </c>
    </row>
    <row r="20" spans="3:3">
      <c r="C20" s="154" t="str">
        <f>IF(AdverseEvent!J20="*  ..  ##34###34# ##334###334#","//--- END",AdverseEvent!J20)</f>
        <v>//--- END</v>
      </c>
    </row>
    <row r="21" spans="3:3">
      <c r="C21" s="154" t="str">
        <f>IF(AdverseEvent!J21="*  ..  ##34###34# ##334###334#","//--- END",AdverseEvent!J21)</f>
        <v>//--- END</v>
      </c>
    </row>
    <row r="22" spans="3:3">
      <c r="C22" s="154" t="str">
        <f>IF(AdverseEvent!J22="*  ..  ##34###34# ##334###334#","//--- END",AdverseEvent!J22)</f>
        <v>//--- END</v>
      </c>
    </row>
    <row r="23" spans="3:3">
      <c r="C23" s="154" t="str">
        <f>IF(AdverseEvent!J23="*  ..  ##34###34# ##334###334#","//--- END",AdverseEvent!J23)</f>
        <v>//--- END</v>
      </c>
    </row>
    <row r="24" spans="3:3">
      <c r="C24" s="154" t="str">
        <f>IF(AdverseEvent!J24="*  ..  ##34###34# ##334###334#","//--- END",AdverseEvent!J24)</f>
        <v>//--- END</v>
      </c>
    </row>
    <row r="31" spans="3:3">
      <c r="C31" s="152" t="s">
        <v>1613</v>
      </c>
    </row>
    <row r="32" spans="3:3">
      <c r="C32" s="24" t="s">
        <v>1651</v>
      </c>
    </row>
    <row r="33" spans="3:3">
      <c r="C33" s="24" t="s">
        <v>1613</v>
      </c>
    </row>
    <row r="34" spans="3:3">
      <c r="C34" s="154" t="str">
        <f>IF(AdverseEvent!L8="*  ..  ##34###34# ##334###334#","//--- END",AdverseEvent!L8)</f>
        <v/>
      </c>
    </row>
    <row r="35" spans="3:3">
      <c r="C35" s="154" t="str">
        <f>IF(AdverseEvent!L9="*  ..  ##34###34# ##334###334#","//--- END",AdverseEvent!L9)</f>
        <v/>
      </c>
    </row>
    <row r="36" spans="3:3">
      <c r="C36" s="154" t="str">
        <f>IF(AdverseEvent!L10="*  ..  ##34###34# ##334###334#","//--- END",AdverseEvent!L10)</f>
        <v/>
      </c>
    </row>
    <row r="37" spans="3:3">
      <c r="C37" s="154" t="str">
        <f>IF(AdverseEvent!L11="*  ..  ##34###34# ##334###334#","//--- END",AdverseEvent!L11)</f>
        <v/>
      </c>
    </row>
    <row r="38" spans="3:3">
      <c r="C38" s="154" t="str">
        <f>IF(AdverseEvent!L12="*  ..  ##34###34# ##334###334#","//--- END",AdverseEvent!L12)</f>
        <v/>
      </c>
    </row>
    <row r="39" spans="3:3" ht="44.25">
      <c r="C39" s="154" t="str">
        <f>IF(AdverseEvent!L13="*  ..  ##34###34# ##334###334#","//--- END",AdverseEvent!L13)</f>
        <v>* eventDuration ^comment = ##334#Less than one week; More than one week but  less than a month; More than a month but less than 3 months; More than 3 months; Unknown.
Custom##334#</v>
      </c>
    </row>
    <row r="40" spans="3:3">
      <c r="C40" s="154" t="str">
        <f>IF(AdverseEvent!L14="*  ..  ##34###34# ##334###334#","//--- END",AdverseEvent!L14)</f>
        <v/>
      </c>
    </row>
    <row r="41" spans="3:3">
      <c r="C41" s="154" t="str">
        <f>IF(AdverseEvent!L15="*  ..  ##34###34# ##334###334#","//--- END",AdverseEvent!L15)</f>
        <v>//--- END</v>
      </c>
    </row>
    <row r="42" spans="3:3">
      <c r="C42" s="154" t="str">
        <f>IF(AdverseEvent!L16="*  ..  ##34###34# ##334###334#","//--- END",AdverseEvent!L16)</f>
        <v>//--- END</v>
      </c>
    </row>
    <row r="43" spans="3:3">
      <c r="C43" s="154" t="str">
        <f>IF(AdverseEvent!L17="*  ..  ##34###34# ##334###334#","//--- END",AdverseEvent!L17)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2291</v>
      </c>
      <c r="D3" s="62" t="s">
        <v>1769</v>
      </c>
      <c r="E3" s="117" t="str">
        <f>$C$1&amp;B14</f>
        <v>http://hl7.eu/fhir/ig/idea4rc/StructureDefinition/AdverseEventI4rc</v>
      </c>
    </row>
    <row r="4" spans="1:19">
      <c r="B4" s="62" t="s">
        <v>16</v>
      </c>
      <c r="C4" s="28" t="s">
        <v>2291</v>
      </c>
      <c r="D4" s="62" t="s">
        <v>1770</v>
      </c>
      <c r="E4" s="184" t="s">
        <v>2242</v>
      </c>
      <c r="F4" s="185"/>
      <c r="G4" s="185"/>
    </row>
    <row r="5" spans="1:19">
      <c r="B5" s="62" t="s">
        <v>10</v>
      </c>
      <c r="C5" s="7" t="s">
        <v>2199</v>
      </c>
      <c r="D5" s="62"/>
      <c r="E5" s="7"/>
    </row>
    <row r="6" spans="1:19">
      <c r="B6" s="62" t="s">
        <v>18</v>
      </c>
      <c r="C6" s="56"/>
      <c r="D6" s="62" t="s">
        <v>1771</v>
      </c>
      <c r="E6" s="184" t="str">
        <f>E3</f>
        <v>http://hl7.eu/fhir/ig/idea4rc/StructureDefinition/AdverseEventI4rc</v>
      </c>
      <c r="F6" s="185"/>
      <c r="G6" s="185"/>
    </row>
    <row r="7" spans="1:19">
      <c r="B7" s="62" t="s">
        <v>15</v>
      </c>
      <c r="C7" s="118"/>
      <c r="D7" s="62" t="s">
        <v>1772</v>
      </c>
      <c r="E7" s="184" t="str">
        <f>E4</f>
        <v>http://hl7.eu/fhir/ig/idea4rc/StructureDefinition/Procedure-radiotheraphy-eu-i4rc</v>
      </c>
      <c r="F7" s="185"/>
      <c r="G7" s="185"/>
    </row>
    <row r="8" spans="1:19" ht="45" thickBot="1">
      <c r="B8" s="62" t="s">
        <v>1773</v>
      </c>
      <c r="C8" s="7" t="s">
        <v>2199</v>
      </c>
      <c r="D8" s="62"/>
      <c r="E8" s="7"/>
      <c r="I8" s="12" t="s">
        <v>1402</v>
      </c>
      <c r="J8" s="12" t="s">
        <v>1403</v>
      </c>
      <c r="K8" s="12" t="s">
        <v>1404</v>
      </c>
      <c r="L8" s="12" t="s">
        <v>1405</v>
      </c>
      <c r="M8" s="11" t="s">
        <v>1406</v>
      </c>
      <c r="P8" s="49" t="s">
        <v>1441</v>
      </c>
      <c r="Q8" s="49">
        <v>6</v>
      </c>
    </row>
    <row r="9" spans="1:19" ht="30.25" thickBot="1">
      <c r="B9" s="62" t="s">
        <v>1774</v>
      </c>
      <c r="C9" s="12" t="s">
        <v>2200</v>
      </c>
      <c r="D9" s="143"/>
      <c r="E9" s="186"/>
      <c r="F9" s="187"/>
      <c r="G9" s="18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AdverseEvent!B4</f>
        <v>AdverseEventI4rc</v>
      </c>
      <c r="C14" s="11"/>
      <c r="D14" s="4" t="s">
        <v>2182</v>
      </c>
      <c r="E14" s="6"/>
      <c r="F14" s="64"/>
      <c r="G14" s="64"/>
      <c r="I14" s="12"/>
      <c r="J14" s="11"/>
      <c r="K14" s="11"/>
      <c r="L14" s="11"/>
      <c r="M14" s="63"/>
      <c r="N14" s="66"/>
    </row>
    <row r="15" spans="1:19" ht="44.25">
      <c r="A15" s="59"/>
      <c r="B15" s="11"/>
      <c r="C15" s="11"/>
      <c r="D15" s="12"/>
      <c r="E15" s="12"/>
      <c r="F15" s="64"/>
      <c r="G15" s="123"/>
      <c r="I15" s="12" t="str">
        <f>"* group[=].element[+].code = #"&amp;$B$14&amp;"."&amp;B15</f>
        <v>* group[=].element[+].code = #AdverseEventI4rc.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INDEX('AdverseEvent-ConceptMap-1'!$I$15:$N$124,Q15+1,R15)</f>
        <v>* group[=].element[+].code = #AdverseEventI4rc.</v>
      </c>
    </row>
    <row r="16" spans="1:19" ht="44.25">
      <c r="A16" s="59"/>
      <c r="B16" s="11"/>
      <c r="C16" s="11"/>
      <c r="D16" s="12"/>
      <c r="E16" s="12"/>
      <c r="F16" s="64"/>
      <c r="G16" s="123"/>
      <c r="I16" s="12" t="str">
        <f t="shared" ref="I16:I38" si="7">"* group[=].element[+].code = #"&amp;$B$14&amp;"."&amp;B16</f>
        <v>* group[=].element[+].code = #AdverseEventI4rc.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INDEX('AdverseEvent-ConceptMap-1'!$I$15:$N$124,Q16+1,R16)</f>
        <v>* group[=].element[=].display = ##34###34#</v>
      </c>
    </row>
    <row r="17" spans="1:19" ht="59" customHeight="1">
      <c r="A17" s="59"/>
      <c r="B17" s="11"/>
      <c r="C17" s="11"/>
      <c r="D17" s="12"/>
      <c r="E17" s="12"/>
      <c r="F17" s="64"/>
      <c r="G17" s="123"/>
      <c r="H17" s="58"/>
      <c r="I17" s="12" t="str">
        <f t="shared" si="7"/>
        <v>* group[=].element[+].code = #AdverseEventI4rc.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INDEX('AdverseEvent-ConceptMap-1'!$I$15:$N$124,Q17+1,R17)</f>
        <v>* group[=].element[=].target.code = #Procedure.</v>
      </c>
    </row>
    <row r="18" spans="1:19" ht="44.25">
      <c r="A18" s="59"/>
      <c r="B18" s="11"/>
      <c r="C18" s="11"/>
      <c r="D18" s="12"/>
      <c r="E18" s="12"/>
      <c r="F18" s="64"/>
      <c r="G18" s="123"/>
      <c r="H18" s="58"/>
      <c r="I18" s="12" t="str">
        <f t="shared" si="7"/>
        <v>* group[=].element[+].code = #AdverseEventI4rc.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INDEX('AdverseEvent-ConceptMap-1'!$I$15:$N$124,Q18+1,R18)</f>
        <v>* group[=].element[=].target.display = ##34###34#</v>
      </c>
    </row>
    <row r="19" spans="1:19" ht="44.25">
      <c r="A19" s="59"/>
      <c r="B19" s="11"/>
      <c r="C19" s="11"/>
      <c r="D19" s="12"/>
      <c r="E19" s="12"/>
      <c r="F19" s="64"/>
      <c r="G19" s="123"/>
      <c r="H19" s="58"/>
      <c r="I19" s="12" t="str">
        <f t="shared" si="7"/>
        <v>* group[=].element[+].code = #AdverseEventI4rc.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INDEX('AdverseEvent-ConceptMap-1'!$I$15:$N$124,Q19+1,R19)</f>
        <v>* group[=].element[=].target.equivalence = #</v>
      </c>
    </row>
    <row r="20" spans="1:19" ht="44.25">
      <c r="A20" s="59"/>
      <c r="B20" s="11"/>
      <c r="C20" s="11"/>
      <c r="D20" s="12"/>
      <c r="E20" s="12"/>
      <c r="F20" s="64"/>
      <c r="G20" s="123"/>
      <c r="H20" s="58"/>
      <c r="I20" s="12" t="str">
        <f t="shared" si="7"/>
        <v>* group[=].element[+].code = #AdverseEventI4rc.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INDEX('AdverseEvent-ConceptMap-1'!$I$15:$N$124,Q20+1,R20)</f>
        <v/>
      </c>
    </row>
    <row r="21" spans="1:19" ht="44.25">
      <c r="A21" s="59"/>
      <c r="B21" s="11"/>
      <c r="C21" s="11"/>
      <c r="D21" s="12"/>
      <c r="E21" s="12"/>
      <c r="F21" s="64"/>
      <c r="G21" s="123"/>
      <c r="H21" s="58"/>
      <c r="I21" s="12" t="str">
        <f t="shared" si="7"/>
        <v>* group[=].element[+].code = #AdverseEventI4rc.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INDEX('AdverseEvent-ConceptMap-1'!$I$15:$N$124,Q21+1,R21)</f>
        <v>* group[=].element[+].code = #AdverseEventI4rc.</v>
      </c>
    </row>
    <row r="22" spans="1:19" ht="44.25">
      <c r="A22" s="59"/>
      <c r="B22" s="11"/>
      <c r="C22" s="11"/>
      <c r="D22" s="12"/>
      <c r="E22" s="12"/>
      <c r="F22" s="64"/>
      <c r="G22" s="123"/>
      <c r="H22" s="58"/>
      <c r="I22" s="12" t="str">
        <f t="shared" si="7"/>
        <v>* group[=].element[+].code = #AdverseEventI4rc.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INDEX('AdverseEvent-ConceptMap-1'!$I$15:$N$124,Q22+1,R22)</f>
        <v>* group[=].element[=].display = ##34###34#</v>
      </c>
    </row>
    <row r="23" spans="1:19" ht="44.25">
      <c r="A23" s="59"/>
      <c r="B23" s="11"/>
      <c r="C23" s="11"/>
      <c r="D23" s="12"/>
      <c r="E23" s="12"/>
      <c r="F23" s="64"/>
      <c r="G23" s="123"/>
      <c r="H23" s="58"/>
      <c r="I23" s="12" t="str">
        <f t="shared" si="7"/>
        <v>* group[=].element[+].code = #AdverseEventI4rc.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INDEX('AdverseEvent-ConceptMap-1'!$I$15:$N$124,Q23+1,R23)</f>
        <v>* group[=].element[=].target.code = #Procedure.</v>
      </c>
    </row>
    <row r="24" spans="1:19" ht="29.5" customHeight="1">
      <c r="A24" s="59"/>
      <c r="B24" s="11"/>
      <c r="C24" s="11"/>
      <c r="D24" s="12"/>
      <c r="E24" s="12"/>
      <c r="F24" s="64"/>
      <c r="G24" s="123"/>
      <c r="H24" s="58"/>
      <c r="I24" s="12" t="str">
        <f t="shared" si="7"/>
        <v>* group[=].element[+].code = #AdverseEventI4rc.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INDEX('AdverseEvent-ConceptMap-1'!$I$15:$N$124,Q24+1,R24)</f>
        <v>* group[=].element[=].target.display = ##34###34#</v>
      </c>
    </row>
    <row r="25" spans="1:19" ht="44.25">
      <c r="A25" s="59"/>
      <c r="B25" s="11"/>
      <c r="C25" s="11"/>
      <c r="D25" s="12"/>
      <c r="E25" s="12"/>
      <c r="F25" s="64"/>
      <c r="G25" s="123"/>
      <c r="H25" s="58"/>
      <c r="I25" s="12" t="str">
        <f t="shared" si="7"/>
        <v>* group[=].element[+].code = #AdverseEventI4rc.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INDEX('AdverseEvent-ConceptMap-1'!$I$15:$N$124,Q25+1,R25)</f>
        <v>* group[=].element[=].target.equivalence = #</v>
      </c>
    </row>
    <row r="26" spans="1:19" ht="44.25">
      <c r="A26" s="59"/>
      <c r="B26" s="11"/>
      <c r="C26" s="11"/>
      <c r="D26" s="12"/>
      <c r="E26" s="12"/>
      <c r="F26" s="64"/>
      <c r="G26" s="123"/>
      <c r="H26" s="58"/>
      <c r="I26" s="12" t="str">
        <f t="shared" si="7"/>
        <v>* group[=].element[+].code = #AdverseEventI4rc.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INDEX('AdverseEvent-ConceptMap-1'!$I$15:$N$124,Q26+1,R26)</f>
        <v/>
      </c>
    </row>
    <row r="27" spans="1:19" ht="44.25">
      <c r="A27" s="59"/>
      <c r="B27" s="11"/>
      <c r="C27" s="11"/>
      <c r="D27" s="12"/>
      <c r="E27" s="12"/>
      <c r="F27" s="64"/>
      <c r="G27" s="123"/>
      <c r="H27" s="58"/>
      <c r="I27" s="12" t="str">
        <f t="shared" si="7"/>
        <v>* group[=].element[+].code = #AdverseEventI4rc.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INDEX('AdverseEvent-ConceptMap-1'!$I$15:$N$124,Q27+1,R27)</f>
        <v>* group[=].element[+].code = #AdverseEventI4rc.</v>
      </c>
    </row>
    <row r="28" spans="1:19" ht="44.25">
      <c r="B28" s="11"/>
      <c r="C28" s="11"/>
      <c r="D28" s="12"/>
      <c r="E28" s="12"/>
      <c r="F28" s="64"/>
      <c r="G28" s="123"/>
      <c r="H28" s="58"/>
      <c r="I28" s="12" t="str">
        <f t="shared" si="7"/>
        <v>* group[=].element[+].code = #AdverseEventI4rc.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INDEX('AdverseEvent-ConceptMap-1'!$I$15:$N$124,Q28+1,R28)</f>
        <v>* group[=].element[=].display = ##34###34#</v>
      </c>
    </row>
    <row r="29" spans="1:19" ht="44.25">
      <c r="B29" s="11"/>
      <c r="C29" s="11"/>
      <c r="D29" s="12"/>
      <c r="E29" s="12"/>
      <c r="F29" s="64"/>
      <c r="G29" s="123"/>
      <c r="H29" s="58"/>
      <c r="I29" s="12" t="str">
        <f t="shared" si="7"/>
        <v>* group[=].element[+].code = #AdverseEventI4rc.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INDEX('AdverseEvent-ConceptMap-1'!$I$15:$N$124,Q29+1,R29)</f>
        <v>* group[=].element[=].target.code = #Procedure.</v>
      </c>
    </row>
    <row r="30" spans="1:19" ht="44.25">
      <c r="B30" s="11"/>
      <c r="C30" s="11"/>
      <c r="D30" s="12"/>
      <c r="E30" s="12"/>
      <c r="F30" s="64"/>
      <c r="G30" s="123"/>
      <c r="H30" s="58"/>
      <c r="I30" s="12" t="str">
        <f t="shared" si="7"/>
        <v>* group[=].element[+].code = #AdverseEventI4rc.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INDEX('AdverseEvent-ConceptMap-1'!$I$15:$N$124,Q30+1,R30)</f>
        <v>* group[=].element[=].target.display = ##34###34#</v>
      </c>
    </row>
    <row r="31" spans="1:19" ht="44.25">
      <c r="B31" s="11"/>
      <c r="C31" s="11"/>
      <c r="D31" s="12"/>
      <c r="E31" s="12"/>
      <c r="F31" s="64"/>
      <c r="G31" s="123"/>
      <c r="H31" s="58"/>
      <c r="I31" s="12" t="str">
        <f t="shared" si="7"/>
        <v>* group[=].element[+].code = #AdverseEventI4rc.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INDEX('AdverseEvent-ConceptMap-1'!$I$15:$N$124,Q31+1,R31)</f>
        <v>* group[=].element[=].target.equivalence = #</v>
      </c>
    </row>
    <row r="32" spans="1:19" ht="44.25">
      <c r="B32" s="11"/>
      <c r="C32" s="11"/>
      <c r="D32" s="12"/>
      <c r="E32" s="12"/>
      <c r="F32" s="64"/>
      <c r="G32" s="123"/>
      <c r="H32" s="58"/>
      <c r="I32" s="12" t="str">
        <f t="shared" si="7"/>
        <v>* group[=].element[+].code = #AdverseEventI4rc.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INDEX('AdverseEvent-ConceptMap-1'!$I$15:$N$124,Q32+1,R32)</f>
        <v/>
      </c>
    </row>
    <row r="33" spans="1:19" ht="44.25">
      <c r="B33" s="11"/>
      <c r="C33" s="11"/>
      <c r="D33" s="12"/>
      <c r="E33" s="12"/>
      <c r="F33" s="64"/>
      <c r="G33" s="123"/>
      <c r="H33" s="58"/>
      <c r="I33" s="12" t="str">
        <f t="shared" si="7"/>
        <v>* group[=].element[+].code = #AdverseEventI4rc.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INDEX('AdverseEvent-ConceptMap-1'!$I$15:$N$124,Q33+1,R33)</f>
        <v>* group[=].element[+].code = #AdverseEventI4rc.</v>
      </c>
    </row>
    <row r="34" spans="1:19" ht="44.25">
      <c r="B34" s="11"/>
      <c r="C34" s="11"/>
      <c r="D34" s="12"/>
      <c r="E34" s="12"/>
      <c r="F34" s="64"/>
      <c r="G34" s="123"/>
      <c r="H34" s="58"/>
      <c r="I34" s="12" t="str">
        <f t="shared" si="7"/>
        <v>* group[=].element[+].code = #AdverseEventI4rc.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INDEX('AdverseEvent-ConceptMap-1'!$I$15:$N$124,Q34+1,R34)</f>
        <v>* group[=].element[=].display = ##34###34#</v>
      </c>
    </row>
    <row r="35" spans="1:19" ht="44.25">
      <c r="B35" s="11"/>
      <c r="C35" s="11"/>
      <c r="D35" s="12"/>
      <c r="E35" s="12"/>
      <c r="F35" s="64"/>
      <c r="G35" s="123"/>
      <c r="H35" s="58"/>
      <c r="I35" s="12" t="str">
        <f t="shared" si="7"/>
        <v>* group[=].element[+].code = #AdverseEventI4rc.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INDEX('AdverseEvent-ConceptMap-1'!$I$15:$N$124,Q35+1,R35)</f>
        <v>* group[=].element[=].target.code = #Procedure.</v>
      </c>
    </row>
    <row r="36" spans="1:19" ht="44.25">
      <c r="B36" s="11"/>
      <c r="C36" s="11"/>
      <c r="D36" s="12"/>
      <c r="E36" s="12"/>
      <c r="F36" s="64"/>
      <c r="G36" s="123"/>
      <c r="H36" s="58"/>
      <c r="I36" s="12" t="str">
        <f t="shared" si="7"/>
        <v>* group[=].element[+].code = #AdverseEventI4rc.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INDEX('AdverseEvent-ConceptMap-1'!$I$15:$N$124,Q36+1,R36)</f>
        <v>* group[=].element[=].target.display = ##34###34#</v>
      </c>
    </row>
    <row r="37" spans="1:19" ht="44.25">
      <c r="B37" s="11"/>
      <c r="C37" s="11"/>
      <c r="D37" s="12"/>
      <c r="E37" s="12"/>
      <c r="F37" s="64"/>
      <c r="G37" s="123"/>
      <c r="H37" s="58"/>
      <c r="I37" s="12" t="str">
        <f t="shared" si="7"/>
        <v>* group[=].element[+].code = #AdverseEventI4rc.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INDEX('AdverseEvent-ConceptMap-1'!$I$15:$N$124,Q37+1,R37)</f>
        <v>* group[=].element[=].target.equivalence = #</v>
      </c>
    </row>
    <row r="38" spans="1:19" ht="14.75" customHeight="1">
      <c r="B38" s="11"/>
      <c r="C38" s="11"/>
      <c r="D38" s="12"/>
      <c r="E38" s="12"/>
      <c r="F38" s="64"/>
      <c r="G38" s="123"/>
      <c r="H38" s="58"/>
      <c r="I38" s="12" t="str">
        <f t="shared" si="7"/>
        <v>* group[=].element[+].code = #AdverseEventI4rc.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INDEX('AdverseEvent-ConceptMap-1'!$I$15:$N$124,Q38+1,R38)</f>
        <v/>
      </c>
    </row>
    <row r="39" spans="1:19" ht="44.25">
      <c r="B39" s="11"/>
      <c r="C39" s="11"/>
      <c r="D39" s="12"/>
      <c r="E39" s="12"/>
      <c r="F39" s="64"/>
      <c r="G39" s="123"/>
      <c r="H39" s="58"/>
      <c r="I39" s="12" t="str">
        <f>"* group[=].element[+].code = #"&amp;$B$14&amp;"."&amp;B39</f>
        <v>* group[=].element[+].code = #AdverseEventI4rc.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INDEX('AdverseEvent-ConceptMap-1'!$I$15:$N$124,Q39+1,R39)</f>
        <v>* group[=].element[+].code = #AdverseEventI4rc.</v>
      </c>
    </row>
    <row r="40" spans="1:19" s="2" customFormat="1" ht="44.25">
      <c r="A40"/>
      <c r="B40" s="11"/>
      <c r="C40" s="11"/>
      <c r="D40" s="12"/>
      <c r="E40" s="12"/>
      <c r="F40" s="64"/>
      <c r="G40" s="123"/>
      <c r="H40" s="58"/>
      <c r="I40" s="12" t="str">
        <f t="shared" ref="I40:I41" si="8">"* group[=].element[+].code = #"&amp;$B$14&amp;"."&amp;B40</f>
        <v>* group[=].element[+].code = #AdverseEventI4rc.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INDEX('AdverseEvent-ConceptMap-1'!$I$15:$N$124,Q40+1,R40)</f>
        <v>* group[=].element[=].display = ##34###34#</v>
      </c>
    </row>
    <row r="41" spans="1:19" s="2" customFormat="1" ht="44.25">
      <c r="A41"/>
      <c r="B41" s="11"/>
      <c r="C41" s="11"/>
      <c r="D41" s="12"/>
      <c r="E41" s="12"/>
      <c r="F41" s="64"/>
      <c r="G41" s="123"/>
      <c r="H41" s="58"/>
      <c r="I41" s="12" t="str">
        <f t="shared" si="8"/>
        <v>* group[=].element[+].code = #AdverseEventI4rc.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INDEX('AdverseEvent-ConceptMap-1'!$I$15:$N$124,Q41+1,R41)</f>
        <v>* group[=].element[=].target.code = #Procedure.</v>
      </c>
    </row>
    <row r="42" spans="1:19" s="2" customFormat="1">
      <c r="A42"/>
      <c r="B42" s="11"/>
      <c r="C42" s="11"/>
      <c r="D42" s="12"/>
      <c r="E42" s="12"/>
      <c r="F42" s="64"/>
      <c r="G42" s="123"/>
      <c r="H42" s="58"/>
      <c r="J42"/>
      <c r="K42" s="58"/>
      <c r="L42" s="58"/>
      <c r="M42" s="66"/>
      <c r="N42" s="66"/>
      <c r="P42" s="11">
        <v>28</v>
      </c>
      <c r="Q42" s="11">
        <f t="shared" si="5"/>
        <v>4</v>
      </c>
      <c r="R42" s="11">
        <f t="shared" si="6"/>
        <v>4</v>
      </c>
      <c r="S42" s="12" t="str" cm="1">
        <f t="array" ref="S42">INDEX('AdverseEvent-ConceptMap-1'!$I$15:$N$124,Q42+1,R42)</f>
        <v>* group[=].element[=].target.display = ##34###34#</v>
      </c>
    </row>
    <row r="43" spans="1:19" s="2" customFormat="1">
      <c r="A43"/>
      <c r="B43" s="11"/>
      <c r="C43" s="11"/>
      <c r="D43" s="12"/>
      <c r="E43" s="12"/>
      <c r="F43" s="64"/>
      <c r="G43" s="123"/>
      <c r="H43" s="58"/>
      <c r="J43" s="58"/>
      <c r="K43" s="58"/>
      <c r="L43" s="58"/>
      <c r="M43" s="66"/>
      <c r="N43" s="66"/>
      <c r="P43" s="11">
        <v>29</v>
      </c>
      <c r="Q43" s="11">
        <f t="shared" si="5"/>
        <v>4</v>
      </c>
      <c r="R43" s="11">
        <f t="shared" si="6"/>
        <v>5</v>
      </c>
      <c r="S43" s="12" t="str" cm="1">
        <f t="array" ref="S43">INDEX('AdverseEvent-ConceptMap-1'!$I$15:$N$124,Q43+1,R43)</f>
        <v>* group[=].element[=].target.equivalence = #</v>
      </c>
    </row>
    <row r="44" spans="1:19" s="2" customFormat="1">
      <c r="A44"/>
      <c r="B44" s="11"/>
      <c r="C44" s="11"/>
      <c r="D44" s="12"/>
      <c r="E44" s="12"/>
      <c r="F44" s="64"/>
      <c r="G44" s="123"/>
      <c r="H44" s="58"/>
      <c r="J44" s="58"/>
      <c r="K44" s="58"/>
      <c r="L44" s="58"/>
      <c r="M44" s="66"/>
      <c r="N44" s="66"/>
      <c r="P44" s="11">
        <v>30</v>
      </c>
      <c r="Q44" s="11">
        <f t="shared" si="5"/>
        <v>4</v>
      </c>
      <c r="R44" s="11">
        <f t="shared" si="6"/>
        <v>6</v>
      </c>
      <c r="S44" s="12" t="str" cm="1">
        <f t="array" ref="S44">INDEX('AdverseEvent-ConceptMap-1'!$I$15:$N$124,Q44+1,R44)</f>
        <v/>
      </c>
    </row>
    <row r="45" spans="1:19">
      <c r="B45" s="11"/>
      <c r="C45" s="11"/>
      <c r="D45" s="12"/>
      <c r="E45" s="12"/>
      <c r="F45" s="64"/>
      <c r="G45" s="123"/>
      <c r="P45" s="11">
        <v>31</v>
      </c>
      <c r="Q45" s="11">
        <f t="shared" si="5"/>
        <v>5</v>
      </c>
      <c r="R45" s="11">
        <f t="shared" si="6"/>
        <v>1</v>
      </c>
      <c r="S45" s="12" t="str" cm="1">
        <f t="array" ref="S45">INDEX('AdverseEvent-ConceptMap-1'!$I$15:$N$124,Q45+1,R45)</f>
        <v>* group[=].element[+].code = #AdverseEventI4rc.</v>
      </c>
    </row>
    <row r="46" spans="1:19">
      <c r="B46" s="11"/>
      <c r="C46" s="11"/>
      <c r="D46" s="12"/>
      <c r="E46" s="12"/>
      <c r="F46" s="64"/>
      <c r="G46" s="123"/>
      <c r="P46" s="11">
        <v>32</v>
      </c>
      <c r="Q46" s="11">
        <f t="shared" si="5"/>
        <v>5</v>
      </c>
      <c r="R46" s="11">
        <f t="shared" si="6"/>
        <v>2</v>
      </c>
      <c r="S46" s="12" t="str" cm="1">
        <f t="array" ref="S46">INDEX('AdverseEvent-ConceptMap-1'!$I$15:$N$124,Q46+1,R46)</f>
        <v>* group[=].element[=].display = ##34###34#</v>
      </c>
    </row>
    <row r="47" spans="1:19">
      <c r="B47" s="11"/>
      <c r="C47" s="11"/>
      <c r="D47" s="12"/>
      <c r="E47" s="12"/>
      <c r="F47" s="64"/>
      <c r="G47" s="123"/>
      <c r="P47" s="11">
        <v>33</v>
      </c>
      <c r="Q47" s="11">
        <f t="shared" si="5"/>
        <v>5</v>
      </c>
      <c r="R47" s="11">
        <f t="shared" si="6"/>
        <v>3</v>
      </c>
      <c r="S47" s="12" t="str" cm="1">
        <f t="array" ref="S47">INDEX('AdverseEvent-ConceptMap-1'!$I$15:$N$124,Q47+1,R47)</f>
        <v>* group[=].element[=].target.code = #Procedure.</v>
      </c>
    </row>
    <row r="48" spans="1:19">
      <c r="B48" s="11"/>
      <c r="C48" s="11"/>
      <c r="D48" s="12"/>
      <c r="E48" s="12"/>
      <c r="F48" s="64"/>
      <c r="G48" s="123"/>
      <c r="P48" s="11">
        <v>34</v>
      </c>
      <c r="Q48" s="11">
        <f t="shared" si="5"/>
        <v>5</v>
      </c>
      <c r="R48" s="11">
        <f t="shared" si="6"/>
        <v>4</v>
      </c>
      <c r="S48" s="12" t="str" cm="1">
        <f t="array" ref="S48">INDEX('AdverseEvent-ConceptMap-1'!$I$15:$N$124,Q48+1,R48)</f>
        <v>* group[=].element[=].target.display = ##34###34#</v>
      </c>
    </row>
    <row r="49" spans="2:19">
      <c r="B49" s="11"/>
      <c r="C49" s="11"/>
      <c r="D49" s="12"/>
      <c r="E49" s="12"/>
      <c r="F49" s="64"/>
      <c r="G49" s="123"/>
      <c r="P49" s="11">
        <v>35</v>
      </c>
      <c r="Q49" s="11">
        <f t="shared" si="5"/>
        <v>5</v>
      </c>
      <c r="R49" s="11">
        <f t="shared" si="6"/>
        <v>5</v>
      </c>
      <c r="S49" s="12" t="str" cm="1">
        <f t="array" ref="S49">INDEX('AdverseEvent-ConceptMap-1'!$I$15:$N$124,Q49+1,R49)</f>
        <v>* group[=].element[=].target.equivalence = #</v>
      </c>
    </row>
    <row r="50" spans="2:19">
      <c r="B50" s="11"/>
      <c r="C50" s="11"/>
      <c r="D50" s="12"/>
      <c r="E50" s="12"/>
      <c r="F50" s="64"/>
      <c r="G50" s="123"/>
      <c r="P50" s="11">
        <v>36</v>
      </c>
      <c r="Q50" s="11">
        <f t="shared" si="5"/>
        <v>5</v>
      </c>
      <c r="R50" s="11">
        <f t="shared" si="6"/>
        <v>6</v>
      </c>
      <c r="S50" s="12" t="str" cm="1">
        <f t="array" ref="S50">INDEX('AdverseEvent-ConceptMap-1'!$I$15:$N$124,Q50+1,R50)</f>
        <v/>
      </c>
    </row>
    <row r="51" spans="2:19">
      <c r="B51" s="11"/>
      <c r="C51" s="11"/>
      <c r="D51" s="12"/>
      <c r="E51" s="12"/>
      <c r="F51" s="64"/>
      <c r="G51" s="123"/>
      <c r="P51" s="11">
        <v>37</v>
      </c>
      <c r="Q51" s="11">
        <f t="shared" si="5"/>
        <v>6</v>
      </c>
      <c r="R51" s="11">
        <f t="shared" si="6"/>
        <v>1</v>
      </c>
      <c r="S51" s="12" t="str" cm="1">
        <f t="array" ref="S51">INDEX('AdverseEvent-ConceptMap-1'!$I$15:$N$124,Q51+1,R51)</f>
        <v>* group[=].element[+].code = #AdverseEventI4rc.</v>
      </c>
    </row>
    <row r="52" spans="2:19">
      <c r="B52" s="11"/>
      <c r="C52" s="11"/>
      <c r="D52" s="12"/>
      <c r="E52" s="12"/>
      <c r="F52" s="64"/>
      <c r="G52" s="123"/>
      <c r="P52" s="11">
        <v>38</v>
      </c>
      <c r="Q52" s="11">
        <f t="shared" si="5"/>
        <v>6</v>
      </c>
      <c r="R52" s="11">
        <f t="shared" si="6"/>
        <v>2</v>
      </c>
      <c r="S52" s="12" t="str" cm="1">
        <f t="array" ref="S52">INDEX('AdverseEvent-ConceptMap-1'!$I$15:$N$124,Q52+1,R52)</f>
        <v>* group[=].element[=].display = ##34###34#</v>
      </c>
    </row>
    <row r="53" spans="2:19">
      <c r="B53" s="11"/>
      <c r="C53" s="11"/>
      <c r="D53" s="12"/>
      <c r="E53" s="12"/>
      <c r="F53" s="64"/>
      <c r="G53" s="123"/>
      <c r="P53" s="11">
        <v>39</v>
      </c>
      <c r="Q53" s="11">
        <f t="shared" si="5"/>
        <v>6</v>
      </c>
      <c r="R53" s="11">
        <f t="shared" si="6"/>
        <v>3</v>
      </c>
      <c r="S53" s="12" t="str" cm="1">
        <f t="array" ref="S53">INDEX('AdverseEvent-ConceptMap-1'!$I$15:$N$124,Q53+1,R53)</f>
        <v>* group[=].element[=].target.code = #Procedure.</v>
      </c>
    </row>
    <row r="54" spans="2:19">
      <c r="B54" s="11"/>
      <c r="C54" s="11"/>
      <c r="D54" s="12"/>
      <c r="E54" s="12"/>
      <c r="F54" s="64"/>
      <c r="G54" s="123"/>
      <c r="P54" s="11">
        <v>40</v>
      </c>
      <c r="Q54" s="11">
        <f t="shared" si="5"/>
        <v>6</v>
      </c>
      <c r="R54" s="11">
        <f t="shared" si="6"/>
        <v>4</v>
      </c>
      <c r="S54" s="12" t="str" cm="1">
        <f t="array" ref="S54">INDEX('AdverseEvent-ConceptMap-1'!$I$15:$N$124,Q54+1,R54)</f>
        <v>* group[=].element[=].target.display = ##34###34#</v>
      </c>
    </row>
    <row r="55" spans="2:19">
      <c r="B55" s="11"/>
      <c r="C55" s="11"/>
      <c r="D55" s="12"/>
      <c r="E55" s="12"/>
      <c r="F55" s="64"/>
      <c r="G55" s="123"/>
      <c r="P55" s="11">
        <v>41</v>
      </c>
      <c r="Q55" s="11">
        <f t="shared" si="5"/>
        <v>6</v>
      </c>
      <c r="R55" s="11">
        <f t="shared" si="6"/>
        <v>5</v>
      </c>
      <c r="S55" s="12" t="str" cm="1">
        <f t="array" ref="S55">INDEX('AdverseEvent-ConceptMap-1'!$I$15:$N$124,Q55+1,R55)</f>
        <v>* group[=].element[=].target.equivalence = #</v>
      </c>
    </row>
    <row r="56" spans="2:19">
      <c r="B56" s="11"/>
      <c r="C56" s="11"/>
      <c r="D56" s="12"/>
      <c r="E56" s="12"/>
      <c r="F56" s="64"/>
      <c r="G56" s="123"/>
      <c r="P56" s="11">
        <v>42</v>
      </c>
      <c r="Q56" s="11">
        <f t="shared" si="5"/>
        <v>6</v>
      </c>
      <c r="R56" s="11">
        <f t="shared" si="6"/>
        <v>6</v>
      </c>
      <c r="S56" s="12" t="str" cm="1">
        <f t="array" ref="S56">INDEX('AdverseEvent-ConceptMap-1'!$I$15:$N$124,Q56+1,R56)</f>
        <v/>
      </c>
    </row>
    <row r="57" spans="2:19">
      <c r="B57" s="11"/>
      <c r="C57" s="11"/>
      <c r="D57" s="12"/>
      <c r="E57" s="12"/>
      <c r="F57" s="64"/>
      <c r="G57" s="123"/>
      <c r="P57" s="11">
        <v>43</v>
      </c>
      <c r="Q57" s="11">
        <f t="shared" si="5"/>
        <v>7</v>
      </c>
      <c r="R57" s="11">
        <f t="shared" si="6"/>
        <v>1</v>
      </c>
      <c r="S57" s="12" t="str" cm="1">
        <f t="array" ref="S57">INDEX('AdverseEvent-ConceptMap-1'!$I$15:$N$124,Q57+1,R57)</f>
        <v>* group[=].element[+].code = #AdverseEventI4rc.</v>
      </c>
    </row>
    <row r="58" spans="2:19">
      <c r="B58" s="11"/>
      <c r="C58" s="11"/>
      <c r="D58" s="12"/>
      <c r="E58" s="12"/>
      <c r="F58" s="64"/>
      <c r="G58" s="123"/>
      <c r="P58" s="11">
        <v>44</v>
      </c>
      <c r="Q58" s="11">
        <f t="shared" si="5"/>
        <v>7</v>
      </c>
      <c r="R58" s="11">
        <f t="shared" si="6"/>
        <v>2</v>
      </c>
      <c r="S58" s="12" t="str" cm="1">
        <f t="array" ref="S58">INDEX('AdverseEvent-ConceptMap-1'!$I$15:$N$124,Q58+1,R58)</f>
        <v>* group[=].element[=].display = ##34###34#</v>
      </c>
    </row>
    <row r="59" spans="2:19">
      <c r="B59" s="11"/>
      <c r="C59" s="11"/>
      <c r="D59" s="12"/>
      <c r="E59" s="12"/>
      <c r="F59" s="64"/>
      <c r="G59" s="123"/>
      <c r="P59" s="11">
        <v>45</v>
      </c>
      <c r="Q59" s="11">
        <f t="shared" si="5"/>
        <v>7</v>
      </c>
      <c r="R59" s="11">
        <f t="shared" si="6"/>
        <v>3</v>
      </c>
      <c r="S59" s="12" t="str" cm="1">
        <f t="array" ref="S59">INDEX('AdverseEvent-ConceptMap-1'!$I$15:$N$124,Q59+1,R59)</f>
        <v>* group[=].element[=].target.code = #Procedure.</v>
      </c>
    </row>
    <row r="60" spans="2:19">
      <c r="B60" s="11"/>
      <c r="C60" s="11"/>
      <c r="D60" s="12"/>
      <c r="E60" s="12"/>
      <c r="F60" s="64"/>
      <c r="G60" s="123"/>
      <c r="P60" s="11">
        <v>46</v>
      </c>
      <c r="Q60" s="11">
        <f t="shared" si="5"/>
        <v>7</v>
      </c>
      <c r="R60" s="11">
        <f t="shared" si="6"/>
        <v>4</v>
      </c>
      <c r="S60" s="12" t="str" cm="1">
        <f t="array" ref="S60">INDEX('AdverseEvent-ConceptMap-1'!$I$15:$N$124,Q60+1,R60)</f>
        <v>* group[=].element[=].target.display = ##34###34#</v>
      </c>
    </row>
    <row r="61" spans="2:19">
      <c r="B61" s="11"/>
      <c r="C61" s="11"/>
      <c r="D61" s="12"/>
      <c r="E61" s="12"/>
      <c r="F61" s="64"/>
      <c r="G61" s="123"/>
      <c r="P61" s="11">
        <v>47</v>
      </c>
      <c r="Q61" s="11">
        <f t="shared" si="5"/>
        <v>7</v>
      </c>
      <c r="R61" s="11">
        <f t="shared" si="6"/>
        <v>5</v>
      </c>
      <c r="S61" s="12" t="str" cm="1">
        <f t="array" ref="S61">INDEX('AdverseEvent-ConceptMap-1'!$I$15:$N$124,Q61+1,R61)</f>
        <v>* group[=].element[=].target.equivalence = #</v>
      </c>
    </row>
    <row r="62" spans="2:19">
      <c r="B62" s="11"/>
      <c r="C62" s="11"/>
      <c r="D62" s="12"/>
      <c r="E62" s="12"/>
      <c r="F62" s="64"/>
      <c r="G62" s="123"/>
      <c r="P62" s="11">
        <v>48</v>
      </c>
      <c r="Q62" s="11">
        <f t="shared" si="5"/>
        <v>7</v>
      </c>
      <c r="R62" s="11">
        <f t="shared" si="6"/>
        <v>6</v>
      </c>
      <c r="S62" s="12" t="str" cm="1">
        <f t="array" ref="S62">INDEX('AdverseEvent-ConceptMap-1'!$I$15:$N$124,Q62+1,R62)</f>
        <v/>
      </c>
    </row>
    <row r="63" spans="2:19">
      <c r="B63" s="11"/>
      <c r="C63" s="11"/>
      <c r="D63" s="12"/>
      <c r="E63" s="12"/>
      <c r="F63" s="64"/>
      <c r="G63" s="123"/>
      <c r="P63" s="11">
        <v>49</v>
      </c>
      <c r="Q63" s="11">
        <f t="shared" si="5"/>
        <v>8</v>
      </c>
      <c r="R63" s="11">
        <f t="shared" si="6"/>
        <v>1</v>
      </c>
      <c r="S63" s="12" t="str" cm="1">
        <f t="array" ref="S63">INDEX('AdverseEvent-ConceptMap-1'!$I$15:$N$124,Q63+1,R63)</f>
        <v>* group[=].element[+].code = #AdverseEventI4rc.</v>
      </c>
    </row>
    <row r="64" spans="2:19">
      <c r="B64" s="11"/>
      <c r="C64" s="11"/>
      <c r="D64" s="12"/>
      <c r="E64" s="12"/>
      <c r="F64" s="64"/>
      <c r="G64" s="123"/>
      <c r="P64" s="11">
        <v>50</v>
      </c>
      <c r="Q64" s="11">
        <f t="shared" si="5"/>
        <v>8</v>
      </c>
      <c r="R64" s="11">
        <f t="shared" si="6"/>
        <v>2</v>
      </c>
      <c r="S64" s="12" t="str" cm="1">
        <f t="array" ref="S64">INDEX('AdverseEvent-ConceptMap-1'!$I$15:$N$124,Q64+1,R64)</f>
        <v>* group[=].element[=].display = ##34###34#</v>
      </c>
    </row>
    <row r="65" spans="2:19">
      <c r="B65" s="11"/>
      <c r="C65" s="11"/>
      <c r="D65" s="12"/>
      <c r="E65" s="12"/>
      <c r="F65" s="64"/>
      <c r="G65" s="123"/>
      <c r="P65" s="11">
        <v>51</v>
      </c>
      <c r="Q65" s="11">
        <f t="shared" si="5"/>
        <v>8</v>
      </c>
      <c r="R65" s="11">
        <f t="shared" si="6"/>
        <v>3</v>
      </c>
      <c r="S65" s="12" t="str" cm="1">
        <f t="array" ref="S65">INDEX('AdverseEvent-ConceptMap-1'!$I$15:$N$124,Q65+1,R65)</f>
        <v>* group[=].element[=].target.code = #Procedure.</v>
      </c>
    </row>
    <row r="66" spans="2:19">
      <c r="B66" s="11"/>
      <c r="C66" s="11"/>
      <c r="D66" s="12"/>
      <c r="E66" s="12"/>
      <c r="F66" s="64"/>
      <c r="G66" s="123"/>
      <c r="P66" s="11">
        <v>52</v>
      </c>
      <c r="Q66" s="11">
        <f t="shared" si="5"/>
        <v>8</v>
      </c>
      <c r="R66" s="11">
        <f t="shared" si="6"/>
        <v>4</v>
      </c>
      <c r="S66" s="12" t="str" cm="1">
        <f t="array" ref="S66">INDEX('AdverseEvent-ConceptMap-1'!$I$15:$N$124,Q66+1,R66)</f>
        <v>* group[=].element[=].target.display = ##34###34#</v>
      </c>
    </row>
    <row r="67" spans="2:19">
      <c r="B67" s="11"/>
      <c r="C67" s="11"/>
      <c r="D67" s="12"/>
      <c r="E67" s="12"/>
      <c r="F67" s="64"/>
      <c r="G67" s="123"/>
      <c r="P67" s="11">
        <v>53</v>
      </c>
      <c r="Q67" s="11">
        <f t="shared" si="5"/>
        <v>8</v>
      </c>
      <c r="R67" s="11">
        <f t="shared" si="6"/>
        <v>5</v>
      </c>
      <c r="S67" s="12" t="str" cm="1">
        <f t="array" ref="S67">INDEX('AdverseEvent-ConceptMap-1'!$I$15:$N$124,Q67+1,R67)</f>
        <v>* group[=].element[=].target.equivalence = #</v>
      </c>
    </row>
    <row r="68" spans="2:19">
      <c r="B68" s="11"/>
      <c r="C68" s="11"/>
      <c r="D68" s="12"/>
      <c r="E68" s="12"/>
      <c r="F68" s="64"/>
      <c r="G68" s="123"/>
      <c r="P68" s="11">
        <v>54</v>
      </c>
      <c r="Q68" s="11">
        <f t="shared" si="5"/>
        <v>8</v>
      </c>
      <c r="R68" s="11">
        <f t="shared" si="6"/>
        <v>6</v>
      </c>
      <c r="S68" s="12" t="str" cm="1">
        <f t="array" ref="S68">INDEX('AdverseEvent-ConceptMap-1'!$I$15:$N$124,Q68+1,R68)</f>
        <v/>
      </c>
    </row>
    <row r="69" spans="2:19">
      <c r="B69" s="11"/>
      <c r="C69" s="11"/>
      <c r="D69" s="12"/>
      <c r="E69" s="12"/>
      <c r="F69" s="64"/>
      <c r="G69" s="123"/>
      <c r="P69" s="11">
        <v>55</v>
      </c>
      <c r="Q69" s="11">
        <f t="shared" si="5"/>
        <v>9</v>
      </c>
      <c r="R69" s="11">
        <f t="shared" si="6"/>
        <v>1</v>
      </c>
      <c r="S69" s="12" t="str" cm="1">
        <f t="array" ref="S69">INDEX('AdverseEvent-ConceptMap-1'!$I$15:$N$124,Q69+1,R69)</f>
        <v>* group[=].element[+].code = #AdverseEventI4rc.</v>
      </c>
    </row>
    <row r="70" spans="2:19">
      <c r="B70" s="11"/>
      <c r="C70" s="11"/>
      <c r="D70" s="12"/>
      <c r="E70" s="12"/>
      <c r="F70" s="64"/>
      <c r="G70" s="123"/>
      <c r="P70" s="11">
        <v>56</v>
      </c>
      <c r="Q70" s="11">
        <f t="shared" si="5"/>
        <v>9</v>
      </c>
      <c r="R70" s="11">
        <f t="shared" si="6"/>
        <v>2</v>
      </c>
      <c r="S70" s="12" t="str" cm="1">
        <f t="array" ref="S70">INDEX('AdverseEvent-ConceptMap-1'!$I$15:$N$124,Q70+1,R70)</f>
        <v>* group[=].element[=].display = ##34###34#</v>
      </c>
    </row>
    <row r="71" spans="2:19">
      <c r="B71" s="11"/>
      <c r="C71" s="11"/>
      <c r="D71" s="12"/>
      <c r="E71" s="12"/>
      <c r="F71" s="64"/>
      <c r="G71" s="123"/>
      <c r="P71" s="11">
        <v>57</v>
      </c>
      <c r="Q71" s="11">
        <f t="shared" si="5"/>
        <v>9</v>
      </c>
      <c r="R71" s="11">
        <f t="shared" si="6"/>
        <v>3</v>
      </c>
      <c r="S71" s="12" t="str" cm="1">
        <f t="array" ref="S71">INDEX('AdverseEvent-ConceptMap-1'!$I$15:$N$124,Q71+1,R71)</f>
        <v>* group[=].element[=].target.code = #Procedure.</v>
      </c>
    </row>
    <row r="72" spans="2:19">
      <c r="B72" s="11"/>
      <c r="C72" s="11"/>
      <c r="D72" s="12"/>
      <c r="E72" s="12"/>
      <c r="F72" s="64"/>
      <c r="G72" s="123"/>
      <c r="P72" s="11">
        <v>58</v>
      </c>
      <c r="Q72" s="11">
        <f t="shared" si="5"/>
        <v>9</v>
      </c>
      <c r="R72" s="11">
        <f t="shared" si="6"/>
        <v>4</v>
      </c>
      <c r="S72" s="12" t="str" cm="1">
        <f t="array" ref="S72">INDEX('AdverseEvent-ConceptMap-1'!$I$15:$N$124,Q72+1,R72)</f>
        <v>* group[=].element[=].target.display = ##34###34#</v>
      </c>
    </row>
    <row r="73" spans="2:19">
      <c r="B73" s="11"/>
      <c r="C73" s="11"/>
      <c r="D73" s="12"/>
      <c r="E73" s="12"/>
      <c r="F73" s="64"/>
      <c r="G73" s="123"/>
      <c r="P73" s="11">
        <v>59</v>
      </c>
      <c r="Q73" s="11">
        <f t="shared" si="5"/>
        <v>9</v>
      </c>
      <c r="R73" s="11">
        <f t="shared" si="6"/>
        <v>5</v>
      </c>
      <c r="S73" s="12" t="str" cm="1">
        <f t="array" ref="S73">INDEX('AdverseEvent-ConceptMap-1'!$I$15:$N$124,Q73+1,R73)</f>
        <v>* group[=].element[=].target.equivalence = #</v>
      </c>
    </row>
    <row r="74" spans="2:19">
      <c r="B74" s="11"/>
      <c r="C74" s="11"/>
      <c r="D74" s="12"/>
      <c r="E74" s="12"/>
      <c r="F74" s="64"/>
      <c r="G74" s="123"/>
      <c r="P74" s="11">
        <v>60</v>
      </c>
      <c r="Q74" s="11">
        <f t="shared" si="5"/>
        <v>9</v>
      </c>
      <c r="R74" s="11">
        <f t="shared" si="6"/>
        <v>6</v>
      </c>
      <c r="S74" s="12" t="str" cm="1">
        <f t="array" ref="S74">INDEX('AdverseEvent-ConceptMap-1'!$I$15:$N$124,Q74+1,R74)</f>
        <v/>
      </c>
    </row>
    <row r="75" spans="2:19">
      <c r="B75" s="11"/>
      <c r="C75" s="11"/>
      <c r="D75" s="12"/>
      <c r="E75" s="12"/>
      <c r="F75" s="64"/>
      <c r="G75" s="123"/>
      <c r="P75" s="11">
        <v>61</v>
      </c>
      <c r="Q75" s="11">
        <f t="shared" si="5"/>
        <v>10</v>
      </c>
      <c r="R75" s="11">
        <f t="shared" si="6"/>
        <v>1</v>
      </c>
      <c r="S75" s="12" t="str" cm="1">
        <f t="array" ref="S75">INDEX('AdverseEvent-ConceptMap-1'!$I$15:$N$124,Q75+1,R75)</f>
        <v>* group[=].element[+].code = #AdverseEventI4rc.</v>
      </c>
    </row>
    <row r="76" spans="2:19">
      <c r="B76" s="11"/>
      <c r="C76" s="11"/>
      <c r="D76" s="12"/>
      <c r="E76" s="12"/>
      <c r="F76" s="64"/>
      <c r="G76" s="123"/>
      <c r="P76" s="11">
        <v>62</v>
      </c>
      <c r="Q76" s="11">
        <f t="shared" si="5"/>
        <v>10</v>
      </c>
      <c r="R76" s="11">
        <f t="shared" si="6"/>
        <v>2</v>
      </c>
      <c r="S76" s="12" t="str" cm="1">
        <f t="array" ref="S76">INDEX('AdverseEvent-ConceptMap-1'!$I$15:$N$124,Q76+1,R76)</f>
        <v>* group[=].element[=].display = ##34###34#</v>
      </c>
    </row>
    <row r="77" spans="2:19">
      <c r="B77" s="11"/>
      <c r="C77" s="11"/>
      <c r="D77" s="12"/>
      <c r="E77" s="12"/>
      <c r="F77" s="64"/>
      <c r="G77" s="123"/>
      <c r="P77" s="11">
        <v>63</v>
      </c>
      <c r="Q77" s="11">
        <f t="shared" si="5"/>
        <v>10</v>
      </c>
      <c r="R77" s="11">
        <f t="shared" si="6"/>
        <v>3</v>
      </c>
      <c r="S77" s="12" t="str" cm="1">
        <f t="array" ref="S77">INDEX('AdverseEvent-ConceptMap-1'!$I$15:$N$124,Q77+1,R77)</f>
        <v>* group[=].element[=].target.code = #Procedure.</v>
      </c>
    </row>
    <row r="78" spans="2:19">
      <c r="B78" s="11"/>
      <c r="C78" s="11"/>
      <c r="D78" s="12"/>
      <c r="E78" s="12"/>
      <c r="F78" s="64"/>
      <c r="G78" s="123"/>
      <c r="P78" s="11">
        <v>64</v>
      </c>
      <c r="Q78" s="11">
        <f t="shared" si="5"/>
        <v>10</v>
      </c>
      <c r="R78" s="11">
        <f t="shared" si="6"/>
        <v>4</v>
      </c>
      <c r="S78" s="12" t="str" cm="1">
        <f t="array" ref="S78">INDEX('AdverseEvent-ConceptMap-1'!$I$15:$N$124,Q78+1,R78)</f>
        <v>* group[=].element[=].target.display = ##34###34#</v>
      </c>
    </row>
    <row r="79" spans="2:19">
      <c r="B79" s="11"/>
      <c r="C79" s="11"/>
      <c r="D79" s="12"/>
      <c r="E79" s="12"/>
      <c r="F79" s="64"/>
      <c r="G79" s="123"/>
      <c r="P79" s="11">
        <v>65</v>
      </c>
      <c r="Q79" s="11">
        <f t="shared" ref="Q79:Q142" si="9">IF(MOD(P79,$Q$8)=0,P79/$Q$8-1,INT(P79/$Q$8))</f>
        <v>10</v>
      </c>
      <c r="R79" s="11">
        <f t="shared" ref="R79:R142" si="10">IF(MOD(P79,$Q$8)=0,$Q$8,MOD(P79,$Q$8))</f>
        <v>5</v>
      </c>
      <c r="S79" s="12" t="str" cm="1">
        <f t="array" ref="S79">INDEX('AdverseEvent-ConceptMap-1'!$I$15:$N$124,Q79+1,R79)</f>
        <v>* group[=].element[=].target.equivalence = #</v>
      </c>
    </row>
    <row r="80" spans="2:19">
      <c r="B80" s="11"/>
      <c r="C80" s="11"/>
      <c r="D80" s="12"/>
      <c r="E80" s="12"/>
      <c r="F80" s="64"/>
      <c r="G80" s="123"/>
      <c r="P80" s="11">
        <v>66</v>
      </c>
      <c r="Q80" s="11">
        <f t="shared" si="9"/>
        <v>10</v>
      </c>
      <c r="R80" s="11">
        <f t="shared" si="10"/>
        <v>6</v>
      </c>
      <c r="S80" s="12" t="str" cm="1">
        <f t="array" ref="S80">INDEX('AdverseEvent-ConceptMap-1'!$I$15:$N$124,Q80+1,R80)</f>
        <v/>
      </c>
    </row>
    <row r="81" spans="2:19">
      <c r="B81" s="11"/>
      <c r="C81" s="11"/>
      <c r="D81" s="12"/>
      <c r="E81" s="12"/>
      <c r="F81" s="64"/>
      <c r="G81" s="123"/>
      <c r="P81" s="11">
        <v>67</v>
      </c>
      <c r="Q81" s="11">
        <f t="shared" si="9"/>
        <v>11</v>
      </c>
      <c r="R81" s="11">
        <f t="shared" si="10"/>
        <v>1</v>
      </c>
      <c r="S81" s="12" t="str" cm="1">
        <f t="array" ref="S81">INDEX('AdverseEvent-ConceptMap-1'!$I$15:$N$124,Q81+1,R81)</f>
        <v>* group[=].element[+].code = #AdverseEventI4rc.</v>
      </c>
    </row>
    <row r="82" spans="2:19">
      <c r="B82" s="11"/>
      <c r="C82" s="11"/>
      <c r="D82" s="12"/>
      <c r="E82" s="12"/>
      <c r="F82" s="64"/>
      <c r="G82" s="123"/>
      <c r="P82" s="11">
        <v>68</v>
      </c>
      <c r="Q82" s="11">
        <f t="shared" si="9"/>
        <v>11</v>
      </c>
      <c r="R82" s="11">
        <f t="shared" si="10"/>
        <v>2</v>
      </c>
      <c r="S82" s="12" t="str" cm="1">
        <f t="array" ref="S82">INDEX('AdverseEvent-ConceptMap-1'!$I$15:$N$124,Q82+1,R82)</f>
        <v>* group[=].element[=].display = ##34###34#</v>
      </c>
    </row>
    <row r="83" spans="2:19">
      <c r="B83" s="11"/>
      <c r="C83" s="11"/>
      <c r="D83" s="12"/>
      <c r="E83" s="12"/>
      <c r="F83" s="64"/>
      <c r="G83" s="123"/>
      <c r="P83" s="11">
        <v>69</v>
      </c>
      <c r="Q83" s="11">
        <f t="shared" si="9"/>
        <v>11</v>
      </c>
      <c r="R83" s="11">
        <f t="shared" si="10"/>
        <v>3</v>
      </c>
      <c r="S83" s="12" t="str" cm="1">
        <f t="array" ref="S83">INDEX('AdverseEvent-ConceptMap-1'!$I$15:$N$124,Q83+1,R83)</f>
        <v>* group[=].element[=].target.code = #Procedure.</v>
      </c>
    </row>
    <row r="84" spans="2:19">
      <c r="B84" s="11"/>
      <c r="C84" s="11"/>
      <c r="D84" s="12"/>
      <c r="E84" s="12"/>
      <c r="F84" s="64"/>
      <c r="G84" s="123"/>
      <c r="P84" s="11">
        <v>70</v>
      </c>
      <c r="Q84" s="11">
        <f t="shared" si="9"/>
        <v>11</v>
      </c>
      <c r="R84" s="11">
        <f t="shared" si="10"/>
        <v>4</v>
      </c>
      <c r="S84" s="12" t="str" cm="1">
        <f t="array" ref="S84">INDEX('AdverseEvent-ConceptMap-1'!$I$15:$N$124,Q84+1,R84)</f>
        <v>* group[=].element[=].target.display = ##34###34#</v>
      </c>
    </row>
    <row r="85" spans="2:19">
      <c r="B85" s="11"/>
      <c r="C85" s="11"/>
      <c r="D85" s="12"/>
      <c r="E85" s="12"/>
      <c r="F85" s="64"/>
      <c r="G85" s="123"/>
      <c r="P85" s="11">
        <v>71</v>
      </c>
      <c r="Q85" s="11">
        <f t="shared" si="9"/>
        <v>11</v>
      </c>
      <c r="R85" s="11">
        <f t="shared" si="10"/>
        <v>5</v>
      </c>
      <c r="S85" s="12" t="str" cm="1">
        <f t="array" ref="S85">INDEX('AdverseEvent-ConceptMap-1'!$I$15:$N$124,Q85+1,R85)</f>
        <v>* group[=].element[=].target.equivalence = #</v>
      </c>
    </row>
    <row r="86" spans="2:19">
      <c r="B86" s="11"/>
      <c r="C86" s="11"/>
      <c r="D86" s="12"/>
      <c r="E86" s="12"/>
      <c r="F86" s="64"/>
      <c r="G86" s="123"/>
      <c r="P86" s="11">
        <v>72</v>
      </c>
      <c r="Q86" s="11">
        <f t="shared" si="9"/>
        <v>11</v>
      </c>
      <c r="R86" s="11">
        <f t="shared" si="10"/>
        <v>6</v>
      </c>
      <c r="S86" s="12" t="str" cm="1">
        <f t="array" ref="S86">INDEX('AdverseEvent-ConceptMap-1'!$I$15:$N$124,Q86+1,R86)</f>
        <v/>
      </c>
    </row>
    <row r="87" spans="2:19">
      <c r="B87" s="11"/>
      <c r="C87" s="11"/>
      <c r="D87" s="12"/>
      <c r="E87" s="12"/>
      <c r="F87" s="64"/>
      <c r="G87" s="123"/>
      <c r="P87" s="11">
        <v>73</v>
      </c>
      <c r="Q87" s="11">
        <f t="shared" si="9"/>
        <v>12</v>
      </c>
      <c r="R87" s="11">
        <f t="shared" si="10"/>
        <v>1</v>
      </c>
      <c r="S87" s="12" t="str" cm="1">
        <f t="array" ref="S87">INDEX('AdverseEvent-ConceptMap-1'!$I$15:$N$124,Q87+1,R87)</f>
        <v>* group[=].element[+].code = #AdverseEventI4rc.</v>
      </c>
    </row>
    <row r="88" spans="2:19">
      <c r="B88" s="11"/>
      <c r="C88" s="11"/>
      <c r="D88" s="12"/>
      <c r="E88" s="12"/>
      <c r="F88" s="64"/>
      <c r="G88" s="123"/>
      <c r="P88" s="11">
        <v>74</v>
      </c>
      <c r="Q88" s="11">
        <f t="shared" si="9"/>
        <v>12</v>
      </c>
      <c r="R88" s="11">
        <f t="shared" si="10"/>
        <v>2</v>
      </c>
      <c r="S88" s="12" t="str" cm="1">
        <f t="array" ref="S88">INDEX('AdverseEvent-ConceptMap-1'!$I$15:$N$124,Q88+1,R88)</f>
        <v>* group[=].element[=].display = ##34###34#</v>
      </c>
    </row>
    <row r="89" spans="2:19">
      <c r="B89" s="11"/>
      <c r="C89" s="11"/>
      <c r="D89" s="12"/>
      <c r="E89" s="12"/>
      <c r="F89" s="64"/>
      <c r="G89" s="123"/>
      <c r="P89" s="11">
        <v>75</v>
      </c>
      <c r="Q89" s="11">
        <f t="shared" si="9"/>
        <v>12</v>
      </c>
      <c r="R89" s="11">
        <f t="shared" si="10"/>
        <v>3</v>
      </c>
      <c r="S89" s="12" t="str" cm="1">
        <f t="array" ref="S89">INDEX('AdverseEvent-ConceptMap-1'!$I$15:$N$124,Q89+1,R89)</f>
        <v>* group[=].element[=].target.code = #Procedure.</v>
      </c>
    </row>
    <row r="90" spans="2:19">
      <c r="B90" s="11"/>
      <c r="C90" s="11"/>
      <c r="D90" s="12"/>
      <c r="E90" s="12"/>
      <c r="F90" s="64"/>
      <c r="G90" s="123"/>
      <c r="P90" s="11">
        <v>76</v>
      </c>
      <c r="Q90" s="11">
        <f t="shared" si="9"/>
        <v>12</v>
      </c>
      <c r="R90" s="11">
        <f t="shared" si="10"/>
        <v>4</v>
      </c>
      <c r="S90" s="12" t="str" cm="1">
        <f t="array" ref="S90">INDEX('AdverseEvent-ConceptMap-1'!$I$15:$N$124,Q90+1,R90)</f>
        <v>* group[=].element[=].target.display = ##34###34#</v>
      </c>
    </row>
    <row r="91" spans="2:19">
      <c r="B91" s="11"/>
      <c r="C91" s="11"/>
      <c r="D91" s="12"/>
      <c r="E91" s="12"/>
      <c r="F91" s="64"/>
      <c r="G91" s="123"/>
      <c r="P91" s="11">
        <v>77</v>
      </c>
      <c r="Q91" s="11">
        <f t="shared" si="9"/>
        <v>12</v>
      </c>
      <c r="R91" s="11">
        <f t="shared" si="10"/>
        <v>5</v>
      </c>
      <c r="S91" s="12" t="str" cm="1">
        <f t="array" ref="S91">INDEX('AdverseEvent-ConceptMap-1'!$I$15:$N$124,Q91+1,R91)</f>
        <v>* group[=].element[=].target.equivalence = #</v>
      </c>
    </row>
    <row r="92" spans="2:19">
      <c r="B92" s="11"/>
      <c r="C92" s="11"/>
      <c r="D92" s="12"/>
      <c r="E92" s="12"/>
      <c r="F92" s="64"/>
      <c r="G92" s="123"/>
      <c r="P92" s="11">
        <v>78</v>
      </c>
      <c r="Q92" s="11">
        <f t="shared" si="9"/>
        <v>12</v>
      </c>
      <c r="R92" s="11">
        <f t="shared" si="10"/>
        <v>6</v>
      </c>
      <c r="S92" s="12" t="str" cm="1">
        <f t="array" ref="S92">INDEX('AdverseEvent-ConceptMap-1'!$I$15:$N$124,Q92+1,R92)</f>
        <v/>
      </c>
    </row>
    <row r="93" spans="2:19">
      <c r="B93" s="11"/>
      <c r="C93" s="11"/>
      <c r="D93" s="12"/>
      <c r="E93" s="12"/>
      <c r="F93" s="64"/>
      <c r="G93" s="123"/>
      <c r="P93" s="11">
        <v>79</v>
      </c>
      <c r="Q93" s="11">
        <f t="shared" si="9"/>
        <v>13</v>
      </c>
      <c r="R93" s="11">
        <f t="shared" si="10"/>
        <v>1</v>
      </c>
      <c r="S93" s="12" t="str" cm="1">
        <f t="array" ref="S93">INDEX('AdverseEvent-ConceptMap-1'!$I$15:$N$124,Q93+1,R93)</f>
        <v>* group[=].element[+].code = #AdverseEventI4rc.</v>
      </c>
    </row>
    <row r="94" spans="2:19">
      <c r="B94" s="11"/>
      <c r="C94" s="11"/>
      <c r="D94" s="12"/>
      <c r="E94" s="12"/>
      <c r="F94" s="64"/>
      <c r="G94" s="123"/>
      <c r="P94" s="11">
        <v>80</v>
      </c>
      <c r="Q94" s="11">
        <f t="shared" si="9"/>
        <v>13</v>
      </c>
      <c r="R94" s="11">
        <f t="shared" si="10"/>
        <v>2</v>
      </c>
      <c r="S94" s="12" t="str" cm="1">
        <f t="array" ref="S94">INDEX('AdverseEvent-ConceptMap-1'!$I$15:$N$124,Q94+1,R94)</f>
        <v>* group[=].element[=].display = ##34###34#</v>
      </c>
    </row>
    <row r="95" spans="2:19">
      <c r="B95" s="11"/>
      <c r="C95" s="11"/>
      <c r="D95" s="12"/>
      <c r="E95" s="12"/>
      <c r="F95" s="64"/>
      <c r="G95" s="123"/>
      <c r="P95" s="11">
        <v>81</v>
      </c>
      <c r="Q95" s="11">
        <f t="shared" si="9"/>
        <v>13</v>
      </c>
      <c r="R95" s="11">
        <f t="shared" si="10"/>
        <v>3</v>
      </c>
      <c r="S95" s="12" t="str" cm="1">
        <f t="array" ref="S95">INDEX('AdverseEvent-ConceptMap-1'!$I$15:$N$124,Q95+1,R95)</f>
        <v>* group[=].element[=].target.code = #Procedure.</v>
      </c>
    </row>
    <row r="96" spans="2:19">
      <c r="B96" s="11"/>
      <c r="C96" s="11"/>
      <c r="D96" s="12"/>
      <c r="E96" s="12"/>
      <c r="F96" s="64"/>
      <c r="G96" s="123"/>
      <c r="P96" s="11">
        <v>82</v>
      </c>
      <c r="Q96" s="11">
        <f t="shared" si="9"/>
        <v>13</v>
      </c>
      <c r="R96" s="11">
        <f t="shared" si="10"/>
        <v>4</v>
      </c>
      <c r="S96" s="12" t="str" cm="1">
        <f t="array" ref="S96">INDEX('AdverseEvent-ConceptMap-1'!$I$15:$N$124,Q96+1,R96)</f>
        <v>* group[=].element[=].target.display = ##34###34#</v>
      </c>
    </row>
    <row r="97" spans="2:19">
      <c r="B97" s="11"/>
      <c r="C97" s="11"/>
      <c r="D97" s="12"/>
      <c r="E97" s="12"/>
      <c r="F97" s="64"/>
      <c r="G97" s="123"/>
      <c r="P97" s="11">
        <v>83</v>
      </c>
      <c r="Q97" s="11">
        <f t="shared" si="9"/>
        <v>13</v>
      </c>
      <c r="R97" s="11">
        <f t="shared" si="10"/>
        <v>5</v>
      </c>
      <c r="S97" s="12" t="str" cm="1">
        <f t="array" ref="S97">INDEX('AdverseEvent-ConceptMap-1'!$I$15:$N$124,Q97+1,R97)</f>
        <v>* group[=].element[=].target.equivalence = #</v>
      </c>
    </row>
    <row r="98" spans="2:19">
      <c r="B98" s="11"/>
      <c r="C98" s="11"/>
      <c r="D98" s="12"/>
      <c r="E98" s="12"/>
      <c r="F98" s="64"/>
      <c r="G98" s="123"/>
      <c r="P98" s="11">
        <v>84</v>
      </c>
      <c r="Q98" s="11">
        <f t="shared" si="9"/>
        <v>13</v>
      </c>
      <c r="R98" s="11">
        <f t="shared" si="10"/>
        <v>6</v>
      </c>
      <c r="S98" s="12" t="str" cm="1">
        <f t="array" ref="S98">INDEX('AdverseEvent-ConceptMap-1'!$I$15:$N$124,Q98+1,R98)</f>
        <v/>
      </c>
    </row>
    <row r="99" spans="2:19">
      <c r="B99" s="11"/>
      <c r="C99" s="11"/>
      <c r="D99" s="12"/>
      <c r="E99" s="12"/>
      <c r="F99" s="64"/>
      <c r="G99" s="123"/>
      <c r="P99" s="11">
        <v>85</v>
      </c>
      <c r="Q99" s="11">
        <f t="shared" si="9"/>
        <v>14</v>
      </c>
      <c r="R99" s="11">
        <f t="shared" si="10"/>
        <v>1</v>
      </c>
      <c r="S99" s="12" t="str" cm="1">
        <f t="array" ref="S99">INDEX('AdverseEvent-ConceptMap-1'!$I$15:$N$124,Q99+1,R99)</f>
        <v>* group[=].element[+].code = #AdverseEventI4rc.</v>
      </c>
    </row>
    <row r="100" spans="2:19">
      <c r="B100" s="11"/>
      <c r="C100" s="11"/>
      <c r="D100" s="12"/>
      <c r="E100" s="12"/>
      <c r="F100" s="64"/>
      <c r="G100" s="123"/>
      <c r="P100" s="11">
        <v>86</v>
      </c>
      <c r="Q100" s="11">
        <f t="shared" si="9"/>
        <v>14</v>
      </c>
      <c r="R100" s="11">
        <f t="shared" si="10"/>
        <v>2</v>
      </c>
      <c r="S100" s="12" t="str" cm="1">
        <f t="array" ref="S100">INDEX('AdverseEvent-ConceptMap-1'!$I$15:$N$124,Q100+1,R100)</f>
        <v>* group[=].element[=].display = ##34###34#</v>
      </c>
    </row>
    <row r="101" spans="2:19">
      <c r="B101" s="11"/>
      <c r="C101" s="11"/>
      <c r="D101" s="12"/>
      <c r="E101" s="12"/>
      <c r="F101" s="64"/>
      <c r="G101" s="123"/>
      <c r="P101" s="11">
        <v>87</v>
      </c>
      <c r="Q101" s="11">
        <f t="shared" si="9"/>
        <v>14</v>
      </c>
      <c r="R101" s="11">
        <f t="shared" si="10"/>
        <v>3</v>
      </c>
      <c r="S101" s="12" t="str" cm="1">
        <f t="array" ref="S101">INDEX('AdverseEvent-ConceptMap-1'!$I$15:$N$124,Q101+1,R101)</f>
        <v>* group[=].element[=].target.code = #Procedure.</v>
      </c>
    </row>
    <row r="102" spans="2:19">
      <c r="B102" s="11"/>
      <c r="C102" s="11"/>
      <c r="D102" s="12"/>
      <c r="E102" s="12"/>
      <c r="F102" s="64"/>
      <c r="G102" s="123"/>
      <c r="P102" s="11">
        <v>88</v>
      </c>
      <c r="Q102" s="11">
        <f t="shared" si="9"/>
        <v>14</v>
      </c>
      <c r="R102" s="11">
        <f t="shared" si="10"/>
        <v>4</v>
      </c>
      <c r="S102" s="12" t="str" cm="1">
        <f t="array" ref="S102">INDEX('AdverseEvent-ConceptMap-1'!$I$15:$N$124,Q102+1,R102)</f>
        <v>* group[=].element[=].target.display = ##34###34#</v>
      </c>
    </row>
    <row r="103" spans="2:19">
      <c r="B103" s="11"/>
      <c r="C103" s="11"/>
      <c r="D103" s="12"/>
      <c r="E103" s="12"/>
      <c r="F103" s="64"/>
      <c r="G103" s="123"/>
      <c r="P103" s="11">
        <v>89</v>
      </c>
      <c r="Q103" s="11">
        <f t="shared" si="9"/>
        <v>14</v>
      </c>
      <c r="R103" s="11">
        <f t="shared" si="10"/>
        <v>5</v>
      </c>
      <c r="S103" s="12" t="str" cm="1">
        <f t="array" ref="S103">INDEX('AdverseEvent-ConceptMap-1'!$I$15:$N$124,Q103+1,R103)</f>
        <v>* group[=].element[=].target.equivalence = #</v>
      </c>
    </row>
    <row r="104" spans="2:19">
      <c r="B104" s="11"/>
      <c r="C104" s="11"/>
      <c r="D104" s="12"/>
      <c r="E104" s="12"/>
      <c r="F104" s="64"/>
      <c r="G104" s="123"/>
      <c r="P104" s="11">
        <v>90</v>
      </c>
      <c r="Q104" s="11">
        <f t="shared" si="9"/>
        <v>14</v>
      </c>
      <c r="R104" s="11">
        <f t="shared" si="10"/>
        <v>6</v>
      </c>
      <c r="S104" s="12" t="str" cm="1">
        <f t="array" ref="S104">INDEX('AdverseEvent-ConceptMap-1'!$I$15:$N$124,Q104+1,R104)</f>
        <v/>
      </c>
    </row>
    <row r="105" spans="2:19">
      <c r="B105" s="11"/>
      <c r="C105" s="11"/>
      <c r="D105" s="12"/>
      <c r="E105" s="12"/>
      <c r="F105" s="64"/>
      <c r="G105" s="123"/>
      <c r="P105" s="11">
        <v>91</v>
      </c>
      <c r="Q105" s="11">
        <f t="shared" si="9"/>
        <v>15</v>
      </c>
      <c r="R105" s="11">
        <f t="shared" si="10"/>
        <v>1</v>
      </c>
      <c r="S105" s="12" t="str" cm="1">
        <f t="array" ref="S105">INDEX('AdverseEvent-ConceptMap-1'!$I$15:$N$124,Q105+1,R105)</f>
        <v>* group[=].element[+].code = #AdverseEventI4rc.</v>
      </c>
    </row>
    <row r="106" spans="2:19">
      <c r="B106" s="11"/>
      <c r="C106" s="11"/>
      <c r="D106" s="12"/>
      <c r="E106" s="12"/>
      <c r="F106" s="64"/>
      <c r="G106" s="123"/>
      <c r="P106" s="11">
        <v>92</v>
      </c>
      <c r="Q106" s="11">
        <f t="shared" si="9"/>
        <v>15</v>
      </c>
      <c r="R106" s="11">
        <f t="shared" si="10"/>
        <v>2</v>
      </c>
      <c r="S106" s="12" t="str" cm="1">
        <f t="array" ref="S106">INDEX('AdverseEvent-ConceptMap-1'!$I$15:$N$124,Q106+1,R106)</f>
        <v>* group[=].element[=].display = ##34###34#</v>
      </c>
    </row>
    <row r="107" spans="2:19">
      <c r="B107" s="11"/>
      <c r="C107" s="11"/>
      <c r="D107" s="12"/>
      <c r="E107" s="12"/>
      <c r="F107" s="64"/>
      <c r="G107" s="123"/>
      <c r="P107" s="11">
        <v>93</v>
      </c>
      <c r="Q107" s="11">
        <f t="shared" si="9"/>
        <v>15</v>
      </c>
      <c r="R107" s="11">
        <f t="shared" si="10"/>
        <v>3</v>
      </c>
      <c r="S107" s="12" t="str" cm="1">
        <f t="array" ref="S107">INDEX('AdverseEvent-ConceptMap-1'!$I$15:$N$124,Q107+1,R107)</f>
        <v>* group[=].element[=].target.code = #Procedure.</v>
      </c>
    </row>
    <row r="108" spans="2:19">
      <c r="B108" s="11"/>
      <c r="C108" s="11"/>
      <c r="D108" s="12"/>
      <c r="E108" s="12"/>
      <c r="F108" s="64"/>
      <c r="G108" s="123"/>
      <c r="P108" s="11">
        <v>94</v>
      </c>
      <c r="Q108" s="11">
        <f t="shared" si="9"/>
        <v>15</v>
      </c>
      <c r="R108" s="11">
        <f t="shared" si="10"/>
        <v>4</v>
      </c>
      <c r="S108" s="12" t="str" cm="1">
        <f t="array" ref="S108">INDEX('AdverseEvent-ConceptMap-1'!$I$15:$N$124,Q108+1,R108)</f>
        <v>* group[=].element[=].target.display = ##34###34#</v>
      </c>
    </row>
    <row r="109" spans="2:19">
      <c r="B109" s="11"/>
      <c r="C109" s="11"/>
      <c r="D109" s="12"/>
      <c r="E109" s="12"/>
      <c r="F109" s="64"/>
      <c r="G109" s="123"/>
      <c r="P109" s="11">
        <v>95</v>
      </c>
      <c r="Q109" s="11">
        <f t="shared" si="9"/>
        <v>15</v>
      </c>
      <c r="R109" s="11">
        <f t="shared" si="10"/>
        <v>5</v>
      </c>
      <c r="S109" s="12" t="str" cm="1">
        <f t="array" ref="S109">INDEX('AdverseEvent-ConceptMap-1'!$I$15:$N$124,Q109+1,R109)</f>
        <v>* group[=].element[=].target.equivalence = #</v>
      </c>
    </row>
    <row r="110" spans="2:19">
      <c r="B110" s="11"/>
      <c r="C110" s="11"/>
      <c r="D110" s="12"/>
      <c r="E110" s="12"/>
      <c r="F110" s="64"/>
      <c r="G110" s="123"/>
      <c r="P110" s="11">
        <v>96</v>
      </c>
      <c r="Q110" s="11">
        <f t="shared" si="9"/>
        <v>15</v>
      </c>
      <c r="R110" s="11">
        <f t="shared" si="10"/>
        <v>6</v>
      </c>
      <c r="S110" s="12" t="str" cm="1">
        <f t="array" ref="S110">INDEX('AdverseEvent-ConceptMap-1'!$I$15:$N$124,Q110+1,R110)</f>
        <v/>
      </c>
    </row>
    <row r="111" spans="2:19">
      <c r="B111" s="11"/>
      <c r="C111" s="11"/>
      <c r="D111" s="12"/>
      <c r="E111" s="12"/>
      <c r="F111" s="64"/>
      <c r="G111" s="123"/>
      <c r="P111" s="11">
        <v>97</v>
      </c>
      <c r="Q111" s="11">
        <f t="shared" si="9"/>
        <v>16</v>
      </c>
      <c r="R111" s="11">
        <f t="shared" si="10"/>
        <v>1</v>
      </c>
      <c r="S111" s="12" t="str" cm="1">
        <f t="array" ref="S111">INDEX('AdverseEvent-ConceptMap-1'!$I$15:$N$124,Q111+1,R111)</f>
        <v>* group[=].element[+].code = #AdverseEventI4rc.</v>
      </c>
    </row>
    <row r="112" spans="2:19">
      <c r="B112" s="11"/>
      <c r="C112" s="11"/>
      <c r="D112" s="12"/>
      <c r="E112" s="12"/>
      <c r="F112" s="64"/>
      <c r="G112" s="123"/>
      <c r="P112" s="11">
        <v>98</v>
      </c>
      <c r="Q112" s="11">
        <f t="shared" si="9"/>
        <v>16</v>
      </c>
      <c r="R112" s="11">
        <f t="shared" si="10"/>
        <v>2</v>
      </c>
      <c r="S112" s="12" t="str" cm="1">
        <f t="array" ref="S112">INDEX('AdverseEvent-ConceptMap-1'!$I$15:$N$124,Q112+1,R112)</f>
        <v>* group[=].element[=].display = ##34###34#</v>
      </c>
    </row>
    <row r="113" spans="2:19">
      <c r="B113" s="11"/>
      <c r="C113" s="11"/>
      <c r="D113" s="12"/>
      <c r="E113" s="12"/>
      <c r="F113" s="64"/>
      <c r="G113" s="123"/>
      <c r="P113" s="11">
        <v>99</v>
      </c>
      <c r="Q113" s="11">
        <f t="shared" si="9"/>
        <v>16</v>
      </c>
      <c r="R113" s="11">
        <f t="shared" si="10"/>
        <v>3</v>
      </c>
      <c r="S113" s="12" t="str" cm="1">
        <f t="array" ref="S113">INDEX('AdverseEvent-ConceptMap-1'!$I$15:$N$124,Q113+1,R113)</f>
        <v>* group[=].element[=].target.code = #Procedure.</v>
      </c>
    </row>
    <row r="114" spans="2:19">
      <c r="P114" s="11">
        <v>100</v>
      </c>
      <c r="Q114" s="11">
        <f t="shared" si="9"/>
        <v>16</v>
      </c>
      <c r="R114" s="11">
        <f t="shared" si="10"/>
        <v>4</v>
      </c>
      <c r="S114" s="12" t="str" cm="1">
        <f t="array" ref="S114">INDEX('AdverseEvent-ConceptMap-1'!$I$15:$N$124,Q114+1,R114)</f>
        <v>* group[=].element[=].target.display = ##34###34#</v>
      </c>
    </row>
    <row r="115" spans="2:19">
      <c r="P115" s="11">
        <v>101</v>
      </c>
      <c r="Q115" s="11">
        <f t="shared" si="9"/>
        <v>16</v>
      </c>
      <c r="R115" s="11">
        <f t="shared" si="10"/>
        <v>5</v>
      </c>
      <c r="S115" s="12" t="str" cm="1">
        <f t="array" ref="S115">INDEX('AdverseEvent-ConceptMap-1'!$I$15:$N$124,Q115+1,R115)</f>
        <v>* group[=].element[=].target.equivalence = #</v>
      </c>
    </row>
    <row r="116" spans="2:19">
      <c r="P116" s="11">
        <v>102</v>
      </c>
      <c r="Q116" s="11">
        <f t="shared" si="9"/>
        <v>16</v>
      </c>
      <c r="R116" s="11">
        <f t="shared" si="10"/>
        <v>6</v>
      </c>
      <c r="S116" s="12" t="str" cm="1">
        <f t="array" ref="S116">INDEX('AdverseEvent-ConceptMap-1'!$I$15:$N$124,Q116+1,R116)</f>
        <v/>
      </c>
    </row>
    <row r="117" spans="2:19">
      <c r="P117" s="11">
        <v>103</v>
      </c>
      <c r="Q117" s="11">
        <f t="shared" si="9"/>
        <v>17</v>
      </c>
      <c r="R117" s="11">
        <f t="shared" si="10"/>
        <v>1</v>
      </c>
      <c r="S117" s="12" t="str" cm="1">
        <f t="array" ref="S117">INDEX('AdverseEvent-ConceptMap-1'!$I$15:$N$124,Q117+1,R117)</f>
        <v>* group[=].element[+].code = #AdverseEventI4rc.</v>
      </c>
    </row>
    <row r="118" spans="2:19">
      <c r="P118" s="11">
        <v>104</v>
      </c>
      <c r="Q118" s="11">
        <f t="shared" si="9"/>
        <v>17</v>
      </c>
      <c r="R118" s="11">
        <f t="shared" si="10"/>
        <v>2</v>
      </c>
      <c r="S118" s="12" t="str" cm="1">
        <f t="array" ref="S118">INDEX('AdverseEvent-ConceptMap-1'!$I$15:$N$124,Q118+1,R118)</f>
        <v>* group[=].element[=].display = ##34###34#</v>
      </c>
    </row>
    <row r="119" spans="2:19">
      <c r="P119" s="11">
        <v>105</v>
      </c>
      <c r="Q119" s="11">
        <f t="shared" si="9"/>
        <v>17</v>
      </c>
      <c r="R119" s="11">
        <f t="shared" si="10"/>
        <v>3</v>
      </c>
      <c r="S119" s="12" t="str" cm="1">
        <f t="array" ref="S119">INDEX('AdverseEvent-ConceptMap-1'!$I$15:$N$124,Q119+1,R119)</f>
        <v>* group[=].element[=].target.code = #Procedure.</v>
      </c>
    </row>
    <row r="120" spans="2:19">
      <c r="P120" s="11">
        <v>106</v>
      </c>
      <c r="Q120" s="11">
        <f t="shared" si="9"/>
        <v>17</v>
      </c>
      <c r="R120" s="11">
        <f t="shared" si="10"/>
        <v>4</v>
      </c>
      <c r="S120" s="12" t="str" cm="1">
        <f t="array" ref="S120">INDEX('AdverseEvent-ConceptMap-1'!$I$15:$N$124,Q120+1,R120)</f>
        <v>* group[=].element[=].target.display = ##34###34#</v>
      </c>
    </row>
    <row r="121" spans="2:19">
      <c r="P121" s="11">
        <v>107</v>
      </c>
      <c r="Q121" s="11">
        <f t="shared" si="9"/>
        <v>17</v>
      </c>
      <c r="R121" s="11">
        <f t="shared" si="10"/>
        <v>5</v>
      </c>
      <c r="S121" s="12" t="str" cm="1">
        <f t="array" ref="S121">INDEX('AdverseEvent-ConceptMap-1'!$I$15:$N$124,Q121+1,R121)</f>
        <v>* group[=].element[=].target.equivalence = #</v>
      </c>
    </row>
    <row r="122" spans="2:19">
      <c r="P122" s="11">
        <v>108</v>
      </c>
      <c r="Q122" s="11">
        <f t="shared" si="9"/>
        <v>17</v>
      </c>
      <c r="R122" s="11">
        <f t="shared" si="10"/>
        <v>6</v>
      </c>
      <c r="S122" s="12" t="str" cm="1">
        <f t="array" ref="S122">INDEX('AdverseEvent-ConceptMap-1'!$I$15:$N$124,Q122+1,R122)</f>
        <v/>
      </c>
    </row>
    <row r="123" spans="2:19">
      <c r="P123" s="11">
        <v>109</v>
      </c>
      <c r="Q123" s="11">
        <f t="shared" si="9"/>
        <v>18</v>
      </c>
      <c r="R123" s="11">
        <f t="shared" si="10"/>
        <v>1</v>
      </c>
      <c r="S123" s="12" t="str" cm="1">
        <f t="array" ref="S123">INDEX('AdverseEvent-ConceptMap-1'!$I$15:$N$124,Q123+1,R123)</f>
        <v>* group[=].element[+].code = #AdverseEventI4rc.</v>
      </c>
    </row>
    <row r="124" spans="2:19">
      <c r="P124" s="11">
        <v>110</v>
      </c>
      <c r="Q124" s="11">
        <f t="shared" si="9"/>
        <v>18</v>
      </c>
      <c r="R124" s="11">
        <f t="shared" si="10"/>
        <v>2</v>
      </c>
      <c r="S124" s="12" t="str" cm="1">
        <f t="array" ref="S124">INDEX('AdverseEvent-ConceptMap-1'!$I$15:$N$124,Q124+1,R124)</f>
        <v>* group[=].element[=].display = ##34###34#</v>
      </c>
    </row>
    <row r="125" spans="2:19">
      <c r="P125" s="11">
        <v>111</v>
      </c>
      <c r="Q125" s="11">
        <f t="shared" si="9"/>
        <v>18</v>
      </c>
      <c r="R125" s="11">
        <f t="shared" si="10"/>
        <v>3</v>
      </c>
      <c r="S125" s="12" t="str" cm="1">
        <f t="array" ref="S125">INDEX('AdverseEvent-ConceptMap-1'!$I$15:$N$124,Q125+1,R125)</f>
        <v>* group[=].element[=].target.code = #Procedure.</v>
      </c>
    </row>
    <row r="126" spans="2:19">
      <c r="P126" s="11">
        <v>112</v>
      </c>
      <c r="Q126" s="11">
        <f t="shared" si="9"/>
        <v>18</v>
      </c>
      <c r="R126" s="11">
        <f t="shared" si="10"/>
        <v>4</v>
      </c>
      <c r="S126" s="12" t="str" cm="1">
        <f t="array" ref="S126">INDEX('AdverseEvent-ConceptMap-1'!$I$15:$N$124,Q126+1,R126)</f>
        <v>* group[=].element[=].target.display = ##34###34#</v>
      </c>
    </row>
    <row r="127" spans="2:19">
      <c r="P127" s="11">
        <v>113</v>
      </c>
      <c r="Q127" s="11">
        <f t="shared" si="9"/>
        <v>18</v>
      </c>
      <c r="R127" s="11">
        <f t="shared" si="10"/>
        <v>5</v>
      </c>
      <c r="S127" s="12" t="str" cm="1">
        <f t="array" ref="S127">INDEX('AdverseEvent-ConceptMap-1'!$I$15:$N$124,Q127+1,R127)</f>
        <v>* group[=].element[=].target.equivalence = #</v>
      </c>
    </row>
    <row r="128" spans="2:19">
      <c r="P128" s="11">
        <v>114</v>
      </c>
      <c r="Q128" s="11">
        <f t="shared" si="9"/>
        <v>18</v>
      </c>
      <c r="R128" s="11">
        <f t="shared" si="10"/>
        <v>6</v>
      </c>
      <c r="S128" s="12" t="str" cm="1">
        <f t="array" ref="S128">INDEX('AdverseEvent-ConceptMap-1'!$I$15:$N$124,Q128+1,R128)</f>
        <v/>
      </c>
    </row>
    <row r="129" spans="16:19">
      <c r="P129" s="11">
        <v>115</v>
      </c>
      <c r="Q129" s="11">
        <f t="shared" si="9"/>
        <v>19</v>
      </c>
      <c r="R129" s="11">
        <f t="shared" si="10"/>
        <v>1</v>
      </c>
      <c r="S129" s="12" t="str" cm="1">
        <f t="array" ref="S129">INDEX('AdverseEvent-ConceptMap-1'!$I$15:$N$124,Q129+1,R129)</f>
        <v>* group[=].element[+].code = #AdverseEventI4rc.</v>
      </c>
    </row>
    <row r="130" spans="16:19">
      <c r="P130" s="11">
        <v>116</v>
      </c>
      <c r="Q130" s="11">
        <f t="shared" si="9"/>
        <v>19</v>
      </c>
      <c r="R130" s="11">
        <f t="shared" si="10"/>
        <v>2</v>
      </c>
      <c r="S130" s="12" t="str" cm="1">
        <f t="array" ref="S130">INDEX('AdverseEvent-ConceptMap-1'!$I$15:$N$124,Q130+1,R130)</f>
        <v>* group[=].element[=].display = ##34###34#</v>
      </c>
    </row>
    <row r="131" spans="16:19">
      <c r="P131" s="11">
        <v>117</v>
      </c>
      <c r="Q131" s="11">
        <f t="shared" si="9"/>
        <v>19</v>
      </c>
      <c r="R131" s="11">
        <f t="shared" si="10"/>
        <v>3</v>
      </c>
      <c r="S131" s="12" t="str" cm="1">
        <f t="array" ref="S131">INDEX('AdverseEvent-ConceptMap-1'!$I$15:$N$124,Q131+1,R131)</f>
        <v>* group[=].element[=].target.code = #Procedure.</v>
      </c>
    </row>
    <row r="132" spans="16:19">
      <c r="P132" s="11">
        <v>118</v>
      </c>
      <c r="Q132" s="11">
        <f t="shared" si="9"/>
        <v>19</v>
      </c>
      <c r="R132" s="11">
        <f t="shared" si="10"/>
        <v>4</v>
      </c>
      <c r="S132" s="12" t="str" cm="1">
        <f t="array" ref="S132">INDEX('AdverseEvent-ConceptMap-1'!$I$15:$N$124,Q132+1,R132)</f>
        <v>* group[=].element[=].target.display = ##34###34#</v>
      </c>
    </row>
    <row r="133" spans="16:19">
      <c r="P133" s="11">
        <v>119</v>
      </c>
      <c r="Q133" s="11">
        <f t="shared" si="9"/>
        <v>19</v>
      </c>
      <c r="R133" s="11">
        <f t="shared" si="10"/>
        <v>5</v>
      </c>
      <c r="S133" s="12" t="str" cm="1">
        <f t="array" ref="S133">INDEX('AdverseEvent-ConceptMap-1'!$I$15:$N$124,Q133+1,R133)</f>
        <v>* group[=].element[=].target.equivalence = #</v>
      </c>
    </row>
    <row r="134" spans="16:19">
      <c r="P134" s="11">
        <v>120</v>
      </c>
      <c r="Q134" s="11">
        <f t="shared" si="9"/>
        <v>19</v>
      </c>
      <c r="R134" s="11">
        <f t="shared" si="10"/>
        <v>6</v>
      </c>
      <c r="S134" s="12" t="str" cm="1">
        <f t="array" ref="S134">INDEX('AdverseEvent-ConceptMap-1'!$I$15:$N$124,Q134+1,R134)</f>
        <v/>
      </c>
    </row>
    <row r="135" spans="16:19">
      <c r="P135" s="11">
        <v>121</v>
      </c>
      <c r="Q135" s="11">
        <f t="shared" si="9"/>
        <v>20</v>
      </c>
      <c r="R135" s="11">
        <f t="shared" si="10"/>
        <v>1</v>
      </c>
      <c r="S135" s="12" t="str" cm="1">
        <f t="array" ref="S135">INDEX('AdverseEvent-ConceptMap-1'!$I$15:$N$124,Q135+1,R135)</f>
        <v>* group[=].element[+].code = #AdverseEventI4rc.</v>
      </c>
    </row>
    <row r="136" spans="16:19">
      <c r="P136" s="11">
        <v>122</v>
      </c>
      <c r="Q136" s="11">
        <f t="shared" si="9"/>
        <v>20</v>
      </c>
      <c r="R136" s="11">
        <f t="shared" si="10"/>
        <v>2</v>
      </c>
      <c r="S136" s="12" t="str" cm="1">
        <f t="array" ref="S136">INDEX('AdverseEvent-ConceptMap-1'!$I$15:$N$124,Q136+1,R136)</f>
        <v>* group[=].element[=].display = ##34###34#</v>
      </c>
    </row>
    <row r="137" spans="16:19">
      <c r="P137" s="11">
        <v>123</v>
      </c>
      <c r="Q137" s="11">
        <f t="shared" si="9"/>
        <v>20</v>
      </c>
      <c r="R137" s="11">
        <f t="shared" si="10"/>
        <v>3</v>
      </c>
      <c r="S137" s="12" t="str" cm="1">
        <f t="array" ref="S137">INDEX('AdverseEvent-ConceptMap-1'!$I$15:$N$124,Q137+1,R137)</f>
        <v>* group[=].element[=].target.code = #Procedure.</v>
      </c>
    </row>
    <row r="138" spans="16:19">
      <c r="P138" s="11">
        <v>124</v>
      </c>
      <c r="Q138" s="11">
        <f t="shared" si="9"/>
        <v>20</v>
      </c>
      <c r="R138" s="11">
        <f t="shared" si="10"/>
        <v>4</v>
      </c>
      <c r="S138" s="12" t="str" cm="1">
        <f t="array" ref="S138">INDEX('AdverseEvent-ConceptMap-1'!$I$15:$N$124,Q138+1,R138)</f>
        <v>* group[=].element[=].target.display = ##34###34#</v>
      </c>
    </row>
    <row r="139" spans="16:19">
      <c r="P139" s="11">
        <v>125</v>
      </c>
      <c r="Q139" s="11">
        <f t="shared" si="9"/>
        <v>20</v>
      </c>
      <c r="R139" s="11">
        <f t="shared" si="10"/>
        <v>5</v>
      </c>
      <c r="S139" s="12" t="str" cm="1">
        <f t="array" ref="S139">INDEX('AdverseEvent-ConceptMap-1'!$I$15:$N$124,Q139+1,R139)</f>
        <v>* group[=].element[=].target.equivalence = #</v>
      </c>
    </row>
    <row r="140" spans="16:19">
      <c r="P140" s="11">
        <v>126</v>
      </c>
      <c r="Q140" s="11">
        <f t="shared" si="9"/>
        <v>20</v>
      </c>
      <c r="R140" s="11">
        <f t="shared" si="10"/>
        <v>6</v>
      </c>
      <c r="S140" s="12" t="str" cm="1">
        <f t="array" ref="S140">INDEX('AdverseEvent-ConceptMap-1'!$I$15:$N$124,Q140+1,R140)</f>
        <v/>
      </c>
    </row>
    <row r="141" spans="16:19">
      <c r="P141" s="11">
        <v>127</v>
      </c>
      <c r="Q141" s="11">
        <f t="shared" si="9"/>
        <v>21</v>
      </c>
      <c r="R141" s="11">
        <f t="shared" si="10"/>
        <v>1</v>
      </c>
      <c r="S141" s="12" t="str" cm="1">
        <f t="array" ref="S141">INDEX('AdverseEvent-ConceptMap-1'!$I$15:$N$124,Q141+1,R141)</f>
        <v>* group[=].element[+].code = #AdverseEventI4rc.</v>
      </c>
    </row>
    <row r="142" spans="16:19">
      <c r="P142" s="11">
        <v>128</v>
      </c>
      <c r="Q142" s="11">
        <f t="shared" si="9"/>
        <v>21</v>
      </c>
      <c r="R142" s="11">
        <f t="shared" si="10"/>
        <v>2</v>
      </c>
      <c r="S142" s="12" t="str" cm="1">
        <f t="array" ref="S142">INDEX('AdverseEvent-ConceptMap-1'!$I$15:$N$124,Q142+1,R142)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INDEX('AdverseEvent-ConceptMap-1'!$I$15:$N$124,Q143+1,R143)</f>
        <v>* group[=].element[=].target.code = #Procedure.</v>
      </c>
    </row>
    <row r="144" spans="16:19">
      <c r="P144" s="11">
        <v>130</v>
      </c>
      <c r="Q144" s="11">
        <f t="shared" si="11"/>
        <v>21</v>
      </c>
      <c r="R144" s="11">
        <f t="shared" si="12"/>
        <v>4</v>
      </c>
      <c r="S144" s="12" t="str" cm="1">
        <f t="array" ref="S144">INDEX('AdverseEvent-ConceptMap-1'!$I$15:$N$124,Q144+1,R144)</f>
        <v>* group[=].element[=].target.display = ##34###34#</v>
      </c>
    </row>
    <row r="145" spans="16:19">
      <c r="P145" s="11">
        <v>131</v>
      </c>
      <c r="Q145" s="11">
        <f t="shared" si="11"/>
        <v>21</v>
      </c>
      <c r="R145" s="11">
        <f t="shared" si="12"/>
        <v>5</v>
      </c>
      <c r="S145" s="12" t="str" cm="1">
        <f t="array" ref="S145">INDEX('AdverseEvent-ConceptMap-1'!$I$15:$N$124,Q145+1,R145)</f>
        <v>* group[=].element[=].target.equivalence = #</v>
      </c>
    </row>
    <row r="146" spans="16:19">
      <c r="P146" s="11">
        <v>132</v>
      </c>
      <c r="Q146" s="11">
        <f t="shared" si="11"/>
        <v>21</v>
      </c>
      <c r="R146" s="11">
        <f t="shared" si="12"/>
        <v>6</v>
      </c>
      <c r="S146" s="12" t="str" cm="1">
        <f t="array" ref="S146">INDEX('AdverseEvent-ConceptMap-1'!$I$15:$N$124,Q146+1,R146)</f>
        <v/>
      </c>
    </row>
    <row r="147" spans="16:19">
      <c r="P147" s="11">
        <v>133</v>
      </c>
      <c r="Q147" s="11">
        <f t="shared" si="11"/>
        <v>22</v>
      </c>
      <c r="R147" s="11">
        <f t="shared" si="12"/>
        <v>1</v>
      </c>
      <c r="S147" s="12" t="str" cm="1">
        <f t="array" ref="S147">INDEX('AdverseEvent-ConceptMap-1'!$I$15:$N$124,Q147+1,R147)</f>
        <v>* group[=].element[+].code = #AdverseEventI4rc.</v>
      </c>
    </row>
    <row r="148" spans="16:19">
      <c r="P148" s="11">
        <v>134</v>
      </c>
      <c r="Q148" s="11">
        <f t="shared" si="11"/>
        <v>22</v>
      </c>
      <c r="R148" s="11">
        <f t="shared" si="12"/>
        <v>2</v>
      </c>
      <c r="S148" s="12" t="str" cm="1">
        <f t="array" ref="S148">INDEX('AdverseEvent-ConceptMap-1'!$I$15:$N$124,Q148+1,R148)</f>
        <v>* group[=].element[=].display = ##34###34#</v>
      </c>
    </row>
    <row r="149" spans="16:19">
      <c r="P149" s="11">
        <v>135</v>
      </c>
      <c r="Q149" s="11">
        <f t="shared" si="11"/>
        <v>22</v>
      </c>
      <c r="R149" s="11">
        <f t="shared" si="12"/>
        <v>3</v>
      </c>
      <c r="S149" s="12" t="str" cm="1">
        <f t="array" ref="S149">INDEX('AdverseEvent-ConceptMap-1'!$I$15:$N$124,Q149+1,R149)</f>
        <v>* group[=].element[=].target.code = #Procedure.</v>
      </c>
    </row>
    <row r="150" spans="16:19">
      <c r="P150" s="11">
        <v>136</v>
      </c>
      <c r="Q150" s="11">
        <f t="shared" si="11"/>
        <v>22</v>
      </c>
      <c r="R150" s="11">
        <f t="shared" si="12"/>
        <v>4</v>
      </c>
      <c r="S150" s="12" t="str" cm="1">
        <f t="array" ref="S150">INDEX('AdverseEvent-ConceptMap-1'!$I$15:$N$124,Q150+1,R150)</f>
        <v>* group[=].element[=].target.display = ##34###34#</v>
      </c>
    </row>
    <row r="151" spans="16:19">
      <c r="P151" s="11">
        <v>137</v>
      </c>
      <c r="Q151" s="11">
        <f t="shared" si="11"/>
        <v>22</v>
      </c>
      <c r="R151" s="11">
        <f t="shared" si="12"/>
        <v>5</v>
      </c>
      <c r="S151" s="12" t="str" cm="1">
        <f t="array" ref="S151">INDEX('AdverseEvent-ConceptMap-1'!$I$15:$N$124,Q151+1,R151)</f>
        <v>* group[=].element[=].target.equivalence = #</v>
      </c>
    </row>
    <row r="152" spans="16:19">
      <c r="P152" s="11">
        <v>138</v>
      </c>
      <c r="Q152" s="11">
        <f t="shared" si="11"/>
        <v>22</v>
      </c>
      <c r="R152" s="11">
        <f t="shared" si="12"/>
        <v>6</v>
      </c>
      <c r="S152" s="12" t="str" cm="1">
        <f t="array" ref="S152">INDEX('AdverseEvent-ConceptMap-1'!$I$15:$N$124,Q152+1,R152)</f>
        <v/>
      </c>
    </row>
    <row r="153" spans="16:19">
      <c r="P153" s="11">
        <v>139</v>
      </c>
      <c r="Q153" s="11">
        <f t="shared" si="11"/>
        <v>23</v>
      </c>
      <c r="R153" s="11">
        <f t="shared" si="12"/>
        <v>1</v>
      </c>
      <c r="S153" s="12" t="str" cm="1">
        <f t="array" ref="S153">INDEX('AdverseEvent-ConceptMap-1'!$I$15:$N$124,Q153+1,R153)</f>
        <v>* group[=].element[+].code = #AdverseEventI4rc.</v>
      </c>
    </row>
    <row r="154" spans="16:19">
      <c r="P154" s="11">
        <v>140</v>
      </c>
      <c r="Q154" s="11">
        <f t="shared" si="11"/>
        <v>23</v>
      </c>
      <c r="R154" s="11">
        <f t="shared" si="12"/>
        <v>2</v>
      </c>
      <c r="S154" s="12" t="str" cm="1">
        <f t="array" ref="S154">INDEX('AdverseEvent-ConceptMap-1'!$I$15:$N$124,Q154+1,R154)</f>
        <v>* group[=].element[=].display = ##34###34#</v>
      </c>
    </row>
    <row r="155" spans="16:19">
      <c r="P155" s="11">
        <v>141</v>
      </c>
      <c r="Q155" s="11">
        <f t="shared" si="11"/>
        <v>23</v>
      </c>
      <c r="R155" s="11">
        <f t="shared" si="12"/>
        <v>3</v>
      </c>
      <c r="S155" s="12" t="str" cm="1">
        <f t="array" ref="S155">INDEX('AdverseEvent-ConceptMap-1'!$I$15:$N$124,Q155+1,R155)</f>
        <v>* group[=].element[=].target.code = #Procedure.</v>
      </c>
    </row>
    <row r="156" spans="16:19">
      <c r="P156" s="11">
        <v>142</v>
      </c>
      <c r="Q156" s="11">
        <f t="shared" si="11"/>
        <v>23</v>
      </c>
      <c r="R156" s="11">
        <f t="shared" si="12"/>
        <v>4</v>
      </c>
      <c r="S156" s="12" t="str" cm="1">
        <f t="array" ref="S156">INDEX('AdverseEvent-ConceptMap-1'!$I$15:$N$124,Q156+1,R156)</f>
        <v>* group[=].element[=].target.display = ##34###34#</v>
      </c>
    </row>
    <row r="157" spans="16:19">
      <c r="P157" s="11">
        <v>143</v>
      </c>
      <c r="Q157" s="11">
        <f t="shared" si="11"/>
        <v>23</v>
      </c>
      <c r="R157" s="11">
        <f t="shared" si="12"/>
        <v>5</v>
      </c>
      <c r="S157" s="12" t="str" cm="1">
        <f t="array" ref="S157">INDEX('AdverseEvent-ConceptMap-1'!$I$15:$N$124,Q157+1,R157)</f>
        <v>* group[=].element[=].target.equivalence = #</v>
      </c>
    </row>
    <row r="158" spans="16:19">
      <c r="P158" s="11">
        <v>144</v>
      </c>
      <c r="Q158" s="11">
        <f t="shared" si="11"/>
        <v>23</v>
      </c>
      <c r="R158" s="11">
        <f t="shared" si="12"/>
        <v>6</v>
      </c>
      <c r="S158" s="12" t="str" cm="1">
        <f t="array" ref="S158">INDEX('AdverseEvent-ConceptMap-1'!$I$15:$N$124,Q158+1,R158)</f>
        <v/>
      </c>
    </row>
    <row r="159" spans="16:19">
      <c r="P159" s="11">
        <v>145</v>
      </c>
      <c r="Q159" s="11">
        <f t="shared" si="11"/>
        <v>24</v>
      </c>
      <c r="R159" s="11">
        <f t="shared" si="12"/>
        <v>1</v>
      </c>
      <c r="S159" s="12" t="str" cm="1">
        <f t="array" ref="S159">INDEX('AdverseEvent-ConceptMap-1'!$I$15:$N$124,Q159+1,R159)</f>
        <v>* group[=].element[+].code = #AdverseEventI4rc.</v>
      </c>
    </row>
    <row r="160" spans="16:19">
      <c r="P160" s="11">
        <v>146</v>
      </c>
      <c r="Q160" s="11">
        <f t="shared" si="11"/>
        <v>24</v>
      </c>
      <c r="R160" s="11">
        <f t="shared" si="12"/>
        <v>2</v>
      </c>
      <c r="S160" s="12" t="str" cm="1">
        <f t="array" ref="S160">INDEX('AdverseEvent-ConceptMap-1'!$I$15:$N$124,Q160+1,R160)</f>
        <v>* group[=].element[=].display = ##34###34#</v>
      </c>
    </row>
    <row r="161" spans="16:19">
      <c r="P161" s="11">
        <v>147</v>
      </c>
      <c r="Q161" s="11">
        <f t="shared" si="11"/>
        <v>24</v>
      </c>
      <c r="R161" s="11">
        <f t="shared" si="12"/>
        <v>3</v>
      </c>
      <c r="S161" s="12" t="str" cm="1">
        <f t="array" ref="S161">INDEX('AdverseEvent-ConceptMap-1'!$I$15:$N$124,Q161+1,R161)</f>
        <v>* group[=].element[=].target.code = #Procedure.</v>
      </c>
    </row>
    <row r="162" spans="16:19">
      <c r="P162" s="11">
        <v>148</v>
      </c>
      <c r="Q162" s="11">
        <f t="shared" si="11"/>
        <v>24</v>
      </c>
      <c r="R162" s="11">
        <f t="shared" si="12"/>
        <v>4</v>
      </c>
      <c r="S162" s="12" t="str" cm="1">
        <f t="array" ref="S162">INDEX('AdverseEvent-ConceptMap-1'!$I$15:$N$124,Q162+1,R162)</f>
        <v>* group[=].element[=].target.display = ##34###34#</v>
      </c>
    </row>
    <row r="163" spans="16:19">
      <c r="P163" s="11">
        <v>149</v>
      </c>
      <c r="Q163" s="11">
        <f t="shared" si="11"/>
        <v>24</v>
      </c>
      <c r="R163" s="11">
        <f t="shared" si="12"/>
        <v>5</v>
      </c>
      <c r="S163" s="12" t="str" cm="1">
        <f t="array" ref="S163">INDEX('AdverseEvent-ConceptMap-1'!$I$15:$N$124,Q163+1,R163)</f>
        <v>* group[=].element[=].target.equivalence = #</v>
      </c>
    </row>
    <row r="164" spans="16:19">
      <c r="P164" s="11">
        <v>150</v>
      </c>
      <c r="Q164" s="11">
        <f t="shared" si="11"/>
        <v>24</v>
      </c>
      <c r="R164" s="11">
        <f t="shared" si="12"/>
        <v>6</v>
      </c>
      <c r="S164" s="12" t="str" cm="1">
        <f t="array" ref="S164">INDEX('AdverseEvent-ConceptMap-1'!$I$15:$N$124,Q164+1,R164)</f>
        <v/>
      </c>
    </row>
    <row r="165" spans="16:19">
      <c r="P165" s="11">
        <v>151</v>
      </c>
      <c r="Q165" s="11">
        <f t="shared" si="11"/>
        <v>25</v>
      </c>
      <c r="R165" s="11">
        <f t="shared" si="12"/>
        <v>1</v>
      </c>
      <c r="S165" s="12" t="str" cm="1">
        <f t="array" ref="S165">INDEX('AdverseEvent-ConceptMap-1'!$I$15:$N$124,Q165+1,R165)</f>
        <v>* group[=].element[+].code = #AdverseEventI4rc.</v>
      </c>
    </row>
    <row r="166" spans="16:19">
      <c r="P166" s="11">
        <v>152</v>
      </c>
      <c r="Q166" s="11">
        <f t="shared" si="11"/>
        <v>25</v>
      </c>
      <c r="R166" s="11">
        <f t="shared" si="12"/>
        <v>2</v>
      </c>
      <c r="S166" s="12" t="str" cm="1">
        <f t="array" ref="S166">INDEX('AdverseEvent-ConceptMap-1'!$I$15:$N$124,Q166+1,R166)</f>
        <v>* group[=].element[=].display = ##34###34#</v>
      </c>
    </row>
    <row r="167" spans="16:19">
      <c r="P167" s="11">
        <v>153</v>
      </c>
      <c r="Q167" s="11">
        <f t="shared" si="11"/>
        <v>25</v>
      </c>
      <c r="R167" s="11">
        <f t="shared" si="12"/>
        <v>3</v>
      </c>
      <c r="S167" s="12" t="str" cm="1">
        <f t="array" ref="S167">INDEX('AdverseEvent-ConceptMap-1'!$I$15:$N$124,Q167+1,R167)</f>
        <v>* group[=].element[=].target.code = #Procedure.</v>
      </c>
    </row>
    <row r="168" spans="16:19">
      <c r="P168" s="11">
        <v>154</v>
      </c>
      <c r="Q168" s="11">
        <f t="shared" si="11"/>
        <v>25</v>
      </c>
      <c r="R168" s="11">
        <f t="shared" si="12"/>
        <v>4</v>
      </c>
      <c r="S168" s="12" t="str" cm="1">
        <f t="array" ref="S168">INDEX('AdverseEvent-ConceptMap-1'!$I$15:$N$124,Q168+1,R168)</f>
        <v>* group[=].element[=].target.display = ##34###34#</v>
      </c>
    </row>
    <row r="169" spans="16:19">
      <c r="P169" s="11">
        <v>155</v>
      </c>
      <c r="Q169" s="11">
        <f t="shared" si="11"/>
        <v>25</v>
      </c>
      <c r="R169" s="11">
        <f t="shared" si="12"/>
        <v>5</v>
      </c>
      <c r="S169" s="12" t="str" cm="1">
        <f t="array" ref="S169">INDEX('AdverseEvent-ConceptMap-1'!$I$15:$N$124,Q169+1,R169)</f>
        <v>* group[=].element[=].target.equivalence = #</v>
      </c>
    </row>
    <row r="170" spans="16:19">
      <c r="P170" s="11">
        <v>156</v>
      </c>
      <c r="Q170" s="11">
        <f t="shared" si="11"/>
        <v>25</v>
      </c>
      <c r="R170" s="11">
        <f t="shared" si="12"/>
        <v>6</v>
      </c>
      <c r="S170" s="12" t="str" cm="1">
        <f t="array" ref="S170">INDEX('AdverseEvent-ConceptMap-1'!$I$15:$N$124,Q170+1,R170)</f>
        <v/>
      </c>
    </row>
    <row r="171" spans="16:19">
      <c r="P171" s="11">
        <v>157</v>
      </c>
      <c r="Q171" s="11">
        <f t="shared" si="11"/>
        <v>26</v>
      </c>
      <c r="R171" s="11">
        <f t="shared" si="12"/>
        <v>1</v>
      </c>
      <c r="S171" s="12" t="str" cm="1">
        <f t="array" ref="S171">INDEX('AdverseEvent-ConceptMap-1'!$I$15:$N$124,Q171+1,R171)</f>
        <v>* group[=].element[+].code = #AdverseEventI4rc.</v>
      </c>
    </row>
    <row r="172" spans="16:19">
      <c r="P172" s="11">
        <v>158</v>
      </c>
      <c r="Q172" s="11">
        <f t="shared" si="11"/>
        <v>26</v>
      </c>
      <c r="R172" s="11">
        <f t="shared" si="12"/>
        <v>2</v>
      </c>
      <c r="S172" s="12" t="str" cm="1">
        <f t="array" ref="S172">INDEX('AdverseEvent-ConceptMap-1'!$I$15:$N$124,Q172+1,R172)</f>
        <v>* group[=].element[=].display = ##34###34#</v>
      </c>
    </row>
    <row r="173" spans="16:19">
      <c r="P173" s="11">
        <v>159</v>
      </c>
      <c r="Q173" s="11">
        <f t="shared" si="11"/>
        <v>26</v>
      </c>
      <c r="R173" s="11">
        <f t="shared" si="12"/>
        <v>3</v>
      </c>
      <c r="S173" s="12" t="str" cm="1">
        <f t="array" ref="S173">INDEX('AdverseEvent-ConceptMap-1'!$I$15:$N$124,Q173+1,R173)</f>
        <v>* group[=].element[=].target.code = #Procedure.</v>
      </c>
    </row>
    <row r="174" spans="16:19">
      <c r="P174" s="11">
        <v>160</v>
      </c>
      <c r="Q174" s="11">
        <f t="shared" si="11"/>
        <v>26</v>
      </c>
      <c r="R174" s="11">
        <f t="shared" si="12"/>
        <v>4</v>
      </c>
      <c r="S174" s="12" t="str" cm="1">
        <f t="array" ref="S174">INDEX('AdverseEvent-ConceptMap-1'!$I$15:$N$124,Q174+1,R174)</f>
        <v>* group[=].element[=].target.display = ##34###34#</v>
      </c>
    </row>
    <row r="175" spans="16:19">
      <c r="P175" s="11">
        <v>161</v>
      </c>
      <c r="Q175" s="11">
        <f t="shared" si="11"/>
        <v>26</v>
      </c>
      <c r="R175" s="11">
        <f t="shared" si="12"/>
        <v>5</v>
      </c>
      <c r="S175" s="12" t="str" cm="1">
        <f t="array" ref="S175">INDEX('AdverseEvent-ConceptMap-1'!$I$15:$N$124,Q175+1,R175)</f>
        <v>* group[=].element[=].target.equivalence = #</v>
      </c>
    </row>
    <row r="176" spans="16:19">
      <c r="P176" s="11">
        <v>162</v>
      </c>
      <c r="Q176" s="11">
        <f t="shared" si="11"/>
        <v>26</v>
      </c>
      <c r="R176" s="11">
        <f t="shared" si="12"/>
        <v>6</v>
      </c>
      <c r="S176" s="12" t="str" cm="1">
        <f t="array" ref="S176">INDEX('AdverseEvent-ConceptMap-1'!$I$15:$N$124,Q176+1,R176)</f>
        <v/>
      </c>
    </row>
    <row r="177" spans="16:19">
      <c r="P177" s="11">
        <v>163</v>
      </c>
      <c r="Q177" s="11">
        <f t="shared" si="11"/>
        <v>27</v>
      </c>
      <c r="R177" s="11">
        <f t="shared" si="12"/>
        <v>1</v>
      </c>
      <c r="S177" s="12" cm="1">
        <f t="array" ref="S177">INDEX('AdverseEvent-ConceptMap-1'!$I$15:$N$124,Q177+1,R177)</f>
        <v>0</v>
      </c>
    </row>
    <row r="178" spans="16:19">
      <c r="P178" s="11">
        <v>164</v>
      </c>
      <c r="Q178" s="11">
        <f t="shared" si="11"/>
        <v>27</v>
      </c>
      <c r="R178" s="11">
        <f t="shared" si="12"/>
        <v>2</v>
      </c>
      <c r="S178" s="12" cm="1">
        <f t="array" ref="S178">INDEX('AdverseEvent-ConceptMap-1'!$I$15:$N$124,Q178+1,R178)</f>
        <v>0</v>
      </c>
    </row>
    <row r="179" spans="16:19">
      <c r="P179" s="11">
        <v>165</v>
      </c>
      <c r="Q179" s="11">
        <f t="shared" si="11"/>
        <v>27</v>
      </c>
      <c r="R179" s="11">
        <f t="shared" si="12"/>
        <v>3</v>
      </c>
      <c r="S179" s="12" cm="1">
        <f t="array" ref="S179">INDEX('AdverseEvent-ConceptMap-1'!$I$15:$N$124,Q179+1,R179)</f>
        <v>0</v>
      </c>
    </row>
    <row r="180" spans="16:19">
      <c r="P180" s="11">
        <v>166</v>
      </c>
      <c r="Q180" s="11">
        <f t="shared" si="11"/>
        <v>27</v>
      </c>
      <c r="R180" s="11">
        <f t="shared" si="12"/>
        <v>4</v>
      </c>
      <c r="S180" s="12" cm="1">
        <f t="array" ref="S180">INDEX('AdverseEvent-ConceptMap-1'!$I$15:$N$124,Q180+1,R180)</f>
        <v>0</v>
      </c>
    </row>
    <row r="181" spans="16:19">
      <c r="P181" s="11">
        <v>167</v>
      </c>
      <c r="Q181" s="11">
        <f t="shared" si="11"/>
        <v>27</v>
      </c>
      <c r="R181" s="11">
        <f t="shared" si="12"/>
        <v>5</v>
      </c>
      <c r="S181" s="12" cm="1">
        <f t="array" ref="S181">INDEX('AdverseEvent-ConceptMap-1'!$I$15:$N$124,Q181+1,R181)</f>
        <v>0</v>
      </c>
    </row>
    <row r="182" spans="16:19">
      <c r="P182" s="11">
        <v>168</v>
      </c>
      <c r="Q182" s="11">
        <f t="shared" si="11"/>
        <v>27</v>
      </c>
      <c r="R182" s="11">
        <f t="shared" si="12"/>
        <v>6</v>
      </c>
      <c r="S182" s="12" cm="1">
        <f t="array" ref="S182">INDEX('AdverseEvent-ConceptMap-1'!$I$15:$N$124,Q182+1,R182)</f>
        <v>0</v>
      </c>
    </row>
    <row r="183" spans="16:19">
      <c r="P183" s="11">
        <v>169</v>
      </c>
      <c r="Q183" s="11">
        <f t="shared" si="11"/>
        <v>28</v>
      </c>
      <c r="R183" s="11">
        <f t="shared" si="12"/>
        <v>1</v>
      </c>
      <c r="S183" s="12" cm="1">
        <f t="array" ref="S183">INDEX('AdverseEvent-ConceptMap-1'!$I$15:$N$124,Q183+1,R183)</f>
        <v>0</v>
      </c>
    </row>
    <row r="184" spans="16:19">
      <c r="P184" s="11">
        <v>170</v>
      </c>
      <c r="Q184" s="11">
        <f t="shared" si="11"/>
        <v>28</v>
      </c>
      <c r="R184" s="11">
        <f t="shared" si="12"/>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2313</v>
      </c>
    </row>
    <row r="3" spans="2:7">
      <c r="B3" s="24" t="s">
        <v>20</v>
      </c>
    </row>
    <row r="4" spans="2:7">
      <c r="B4" s="65" t="str">
        <f>"Instance: "&amp;'AdverseEvent-ConceptMap-1'!C4</f>
        <v>Instance: treatmentResponse2FHIR</v>
      </c>
    </row>
    <row r="5" spans="2:7">
      <c r="B5" s="65" t="s">
        <v>1447</v>
      </c>
    </row>
    <row r="6" spans="2:7">
      <c r="B6" s="65" t="s">
        <v>1438</v>
      </c>
    </row>
    <row r="7" spans="2:7">
      <c r="B7" s="65" t="s">
        <v>1776</v>
      </c>
    </row>
    <row r="8" spans="2:7">
      <c r="B8" s="65" t="str">
        <f>"* name = ##34#"&amp;'AdverseEvent-ConceptMap-1'!C3&amp;"##34#"</f>
        <v>* name = ##34#treatmentResponse2FHIR##34#</v>
      </c>
    </row>
    <row r="9" spans="2:7">
      <c r="B9" s="65" t="str">
        <f>"* title = ##34#"&amp;'AdverseEvent-ConceptMap-1'!C5&amp;"##34#"</f>
        <v>* title = ##34#Radiotherapy Model to this guide Map##34#</v>
      </c>
    </row>
    <row r="10" spans="2:7">
      <c r="B10" s="65" t="s">
        <v>1439</v>
      </c>
    </row>
    <row r="11" spans="2:7">
      <c r="B11" s="65" t="s">
        <v>1440</v>
      </c>
    </row>
    <row r="12" spans="2:7">
      <c r="B12" s="65" t="str">
        <f>"* description = ##34#"&amp;'AdverseEvent-ConceptMap-1'!C8&amp;"##34#"</f>
        <v>* description = ##34#Radiotherapy Model to this guide Map##34#</v>
      </c>
    </row>
    <row r="13" spans="2:7">
      <c r="B13" s="65" t="str">
        <f>"* purpose = ##34#"&amp;'AdverseEvent-ConceptMap-1'!C9&amp;"##34#"</f>
        <v>* purpose = ##34#It shows how the Radiotherapy model is mapped into this guide##34#</v>
      </c>
    </row>
    <row r="14" spans="2:7">
      <c r="B14" s="69" t="str">
        <f>"* sourceUri = ##34#"&amp;'AdverseEvent-ConceptMap-1'!E3&amp;"##34#"</f>
        <v>* sourceUri = ##34#http://hl7.eu/fhir/ig/idea4rc/StructureDefinition/AdverseEventI4rc##34#</v>
      </c>
    </row>
    <row r="15" spans="2:7">
      <c r="B15" s="69" t="str">
        <f>"* targetUri = ##34#"&amp;'AdverseEvent-ConceptMap-1'!E4&amp;"##34#"</f>
        <v>* targetUri = ##34#http://hl7.eu/fhir/ig/idea4rc/StructureDefinition/Procedure-radiotheraphy-eu-i4rc##34#</v>
      </c>
    </row>
    <row r="16" spans="2:7">
      <c r="B16" s="68" t="str">
        <f>"* group[+].source = ##34#"&amp;'AdverseEvent-ConceptMap-1'!E6&amp;"##34#"</f>
        <v>* group[+].source = ##34#http://hl7.eu/fhir/ig/idea4rc/StructureDefinition/AdverseEventI4rc##34#</v>
      </c>
    </row>
    <row r="17" spans="2:7">
      <c r="B17" s="68" t="str">
        <f>"* group[=].target = ##34#"&amp;'AdverseEvent-ConceptMap-1'!E7&amp;"##34#"</f>
        <v>* group[=].target = ##34#http://hl7.eu/fhir/ig/idea4rc/StructureDefinition/Procedure-radiotheraphy-eu-i4rc##34#</v>
      </c>
    </row>
    <row r="18" spans="2:7">
      <c r="B18" s="121"/>
    </row>
    <row r="19" spans="2:7">
      <c r="B19" s="12" t="str">
        <f>IF('AdverseEvent-ConceptMap-1'!S15=0,"//---END",'AdverseEvent-ConceptMap-1'!S15)</f>
        <v>* group[=].element[+].code = #AdverseEventI4rc.</v>
      </c>
    </row>
    <row r="20" spans="2:7">
      <c r="B20" s="12" t="str">
        <f>IF('AdverseEvent-ConceptMap-1'!S16=0,"//---END",'AdverseEvent-ConceptMap-1'!S16)</f>
        <v>* group[=].element[=].display = ##34###34#</v>
      </c>
    </row>
    <row r="21" spans="2:7">
      <c r="B21" s="12" t="str">
        <f>IF('AdverseEvent-ConceptMap-1'!S17=0,"//---END",'AdverseEvent-ConceptMap-1'!S17)</f>
        <v>* group[=].element[=].target.code = #Procedure.</v>
      </c>
    </row>
    <row r="22" spans="2:7">
      <c r="B22" s="12" t="str">
        <f>IF('AdverseEvent-ConceptMap-1'!S18=0,"//---END",'AdverseEvent-ConceptMap-1'!S18)</f>
        <v>* group[=].element[=].target.display = ##34###34#</v>
      </c>
    </row>
    <row r="23" spans="2:7">
      <c r="B23" s="12" t="str">
        <f>IF('AdverseEvent-ConceptMap-1'!S19=0,"//---END",'AdverseEvent-ConceptMap-1'!S19)</f>
        <v>* group[=].element[=].target.equivalence = #</v>
      </c>
    </row>
    <row r="24" spans="2:7">
      <c r="B24" s="12" t="str">
        <f>IF('AdverseEvent-ConceptMap-1'!S20=0,"//---END",'AdverseEvent-ConceptMap-1'!S20)</f>
        <v/>
      </c>
      <c r="G24" s="7"/>
    </row>
    <row r="25" spans="2:7">
      <c r="B25" s="12" t="str">
        <f>IF('AdverseEvent-ConceptMap-1'!S21=0,"//---END",'AdverseEvent-ConceptMap-1'!S21)</f>
        <v>* group[=].element[+].code = #AdverseEventI4rc.</v>
      </c>
    </row>
    <row r="26" spans="2:7">
      <c r="B26" s="12" t="str">
        <f>IF('AdverseEvent-ConceptMap-1'!S22=0,"//---END",'AdverseEvent-ConceptMap-1'!S22)</f>
        <v>* group[=].element[=].display = ##34###34#</v>
      </c>
    </row>
    <row r="27" spans="2:7">
      <c r="B27" s="12" t="str">
        <f>IF('AdverseEvent-ConceptMap-1'!S23=0,"//---END",'AdverseEvent-ConceptMap-1'!S23)</f>
        <v>* group[=].element[=].target.code = #Procedure.</v>
      </c>
    </row>
    <row r="28" spans="2:7">
      <c r="B28" s="12" t="str">
        <f>IF('AdverseEvent-ConceptMap-1'!S24=0,"//---END",'AdverseEvent-ConceptMap-1'!S24)</f>
        <v>* group[=].element[=].target.display = ##34###34#</v>
      </c>
    </row>
    <row r="29" spans="2:7">
      <c r="B29" s="12" t="str">
        <f>IF('AdverseEvent-ConceptMap-1'!S25=0,"//---END",'AdverseEvent-ConceptMap-1'!S25)</f>
        <v>* group[=].element[=].target.equivalence = #</v>
      </c>
    </row>
    <row r="30" spans="2:7">
      <c r="B30" s="12" t="str">
        <f>IF('AdverseEvent-ConceptMap-1'!S26=0,"//---END",'AdverseEvent-ConceptMap-1'!S26)</f>
        <v/>
      </c>
    </row>
    <row r="31" spans="2:7">
      <c r="B31" s="12" t="str">
        <f>IF('AdverseEvent-ConceptMap-1'!S27=0,"//---END",'AdverseEvent-ConceptMap-1'!S27)</f>
        <v>* group[=].element[+].code = #AdverseEventI4rc.</v>
      </c>
    </row>
    <row r="32" spans="2:7">
      <c r="B32" s="12" t="str">
        <f>IF('AdverseEvent-ConceptMap-1'!S28=0,"//---END",'AdverseEvent-ConceptMap-1'!S28)</f>
        <v>* group[=].element[=].display = ##34###34#</v>
      </c>
    </row>
    <row r="33" spans="2:2">
      <c r="B33" s="12" t="str">
        <f>IF('AdverseEvent-ConceptMap-1'!S29=0,"//---END",'AdverseEvent-ConceptMap-1'!S29)</f>
        <v>* group[=].element[=].target.code = #Procedure.</v>
      </c>
    </row>
    <row r="34" spans="2:2">
      <c r="B34" s="12" t="str">
        <f>IF('AdverseEvent-ConceptMap-1'!S30=0,"//---END",'AdverseEvent-ConceptMap-1'!S30)</f>
        <v>* group[=].element[=].target.display = ##34###34#</v>
      </c>
    </row>
    <row r="35" spans="2:2">
      <c r="B35" s="12" t="str">
        <f>IF('AdverseEvent-ConceptMap-1'!S31=0,"//---END",'AdverseEvent-ConceptMap-1'!S31)</f>
        <v>* group[=].element[=].target.equivalence = #</v>
      </c>
    </row>
    <row r="36" spans="2:2">
      <c r="B36" s="12" t="str">
        <f>IF('AdverseEvent-ConceptMap-1'!S32=0,"//---END",'AdverseEvent-ConceptMap-1'!S32)</f>
        <v/>
      </c>
    </row>
    <row r="37" spans="2:2">
      <c r="B37" s="12" t="str">
        <f>IF('AdverseEvent-ConceptMap-1'!S33=0,"//---END",'AdverseEvent-ConceptMap-1'!S33)</f>
        <v>* group[=].element[+].code = #AdverseEventI4rc.</v>
      </c>
    </row>
    <row r="38" spans="2:2">
      <c r="B38" s="12" t="str">
        <f>IF('AdverseEvent-ConceptMap-1'!S34=0,"//---END",'AdverseEvent-ConceptMap-1'!S34)</f>
        <v>* group[=].element[=].display = ##34###34#</v>
      </c>
    </row>
    <row r="39" spans="2:2">
      <c r="B39" s="12" t="str">
        <f>IF('AdverseEvent-ConceptMap-1'!S35=0,"//---END",'AdverseEvent-ConceptMap-1'!S35)</f>
        <v>* group[=].element[=].target.code = #Procedure.</v>
      </c>
    </row>
    <row r="40" spans="2:2">
      <c r="B40" s="12" t="str">
        <f>IF('AdverseEvent-ConceptMap-1'!S36=0,"//---END",'AdverseEvent-ConceptMap-1'!S36)</f>
        <v>* group[=].element[=].target.display = ##34###34#</v>
      </c>
    </row>
    <row r="41" spans="2:2">
      <c r="B41" s="12" t="str">
        <f>IF('AdverseEvent-ConceptMap-1'!S37=0,"//---END",'AdverseEvent-ConceptMap-1'!S37)</f>
        <v>* group[=].element[=].target.equivalence = #</v>
      </c>
    </row>
    <row r="42" spans="2:2">
      <c r="B42" s="12" t="str">
        <f>IF('AdverseEvent-ConceptMap-1'!S38=0,"//---END",'AdverseEvent-ConceptMap-1'!S38)</f>
        <v/>
      </c>
    </row>
    <row r="43" spans="2:2">
      <c r="B43" s="12" t="str">
        <f>IF('AdverseEvent-ConceptMap-1'!S39=0,"//---END",'AdverseEvent-ConceptMap-1'!S39)</f>
        <v>* group[=].element[+].code = #AdverseEventI4rc.</v>
      </c>
    </row>
    <row r="44" spans="2:2">
      <c r="B44" s="12" t="str">
        <f>IF('AdverseEvent-ConceptMap-1'!S40=0,"//---END",'AdverseEvent-ConceptMap-1'!S40)</f>
        <v>* group[=].element[=].display = ##34###34#</v>
      </c>
    </row>
    <row r="45" spans="2:2">
      <c r="B45" s="12" t="str">
        <f>IF('AdverseEvent-ConceptMap-1'!S41=0,"//---END",'AdverseEvent-ConceptMap-1'!S41)</f>
        <v>* group[=].element[=].target.code = #Procedure.</v>
      </c>
    </row>
    <row r="46" spans="2:2">
      <c r="B46" s="12" t="str">
        <f>IF('AdverseEvent-ConceptMap-1'!S42=0,"//---END",'AdverseEvent-ConceptMap-1'!S42)</f>
        <v>* group[=].element[=].target.display = ##34###34#</v>
      </c>
    </row>
    <row r="47" spans="2:2">
      <c r="B47" s="12" t="str">
        <f>IF('AdverseEvent-ConceptMap-1'!S43=0,"//---END",'AdverseEvent-ConceptMap-1'!S43)</f>
        <v>* group[=].element[=].target.equivalence = #</v>
      </c>
    </row>
    <row r="48" spans="2:2">
      <c r="B48" s="12" t="str">
        <f>IF('AdverseEvent-ConceptMap-1'!S44=0,"//---END",'AdverseEvent-ConceptMap-1'!S44)</f>
        <v/>
      </c>
    </row>
    <row r="49" spans="2:2">
      <c r="B49" s="12" t="str">
        <f>IF('AdverseEvent-ConceptMap-1'!S45=0,"//---END",'AdverseEvent-ConceptMap-1'!S45)</f>
        <v>* group[=].element[+].code = #AdverseEventI4rc.</v>
      </c>
    </row>
    <row r="50" spans="2:2">
      <c r="B50" s="12" t="str">
        <f>IF('AdverseEvent-ConceptMap-1'!S46=0,"//---END",'AdverseEvent-ConceptMap-1'!S46)</f>
        <v>* group[=].element[=].display = ##34###34#</v>
      </c>
    </row>
    <row r="51" spans="2:2">
      <c r="B51" s="12" t="str">
        <f>IF('AdverseEvent-ConceptMap-1'!S47=0,"//---END",'AdverseEvent-ConceptMap-1'!S47)</f>
        <v>* group[=].element[=].target.code = #Procedure.</v>
      </c>
    </row>
    <row r="52" spans="2:2">
      <c r="B52" s="12" t="str">
        <f>IF('AdverseEvent-ConceptMap-1'!S48=0,"//---END",'AdverseEvent-ConceptMap-1'!S48)</f>
        <v>* group[=].element[=].target.display = ##34###34#</v>
      </c>
    </row>
    <row r="53" spans="2:2">
      <c r="B53" s="12" t="str">
        <f>IF('AdverseEvent-ConceptMap-1'!S49=0,"//---END",'AdverseEvent-ConceptMap-1'!S49)</f>
        <v>* group[=].element[=].target.equivalence = #</v>
      </c>
    </row>
    <row r="54" spans="2:2">
      <c r="B54" s="12" t="str">
        <f>IF('AdverseEvent-ConceptMap-1'!S50=0,"//---END",'AdverseEvent-ConceptMap-1'!S50)</f>
        <v/>
      </c>
    </row>
    <row r="55" spans="2:2">
      <c r="B55" s="12" t="str">
        <f>IF('AdverseEvent-ConceptMap-1'!S51=0,"//---END",'AdverseEvent-ConceptMap-1'!S51)</f>
        <v>* group[=].element[+].code = #AdverseEventI4rc.</v>
      </c>
    </row>
    <row r="56" spans="2:2">
      <c r="B56" s="12" t="str">
        <f>IF('AdverseEvent-ConceptMap-1'!S52=0,"//---END",'AdverseEvent-ConceptMap-1'!S52)</f>
        <v>* group[=].element[=].display = ##34###34#</v>
      </c>
    </row>
    <row r="57" spans="2:2">
      <c r="B57" s="12" t="str">
        <f>IF('AdverseEvent-ConceptMap-1'!S53=0,"//---END",'AdverseEvent-ConceptMap-1'!S53)</f>
        <v>* group[=].element[=].target.code = #Procedure.</v>
      </c>
    </row>
    <row r="58" spans="2:2">
      <c r="B58" s="12" t="str">
        <f>IF('AdverseEvent-ConceptMap-1'!S54=0,"//---END",'AdverseEvent-ConceptMap-1'!S54)</f>
        <v>* group[=].element[=].target.display = ##34###34#</v>
      </c>
    </row>
    <row r="59" spans="2:2">
      <c r="B59" s="12" t="str">
        <f>IF('AdverseEvent-ConceptMap-1'!S55=0,"//---END",'AdverseEvent-ConceptMap-1'!S55)</f>
        <v>* group[=].element[=].target.equivalence = #</v>
      </c>
    </row>
    <row r="60" spans="2:2">
      <c r="B60" s="12" t="str">
        <f>IF('AdverseEvent-ConceptMap-1'!S56=0,"//---END",'AdverseEvent-ConceptMap-1'!S56)</f>
        <v/>
      </c>
    </row>
    <row r="61" spans="2:2">
      <c r="B61" s="12" t="str">
        <f>IF('AdverseEvent-ConceptMap-1'!S57=0,"//---END",'AdverseEvent-ConceptMap-1'!S57)</f>
        <v>* group[=].element[+].code = #AdverseEventI4rc.</v>
      </c>
    </row>
    <row r="62" spans="2:2">
      <c r="B62" s="12" t="str">
        <f>IF('AdverseEvent-ConceptMap-1'!S58=0,"//---END",'AdverseEvent-ConceptMap-1'!S58)</f>
        <v>* group[=].element[=].display = ##34###34#</v>
      </c>
    </row>
    <row r="63" spans="2:2">
      <c r="B63" s="12" t="str">
        <f>IF('AdverseEvent-ConceptMap-1'!S59=0,"//---END",'AdverseEvent-ConceptMap-1'!S59)</f>
        <v>* group[=].element[=].target.code = #Procedure.</v>
      </c>
    </row>
    <row r="64" spans="2:2">
      <c r="B64" s="12" t="str">
        <f>IF('AdverseEvent-ConceptMap-1'!S60=0,"//---END",'AdverseEvent-ConceptMap-1'!S60)</f>
        <v>* group[=].element[=].target.display = ##34###34#</v>
      </c>
    </row>
    <row r="65" spans="2:2">
      <c r="B65" s="12" t="str">
        <f>IF('AdverseEvent-ConceptMap-1'!S61=0,"//---END",'AdverseEvent-ConceptMap-1'!S61)</f>
        <v>* group[=].element[=].target.equivalence = #</v>
      </c>
    </row>
    <row r="66" spans="2:2">
      <c r="B66" s="12" t="str">
        <f>IF('AdverseEvent-ConceptMap-1'!S62=0,"//---END",'AdverseEvent-ConceptMap-1'!S62)</f>
        <v/>
      </c>
    </row>
    <row r="67" spans="2:2">
      <c r="B67" s="12" t="str">
        <f>IF('AdverseEvent-ConceptMap-1'!S63=0,"//---END",'AdverseEvent-ConceptMap-1'!S63)</f>
        <v>* group[=].element[+].code = #AdverseEventI4rc.</v>
      </c>
    </row>
    <row r="68" spans="2:2">
      <c r="B68" s="12" t="str">
        <f>IF('AdverseEvent-ConceptMap-1'!S64=0,"//---END",'AdverseEvent-ConceptMap-1'!S64)</f>
        <v>* group[=].element[=].display = ##34###34#</v>
      </c>
    </row>
    <row r="69" spans="2:2">
      <c r="B69" s="12" t="str">
        <f>IF('AdverseEvent-ConceptMap-1'!S65=0,"//---END",'AdverseEvent-ConceptMap-1'!S65)</f>
        <v>* group[=].element[=].target.code = #Procedure.</v>
      </c>
    </row>
    <row r="70" spans="2:2">
      <c r="B70" s="12" t="str">
        <f>IF('AdverseEvent-ConceptMap-1'!S66=0,"//---END",'AdverseEvent-ConceptMap-1'!S66)</f>
        <v>* group[=].element[=].target.display = ##34###34#</v>
      </c>
    </row>
    <row r="71" spans="2:2">
      <c r="B71" s="12" t="str">
        <f>IF('AdverseEvent-ConceptMap-1'!S67=0,"//---END",'AdverseEvent-ConceptMap-1'!S67)</f>
        <v>* group[=].element[=].target.equivalence = #</v>
      </c>
    </row>
    <row r="72" spans="2:2">
      <c r="B72" s="12" t="str">
        <f>IF('AdverseEvent-ConceptMap-1'!S68=0,"//---END",'AdverseEvent-ConceptMap-1'!S68)</f>
        <v/>
      </c>
    </row>
    <row r="73" spans="2:2">
      <c r="B73" s="12" t="str">
        <f>IF('AdverseEvent-ConceptMap-1'!S69=0,"//---END",'AdverseEvent-ConceptMap-1'!S69)</f>
        <v>* group[=].element[+].code = #AdverseEventI4rc.</v>
      </c>
    </row>
    <row r="74" spans="2:2">
      <c r="B74" s="12" t="str">
        <f>IF('AdverseEvent-ConceptMap-1'!S70=0,"//---END",'AdverseEvent-ConceptMap-1'!S70)</f>
        <v>* group[=].element[=].display = ##34###34#</v>
      </c>
    </row>
    <row r="75" spans="2:2">
      <c r="B75" s="12" t="str">
        <f>IF('AdverseEvent-ConceptMap-1'!S71=0,"//---END",'AdverseEvent-ConceptMap-1'!S71)</f>
        <v>* group[=].element[=].target.code = #Procedure.</v>
      </c>
    </row>
    <row r="76" spans="2:2">
      <c r="B76" s="12" t="str">
        <f>IF('AdverseEvent-ConceptMap-1'!S72=0,"//---END",'AdverseEvent-ConceptMap-1'!S72)</f>
        <v>* group[=].element[=].target.display = ##34###34#</v>
      </c>
    </row>
    <row r="77" spans="2:2">
      <c r="B77" s="12" t="str">
        <f>IF('AdverseEvent-ConceptMap-1'!S73=0,"//---END",'AdverseEvent-ConceptMap-1'!S73)</f>
        <v>* group[=].element[=].target.equivalence = #</v>
      </c>
    </row>
    <row r="78" spans="2:2">
      <c r="B78" s="12" t="str">
        <f>IF('AdverseEvent-ConceptMap-1'!S74=0,"//---END",'AdverseEvent-ConceptMap-1'!S74)</f>
        <v/>
      </c>
    </row>
    <row r="79" spans="2:2">
      <c r="B79" s="12" t="str">
        <f>IF('AdverseEvent-ConceptMap-1'!S75=0,"//---END",'AdverseEvent-ConceptMap-1'!S75)</f>
        <v>* group[=].element[+].code = #AdverseEventI4rc.</v>
      </c>
    </row>
    <row r="80" spans="2:2">
      <c r="B80" s="12" t="str">
        <f>IF('AdverseEvent-ConceptMap-1'!S76=0,"//---END",'AdverseEvent-ConceptMap-1'!S76)</f>
        <v>* group[=].element[=].display = ##34###34#</v>
      </c>
    </row>
    <row r="81" spans="2:2">
      <c r="B81" s="12" t="str">
        <f>IF('AdverseEvent-ConceptMap-1'!S77=0,"//---END",'AdverseEvent-ConceptMap-1'!S77)</f>
        <v>* group[=].element[=].target.code = #Procedure.</v>
      </c>
    </row>
    <row r="82" spans="2:2">
      <c r="B82" s="12" t="str">
        <f>IF('AdverseEvent-ConceptMap-1'!S78=0,"//---END",'AdverseEvent-ConceptMap-1'!S78)</f>
        <v>* group[=].element[=].target.display = ##34###34#</v>
      </c>
    </row>
    <row r="83" spans="2:2">
      <c r="B83" s="12" t="str">
        <f>IF('AdverseEvent-ConceptMap-1'!S79=0,"//---END",'AdverseEvent-ConceptMap-1'!S79)</f>
        <v>* group[=].element[=].target.equivalence = #</v>
      </c>
    </row>
    <row r="84" spans="2:2">
      <c r="B84" s="12" t="str">
        <f>IF('AdverseEvent-ConceptMap-1'!S80=0,"//---END",'AdverseEvent-ConceptMap-1'!S80)</f>
        <v/>
      </c>
    </row>
    <row r="85" spans="2:2">
      <c r="B85" s="12" t="str">
        <f>IF('AdverseEvent-ConceptMap-1'!S81=0,"//---END",'AdverseEvent-ConceptMap-1'!S81)</f>
        <v>* group[=].element[+].code = #AdverseEventI4rc.</v>
      </c>
    </row>
    <row r="86" spans="2:2">
      <c r="B86" s="12" t="str">
        <f>IF('AdverseEvent-ConceptMap-1'!S82=0,"//---END",'AdverseEvent-ConceptMap-1'!S82)</f>
        <v>* group[=].element[=].display = ##34###34#</v>
      </c>
    </row>
    <row r="87" spans="2:2">
      <c r="B87" s="12" t="str">
        <f>IF('AdverseEvent-ConceptMap-1'!S83=0,"//---END",'AdverseEvent-ConceptMap-1'!S83)</f>
        <v>* group[=].element[=].target.code = #Procedure.</v>
      </c>
    </row>
    <row r="88" spans="2:2">
      <c r="B88" s="12" t="str">
        <f>IF('AdverseEvent-ConceptMap-1'!S84=0,"//---END",'AdverseEvent-ConceptMap-1'!S84)</f>
        <v>* group[=].element[=].target.display = ##34###34#</v>
      </c>
    </row>
    <row r="89" spans="2:2">
      <c r="B89" s="12" t="str">
        <f>IF('AdverseEvent-ConceptMap-1'!S85=0,"//---END",'AdverseEvent-ConceptMap-1'!S85)</f>
        <v>* group[=].element[=].target.equivalence = #</v>
      </c>
    </row>
    <row r="90" spans="2:2">
      <c r="B90" s="12" t="str">
        <f>IF('AdverseEvent-ConceptMap-1'!S86=0,"//---END",'AdverseEvent-ConceptMap-1'!S86)</f>
        <v/>
      </c>
    </row>
    <row r="91" spans="2:2">
      <c r="B91" s="12" t="str">
        <f>IF('AdverseEvent-ConceptMap-1'!S87=0,"//---END",'AdverseEvent-ConceptMap-1'!S87)</f>
        <v>* group[=].element[+].code = #AdverseEventI4rc.</v>
      </c>
    </row>
    <row r="92" spans="2:2">
      <c r="B92" s="12" t="str">
        <f>IF('AdverseEvent-ConceptMap-1'!S88=0,"//---END",'AdverseEvent-ConceptMap-1'!S88)</f>
        <v>* group[=].element[=].display = ##34###34#</v>
      </c>
    </row>
    <row r="93" spans="2:2">
      <c r="B93" s="12" t="str">
        <f>IF('AdverseEvent-ConceptMap-1'!S89=0,"//---END",'AdverseEvent-ConceptMap-1'!S89)</f>
        <v>* group[=].element[=].target.code = #Procedure.</v>
      </c>
    </row>
    <row r="94" spans="2:2">
      <c r="B94" s="12" t="str">
        <f>IF('AdverseEvent-ConceptMap-1'!S90=0,"//---END",'AdverseEvent-ConceptMap-1'!S90)</f>
        <v>* group[=].element[=].target.display = ##34###34#</v>
      </c>
    </row>
    <row r="95" spans="2:2">
      <c r="B95" s="12" t="str">
        <f>IF('AdverseEvent-ConceptMap-1'!S91=0,"//---END",'AdverseEvent-ConceptMap-1'!S91)</f>
        <v>* group[=].element[=].target.equivalence = #</v>
      </c>
    </row>
    <row r="96" spans="2:2">
      <c r="B96" s="12" t="str">
        <f>IF('AdverseEvent-ConceptMap-1'!S92=0,"//---END",'AdverseEvent-ConceptMap-1'!S92)</f>
        <v/>
      </c>
    </row>
    <row r="97" spans="2:2">
      <c r="B97" s="12" t="str">
        <f>IF('AdverseEvent-ConceptMap-1'!S93=0,"//---END",'AdverseEvent-ConceptMap-1'!S93)</f>
        <v>* group[=].element[+].code = #AdverseEventI4rc.</v>
      </c>
    </row>
    <row r="98" spans="2:2">
      <c r="B98" s="12" t="str">
        <f>IF('AdverseEvent-ConceptMap-1'!S94=0,"//---END",'AdverseEvent-ConceptMap-1'!S94)</f>
        <v>* group[=].element[=].display = ##34###34#</v>
      </c>
    </row>
    <row r="99" spans="2:2">
      <c r="B99" s="12" t="str">
        <f>IF('AdverseEvent-ConceptMap-1'!S95=0,"//---END",'AdverseEvent-ConceptMap-1'!S95)</f>
        <v>* group[=].element[=].target.code = #Procedure.</v>
      </c>
    </row>
    <row r="100" spans="2:2">
      <c r="B100" s="12" t="str">
        <f>IF('AdverseEvent-ConceptMap-1'!S96=0,"//---END",'AdverseEvent-ConceptMap-1'!S96)</f>
        <v>* group[=].element[=].target.display = ##34###34#</v>
      </c>
    </row>
    <row r="101" spans="2:2">
      <c r="B101" s="12" t="str">
        <f>IF('AdverseEvent-ConceptMap-1'!S97=0,"//---END",'AdverseEvent-ConceptMap-1'!S97)</f>
        <v>* group[=].element[=].target.equivalence = #</v>
      </c>
    </row>
    <row r="102" spans="2:2">
      <c r="B102" s="12" t="str">
        <f>IF('AdverseEvent-ConceptMap-1'!S98=0,"//---END",'AdverseEvent-ConceptMap-1'!S98)</f>
        <v/>
      </c>
    </row>
    <row r="103" spans="2:2">
      <c r="B103" s="12" t="str">
        <f>IF('AdverseEvent-ConceptMap-1'!S99=0,"//---END",'AdverseEvent-ConceptMap-1'!S99)</f>
        <v>* group[=].element[+].code = #AdverseEventI4rc.</v>
      </c>
    </row>
    <row r="104" spans="2:2">
      <c r="B104" s="12" t="str">
        <f>IF('AdverseEvent-ConceptMap-1'!S100=0,"//---END",'AdverseEvent-ConceptMap-1'!S100)</f>
        <v>* group[=].element[=].display = ##34###34#</v>
      </c>
    </row>
    <row r="105" spans="2:2">
      <c r="B105" s="12" t="str">
        <f>IF('AdverseEvent-ConceptMap-1'!S101=0,"//---END",'AdverseEvent-ConceptMap-1'!S101)</f>
        <v>* group[=].element[=].target.code = #Procedure.</v>
      </c>
    </row>
    <row r="106" spans="2:2">
      <c r="B106" s="12" t="str">
        <f>IF('AdverseEvent-ConceptMap-1'!S102=0,"//---END",'AdverseEvent-ConceptMap-1'!S102)</f>
        <v>* group[=].element[=].target.display = ##34###34#</v>
      </c>
    </row>
    <row r="107" spans="2:2">
      <c r="B107" s="12" t="str">
        <f>IF('AdverseEvent-ConceptMap-1'!S103=0,"//---END",'AdverseEvent-ConceptMap-1'!S103)</f>
        <v>* group[=].element[=].target.equivalence = #</v>
      </c>
    </row>
    <row r="108" spans="2:2">
      <c r="B108" s="12" t="str">
        <f>IF('AdverseEvent-ConceptMap-1'!S104=0,"//---END",'AdverseEvent-ConceptMap-1'!S104)</f>
        <v/>
      </c>
    </row>
    <row r="109" spans="2:2">
      <c r="B109" s="12" t="str">
        <f>IF('AdverseEvent-ConceptMap-1'!S105=0,"//---END",'AdverseEvent-ConceptMap-1'!S105)</f>
        <v>* group[=].element[+].code = #AdverseEventI4rc.</v>
      </c>
    </row>
    <row r="110" spans="2:2">
      <c r="B110" s="12" t="str">
        <f>IF('AdverseEvent-ConceptMap-1'!S106=0,"//---END",'AdverseEvent-ConceptMap-1'!S106)</f>
        <v>* group[=].element[=].display = ##34###34#</v>
      </c>
    </row>
    <row r="111" spans="2:2">
      <c r="B111" s="12" t="str">
        <f>IF('AdverseEvent-ConceptMap-1'!S107=0,"//---END",'AdverseEvent-ConceptMap-1'!S107)</f>
        <v>* group[=].element[=].target.code = #Procedure.</v>
      </c>
    </row>
    <row r="112" spans="2:2">
      <c r="B112" s="12" t="str">
        <f>IF('AdverseEvent-ConceptMap-1'!S108=0,"//---END",'AdverseEvent-ConceptMap-1'!S108)</f>
        <v>* group[=].element[=].target.display = ##34###34#</v>
      </c>
    </row>
    <row r="113" spans="2:2">
      <c r="B113" s="12" t="str">
        <f>IF('AdverseEvent-ConceptMap-1'!S109=0,"//---END",'AdverseEvent-ConceptMap-1'!S109)</f>
        <v>* group[=].element[=].target.equivalence = #</v>
      </c>
    </row>
    <row r="114" spans="2:2">
      <c r="B114" s="12" t="str">
        <f>IF('AdverseEvent-ConceptMap-1'!S110=0,"//---END",'AdverseEvent-ConceptMap-1'!S110)</f>
        <v/>
      </c>
    </row>
    <row r="115" spans="2:2">
      <c r="B115" s="12" t="str">
        <f>IF('AdverseEvent-ConceptMap-1'!S111=0,"//---END",'AdverseEvent-ConceptMap-1'!S111)</f>
        <v>* group[=].element[+].code = #AdverseEventI4rc.</v>
      </c>
    </row>
    <row r="116" spans="2:2">
      <c r="B116" s="12" t="str">
        <f>IF('AdverseEvent-ConceptMap-1'!S112=0,"//---END",'AdverseEvent-ConceptMap-1'!S112)</f>
        <v>* group[=].element[=].display = ##34###34#</v>
      </c>
    </row>
    <row r="117" spans="2:2">
      <c r="B117" s="12" t="str">
        <f>IF('AdverseEvent-ConceptMap-1'!S113=0,"//---END",'AdverseEvent-ConceptMap-1'!S113)</f>
        <v>* group[=].element[=].target.code = #Procedure.</v>
      </c>
    </row>
    <row r="118" spans="2:2">
      <c r="B118" s="12" t="str">
        <f>IF('AdverseEvent-ConceptMap-1'!S114=0,"//---END",'AdverseEvent-ConceptMap-1'!S114)</f>
        <v>* group[=].element[=].target.display = ##34###34#</v>
      </c>
    </row>
    <row r="119" spans="2:2">
      <c r="B119" s="12" t="str">
        <f>IF('AdverseEvent-ConceptMap-1'!S115=0,"//---END",'AdverseEvent-ConceptMap-1'!S115)</f>
        <v>* group[=].element[=].target.equivalence = #</v>
      </c>
    </row>
    <row r="120" spans="2:2">
      <c r="B120" s="12" t="str">
        <f>IF('AdverseEvent-ConceptMap-1'!S116=0,"//---END",'AdverseEvent-ConceptMap-1'!S116)</f>
        <v/>
      </c>
    </row>
    <row r="121" spans="2:2">
      <c r="B121" s="12" t="str">
        <f>IF('AdverseEvent-ConceptMap-1'!S117=0,"//---END",'AdverseEvent-ConceptMap-1'!S117)</f>
        <v>* group[=].element[+].code = #AdverseEventI4rc.</v>
      </c>
    </row>
    <row r="122" spans="2:2">
      <c r="B122" s="12" t="str">
        <f>IF('AdverseEvent-ConceptMap-1'!S118=0,"//---END",'AdverseEvent-ConceptMap-1'!S118)</f>
        <v>* group[=].element[=].display = ##34###34#</v>
      </c>
    </row>
    <row r="123" spans="2:2">
      <c r="B123" s="12" t="str">
        <f>IF('AdverseEvent-ConceptMap-1'!S119=0,"//---END",'AdverseEvent-ConceptMap-1'!S119)</f>
        <v>* group[=].element[=].target.code = #Procedure.</v>
      </c>
    </row>
    <row r="124" spans="2:2">
      <c r="B124" s="12" t="str">
        <f>IF('AdverseEvent-ConceptMap-1'!S120=0,"//---END",'AdverseEvent-ConceptMap-1'!S120)</f>
        <v>* group[=].element[=].target.display = ##34###34#</v>
      </c>
    </row>
    <row r="125" spans="2:2">
      <c r="B125" s="12" t="str">
        <f>IF('AdverseEvent-ConceptMap-1'!S121=0,"//---END",'AdverseEvent-ConceptMap-1'!S121)</f>
        <v>* group[=].element[=].target.equivalence = #</v>
      </c>
    </row>
    <row r="126" spans="2:2">
      <c r="B126" s="12" t="str">
        <f>IF('AdverseEvent-ConceptMap-1'!S122=0,"//---END",'AdverseEvent-ConceptMap-1'!S122)</f>
        <v/>
      </c>
    </row>
    <row r="127" spans="2:2">
      <c r="B127" s="12" t="str">
        <f>IF('AdverseEvent-ConceptMap-1'!S123=0,"//---END",'AdverseEvent-ConceptMap-1'!S123)</f>
        <v>* group[=].element[+].code = #AdverseEventI4rc.</v>
      </c>
    </row>
    <row r="128" spans="2:2">
      <c r="B128" s="12" t="str">
        <f>IF('AdverseEvent-ConceptMap-1'!S124=0,"//---END",'AdverseEvent-ConceptMap-1'!S124)</f>
        <v>* group[=].element[=].display = ##34###34#</v>
      </c>
    </row>
    <row r="129" spans="2:2">
      <c r="B129" s="12" t="str">
        <f>IF('AdverseEvent-ConceptMap-1'!S125=0,"//---END",'AdverseEvent-ConceptMap-1'!S125)</f>
        <v>* group[=].element[=].target.code = #Procedure.</v>
      </c>
    </row>
    <row r="130" spans="2:2">
      <c r="B130" s="12" t="str">
        <f>IF('AdverseEvent-ConceptMap-1'!S126=0,"//---END",'AdverseEvent-ConceptMap-1'!S126)</f>
        <v>* group[=].element[=].target.display = ##34###34#</v>
      </c>
    </row>
    <row r="131" spans="2:2">
      <c r="B131" s="12" t="str">
        <f>IF('AdverseEvent-ConceptMap-1'!S127=0,"//---END",'AdverseEvent-ConceptMap-1'!S127)</f>
        <v>* group[=].element[=].target.equivalence = #</v>
      </c>
    </row>
    <row r="132" spans="2:2">
      <c r="B132" s="12" t="str">
        <f>IF('AdverseEvent-ConceptMap-1'!S128=0,"//---END",'AdverseEvent-ConceptMap-1'!S128)</f>
        <v/>
      </c>
    </row>
    <row r="133" spans="2:2">
      <c r="B133" s="12" t="str">
        <f>IF('AdverseEvent-ConceptMap-1'!S129=0,"//---END",'AdverseEvent-ConceptMap-1'!S129)</f>
        <v>* group[=].element[+].code = #AdverseEventI4rc.</v>
      </c>
    </row>
    <row r="134" spans="2:2">
      <c r="B134" s="12" t="str">
        <f>IF('AdverseEvent-ConceptMap-1'!S130=0,"//---END",'AdverseEvent-ConceptMap-1'!S130)</f>
        <v>* group[=].element[=].display = ##34###34#</v>
      </c>
    </row>
    <row r="135" spans="2:2">
      <c r="B135" s="12" t="str">
        <f>IF('AdverseEvent-ConceptMap-1'!S131=0,"//---END",'AdverseEvent-ConceptMap-1'!S131)</f>
        <v>* group[=].element[=].target.code = #Procedure.</v>
      </c>
    </row>
    <row r="136" spans="2:2">
      <c r="B136" s="12" t="str">
        <f>IF('AdverseEvent-ConceptMap-1'!S132=0,"//---END",'AdverseEvent-ConceptMap-1'!S132)</f>
        <v>* group[=].element[=].target.display = ##34###34#</v>
      </c>
    </row>
    <row r="137" spans="2:2">
      <c r="B137" s="12" t="str">
        <f>IF('AdverseEvent-ConceptMap-1'!S133=0,"//---END",'AdverseEvent-ConceptMap-1'!S133)</f>
        <v>* group[=].element[=].target.equivalence = #</v>
      </c>
    </row>
    <row r="138" spans="2:2">
      <c r="B138" s="12" t="str">
        <f>IF('AdverseEvent-ConceptMap-1'!S134=0,"//---END",'AdverseEvent-ConceptMap-1'!S134)</f>
        <v/>
      </c>
    </row>
    <row r="139" spans="2:2">
      <c r="B139" s="12" t="str">
        <f>IF('AdverseEvent-ConceptMap-1'!S135=0,"//---END",'AdverseEvent-ConceptMap-1'!S135)</f>
        <v>* group[=].element[+].code = #AdverseEventI4rc.</v>
      </c>
    </row>
    <row r="140" spans="2:2">
      <c r="B140" s="12" t="str">
        <f>IF('AdverseEvent-ConceptMap-1'!S136=0,"//---END",'AdverseEvent-ConceptMap-1'!S136)</f>
        <v>* group[=].element[=].display = ##34###34#</v>
      </c>
    </row>
    <row r="141" spans="2:2">
      <c r="B141" s="12" t="str">
        <f>IF('AdverseEvent-ConceptMap-1'!S137=0,"//---END",'AdverseEvent-ConceptMap-1'!S137)</f>
        <v>* group[=].element[=].target.code = #Procedure.</v>
      </c>
    </row>
    <row r="142" spans="2:2">
      <c r="B142" s="12" t="str">
        <f>IF('AdverseEvent-ConceptMap-1'!S138=0,"//---END",'AdverseEvent-ConceptMap-1'!S138)</f>
        <v>* group[=].element[=].target.display = ##34###34#</v>
      </c>
    </row>
    <row r="143" spans="2:2">
      <c r="B143" s="12" t="str">
        <f>IF('AdverseEvent-ConceptMap-1'!S139=0,"//---END",'AdverseEvent-ConceptMap-1'!S139)</f>
        <v>* group[=].element[=].target.equivalence = #</v>
      </c>
    </row>
    <row r="144" spans="2:2">
      <c r="B144" s="12" t="str">
        <f>IF('AdverseEvent-ConceptMap-1'!S140=0,"//---END",'AdverseEvent-ConceptMap-1'!S140)</f>
        <v/>
      </c>
    </row>
    <row r="145" spans="2:2">
      <c r="B145" s="12" t="str">
        <f>IF('AdverseEvent-ConceptMap-1'!S141=0,"//---END",'AdverseEvent-ConceptMap-1'!S141)</f>
        <v>* group[=].element[+].code = #AdverseEventI4rc.</v>
      </c>
    </row>
    <row r="146" spans="2:2">
      <c r="B146" s="12" t="str">
        <f>IF('AdverseEvent-ConceptMap-1'!S142=0,"//---END",'AdverseEvent-ConceptMap-1'!S142)</f>
        <v>* group[=].element[=].display = ##34###34#</v>
      </c>
    </row>
    <row r="147" spans="2:2">
      <c r="B147" s="12" t="str">
        <f>IF('AdverseEvent-ConceptMap-1'!S143=0,"//---END",'AdverseEvent-ConceptMap-1'!S143)</f>
        <v>* group[=].element[=].target.code = #Procedure.</v>
      </c>
    </row>
    <row r="148" spans="2:2">
      <c r="B148" s="12" t="str">
        <f>IF('AdverseEvent-ConceptMap-1'!S144=0,"//---END",'AdverseEvent-ConceptMap-1'!S144)</f>
        <v>* group[=].element[=].target.display = ##34###34#</v>
      </c>
    </row>
    <row r="149" spans="2:2">
      <c r="B149" s="12" t="str">
        <f>IF('AdverseEvent-ConceptMap-1'!S145=0,"//---END",'AdverseEvent-ConceptMap-1'!S145)</f>
        <v>* group[=].element[=].target.equivalence = #</v>
      </c>
    </row>
    <row r="150" spans="2:2">
      <c r="B150" s="12" t="str">
        <f>IF('AdverseEvent-ConceptMap-1'!S146=0,"//---END",'AdverseEvent-ConceptMap-1'!S146)</f>
        <v/>
      </c>
    </row>
    <row r="151" spans="2:2">
      <c r="B151" s="12" t="str">
        <f>IF('AdverseEvent-ConceptMap-1'!S147=0,"//---END",'AdverseEvent-ConceptMap-1'!S147)</f>
        <v>* group[=].element[+].code = #AdverseEventI4rc.</v>
      </c>
    </row>
    <row r="152" spans="2:2">
      <c r="B152" s="12" t="str">
        <f>IF('AdverseEvent-ConceptMap-1'!S148=0,"//---END",'AdverseEvent-ConceptMap-1'!S148)</f>
        <v>* group[=].element[=].display = ##34###34#</v>
      </c>
    </row>
    <row r="153" spans="2:2">
      <c r="B153" s="12" t="str">
        <f>IF('AdverseEvent-ConceptMap-1'!S149=0,"//---END",'AdverseEvent-ConceptMap-1'!S149)</f>
        <v>* group[=].element[=].target.code = #Procedure.</v>
      </c>
    </row>
    <row r="154" spans="2:2">
      <c r="B154" s="12" t="str">
        <f>IF('AdverseEvent-ConceptMap-1'!S150=0,"//---END",'AdverseEvent-ConceptMap-1'!S150)</f>
        <v>* group[=].element[=].target.display = ##34###34#</v>
      </c>
    </row>
    <row r="155" spans="2:2">
      <c r="B155" s="12" t="str">
        <f>IF('AdverseEvent-ConceptMap-1'!S151=0,"//---END",'AdverseEvent-ConceptMap-1'!S151)</f>
        <v>* group[=].element[=].target.equivalence = #</v>
      </c>
    </row>
    <row r="156" spans="2:2">
      <c r="B156" s="12" t="str">
        <f>IF('AdverseEvent-ConceptMap-1'!S152=0,"//---END",'AdverseEvent-ConceptMap-1'!S152)</f>
        <v/>
      </c>
    </row>
    <row r="157" spans="2:2">
      <c r="B157" s="12" t="str">
        <f>IF('AdverseEvent-ConceptMap-1'!S153=0,"//---END",'AdverseEvent-ConceptMap-1'!S153)</f>
        <v>* group[=].element[+].code = #AdverseEventI4rc.</v>
      </c>
    </row>
    <row r="158" spans="2:2">
      <c r="B158" s="12" t="str">
        <f>IF('AdverseEvent-ConceptMap-1'!S154=0,"//---END",'AdverseEvent-ConceptMap-1'!S154)</f>
        <v>* group[=].element[=].display = ##34###34#</v>
      </c>
    </row>
    <row r="159" spans="2:2">
      <c r="B159" s="12" t="str">
        <f>IF('AdverseEvent-ConceptMap-1'!S155=0,"//---END",'AdverseEvent-ConceptMap-1'!S155)</f>
        <v>* group[=].element[=].target.code = #Procedure.</v>
      </c>
    </row>
    <row r="160" spans="2:2">
      <c r="B160" s="12" t="str">
        <f>IF('AdverseEvent-ConceptMap-1'!S156=0,"//---END",'AdverseEvent-ConceptMap-1'!S156)</f>
        <v>* group[=].element[=].target.display = ##34###34#</v>
      </c>
    </row>
    <row r="161" spans="2:2">
      <c r="B161" s="12" t="str">
        <f>IF('AdverseEvent-ConceptMap-1'!S157=0,"//---END",'AdverseEvent-ConceptMap-1'!S157)</f>
        <v>* group[=].element[=].target.equivalence = #</v>
      </c>
    </row>
    <row r="162" spans="2:2">
      <c r="B162" s="12" t="str">
        <f>IF('AdverseEvent-ConceptMap-1'!S158=0,"//---END",'AdverseEvent-ConceptMap-1'!S158)</f>
        <v/>
      </c>
    </row>
    <row r="163" spans="2:2">
      <c r="B163" s="12" t="str">
        <f>IF('AdverseEvent-ConceptMap-1'!S159=0,"//---END",'AdverseEvent-ConceptMap-1'!S159)</f>
        <v>* group[=].element[+].code = #AdverseEventI4rc.</v>
      </c>
    </row>
    <row r="164" spans="2:2">
      <c r="B164" s="12" t="str">
        <f>IF('AdverseEvent-ConceptMap-1'!S160=0,"//---END",'AdverseEvent-ConceptMap-1'!S160)</f>
        <v>* group[=].element[=].display = ##34###34#</v>
      </c>
    </row>
    <row r="165" spans="2:2">
      <c r="B165" s="12" t="str">
        <f>IF('AdverseEvent-ConceptMap-1'!S161=0,"//---END",'AdverseEvent-ConceptMap-1'!S161)</f>
        <v>* group[=].element[=].target.code = #Procedure.</v>
      </c>
    </row>
    <row r="166" spans="2:2">
      <c r="B166" s="12" t="str">
        <f>IF('AdverseEvent-ConceptMap-1'!S162=0,"//---END",'AdverseEvent-ConceptMap-1'!S162)</f>
        <v>* group[=].element[=].target.display = ##34###34#</v>
      </c>
    </row>
    <row r="167" spans="2:2">
      <c r="B167" s="12" t="str">
        <f>IF('AdverseEvent-ConceptMap-1'!S163=0,"//---END",'AdverseEvent-ConceptMap-1'!S163)</f>
        <v>* group[=].element[=].target.equivalence = #</v>
      </c>
    </row>
    <row r="168" spans="2:2">
      <c r="B168" s="12" t="str">
        <f>IF('AdverseEvent-ConceptMap-1'!S164=0,"//---END",'AdverseEvent-ConceptMap-1'!S164)</f>
        <v/>
      </c>
    </row>
    <row r="169" spans="2:2">
      <c r="B169" s="12" t="str">
        <f>IF('AdverseEvent-ConceptMap-1'!S165=0,"//---END",'AdverseEvent-ConceptMap-1'!S165)</f>
        <v>* group[=].element[+].code = #AdverseEventI4rc.</v>
      </c>
    </row>
    <row r="170" spans="2:2">
      <c r="B170" s="12" t="str">
        <f>IF('AdverseEvent-ConceptMap-1'!S166=0,"//---END",'AdverseEvent-ConceptMap-1'!S166)</f>
        <v>* group[=].element[=].display = ##34###34#</v>
      </c>
    </row>
    <row r="171" spans="2:2">
      <c r="B171" s="12" t="str">
        <f>IF('AdverseEvent-ConceptMap-1'!S167=0,"//---END",'AdverseEvent-ConceptMap-1'!S167)</f>
        <v>* group[=].element[=].target.code = #Procedure.</v>
      </c>
    </row>
    <row r="172" spans="2:2">
      <c r="B172" s="12" t="str">
        <f>IF('AdverseEvent-ConceptMap-1'!S168=0,"//---END",'AdverseEvent-ConceptMap-1'!S168)</f>
        <v>* group[=].element[=].target.display = ##34###34#</v>
      </c>
    </row>
    <row r="173" spans="2:2">
      <c r="B173" s="12" t="str">
        <f>IF('AdverseEvent-ConceptMap-1'!S169=0,"//---END",'AdverseEvent-ConceptMap-1'!S169)</f>
        <v>* group[=].element[=].target.equivalence = #</v>
      </c>
    </row>
    <row r="174" spans="2:2">
      <c r="B174" s="12" t="str">
        <f>IF('AdverseEvent-ConceptMap-1'!S170=0,"//---END",'AdverseEvent-ConceptMap-1'!S170)</f>
        <v/>
      </c>
    </row>
    <row r="175" spans="2:2">
      <c r="B175" s="12" t="str">
        <f>IF('AdverseEvent-ConceptMap-1'!S171=0,"//---END",'AdverseEvent-ConceptMap-1'!S171)</f>
        <v>* group[=].element[+].code = #AdverseEventI4rc.</v>
      </c>
    </row>
    <row r="176" spans="2:2">
      <c r="B176" s="12" t="str">
        <f>IF('AdverseEvent-ConceptMap-1'!S172=0,"//---END",'AdverseEvent-ConceptMap-1'!S172)</f>
        <v>* group[=].element[=].display = ##34###34#</v>
      </c>
    </row>
    <row r="177" spans="2:2">
      <c r="B177" s="12" t="str">
        <f>IF('AdverseEvent-ConceptMap-1'!S173=0,"//---END",'AdverseEvent-ConceptMap-1'!S173)</f>
        <v>* group[=].element[=].target.code = #Procedure.</v>
      </c>
    </row>
    <row r="178" spans="2:2">
      <c r="B178" s="12" t="str">
        <f>IF('AdverseEvent-ConceptMap-1'!S174=0,"//---END",'AdverseEvent-ConceptMap-1'!S174)</f>
        <v>* group[=].element[=].target.display = ##34###34#</v>
      </c>
    </row>
    <row r="179" spans="2:2">
      <c r="B179" s="12" t="str">
        <f>IF('AdverseEvent-ConceptMap-1'!S175=0,"//---END",'AdverseEvent-ConceptMap-1'!S175)</f>
        <v>* group[=].element[=].target.equivalence = #</v>
      </c>
    </row>
    <row r="180" spans="2:2">
      <c r="B180" s="12" t="str">
        <f>IF('AdverseEvent-ConceptMap-1'!S176=0,"//---END",'AdverseEvent-ConceptMap-1'!S176)</f>
        <v/>
      </c>
    </row>
    <row r="181" spans="2:2">
      <c r="B181" s="12" t="str">
        <f>IF('AdverseEvent-ConceptMap-1'!S177=0,"//---END",'AdverseEvent-ConceptMap-1'!S177)</f>
        <v>//---END</v>
      </c>
    </row>
    <row r="182" spans="2:2">
      <c r="B182" s="12" t="str">
        <f>IF('AdverseEvent-ConceptMap-1'!S178=0,"//---END",'AdverseEvent-ConceptMap-1'!S178)</f>
        <v>//---END</v>
      </c>
    </row>
    <row r="183" spans="2:2">
      <c r="B183" s="12" t="str">
        <f>IF('AdverseEvent-ConceptMap-1'!S179=0,"//---END",'AdverseEvent-ConceptMap-1'!S179)</f>
        <v>//---END</v>
      </c>
    </row>
    <row r="184" spans="2:2">
      <c r="B184" s="12" t="str">
        <f>IF('AdverseEvent-ConceptMap-1'!S180=0,"//---END",'AdverseEvent-ConceptMap-1'!S180)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2347</v>
      </c>
      <c r="J4" s="16" t="str">
        <f>CONCATENATE("Logical: ",B4)</f>
        <v>Logical: GeneticTestExpressionI4rc</v>
      </c>
    </row>
    <row r="5" spans="1:12" ht="15.5" thickBot="1">
      <c r="A5" s="14" t="s">
        <v>16</v>
      </c>
      <c r="B5" s="45" t="s">
        <v>2314</v>
      </c>
      <c r="J5" s="16" t="str">
        <f>CONCATENATE("Id: ",B5)</f>
        <v>Id: GeneticTestExpression</v>
      </c>
    </row>
    <row r="6" spans="1:12" ht="15.5" thickBot="1">
      <c r="A6" s="14" t="s">
        <v>10</v>
      </c>
      <c r="B6" s="45" t="s">
        <v>2315</v>
      </c>
      <c r="J6" s="17" t="str">
        <f>CONCATENATE("Title: ##34#",B6,"##34#")</f>
        <v>Title: ##34#Genetic Test Expression##34#</v>
      </c>
    </row>
    <row r="7" spans="1:12">
      <c r="A7" s="26" t="s">
        <v>2</v>
      </c>
      <c r="B7" s="149" t="s">
        <v>2315</v>
      </c>
      <c r="C7" s="9" t="s">
        <v>3</v>
      </c>
      <c r="D7" s="1" t="s">
        <v>4</v>
      </c>
      <c r="E7" s="3" t="s">
        <v>5</v>
      </c>
      <c r="F7" s="3" t="s">
        <v>6</v>
      </c>
      <c r="G7" s="3" t="s">
        <v>7</v>
      </c>
      <c r="H7" s="105" t="s">
        <v>1610</v>
      </c>
      <c r="J7" s="17" t="str">
        <f>CONCATENATE("Description: "," ##334#",B7,"##334#",)</f>
        <v>Description:  ##334#Genetic Test Expression##334#</v>
      </c>
    </row>
    <row r="8" spans="1:12" ht="59">
      <c r="A8" s="100">
        <v>0</v>
      </c>
      <c r="B8" s="11" t="s">
        <v>1913</v>
      </c>
      <c r="C8" s="151" t="s">
        <v>1920</v>
      </c>
      <c r="D8" s="11" t="s">
        <v>1872</v>
      </c>
      <c r="E8" s="11">
        <v>1</v>
      </c>
      <c r="F8" s="11">
        <v>1</v>
      </c>
      <c r="G8" s="11" t="s">
        <v>1969</v>
      </c>
      <c r="H8" s="11"/>
      <c r="I8" s="25"/>
      <c r="J8" s="12" t="str">
        <f t="shared" ref="J8:J40" si="0">CONCATENATE("* ",B8, " ",E8,"..",F8," ",G8," ##34#",C8,"##34# ##334#",D8,"##334#")</f>
        <v>* episodeEventReference 1..1 http://hl7.eu/fhir/ig/idea4rc/StructureDefinition/EpisodeEvent ##34#Cancer Episode Reference##34# ##334#EpisodeEvent element containing the data regarding the patient's cancer##334#</v>
      </c>
      <c r="L8" s="12" t="str">
        <f>IF(H8="",IF(J8="*  ..  ##34###34# ##334###334#",J8,""),IF(J8="*  ..  ##34###34# ##334###334#",J8,CONCATENATE("* ",B8," ^comment = ##334#",H8,"##334#")))</f>
        <v/>
      </c>
    </row>
    <row r="9" spans="1:12" s="2" customFormat="1" ht="44.25">
      <c r="A9" s="100">
        <v>1</v>
      </c>
      <c r="B9" s="11" t="s">
        <v>2316</v>
      </c>
      <c r="C9" s="151" t="s">
        <v>1920</v>
      </c>
      <c r="D9" s="11" t="s">
        <v>2317</v>
      </c>
      <c r="E9" s="11">
        <v>0</v>
      </c>
      <c r="F9" s="11">
        <v>1</v>
      </c>
      <c r="G9" s="11" t="s">
        <v>157</v>
      </c>
      <c r="H9" s="11"/>
      <c r="I9" s="25"/>
      <c r="J9" s="12" t="str">
        <f t="shared" si="0"/>
        <v>* geneExpressionAnalysisPerformed 0..1 boolean ##34#Cancer Episode Reference##34# ##334#Clarifies whether a gene expression analysis is performed##334#</v>
      </c>
      <c r="K9"/>
      <c r="L9" s="12" t="str">
        <f t="shared" ref="L9:L40" si="1">IF(H9="",IF(J9="*  ..  ##34###34# ##334###334#",J9,""),IF(J9="*  ..  ##34###34# ##334###334#",J9,CONCATENATE("* ",B9," ^comment = ##334#",H9,"##334#")))</f>
        <v/>
      </c>
    </row>
    <row r="10" spans="1:12" s="2" customFormat="1" ht="29.5">
      <c r="A10" s="100">
        <v>2</v>
      </c>
      <c r="B10" s="11" t="s">
        <v>2318</v>
      </c>
      <c r="C10" s="151" t="s">
        <v>1920</v>
      </c>
      <c r="D10" s="11" t="s">
        <v>2319</v>
      </c>
      <c r="E10" s="11">
        <v>0</v>
      </c>
      <c r="F10" s="11">
        <v>1</v>
      </c>
      <c r="G10" s="11" t="s">
        <v>156</v>
      </c>
      <c r="H10" s="11"/>
      <c r="I10" s="25"/>
      <c r="J10" s="12" t="str">
        <f t="shared" si="0"/>
        <v>* dateOfGeneExpression 0..1 date ##34#Cancer Episode Reference##34# ##334#Date of the gene expression analysis##334#</v>
      </c>
      <c r="K10"/>
      <c r="L10" s="12" t="str">
        <f t="shared" si="1"/>
        <v/>
      </c>
    </row>
    <row r="11" spans="1:12" s="2" customFormat="1" ht="44.25">
      <c r="A11" s="100">
        <v>3</v>
      </c>
      <c r="B11" s="11" t="s">
        <v>2320</v>
      </c>
      <c r="C11" s="151" t="s">
        <v>1920</v>
      </c>
      <c r="D11" s="11" t="s">
        <v>2321</v>
      </c>
      <c r="E11" s="11">
        <v>0</v>
      </c>
      <c r="F11" s="11">
        <v>1</v>
      </c>
      <c r="G11" s="11" t="s">
        <v>157</v>
      </c>
      <c r="H11" s="11"/>
      <c r="I11" s="25"/>
      <c r="J11" s="12" t="str">
        <f t="shared" si="0"/>
        <v>* geneMutationAnalysisPerformed 0..1 boolean ##34#Cancer Episode Reference##34# ##334#Clarifies whether a gene mutation analysis is performed##334#</v>
      </c>
      <c r="K11"/>
      <c r="L11" s="12" t="str">
        <f t="shared" si="1"/>
        <v/>
      </c>
    </row>
    <row r="12" spans="1:12" s="2" customFormat="1" ht="29.5">
      <c r="A12" s="100">
        <v>4</v>
      </c>
      <c r="B12" s="11" t="s">
        <v>2322</v>
      </c>
      <c r="C12" s="151" t="s">
        <v>1920</v>
      </c>
      <c r="D12" s="11" t="s">
        <v>2323</v>
      </c>
      <c r="E12" s="11">
        <v>0</v>
      </c>
      <c r="F12" s="11">
        <v>1</v>
      </c>
      <c r="G12" s="11" t="s">
        <v>156</v>
      </c>
      <c r="H12" s="11"/>
      <c r="I12" s="25"/>
      <c r="J12" s="12" t="str">
        <f t="shared" si="0"/>
        <v>* dateOfGeneMutation 0..1 date ##34#Cancer Episode Reference##34# ##334#Date of the gene mutation analysis##334#</v>
      </c>
      <c r="K12"/>
      <c r="L12" s="12" t="str">
        <f t="shared" si="1"/>
        <v/>
      </c>
    </row>
    <row r="13" spans="1:12" s="2" customFormat="1" ht="44.25">
      <c r="A13" s="100">
        <v>5</v>
      </c>
      <c r="B13" s="11" t="s">
        <v>2324</v>
      </c>
      <c r="C13" s="151" t="s">
        <v>1920</v>
      </c>
      <c r="D13" s="11" t="s">
        <v>2325</v>
      </c>
      <c r="E13" s="11">
        <v>0</v>
      </c>
      <c r="F13" s="11">
        <v>1</v>
      </c>
      <c r="G13" s="11" t="s">
        <v>157</v>
      </c>
      <c r="H13" s="11"/>
      <c r="I13" s="25"/>
      <c r="J13" s="12" t="str">
        <f t="shared" si="0"/>
        <v>* testsForChromosomeTranslocationsPerformed 0..1 boolean ##34#Cancer Episode Reference##34# ##334#Clarifies whether a tests for chromosome translocations is performed##334#</v>
      </c>
      <c r="K13"/>
      <c r="L13" s="12" t="str">
        <f t="shared" si="1"/>
        <v/>
      </c>
    </row>
    <row r="14" spans="1:12" s="2" customFormat="1" ht="29.5">
      <c r="A14" s="100">
        <v>6</v>
      </c>
      <c r="B14" s="11" t="s">
        <v>2326</v>
      </c>
      <c r="C14" s="151" t="s">
        <v>1920</v>
      </c>
      <c r="D14" s="11" t="s">
        <v>2327</v>
      </c>
      <c r="E14" s="11">
        <v>0</v>
      </c>
      <c r="F14" s="11">
        <v>1</v>
      </c>
      <c r="G14" s="11" t="s">
        <v>156</v>
      </c>
      <c r="H14" s="11"/>
      <c r="I14" s="25"/>
      <c r="J14" s="12" t="str">
        <f t="shared" si="0"/>
        <v>* dateOfTraslocation 0..1 date ##34#Cancer Episode Reference##34# ##334#Date of the Chromosome translocation test##334#</v>
      </c>
      <c r="K14"/>
      <c r="L14" s="12" t="str">
        <f t="shared" si="1"/>
        <v/>
      </c>
    </row>
    <row r="15" spans="1:12" s="2" customFormat="1" ht="29.5">
      <c r="A15" s="100">
        <v>7</v>
      </c>
      <c r="B15" s="11" t="s">
        <v>2328</v>
      </c>
      <c r="C15" s="151" t="s">
        <v>1920</v>
      </c>
      <c r="D15" s="11" t="s">
        <v>2329</v>
      </c>
      <c r="E15" s="11">
        <v>0</v>
      </c>
      <c r="F15" s="11">
        <v>1</v>
      </c>
      <c r="G15" s="11" t="s">
        <v>157</v>
      </c>
      <c r="H15" s="11"/>
      <c r="I15" s="25"/>
      <c r="J15" s="12" t="str">
        <f t="shared" si="0"/>
        <v>* nextGenerationSequencingNgsPerformed 0..1 boolean ##34#Cancer Episode Reference##34# ##334#Clarifies whether a NGS analysis is performed##334#</v>
      </c>
      <c r="K15"/>
      <c r="L15" s="12" t="str">
        <f t="shared" si="1"/>
        <v/>
      </c>
    </row>
    <row r="16" spans="1:12" s="2" customFormat="1" ht="29.5">
      <c r="A16" s="100">
        <v>8</v>
      </c>
      <c r="B16" s="11" t="s">
        <v>2330</v>
      </c>
      <c r="C16" s="151" t="s">
        <v>1920</v>
      </c>
      <c r="D16" s="11" t="s">
        <v>2331</v>
      </c>
      <c r="E16" s="11">
        <v>0</v>
      </c>
      <c r="F16" s="11">
        <v>1</v>
      </c>
      <c r="G16" s="11" t="s">
        <v>156</v>
      </c>
      <c r="H16" s="11"/>
      <c r="I16" s="25"/>
      <c r="J16" s="12" t="str">
        <f t="shared" si="0"/>
        <v>* dateOfNgs 0..1 date ##34#Cancer Episode Reference##34# ##334#Date of the NGS analysis##334#</v>
      </c>
      <c r="K16"/>
      <c r="L16" s="12" t="str">
        <f t="shared" si="1"/>
        <v/>
      </c>
    </row>
    <row r="17" spans="1:13" s="2" customFormat="1" ht="44.25">
      <c r="A17" s="100">
        <v>9</v>
      </c>
      <c r="B17" s="11" t="s">
        <v>2332</v>
      </c>
      <c r="C17" s="151" t="s">
        <v>1920</v>
      </c>
      <c r="D17" s="11" t="s">
        <v>2333</v>
      </c>
      <c r="E17" s="11">
        <v>0</v>
      </c>
      <c r="F17" s="11">
        <v>1</v>
      </c>
      <c r="G17" s="11" t="s">
        <v>157</v>
      </c>
      <c r="H17" s="11"/>
      <c r="I17" s="25"/>
      <c r="J17" s="12" t="str">
        <f t="shared" si="0"/>
        <v>* polymeraseChainReactionPcrTestPerformed 0..1 boolean ##34#Cancer Episode Reference##34# ##334#Clarifies whether a PCR analysis is performed##334#</v>
      </c>
      <c r="K17"/>
      <c r="L17" s="12" t="str">
        <f t="shared" si="1"/>
        <v/>
      </c>
    </row>
    <row r="18" spans="1:13" ht="29.5">
      <c r="A18" s="100">
        <v>10</v>
      </c>
      <c r="B18" s="11" t="s">
        <v>2334</v>
      </c>
      <c r="C18" s="151" t="s">
        <v>1920</v>
      </c>
      <c r="D18" s="11" t="s">
        <v>2335</v>
      </c>
      <c r="E18" s="11">
        <v>0</v>
      </c>
      <c r="F18" s="11">
        <v>1</v>
      </c>
      <c r="G18" s="11" t="s">
        <v>156</v>
      </c>
      <c r="H18" s="11"/>
      <c r="I18" s="25"/>
      <c r="J18" s="12" t="str">
        <f t="shared" si="0"/>
        <v>* dateOfPcr 0..1 date ##34#Cancer Episode Reference##34# ##334#Date of the PCR analysis##334#</v>
      </c>
      <c r="L18" s="12" t="str">
        <f t="shared" si="1"/>
        <v/>
      </c>
    </row>
    <row r="19" spans="1:13" ht="44.25">
      <c r="A19" s="100">
        <v>11</v>
      </c>
      <c r="B19" s="11" t="s">
        <v>2336</v>
      </c>
      <c r="C19" s="151" t="s">
        <v>1920</v>
      </c>
      <c r="D19" s="11" t="s">
        <v>2337</v>
      </c>
      <c r="E19" s="11">
        <v>0</v>
      </c>
      <c r="F19" s="11">
        <v>1</v>
      </c>
      <c r="G19" s="11" t="s">
        <v>157</v>
      </c>
      <c r="H19" s="11"/>
      <c r="J19" s="12" t="str">
        <f t="shared" si="0"/>
        <v>* immunohistochemistryPerformed 0..1 boolean ##34#Cancer Episode Reference##34# ##334#Clarifies whether a immunohiostochemestry analysis is performed##334#</v>
      </c>
      <c r="L19" s="12" t="str">
        <f t="shared" si="1"/>
        <v/>
      </c>
    </row>
    <row r="20" spans="1:13" ht="29.5">
      <c r="A20" s="100">
        <v>12</v>
      </c>
      <c r="B20" s="11" t="s">
        <v>2338</v>
      </c>
      <c r="C20" s="151" t="s">
        <v>1920</v>
      </c>
      <c r="D20" s="11" t="s">
        <v>2339</v>
      </c>
      <c r="E20" s="11">
        <v>0</v>
      </c>
      <c r="F20" s="11">
        <v>1</v>
      </c>
      <c r="G20" s="11" t="s">
        <v>156</v>
      </c>
      <c r="H20" s="11"/>
      <c r="J20" s="12" t="str">
        <f t="shared" si="0"/>
        <v>* dateOfImmunohistochemistry 0..1 date ##34#Cancer Episode Reference##34# ##334#Date of the immunohiostochemestry analysis##334#</v>
      </c>
      <c r="L20" s="12" t="str">
        <f t="shared" si="1"/>
        <v/>
      </c>
    </row>
    <row r="21" spans="1:13" ht="29.5">
      <c r="A21" s="100">
        <v>13</v>
      </c>
      <c r="B21" s="11" t="s">
        <v>2340</v>
      </c>
      <c r="C21" s="151" t="s">
        <v>1920</v>
      </c>
      <c r="D21" s="11" t="s">
        <v>2341</v>
      </c>
      <c r="E21" s="11">
        <v>0</v>
      </c>
      <c r="F21" s="11">
        <v>1</v>
      </c>
      <c r="G21" s="11" t="s">
        <v>157</v>
      </c>
      <c r="H21" s="11"/>
      <c r="J21" s="12" t="str">
        <f t="shared" si="0"/>
        <v>* circulatingTumourDnaCtdnaPerformed 0..1 boolean ##34#Cancer Episode Reference##34# ##334#Clarifies whether a ctDNA analysis is performed##334#</v>
      </c>
      <c r="L21" s="12" t="str">
        <f t="shared" si="1"/>
        <v/>
      </c>
    </row>
    <row r="22" spans="1:13" ht="29.5">
      <c r="A22" s="100">
        <v>14</v>
      </c>
      <c r="B22" s="11" t="s">
        <v>2342</v>
      </c>
      <c r="C22" s="151" t="s">
        <v>1920</v>
      </c>
      <c r="D22" s="11" t="s">
        <v>2343</v>
      </c>
      <c r="E22" s="11">
        <v>0</v>
      </c>
      <c r="F22" s="11">
        <v>1</v>
      </c>
      <c r="G22" s="11" t="s">
        <v>156</v>
      </c>
      <c r="H22" s="11"/>
      <c r="J22" s="12" t="str">
        <f t="shared" si="0"/>
        <v>* dateOfCtdna 0..1 date ##34#Cancer Episode Reference##34# ##334#Date of the ctDNA analysis##334#</v>
      </c>
      <c r="L22" s="12" t="str">
        <f t="shared" si="1"/>
        <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54"/>
  <sheetViews>
    <sheetView workbookViewId="0">
      <selection activeCell="E9" sqref="E9"/>
    </sheetView>
  </sheetViews>
  <sheetFormatPr defaultRowHeight="14.75"/>
  <cols>
    <col min="3" max="3" width="108.2265625" style="154" customWidth="1"/>
    <col min="7" max="7" width="29.54296875" customWidth="1"/>
    <col min="8" max="8" width="54.90625" customWidth="1"/>
  </cols>
  <sheetData>
    <row r="1" spans="3:7" ht="15.5" thickBot="1">
      <c r="C1" s="152" t="str">
        <f>GeneticTestExpression!J1</f>
        <v>//===================================================</v>
      </c>
    </row>
    <row r="2" spans="3:7" ht="16.75" thickBot="1">
      <c r="C2" s="24" t="str">
        <f>GeneticTestExpression!J2</f>
        <v>//  Logical Model</v>
      </c>
      <c r="G2" s="29" t="s">
        <v>2344</v>
      </c>
    </row>
    <row r="3" spans="3:7">
      <c r="C3" s="24" t="str">
        <f>GeneticTestExpression!J3</f>
        <v>//===================================================</v>
      </c>
    </row>
    <row r="4" spans="3:7">
      <c r="C4" s="153" t="str">
        <f>GeneticTestExpression!J4</f>
        <v>Logical: GeneticTestExpressionI4rc</v>
      </c>
    </row>
    <row r="5" spans="3:7">
      <c r="C5" s="153" t="str">
        <f>GeneticTestExpression!J5</f>
        <v>Id: GeneticTestExpression</v>
      </c>
    </row>
    <row r="6" spans="3:7">
      <c r="C6" s="153" t="str">
        <f>GeneticTestExpression!J6</f>
        <v>Title: ##34#Genetic Test Expression##34#</v>
      </c>
    </row>
    <row r="7" spans="3:7">
      <c r="C7" s="153" t="str">
        <f>GeneticTestExpression!J7</f>
        <v>Description:  ##334#Genetic Test Expression##334#</v>
      </c>
    </row>
    <row r="8" spans="3:7" ht="29.5">
      <c r="C8" s="154" t="str">
        <f>IF(GeneticTestExpression!J8="*  ..  ##34###34# ##334###334#","//--- END",GeneticTestExpression!J8)</f>
        <v>* episodeEventReference 1..1 http://hl7.eu/fhir/ig/idea4rc/StructureDefinition/EpisodeEvent ##34#Cancer Episode Reference##34# ##334#EpisodeEvent element containing the data regarding the patient's cancer##334#</v>
      </c>
    </row>
    <row r="9" spans="3:7" ht="29.5">
      <c r="C9" s="154" t="str">
        <f>IF(GeneticTestExpression!J9="*  ..  ##34###34# ##334###334#","//--- END",GeneticTestExpression!J9)</f>
        <v>* geneExpressionAnalysisPerformed 0..1 boolean ##34#Cancer Episode Reference##34# ##334#Clarifies whether a gene expression analysis is performed##334#</v>
      </c>
    </row>
    <row r="10" spans="3:7">
      <c r="C10" s="154" t="str">
        <f>IF(GeneticTestExpression!J10="*  ..  ##34###34# ##334###334#","//--- END",GeneticTestExpression!J10)</f>
        <v>* dateOfGeneExpression 0..1 date ##34#Cancer Episode Reference##34# ##334#Date of the gene expression analysis##334#</v>
      </c>
    </row>
    <row r="11" spans="3:7" ht="29.5">
      <c r="C11" s="154" t="str">
        <f>IF(GeneticTestExpression!J11="*  ..  ##34###34# ##334###334#","//--- END",GeneticTestExpression!J11)</f>
        <v>* geneMutationAnalysisPerformed 0..1 boolean ##34#Cancer Episode Reference##34# ##334#Clarifies whether a gene mutation analysis is performed##334#</v>
      </c>
    </row>
    <row r="12" spans="3:7">
      <c r="C12" s="154" t="str">
        <f>IF(GeneticTestExpression!J12="*  ..  ##34###34# ##334###334#","//--- END",GeneticTestExpression!J12)</f>
        <v>* dateOfGeneMutation 0..1 date ##34#Cancer Episode Reference##34# ##334#Date of the gene mutation analysis##334#</v>
      </c>
    </row>
    <row r="13" spans="3:7" ht="29.5">
      <c r="C13" s="154" t="str">
        <f>IF(GeneticTestExpression!J13="*  ..  ##34###34# ##334###334#","//--- END",GeneticTestExpression!J13)</f>
        <v>* testsForChromosomeTranslocationsPerformed 0..1 boolean ##34#Cancer Episode Reference##34# ##334#Clarifies whether a tests for chromosome translocations is performed##334#</v>
      </c>
    </row>
    <row r="14" spans="3:7">
      <c r="C14" s="154" t="str">
        <f>IF(GeneticTestExpression!J14="*  ..  ##34###34# ##334###334#","//--- END",GeneticTestExpression!J14)</f>
        <v>* dateOfTraslocation 0..1 date ##34#Cancer Episode Reference##34# ##334#Date of the Chromosome translocation test##334#</v>
      </c>
    </row>
    <row r="15" spans="3:7" ht="29.5">
      <c r="C15" s="154" t="str">
        <f>IF(GeneticTestExpression!J15="*  ..  ##34###34# ##334###334#","//--- END",GeneticTestExpression!J15)</f>
        <v>* nextGenerationSequencingNgsPerformed 0..1 boolean ##34#Cancer Episode Reference##34# ##334#Clarifies whether a NGS analysis is performed##334#</v>
      </c>
    </row>
    <row r="16" spans="3:7">
      <c r="C16" s="154" t="str">
        <f>IF(GeneticTestExpression!J16="*  ..  ##34###34# ##334###334#","//--- END",GeneticTestExpression!J16)</f>
        <v>* dateOfNgs 0..1 date ##34#Cancer Episode Reference##34# ##334#Date of the NGS analysis##334#</v>
      </c>
    </row>
    <row r="17" spans="3:3" ht="29.5">
      <c r="C17" s="154" t="str">
        <f>IF(GeneticTestExpression!J17="*  ..  ##34###34# ##334###334#","//--- END",GeneticTestExpression!J17)</f>
        <v>* polymeraseChainReactionPcrTestPerformed 0..1 boolean ##34#Cancer Episode Reference##34# ##334#Clarifies whether a PCR analysis is performed##334#</v>
      </c>
    </row>
    <row r="18" spans="3:3">
      <c r="C18" s="154" t="str">
        <f>IF(GeneticTestExpression!J18="*  ..  ##34###34# ##334###334#","//--- END",GeneticTestExpression!J18)</f>
        <v>* dateOfPcr 0..1 date ##34#Cancer Episode Reference##34# ##334#Date of the PCR analysis##334#</v>
      </c>
    </row>
    <row r="19" spans="3:3" ht="29.5">
      <c r="C19" s="154" t="str">
        <f>IF(GeneticTestExpression!J19="*  ..  ##34###34# ##334###334#","//--- END",GeneticTestExpression!J19)</f>
        <v>* immunohistochemistryPerformed 0..1 boolean ##34#Cancer Episode Reference##34# ##334#Clarifies whether a immunohiostochemestry analysis is performed##334#</v>
      </c>
    </row>
    <row r="20" spans="3:3" ht="29.5">
      <c r="C20" s="154" t="str">
        <f>IF(GeneticTestExpression!J20="*  ..  ##34###34# ##334###334#","//--- END",GeneticTestExpression!J20)</f>
        <v>* dateOfImmunohistochemistry 0..1 date ##34#Cancer Episode Reference##34# ##334#Date of the immunohiostochemestry analysis##334#</v>
      </c>
    </row>
    <row r="21" spans="3:3" ht="29.5">
      <c r="C21" s="154" t="str">
        <f>IF(GeneticTestExpression!J21="*  ..  ##34###34# ##334###334#","//--- END",GeneticTestExpression!J21)</f>
        <v>* circulatingTumourDnaCtdnaPerformed 0..1 boolean ##34#Cancer Episode Reference##34# ##334#Clarifies whether a ctDNA analysis is performed##334#</v>
      </c>
    </row>
    <row r="22" spans="3:3">
      <c r="C22" s="154" t="str">
        <f>IF(GeneticTestExpression!J22="*  ..  ##34###34# ##334###334#","//--- END",GeneticTestExpression!J22)</f>
        <v>* dateOfCtdna 0..1 date ##34#Cancer Episode Reference##34# ##334#Date of the ctDNA analysis##334#</v>
      </c>
    </row>
    <row r="23" spans="3:3">
      <c r="C23" s="154" t="str">
        <f>IF(GeneticTestExpression!J23="*  ..  ##34###34# ##334###334#","//--- END",GeneticTestExpression!J23)</f>
        <v>//--- END</v>
      </c>
    </row>
    <row r="24" spans="3:3">
      <c r="C24" s="154" t="str">
        <f>IF(GeneticTestExpression!J24="*  ..  ##34###34# ##334###334#","//--- END",GeneticTestExpression!J24)</f>
        <v>//--- END</v>
      </c>
    </row>
    <row r="25" spans="3:3">
      <c r="C25" s="154" t="str">
        <f>IF(GeneticTestExpression!J25="*  ..  ##34###34# ##334###334#","//--- END",GeneticTestExpression!J25)</f>
        <v>//--- END</v>
      </c>
    </row>
    <row r="26" spans="3:3">
      <c r="C26" s="154" t="str">
        <f>IF(GeneticTestExpression!J26="*  ..  ##34###34# ##334###334#","//--- END",GeneticTestExpression!J26)</f>
        <v>//--- END</v>
      </c>
    </row>
    <row r="27" spans="3:3">
      <c r="C27" s="154" t="str">
        <f>IF(GeneticTestExpression!J27="*  ..  ##34###34# ##334###334#","//--- END",GeneticTestExpression!J27)</f>
        <v>//--- END</v>
      </c>
    </row>
    <row r="31" spans="3:3">
      <c r="C31" s="152" t="s">
        <v>1613</v>
      </c>
    </row>
    <row r="32" spans="3:3">
      <c r="C32" s="24" t="s">
        <v>1651</v>
      </c>
    </row>
    <row r="33" spans="3:3">
      <c r="C33" s="24" t="s">
        <v>1613</v>
      </c>
    </row>
    <row r="34" spans="3:3">
      <c r="C34" s="154" t="str">
        <f>IF(GeneticTestExpression!L8="*  ..  ##34###34# ##334###334#","//--- END",GeneticTestExpression!L8)</f>
        <v/>
      </c>
    </row>
    <row r="35" spans="3:3">
      <c r="C35" s="154" t="str">
        <f>IF(GeneticTestExpression!L9="*  ..  ##34###34# ##334###334#","//--- END",GeneticTestExpression!L9)</f>
        <v/>
      </c>
    </row>
    <row r="36" spans="3:3">
      <c r="C36" s="154" t="str">
        <f>IF(GeneticTestExpression!L10="*  ..  ##34###34# ##334###334#","//--- END",GeneticTestExpression!L10)</f>
        <v/>
      </c>
    </row>
    <row r="37" spans="3:3">
      <c r="C37" s="154" t="str">
        <f>IF(GeneticTestExpression!L11="*  ..  ##34###34# ##334###334#","//--- END",GeneticTestExpression!L11)</f>
        <v/>
      </c>
    </row>
    <row r="38" spans="3:3">
      <c r="C38" s="154" t="str">
        <f>IF(GeneticTestExpression!L12="*  ..  ##34###34# ##334###334#","//--- END",GeneticTestExpression!L12)</f>
        <v/>
      </c>
    </row>
    <row r="39" spans="3:3">
      <c r="C39" s="154" t="str">
        <f>IF(GeneticTestExpression!L13="*  ..  ##34###34# ##334###334#","//--- END",GeneticTestExpression!L13)</f>
        <v/>
      </c>
    </row>
    <row r="40" spans="3:3">
      <c r="C40" s="154" t="str">
        <f>IF(GeneticTestExpression!L14="*  ..  ##34###34# ##334###334#","//--- END",GeneticTestExpression!L14)</f>
        <v/>
      </c>
    </row>
    <row r="41" spans="3:3">
      <c r="C41" s="154" t="str">
        <f>IF(GeneticTestExpression!L15="*  ..  ##34###34# ##334###334#","//--- END",GeneticTestExpression!L15)</f>
        <v/>
      </c>
    </row>
    <row r="42" spans="3:3">
      <c r="C42" s="154" t="str">
        <f>IF(GeneticTestExpression!L16="*  ..  ##34###34# ##334###334#","//--- END",GeneticTestExpression!L16)</f>
        <v/>
      </c>
    </row>
    <row r="43" spans="3:3">
      <c r="C43" s="154" t="str">
        <f>IF(GeneticTestExpression!L17="*  ..  ##34###34# ##334###334#","//--- END",GeneticTestExpression!L17)</f>
        <v/>
      </c>
    </row>
    <row r="44" spans="3:3">
      <c r="C44" s="154" t="str">
        <f>IF(GeneticTestExpression!L18="*  ..  ##34###34# ##334###334#","//--- END",GeneticTestExpression!L18)</f>
        <v/>
      </c>
    </row>
    <row r="45" spans="3:3">
      <c r="C45" s="154" t="str">
        <f>IF(GeneticTestExpression!L19="*  ..  ##34###34# ##334###334#","//--- END",GeneticTestExpression!L19)</f>
        <v/>
      </c>
    </row>
    <row r="46" spans="3:3">
      <c r="C46" s="154" t="str">
        <f>IF(GeneticTestExpression!L20="*  ..  ##34###34# ##334###334#","//--- END",GeneticTestExpression!L20)</f>
        <v/>
      </c>
    </row>
    <row r="47" spans="3:3">
      <c r="C47" s="154" t="str">
        <f>IF(GeneticTestExpression!L21="*  ..  ##34###34# ##334###334#","//--- END",GeneticTestExpression!L21)</f>
        <v/>
      </c>
    </row>
    <row r="48" spans="3:3">
      <c r="C48" s="154" t="str">
        <f>IF(GeneticTestExpression!L22="*  ..  ##34###34# ##334###334#","//--- END",GeneticTestExpression!L22)</f>
        <v/>
      </c>
    </row>
    <row r="49" spans="3:3">
      <c r="C49" s="154" t="str">
        <f>IF(GeneticTestExpression!L23="*  ..  ##34###34# ##334###334#","//--- END",GeneticTestExpression!L23)</f>
        <v>//--- END</v>
      </c>
    </row>
    <row r="50" spans="3:3">
      <c r="C50" s="154" t="str">
        <f>IF(GeneticTestExpression!L24="*  ..  ##34###34# ##334###334#","//--- END",GeneticTestExpression!L24)</f>
        <v>//--- END</v>
      </c>
    </row>
    <row r="51" spans="3:3">
      <c r="C51" s="154" t="str">
        <f>IF(GeneticTestExpression!L25="*  ..  ##34###34# ##334###334#","//--- END",GeneticTestExpression!L25)</f>
        <v>//--- END</v>
      </c>
    </row>
    <row r="52" spans="3:3">
      <c r="C52" s="154" t="str">
        <f>IF(GeneticTestExpression!L26="*  ..  ##34###34# ##334###334#","//--- END",GeneticTestExpression!L26)</f>
        <v>//--- END</v>
      </c>
    </row>
    <row r="53" spans="3:3">
      <c r="C53" s="154" t="str">
        <f>IF(GeneticTestExpression!L27="*  ..  ##34###34# ##334###334#","//--- END",GeneticTestExpression!L27)</f>
        <v>//--- END</v>
      </c>
    </row>
    <row r="54" spans="3:3">
      <c r="C54" s="154" t="str">
        <f>IF(GeneticTestExpression!L28="*  ..  ##34###34# ##334###334#","//--- END",GeneticTestExpression!L28)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2291</v>
      </c>
      <c r="D3" s="62" t="s">
        <v>1769</v>
      </c>
      <c r="E3" s="117" t="str">
        <f>$C$1&amp;B14</f>
        <v>http://hl7.eu/fhir/ig/idea4rc/StructureDefinition/GeneticTestExpressionI4rc</v>
      </c>
    </row>
    <row r="4" spans="1:19">
      <c r="B4" s="62" t="s">
        <v>16</v>
      </c>
      <c r="C4" s="28" t="s">
        <v>2291</v>
      </c>
      <c r="D4" s="62" t="s">
        <v>1770</v>
      </c>
      <c r="E4" s="184" t="s">
        <v>2242</v>
      </c>
      <c r="F4" s="185"/>
      <c r="G4" s="185"/>
    </row>
    <row r="5" spans="1:19">
      <c r="B5" s="62" t="s">
        <v>10</v>
      </c>
      <c r="C5" s="7" t="s">
        <v>2199</v>
      </c>
      <c r="D5" s="62"/>
      <c r="E5" s="7"/>
    </row>
    <row r="6" spans="1:19">
      <c r="B6" s="62" t="s">
        <v>18</v>
      </c>
      <c r="C6" s="56"/>
      <c r="D6" s="62" t="s">
        <v>1771</v>
      </c>
      <c r="E6" s="184" t="str">
        <f>E3</f>
        <v>http://hl7.eu/fhir/ig/idea4rc/StructureDefinition/GeneticTestExpressionI4rc</v>
      </c>
      <c r="F6" s="185"/>
      <c r="G6" s="185"/>
    </row>
    <row r="7" spans="1:19">
      <c r="B7" s="62" t="s">
        <v>15</v>
      </c>
      <c r="C7" s="118"/>
      <c r="D7" s="62" t="s">
        <v>1772</v>
      </c>
      <c r="E7" s="184" t="str">
        <f>E4</f>
        <v>http://hl7.eu/fhir/ig/idea4rc/StructureDefinition/Procedure-radiotheraphy-eu-i4rc</v>
      </c>
      <c r="F7" s="185"/>
      <c r="G7" s="185"/>
    </row>
    <row r="8" spans="1:19" ht="45" thickBot="1">
      <c r="B8" s="62" t="s">
        <v>1773</v>
      </c>
      <c r="C8" s="7" t="s">
        <v>2199</v>
      </c>
      <c r="D8" s="62"/>
      <c r="E8" s="7"/>
      <c r="I8" s="12" t="s">
        <v>1402</v>
      </c>
      <c r="J8" s="12" t="s">
        <v>1403</v>
      </c>
      <c r="K8" s="12" t="s">
        <v>1404</v>
      </c>
      <c r="L8" s="12" t="s">
        <v>1405</v>
      </c>
      <c r="M8" s="11" t="s">
        <v>1406</v>
      </c>
      <c r="P8" s="49" t="s">
        <v>1441</v>
      </c>
      <c r="Q8" s="49">
        <v>6</v>
      </c>
    </row>
    <row r="9" spans="1:19" ht="30.25" thickBot="1">
      <c r="B9" s="62" t="s">
        <v>1774</v>
      </c>
      <c r="C9" s="12" t="s">
        <v>2200</v>
      </c>
      <c r="D9" s="143"/>
      <c r="E9" s="186"/>
      <c r="F9" s="187"/>
      <c r="G9" s="18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GeneticTestExpression!B4</f>
        <v>GeneticTestExpressionI4rc</v>
      </c>
      <c r="C14" s="11"/>
      <c r="D14" s="4" t="s">
        <v>2182</v>
      </c>
      <c r="E14" s="6"/>
      <c r="F14" s="64"/>
      <c r="G14" s="64"/>
      <c r="I14" s="12"/>
      <c r="J14" s="11"/>
      <c r="K14" s="11"/>
      <c r="L14" s="11"/>
      <c r="M14" s="63"/>
      <c r="N14" s="66"/>
    </row>
    <row r="15" spans="1:19" ht="44.25">
      <c r="A15" s="59"/>
      <c r="B15" s="11"/>
      <c r="C15" s="11"/>
      <c r="D15" s="12"/>
      <c r="E15" s="12"/>
      <c r="F15" s="64"/>
      <c r="G15" s="123"/>
      <c r="I15" s="12" t="str">
        <f>"* group[=].element[+].code = #"&amp;$B$14&amp;"."&amp;B15</f>
        <v>* group[=].element[+].code = #GeneticTestExpressionI4rc.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INDEX('GeneticTestExp-ConceptMap-1'!$I$15:$N$124,Q15+1,R15)</f>
        <v>* group[=].element[+].code = #GeneticTestExpressionI4rc.</v>
      </c>
    </row>
    <row r="16" spans="1:19" ht="44.25">
      <c r="A16" s="59"/>
      <c r="B16" s="11"/>
      <c r="C16" s="11"/>
      <c r="D16" s="12"/>
      <c r="E16" s="12"/>
      <c r="F16" s="64"/>
      <c r="G16" s="123"/>
      <c r="I16" s="12" t="str">
        <f t="shared" ref="I16:I38" si="7">"* group[=].element[+].code = #"&amp;$B$14&amp;"."&amp;B16</f>
        <v>* group[=].element[+].code = #GeneticTestExpressionI4rc.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INDEX('GeneticTestExp-ConceptMap-1'!$I$15:$N$124,Q16+1,R16)</f>
        <v>* group[=].element[=].display = ##34###34#</v>
      </c>
    </row>
    <row r="17" spans="1:19" ht="59" customHeight="1">
      <c r="A17" s="59"/>
      <c r="B17" s="11"/>
      <c r="C17" s="11"/>
      <c r="D17" s="12"/>
      <c r="E17" s="12"/>
      <c r="F17" s="64"/>
      <c r="G17" s="123"/>
      <c r="H17" s="58"/>
      <c r="I17" s="12" t="str">
        <f t="shared" si="7"/>
        <v>* group[=].element[+].code = #GeneticTestExpressionI4rc.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INDEX('GeneticTestExp-ConceptMap-1'!$I$15:$N$124,Q17+1,R17)</f>
        <v>* group[=].element[=].target.code = #Procedure.</v>
      </c>
    </row>
    <row r="18" spans="1:19" ht="44.25">
      <c r="A18" s="59"/>
      <c r="B18" s="11"/>
      <c r="C18" s="11"/>
      <c r="D18" s="12"/>
      <c r="E18" s="12"/>
      <c r="F18" s="64"/>
      <c r="G18" s="123"/>
      <c r="H18" s="58"/>
      <c r="I18" s="12" t="str">
        <f t="shared" si="7"/>
        <v>* group[=].element[+].code = #GeneticTestExpressionI4rc.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INDEX('GeneticTestExp-ConceptMap-1'!$I$15:$N$124,Q18+1,R18)</f>
        <v>* group[=].element[=].target.display = ##34###34#</v>
      </c>
    </row>
    <row r="19" spans="1:19" ht="44.25">
      <c r="A19" s="59"/>
      <c r="B19" s="11"/>
      <c r="C19" s="11"/>
      <c r="D19" s="12"/>
      <c r="E19" s="12"/>
      <c r="F19" s="64"/>
      <c r="G19" s="123"/>
      <c r="H19" s="58"/>
      <c r="I19" s="12" t="str">
        <f t="shared" si="7"/>
        <v>* group[=].element[+].code = #GeneticTestExpressionI4rc.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INDEX('GeneticTestExp-ConceptMap-1'!$I$15:$N$124,Q19+1,R19)</f>
        <v>* group[=].element[=].target.equivalence = #</v>
      </c>
    </row>
    <row r="20" spans="1:19" ht="44.25">
      <c r="A20" s="59"/>
      <c r="B20" s="11"/>
      <c r="C20" s="11"/>
      <c r="D20" s="12"/>
      <c r="E20" s="12"/>
      <c r="F20" s="64"/>
      <c r="G20" s="123"/>
      <c r="H20" s="58"/>
      <c r="I20" s="12" t="str">
        <f t="shared" si="7"/>
        <v>* group[=].element[+].code = #GeneticTestExpressionI4rc.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INDEX('GeneticTestExp-ConceptMap-1'!$I$15:$N$124,Q20+1,R20)</f>
        <v/>
      </c>
    </row>
    <row r="21" spans="1:19" ht="44.25">
      <c r="A21" s="59"/>
      <c r="B21" s="11"/>
      <c r="C21" s="11"/>
      <c r="D21" s="12"/>
      <c r="E21" s="12"/>
      <c r="F21" s="64"/>
      <c r="G21" s="123"/>
      <c r="H21" s="58"/>
      <c r="I21" s="12" t="str">
        <f t="shared" si="7"/>
        <v>* group[=].element[+].code = #GeneticTestExpressionI4rc.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INDEX('GeneticTestExp-ConceptMap-1'!$I$15:$N$124,Q21+1,R21)</f>
        <v>* group[=].element[+].code = #GeneticTestExpressionI4rc.</v>
      </c>
    </row>
    <row r="22" spans="1:19" ht="44.25">
      <c r="A22" s="59"/>
      <c r="B22" s="11"/>
      <c r="C22" s="11"/>
      <c r="D22" s="12"/>
      <c r="E22" s="12"/>
      <c r="F22" s="64"/>
      <c r="G22" s="123"/>
      <c r="H22" s="58"/>
      <c r="I22" s="12" t="str">
        <f t="shared" si="7"/>
        <v>* group[=].element[+].code = #GeneticTestExpressionI4rc.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INDEX('GeneticTestExp-ConceptMap-1'!$I$15:$N$124,Q22+1,R22)</f>
        <v>* group[=].element[=].display = ##34###34#</v>
      </c>
    </row>
    <row r="23" spans="1:19" ht="44.25">
      <c r="A23" s="59"/>
      <c r="B23" s="11"/>
      <c r="C23" s="11"/>
      <c r="D23" s="12"/>
      <c r="E23" s="12"/>
      <c r="F23" s="64"/>
      <c r="G23" s="123"/>
      <c r="H23" s="58"/>
      <c r="I23" s="12" t="str">
        <f t="shared" si="7"/>
        <v>* group[=].element[+].code = #GeneticTestExpressionI4rc.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INDEX('GeneticTestExp-ConceptMap-1'!$I$15:$N$124,Q23+1,R23)</f>
        <v>* group[=].element[=].target.code = #Procedure.</v>
      </c>
    </row>
    <row r="24" spans="1:19" ht="29.5" customHeight="1">
      <c r="A24" s="59"/>
      <c r="B24" s="11"/>
      <c r="C24" s="11"/>
      <c r="D24" s="12"/>
      <c r="E24" s="12"/>
      <c r="F24" s="64"/>
      <c r="G24" s="123"/>
      <c r="H24" s="58"/>
      <c r="I24" s="12" t="str">
        <f t="shared" si="7"/>
        <v>* group[=].element[+].code = #GeneticTestExpressionI4rc.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INDEX('GeneticTestExp-ConceptMap-1'!$I$15:$N$124,Q24+1,R24)</f>
        <v>* group[=].element[=].target.display = ##34###34#</v>
      </c>
    </row>
    <row r="25" spans="1:19" ht="44.25">
      <c r="A25" s="59"/>
      <c r="B25" s="11"/>
      <c r="C25" s="11"/>
      <c r="D25" s="12"/>
      <c r="E25" s="12"/>
      <c r="F25" s="64"/>
      <c r="G25" s="123"/>
      <c r="H25" s="58"/>
      <c r="I25" s="12" t="str">
        <f t="shared" si="7"/>
        <v>* group[=].element[+].code = #GeneticTestExpressionI4rc.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INDEX('GeneticTestExp-ConceptMap-1'!$I$15:$N$124,Q25+1,R25)</f>
        <v>* group[=].element[=].target.equivalence = #</v>
      </c>
    </row>
    <row r="26" spans="1:19" ht="44.25">
      <c r="A26" s="59"/>
      <c r="B26" s="11"/>
      <c r="C26" s="11"/>
      <c r="D26" s="12"/>
      <c r="E26" s="12"/>
      <c r="F26" s="64"/>
      <c r="G26" s="123"/>
      <c r="H26" s="58"/>
      <c r="I26" s="12" t="str">
        <f t="shared" si="7"/>
        <v>* group[=].element[+].code = #GeneticTestExpressionI4rc.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INDEX('GeneticTestExp-ConceptMap-1'!$I$15:$N$124,Q26+1,R26)</f>
        <v/>
      </c>
    </row>
    <row r="27" spans="1:19" ht="44.25">
      <c r="A27" s="59"/>
      <c r="B27" s="11"/>
      <c r="C27" s="11"/>
      <c r="D27" s="12"/>
      <c r="E27" s="12"/>
      <c r="F27" s="64"/>
      <c r="G27" s="123"/>
      <c r="H27" s="58"/>
      <c r="I27" s="12" t="str">
        <f t="shared" si="7"/>
        <v>* group[=].element[+].code = #GeneticTestExpressionI4rc.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INDEX('GeneticTestExp-ConceptMap-1'!$I$15:$N$124,Q27+1,R27)</f>
        <v>* group[=].element[+].code = #GeneticTestExpressionI4rc.</v>
      </c>
    </row>
    <row r="28" spans="1:19" ht="44.25">
      <c r="B28" s="11"/>
      <c r="C28" s="11"/>
      <c r="D28" s="12"/>
      <c r="E28" s="12"/>
      <c r="F28" s="64"/>
      <c r="G28" s="123"/>
      <c r="H28" s="58"/>
      <c r="I28" s="12" t="str">
        <f t="shared" si="7"/>
        <v>* group[=].element[+].code = #GeneticTestExpressionI4rc.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INDEX('GeneticTestExp-ConceptMap-1'!$I$15:$N$124,Q28+1,R28)</f>
        <v>* group[=].element[=].display = ##34###34#</v>
      </c>
    </row>
    <row r="29" spans="1:19" ht="44.25">
      <c r="B29" s="11"/>
      <c r="C29" s="11"/>
      <c r="D29" s="12"/>
      <c r="E29" s="12"/>
      <c r="F29" s="64"/>
      <c r="G29" s="123"/>
      <c r="H29" s="58"/>
      <c r="I29" s="12" t="str">
        <f t="shared" si="7"/>
        <v>* group[=].element[+].code = #GeneticTestExpressionI4rc.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INDEX('GeneticTestExp-ConceptMap-1'!$I$15:$N$124,Q29+1,R29)</f>
        <v>* group[=].element[=].target.code = #Procedure.</v>
      </c>
    </row>
    <row r="30" spans="1:19" ht="44.25">
      <c r="B30" s="11"/>
      <c r="C30" s="11"/>
      <c r="D30" s="12"/>
      <c r="E30" s="12"/>
      <c r="F30" s="64"/>
      <c r="G30" s="123"/>
      <c r="H30" s="58"/>
      <c r="I30" s="12" t="str">
        <f t="shared" si="7"/>
        <v>* group[=].element[+].code = #GeneticTestExpressionI4rc.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INDEX('GeneticTestExp-ConceptMap-1'!$I$15:$N$124,Q30+1,R30)</f>
        <v>* group[=].element[=].target.display = ##34###34#</v>
      </c>
    </row>
    <row r="31" spans="1:19" ht="44.25">
      <c r="B31" s="11"/>
      <c r="C31" s="11"/>
      <c r="D31" s="12"/>
      <c r="E31" s="12"/>
      <c r="F31" s="64"/>
      <c r="G31" s="123"/>
      <c r="H31" s="58"/>
      <c r="I31" s="12" t="str">
        <f t="shared" si="7"/>
        <v>* group[=].element[+].code = #GeneticTestExpressionI4rc.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INDEX('GeneticTestExp-ConceptMap-1'!$I$15:$N$124,Q31+1,R31)</f>
        <v>* group[=].element[=].target.equivalence = #</v>
      </c>
    </row>
    <row r="32" spans="1:19" ht="44.25">
      <c r="B32" s="11"/>
      <c r="C32" s="11"/>
      <c r="D32" s="12"/>
      <c r="E32" s="12"/>
      <c r="F32" s="64"/>
      <c r="G32" s="123"/>
      <c r="H32" s="58"/>
      <c r="I32" s="12" t="str">
        <f t="shared" si="7"/>
        <v>* group[=].element[+].code = #GeneticTestExpressionI4rc.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INDEX('GeneticTestExp-ConceptMap-1'!$I$15:$N$124,Q32+1,R32)</f>
        <v/>
      </c>
    </row>
    <row r="33" spans="1:19" ht="44.25">
      <c r="B33" s="11"/>
      <c r="C33" s="11"/>
      <c r="D33" s="12"/>
      <c r="E33" s="12"/>
      <c r="F33" s="64"/>
      <c r="G33" s="123"/>
      <c r="H33" s="58"/>
      <c r="I33" s="12" t="str">
        <f t="shared" si="7"/>
        <v>* group[=].element[+].code = #GeneticTestExpressionI4rc.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INDEX('GeneticTestExp-ConceptMap-1'!$I$15:$N$124,Q33+1,R33)</f>
        <v>* group[=].element[+].code = #GeneticTestExpressionI4rc.</v>
      </c>
    </row>
    <row r="34" spans="1:19" ht="44.25">
      <c r="B34" s="11"/>
      <c r="C34" s="11"/>
      <c r="D34" s="12"/>
      <c r="E34" s="12"/>
      <c r="F34" s="64"/>
      <c r="G34" s="123"/>
      <c r="H34" s="58"/>
      <c r="I34" s="12" t="str">
        <f t="shared" si="7"/>
        <v>* group[=].element[+].code = #GeneticTestExpressionI4rc.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INDEX('GeneticTestExp-ConceptMap-1'!$I$15:$N$124,Q34+1,R34)</f>
        <v>* group[=].element[=].display = ##34###34#</v>
      </c>
    </row>
    <row r="35" spans="1:19" ht="44.25">
      <c r="B35" s="11"/>
      <c r="C35" s="11"/>
      <c r="D35" s="12"/>
      <c r="E35" s="12"/>
      <c r="F35" s="64"/>
      <c r="G35" s="123"/>
      <c r="H35" s="58"/>
      <c r="I35" s="12" t="str">
        <f t="shared" si="7"/>
        <v>* group[=].element[+].code = #GeneticTestExpressionI4rc.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INDEX('GeneticTestExp-ConceptMap-1'!$I$15:$N$124,Q35+1,R35)</f>
        <v>* group[=].element[=].target.code = #Procedure.</v>
      </c>
    </row>
    <row r="36" spans="1:19" ht="44.25">
      <c r="B36" s="11"/>
      <c r="C36" s="11"/>
      <c r="D36" s="12"/>
      <c r="E36" s="12"/>
      <c r="F36" s="64"/>
      <c r="G36" s="123"/>
      <c r="H36" s="58"/>
      <c r="I36" s="12" t="str">
        <f t="shared" si="7"/>
        <v>* group[=].element[+].code = #GeneticTestExpressionI4rc.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INDEX('GeneticTestExp-ConceptMap-1'!$I$15:$N$124,Q36+1,R36)</f>
        <v>* group[=].element[=].target.display = ##34###34#</v>
      </c>
    </row>
    <row r="37" spans="1:19" ht="44.25">
      <c r="B37" s="11"/>
      <c r="C37" s="11"/>
      <c r="D37" s="12"/>
      <c r="E37" s="12"/>
      <c r="F37" s="64"/>
      <c r="G37" s="123"/>
      <c r="H37" s="58"/>
      <c r="I37" s="12" t="str">
        <f t="shared" si="7"/>
        <v>* group[=].element[+].code = #GeneticTestExpressionI4rc.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INDEX('GeneticTestExp-ConceptMap-1'!$I$15:$N$124,Q37+1,R37)</f>
        <v>* group[=].element[=].target.equivalence = #</v>
      </c>
    </row>
    <row r="38" spans="1:19" ht="14.75" customHeight="1">
      <c r="B38" s="11"/>
      <c r="C38" s="11"/>
      <c r="D38" s="12"/>
      <c r="E38" s="12"/>
      <c r="F38" s="64"/>
      <c r="G38" s="123"/>
      <c r="H38" s="58"/>
      <c r="I38" s="12" t="str">
        <f t="shared" si="7"/>
        <v>* group[=].element[+].code = #GeneticTestExpressionI4rc.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INDEX('GeneticTestExp-ConceptMap-1'!$I$15:$N$124,Q38+1,R38)</f>
        <v/>
      </c>
    </row>
    <row r="39" spans="1:19" ht="44.25">
      <c r="B39" s="11"/>
      <c r="C39" s="11"/>
      <c r="D39" s="12"/>
      <c r="E39" s="12"/>
      <c r="F39" s="64"/>
      <c r="G39" s="123"/>
      <c r="H39" s="58"/>
      <c r="I39" s="12" t="str">
        <f>"* group[=].element[+].code = #"&amp;$B$14&amp;"."&amp;B39</f>
        <v>* group[=].element[+].code = #GeneticTestExpressionI4rc.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INDEX('GeneticTestExp-ConceptMap-1'!$I$15:$N$124,Q39+1,R39)</f>
        <v>* group[=].element[+].code = #GeneticTestExpressionI4rc.</v>
      </c>
    </row>
    <row r="40" spans="1:19" s="2" customFormat="1" ht="44.25">
      <c r="A40"/>
      <c r="B40" s="11"/>
      <c r="C40" s="11"/>
      <c r="D40" s="12"/>
      <c r="E40" s="12"/>
      <c r="F40" s="64"/>
      <c r="G40" s="123"/>
      <c r="H40" s="58"/>
      <c r="I40" s="12" t="str">
        <f t="shared" ref="I40:I41" si="8">"* group[=].element[+].code = #"&amp;$B$14&amp;"."&amp;B40</f>
        <v>* group[=].element[+].code = #GeneticTestExpressionI4rc.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INDEX('GeneticTestExp-ConceptMap-1'!$I$15:$N$124,Q40+1,R40)</f>
        <v>* group[=].element[=].display = ##34###34#</v>
      </c>
    </row>
    <row r="41" spans="1:19" s="2" customFormat="1" ht="44.25">
      <c r="A41"/>
      <c r="B41" s="11"/>
      <c r="C41" s="11"/>
      <c r="D41" s="12"/>
      <c r="E41" s="12"/>
      <c r="F41" s="64"/>
      <c r="G41" s="123"/>
      <c r="H41" s="58"/>
      <c r="I41" s="12" t="str">
        <f t="shared" si="8"/>
        <v>* group[=].element[+].code = #GeneticTestExpressionI4rc.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INDEX('GeneticTestExp-ConceptMap-1'!$I$15:$N$124,Q41+1,R41)</f>
        <v>* group[=].element[=].target.code = #Procedure.</v>
      </c>
    </row>
    <row r="42" spans="1:19" s="2" customFormat="1">
      <c r="A42"/>
      <c r="B42" s="11"/>
      <c r="C42" s="11"/>
      <c r="D42" s="12"/>
      <c r="E42" s="12"/>
      <c r="F42" s="64"/>
      <c r="G42" s="123"/>
      <c r="H42" s="58"/>
      <c r="J42"/>
      <c r="K42" s="58"/>
      <c r="L42" s="58"/>
      <c r="M42" s="66"/>
      <c r="N42" s="66"/>
      <c r="P42" s="11">
        <v>28</v>
      </c>
      <c r="Q42" s="11">
        <f t="shared" si="5"/>
        <v>4</v>
      </c>
      <c r="R42" s="11">
        <f t="shared" si="6"/>
        <v>4</v>
      </c>
      <c r="S42" s="12" t="str" cm="1">
        <f t="array" ref="S42">INDEX('GeneticTestExp-ConceptMap-1'!$I$15:$N$124,Q42+1,R42)</f>
        <v>* group[=].element[=].target.display = ##34###34#</v>
      </c>
    </row>
    <row r="43" spans="1:19" s="2" customFormat="1">
      <c r="A43"/>
      <c r="B43" s="11"/>
      <c r="C43" s="11"/>
      <c r="D43" s="12"/>
      <c r="E43" s="12"/>
      <c r="F43" s="64"/>
      <c r="G43" s="123"/>
      <c r="H43" s="58"/>
      <c r="J43" s="58"/>
      <c r="K43" s="58"/>
      <c r="L43" s="58"/>
      <c r="M43" s="66"/>
      <c r="N43" s="66"/>
      <c r="P43" s="11">
        <v>29</v>
      </c>
      <c r="Q43" s="11">
        <f t="shared" si="5"/>
        <v>4</v>
      </c>
      <c r="R43" s="11">
        <f t="shared" si="6"/>
        <v>5</v>
      </c>
      <c r="S43" s="12" t="str" cm="1">
        <f t="array" ref="S43">INDEX('GeneticTestExp-ConceptMap-1'!$I$15:$N$124,Q43+1,R43)</f>
        <v>* group[=].element[=].target.equivalence = #</v>
      </c>
    </row>
    <row r="44" spans="1:19" s="2" customFormat="1">
      <c r="A44"/>
      <c r="B44" s="11"/>
      <c r="C44" s="11"/>
      <c r="D44" s="12"/>
      <c r="E44" s="12"/>
      <c r="F44" s="64"/>
      <c r="G44" s="123"/>
      <c r="H44" s="58"/>
      <c r="J44" s="58"/>
      <c r="K44" s="58"/>
      <c r="L44" s="58"/>
      <c r="M44" s="66"/>
      <c r="N44" s="66"/>
      <c r="P44" s="11">
        <v>30</v>
      </c>
      <c r="Q44" s="11">
        <f t="shared" si="5"/>
        <v>4</v>
      </c>
      <c r="R44" s="11">
        <f t="shared" si="6"/>
        <v>6</v>
      </c>
      <c r="S44" s="12" t="str" cm="1">
        <f t="array" ref="S44">INDEX('GeneticTestExp-ConceptMap-1'!$I$15:$N$124,Q44+1,R44)</f>
        <v/>
      </c>
    </row>
    <row r="45" spans="1:19">
      <c r="B45" s="11"/>
      <c r="C45" s="11"/>
      <c r="D45" s="12"/>
      <c r="E45" s="12"/>
      <c r="F45" s="64"/>
      <c r="G45" s="123"/>
      <c r="P45" s="11">
        <v>31</v>
      </c>
      <c r="Q45" s="11">
        <f t="shared" si="5"/>
        <v>5</v>
      </c>
      <c r="R45" s="11">
        <f t="shared" si="6"/>
        <v>1</v>
      </c>
      <c r="S45" s="12" t="str" cm="1">
        <f t="array" ref="S45">INDEX('GeneticTestExp-ConceptMap-1'!$I$15:$N$124,Q45+1,R45)</f>
        <v>* group[=].element[+].code = #GeneticTestExpressionI4rc.</v>
      </c>
    </row>
    <row r="46" spans="1:19">
      <c r="B46" s="11"/>
      <c r="C46" s="11"/>
      <c r="D46" s="12"/>
      <c r="E46" s="12"/>
      <c r="F46" s="64"/>
      <c r="G46" s="123"/>
      <c r="P46" s="11">
        <v>32</v>
      </c>
      <c r="Q46" s="11">
        <f t="shared" si="5"/>
        <v>5</v>
      </c>
      <c r="R46" s="11">
        <f t="shared" si="6"/>
        <v>2</v>
      </c>
      <c r="S46" s="12" t="str" cm="1">
        <f t="array" ref="S46">INDEX('GeneticTestExp-ConceptMap-1'!$I$15:$N$124,Q46+1,R46)</f>
        <v>* group[=].element[=].display = ##34###34#</v>
      </c>
    </row>
    <row r="47" spans="1:19">
      <c r="B47" s="11"/>
      <c r="C47" s="11"/>
      <c r="D47" s="12"/>
      <c r="E47" s="12"/>
      <c r="F47" s="64"/>
      <c r="G47" s="123"/>
      <c r="P47" s="11">
        <v>33</v>
      </c>
      <c r="Q47" s="11">
        <f t="shared" si="5"/>
        <v>5</v>
      </c>
      <c r="R47" s="11">
        <f t="shared" si="6"/>
        <v>3</v>
      </c>
      <c r="S47" s="12" t="str" cm="1">
        <f t="array" ref="S47">INDEX('GeneticTestExp-ConceptMap-1'!$I$15:$N$124,Q47+1,R47)</f>
        <v>* group[=].element[=].target.code = #Procedure.</v>
      </c>
    </row>
    <row r="48" spans="1:19">
      <c r="B48" s="11"/>
      <c r="C48" s="11"/>
      <c r="D48" s="12"/>
      <c r="E48" s="12"/>
      <c r="F48" s="64"/>
      <c r="G48" s="123"/>
      <c r="P48" s="11">
        <v>34</v>
      </c>
      <c r="Q48" s="11">
        <f t="shared" si="5"/>
        <v>5</v>
      </c>
      <c r="R48" s="11">
        <f t="shared" si="6"/>
        <v>4</v>
      </c>
      <c r="S48" s="12" t="str" cm="1">
        <f t="array" ref="S48">INDEX('GeneticTestExp-ConceptMap-1'!$I$15:$N$124,Q48+1,R48)</f>
        <v>* group[=].element[=].target.display = ##34###34#</v>
      </c>
    </row>
    <row r="49" spans="2:19">
      <c r="B49" s="11"/>
      <c r="C49" s="11"/>
      <c r="D49" s="12"/>
      <c r="E49" s="12"/>
      <c r="F49" s="64"/>
      <c r="G49" s="123"/>
      <c r="P49" s="11">
        <v>35</v>
      </c>
      <c r="Q49" s="11">
        <f t="shared" si="5"/>
        <v>5</v>
      </c>
      <c r="R49" s="11">
        <f t="shared" si="6"/>
        <v>5</v>
      </c>
      <c r="S49" s="12" t="str" cm="1">
        <f t="array" ref="S49">INDEX('GeneticTestExp-ConceptMap-1'!$I$15:$N$124,Q49+1,R49)</f>
        <v>* group[=].element[=].target.equivalence = #</v>
      </c>
    </row>
    <row r="50" spans="2:19">
      <c r="B50" s="11"/>
      <c r="C50" s="11"/>
      <c r="D50" s="12"/>
      <c r="E50" s="12"/>
      <c r="F50" s="64"/>
      <c r="G50" s="123"/>
      <c r="P50" s="11">
        <v>36</v>
      </c>
      <c r="Q50" s="11">
        <f t="shared" si="5"/>
        <v>5</v>
      </c>
      <c r="R50" s="11">
        <f t="shared" si="6"/>
        <v>6</v>
      </c>
      <c r="S50" s="12" t="str" cm="1">
        <f t="array" ref="S50">INDEX('GeneticTestExp-ConceptMap-1'!$I$15:$N$124,Q50+1,R50)</f>
        <v/>
      </c>
    </row>
    <row r="51" spans="2:19">
      <c r="B51" s="11"/>
      <c r="C51" s="11"/>
      <c r="D51" s="12"/>
      <c r="E51" s="12"/>
      <c r="F51" s="64"/>
      <c r="G51" s="123"/>
      <c r="P51" s="11">
        <v>37</v>
      </c>
      <c r="Q51" s="11">
        <f t="shared" si="5"/>
        <v>6</v>
      </c>
      <c r="R51" s="11">
        <f t="shared" si="6"/>
        <v>1</v>
      </c>
      <c r="S51" s="12" t="str" cm="1">
        <f t="array" ref="S51">INDEX('GeneticTestExp-ConceptMap-1'!$I$15:$N$124,Q51+1,R51)</f>
        <v>* group[=].element[+].code = #GeneticTestExpressionI4rc.</v>
      </c>
    </row>
    <row r="52" spans="2:19">
      <c r="B52" s="11"/>
      <c r="C52" s="11"/>
      <c r="D52" s="12"/>
      <c r="E52" s="12"/>
      <c r="F52" s="64"/>
      <c r="G52" s="123"/>
      <c r="P52" s="11">
        <v>38</v>
      </c>
      <c r="Q52" s="11">
        <f t="shared" si="5"/>
        <v>6</v>
      </c>
      <c r="R52" s="11">
        <f t="shared" si="6"/>
        <v>2</v>
      </c>
      <c r="S52" s="12" t="str" cm="1">
        <f t="array" ref="S52">INDEX('GeneticTestExp-ConceptMap-1'!$I$15:$N$124,Q52+1,R52)</f>
        <v>* group[=].element[=].display = ##34###34#</v>
      </c>
    </row>
    <row r="53" spans="2:19">
      <c r="B53" s="11"/>
      <c r="C53" s="11"/>
      <c r="D53" s="12"/>
      <c r="E53" s="12"/>
      <c r="F53" s="64"/>
      <c r="G53" s="123"/>
      <c r="P53" s="11">
        <v>39</v>
      </c>
      <c r="Q53" s="11">
        <f t="shared" si="5"/>
        <v>6</v>
      </c>
      <c r="R53" s="11">
        <f t="shared" si="6"/>
        <v>3</v>
      </c>
      <c r="S53" s="12" t="str" cm="1">
        <f t="array" ref="S53">INDEX('GeneticTestExp-ConceptMap-1'!$I$15:$N$124,Q53+1,R53)</f>
        <v>* group[=].element[=].target.code = #Procedure.</v>
      </c>
    </row>
    <row r="54" spans="2:19">
      <c r="B54" s="11"/>
      <c r="C54" s="11"/>
      <c r="D54" s="12"/>
      <c r="E54" s="12"/>
      <c r="F54" s="64"/>
      <c r="G54" s="123"/>
      <c r="P54" s="11">
        <v>40</v>
      </c>
      <c r="Q54" s="11">
        <f t="shared" si="5"/>
        <v>6</v>
      </c>
      <c r="R54" s="11">
        <f t="shared" si="6"/>
        <v>4</v>
      </c>
      <c r="S54" s="12" t="str" cm="1">
        <f t="array" ref="S54">INDEX('GeneticTestExp-ConceptMap-1'!$I$15:$N$124,Q54+1,R54)</f>
        <v>* group[=].element[=].target.display = ##34###34#</v>
      </c>
    </row>
    <row r="55" spans="2:19">
      <c r="B55" s="11"/>
      <c r="C55" s="11"/>
      <c r="D55" s="12"/>
      <c r="E55" s="12"/>
      <c r="F55" s="64"/>
      <c r="G55" s="123"/>
      <c r="P55" s="11">
        <v>41</v>
      </c>
      <c r="Q55" s="11">
        <f t="shared" si="5"/>
        <v>6</v>
      </c>
      <c r="R55" s="11">
        <f t="shared" si="6"/>
        <v>5</v>
      </c>
      <c r="S55" s="12" t="str" cm="1">
        <f t="array" ref="S55">INDEX('GeneticTestExp-ConceptMap-1'!$I$15:$N$124,Q55+1,R55)</f>
        <v>* group[=].element[=].target.equivalence = #</v>
      </c>
    </row>
    <row r="56" spans="2:19">
      <c r="B56" s="11"/>
      <c r="C56" s="11"/>
      <c r="D56" s="12"/>
      <c r="E56" s="12"/>
      <c r="F56" s="64"/>
      <c r="G56" s="123"/>
      <c r="P56" s="11">
        <v>42</v>
      </c>
      <c r="Q56" s="11">
        <f t="shared" si="5"/>
        <v>6</v>
      </c>
      <c r="R56" s="11">
        <f t="shared" si="6"/>
        <v>6</v>
      </c>
      <c r="S56" s="12" t="str" cm="1">
        <f t="array" ref="S56">INDEX('GeneticTestExp-ConceptMap-1'!$I$15:$N$124,Q56+1,R56)</f>
        <v/>
      </c>
    </row>
    <row r="57" spans="2:19">
      <c r="B57" s="11"/>
      <c r="C57" s="11"/>
      <c r="D57" s="12"/>
      <c r="E57" s="12"/>
      <c r="F57" s="64"/>
      <c r="G57" s="123"/>
      <c r="P57" s="11">
        <v>43</v>
      </c>
      <c r="Q57" s="11">
        <f t="shared" si="5"/>
        <v>7</v>
      </c>
      <c r="R57" s="11">
        <f t="shared" si="6"/>
        <v>1</v>
      </c>
      <c r="S57" s="12" t="str" cm="1">
        <f t="array" ref="S57">INDEX('GeneticTestExp-ConceptMap-1'!$I$15:$N$124,Q57+1,R57)</f>
        <v>* group[=].element[+].code = #GeneticTestExpressionI4rc.</v>
      </c>
    </row>
    <row r="58" spans="2:19">
      <c r="B58" s="11"/>
      <c r="C58" s="11"/>
      <c r="D58" s="12"/>
      <c r="E58" s="12"/>
      <c r="F58" s="64"/>
      <c r="G58" s="123"/>
      <c r="P58" s="11">
        <v>44</v>
      </c>
      <c r="Q58" s="11">
        <f t="shared" si="5"/>
        <v>7</v>
      </c>
      <c r="R58" s="11">
        <f t="shared" si="6"/>
        <v>2</v>
      </c>
      <c r="S58" s="12" t="str" cm="1">
        <f t="array" ref="S58">INDEX('GeneticTestExp-ConceptMap-1'!$I$15:$N$124,Q58+1,R58)</f>
        <v>* group[=].element[=].display = ##34###34#</v>
      </c>
    </row>
    <row r="59" spans="2:19">
      <c r="B59" s="11"/>
      <c r="C59" s="11"/>
      <c r="D59" s="12"/>
      <c r="E59" s="12"/>
      <c r="F59" s="64"/>
      <c r="G59" s="123"/>
      <c r="P59" s="11">
        <v>45</v>
      </c>
      <c r="Q59" s="11">
        <f t="shared" si="5"/>
        <v>7</v>
      </c>
      <c r="R59" s="11">
        <f t="shared" si="6"/>
        <v>3</v>
      </c>
      <c r="S59" s="12" t="str" cm="1">
        <f t="array" ref="S59">INDEX('GeneticTestExp-ConceptMap-1'!$I$15:$N$124,Q59+1,R59)</f>
        <v>* group[=].element[=].target.code = #Procedure.</v>
      </c>
    </row>
    <row r="60" spans="2:19">
      <c r="B60" s="11"/>
      <c r="C60" s="11"/>
      <c r="D60" s="12"/>
      <c r="E60" s="12"/>
      <c r="F60" s="64"/>
      <c r="G60" s="123"/>
      <c r="P60" s="11">
        <v>46</v>
      </c>
      <c r="Q60" s="11">
        <f t="shared" si="5"/>
        <v>7</v>
      </c>
      <c r="R60" s="11">
        <f t="shared" si="6"/>
        <v>4</v>
      </c>
      <c r="S60" s="12" t="str" cm="1">
        <f t="array" ref="S60">INDEX('GeneticTestExp-ConceptMap-1'!$I$15:$N$124,Q60+1,R60)</f>
        <v>* group[=].element[=].target.display = ##34###34#</v>
      </c>
    </row>
    <row r="61" spans="2:19">
      <c r="B61" s="11"/>
      <c r="C61" s="11"/>
      <c r="D61" s="12"/>
      <c r="E61" s="12"/>
      <c r="F61" s="64"/>
      <c r="G61" s="123"/>
      <c r="P61" s="11">
        <v>47</v>
      </c>
      <c r="Q61" s="11">
        <f t="shared" si="5"/>
        <v>7</v>
      </c>
      <c r="R61" s="11">
        <f t="shared" si="6"/>
        <v>5</v>
      </c>
      <c r="S61" s="12" t="str" cm="1">
        <f t="array" ref="S61">INDEX('GeneticTestExp-ConceptMap-1'!$I$15:$N$124,Q61+1,R61)</f>
        <v>* group[=].element[=].target.equivalence = #</v>
      </c>
    </row>
    <row r="62" spans="2:19">
      <c r="B62" s="11"/>
      <c r="C62" s="11"/>
      <c r="D62" s="12"/>
      <c r="E62" s="12"/>
      <c r="F62" s="64"/>
      <c r="G62" s="123"/>
      <c r="P62" s="11">
        <v>48</v>
      </c>
      <c r="Q62" s="11">
        <f t="shared" si="5"/>
        <v>7</v>
      </c>
      <c r="R62" s="11">
        <f t="shared" si="6"/>
        <v>6</v>
      </c>
      <c r="S62" s="12" t="str" cm="1">
        <f t="array" ref="S62">INDEX('GeneticTestExp-ConceptMap-1'!$I$15:$N$124,Q62+1,R62)</f>
        <v/>
      </c>
    </row>
    <row r="63" spans="2:19">
      <c r="B63" s="11"/>
      <c r="C63" s="11"/>
      <c r="D63" s="12"/>
      <c r="E63" s="12"/>
      <c r="F63" s="64"/>
      <c r="G63" s="123"/>
      <c r="P63" s="11">
        <v>49</v>
      </c>
      <c r="Q63" s="11">
        <f t="shared" si="5"/>
        <v>8</v>
      </c>
      <c r="R63" s="11">
        <f t="shared" si="6"/>
        <v>1</v>
      </c>
      <c r="S63" s="12" t="str" cm="1">
        <f t="array" ref="S63">INDEX('GeneticTestExp-ConceptMap-1'!$I$15:$N$124,Q63+1,R63)</f>
        <v>* group[=].element[+].code = #GeneticTestExpressionI4rc.</v>
      </c>
    </row>
    <row r="64" spans="2:19">
      <c r="B64" s="11"/>
      <c r="C64" s="11"/>
      <c r="D64" s="12"/>
      <c r="E64" s="12"/>
      <c r="F64" s="64"/>
      <c r="G64" s="123"/>
      <c r="P64" s="11">
        <v>50</v>
      </c>
      <c r="Q64" s="11">
        <f t="shared" si="5"/>
        <v>8</v>
      </c>
      <c r="R64" s="11">
        <f t="shared" si="6"/>
        <v>2</v>
      </c>
      <c r="S64" s="12" t="str" cm="1">
        <f t="array" ref="S64">INDEX('GeneticTestExp-ConceptMap-1'!$I$15:$N$124,Q64+1,R64)</f>
        <v>* group[=].element[=].display = ##34###34#</v>
      </c>
    </row>
    <row r="65" spans="2:19">
      <c r="B65" s="11"/>
      <c r="C65" s="11"/>
      <c r="D65" s="12"/>
      <c r="E65" s="12"/>
      <c r="F65" s="64"/>
      <c r="G65" s="123"/>
      <c r="P65" s="11">
        <v>51</v>
      </c>
      <c r="Q65" s="11">
        <f t="shared" si="5"/>
        <v>8</v>
      </c>
      <c r="R65" s="11">
        <f t="shared" si="6"/>
        <v>3</v>
      </c>
      <c r="S65" s="12" t="str" cm="1">
        <f t="array" ref="S65">INDEX('GeneticTestExp-ConceptMap-1'!$I$15:$N$124,Q65+1,R65)</f>
        <v>* group[=].element[=].target.code = #Procedure.</v>
      </c>
    </row>
    <row r="66" spans="2:19">
      <c r="B66" s="11"/>
      <c r="C66" s="11"/>
      <c r="D66" s="12"/>
      <c r="E66" s="12"/>
      <c r="F66" s="64"/>
      <c r="G66" s="123"/>
      <c r="P66" s="11">
        <v>52</v>
      </c>
      <c r="Q66" s="11">
        <f t="shared" si="5"/>
        <v>8</v>
      </c>
      <c r="R66" s="11">
        <f t="shared" si="6"/>
        <v>4</v>
      </c>
      <c r="S66" s="12" t="str" cm="1">
        <f t="array" ref="S66">INDEX('GeneticTestExp-ConceptMap-1'!$I$15:$N$124,Q66+1,R66)</f>
        <v>* group[=].element[=].target.display = ##34###34#</v>
      </c>
    </row>
    <row r="67" spans="2:19">
      <c r="B67" s="11"/>
      <c r="C67" s="11"/>
      <c r="D67" s="12"/>
      <c r="E67" s="12"/>
      <c r="F67" s="64"/>
      <c r="G67" s="123"/>
      <c r="P67" s="11">
        <v>53</v>
      </c>
      <c r="Q67" s="11">
        <f t="shared" si="5"/>
        <v>8</v>
      </c>
      <c r="R67" s="11">
        <f t="shared" si="6"/>
        <v>5</v>
      </c>
      <c r="S67" s="12" t="str" cm="1">
        <f t="array" ref="S67">INDEX('GeneticTestExp-ConceptMap-1'!$I$15:$N$124,Q67+1,R67)</f>
        <v>* group[=].element[=].target.equivalence = #</v>
      </c>
    </row>
    <row r="68" spans="2:19">
      <c r="B68" s="11"/>
      <c r="C68" s="11"/>
      <c r="D68" s="12"/>
      <c r="E68" s="12"/>
      <c r="F68" s="64"/>
      <c r="G68" s="123"/>
      <c r="P68" s="11">
        <v>54</v>
      </c>
      <c r="Q68" s="11">
        <f t="shared" si="5"/>
        <v>8</v>
      </c>
      <c r="R68" s="11">
        <f t="shared" si="6"/>
        <v>6</v>
      </c>
      <c r="S68" s="12" t="str" cm="1">
        <f t="array" ref="S68">INDEX('GeneticTestExp-ConceptMap-1'!$I$15:$N$124,Q68+1,R68)</f>
        <v/>
      </c>
    </row>
    <row r="69" spans="2:19">
      <c r="B69" s="11"/>
      <c r="C69" s="11"/>
      <c r="D69" s="12"/>
      <c r="E69" s="12"/>
      <c r="F69" s="64"/>
      <c r="G69" s="123"/>
      <c r="P69" s="11">
        <v>55</v>
      </c>
      <c r="Q69" s="11">
        <f t="shared" si="5"/>
        <v>9</v>
      </c>
      <c r="R69" s="11">
        <f t="shared" si="6"/>
        <v>1</v>
      </c>
      <c r="S69" s="12" t="str" cm="1">
        <f t="array" ref="S69">INDEX('GeneticTestExp-ConceptMap-1'!$I$15:$N$124,Q69+1,R69)</f>
        <v>* group[=].element[+].code = #GeneticTestExpressionI4rc.</v>
      </c>
    </row>
    <row r="70" spans="2:19">
      <c r="B70" s="11"/>
      <c r="C70" s="11"/>
      <c r="D70" s="12"/>
      <c r="E70" s="12"/>
      <c r="F70" s="64"/>
      <c r="G70" s="123"/>
      <c r="P70" s="11">
        <v>56</v>
      </c>
      <c r="Q70" s="11">
        <f t="shared" si="5"/>
        <v>9</v>
      </c>
      <c r="R70" s="11">
        <f t="shared" si="6"/>
        <v>2</v>
      </c>
      <c r="S70" s="12" t="str" cm="1">
        <f t="array" ref="S70">INDEX('GeneticTestExp-ConceptMap-1'!$I$15:$N$124,Q70+1,R70)</f>
        <v>* group[=].element[=].display = ##34###34#</v>
      </c>
    </row>
    <row r="71" spans="2:19">
      <c r="B71" s="11"/>
      <c r="C71" s="11"/>
      <c r="D71" s="12"/>
      <c r="E71" s="12"/>
      <c r="F71" s="64"/>
      <c r="G71" s="123"/>
      <c r="P71" s="11">
        <v>57</v>
      </c>
      <c r="Q71" s="11">
        <f t="shared" si="5"/>
        <v>9</v>
      </c>
      <c r="R71" s="11">
        <f t="shared" si="6"/>
        <v>3</v>
      </c>
      <c r="S71" s="12" t="str" cm="1">
        <f t="array" ref="S71">INDEX('GeneticTestExp-ConceptMap-1'!$I$15:$N$124,Q71+1,R71)</f>
        <v>* group[=].element[=].target.code = #Procedure.</v>
      </c>
    </row>
    <row r="72" spans="2:19">
      <c r="B72" s="11"/>
      <c r="C72" s="11"/>
      <c r="D72" s="12"/>
      <c r="E72" s="12"/>
      <c r="F72" s="64"/>
      <c r="G72" s="123"/>
      <c r="P72" s="11">
        <v>58</v>
      </c>
      <c r="Q72" s="11">
        <f t="shared" si="5"/>
        <v>9</v>
      </c>
      <c r="R72" s="11">
        <f t="shared" si="6"/>
        <v>4</v>
      </c>
      <c r="S72" s="12" t="str" cm="1">
        <f t="array" ref="S72">INDEX('GeneticTestExp-ConceptMap-1'!$I$15:$N$124,Q72+1,R72)</f>
        <v>* group[=].element[=].target.display = ##34###34#</v>
      </c>
    </row>
    <row r="73" spans="2:19">
      <c r="B73" s="11"/>
      <c r="C73" s="11"/>
      <c r="D73" s="12"/>
      <c r="E73" s="12"/>
      <c r="F73" s="64"/>
      <c r="G73" s="123"/>
      <c r="P73" s="11">
        <v>59</v>
      </c>
      <c r="Q73" s="11">
        <f t="shared" si="5"/>
        <v>9</v>
      </c>
      <c r="R73" s="11">
        <f t="shared" si="6"/>
        <v>5</v>
      </c>
      <c r="S73" s="12" t="str" cm="1">
        <f t="array" ref="S73">INDEX('GeneticTestExp-ConceptMap-1'!$I$15:$N$124,Q73+1,R73)</f>
        <v>* group[=].element[=].target.equivalence = #</v>
      </c>
    </row>
    <row r="74" spans="2:19">
      <c r="B74" s="11"/>
      <c r="C74" s="11"/>
      <c r="D74" s="12"/>
      <c r="E74" s="12"/>
      <c r="F74" s="64"/>
      <c r="G74" s="123"/>
      <c r="P74" s="11">
        <v>60</v>
      </c>
      <c r="Q74" s="11">
        <f t="shared" si="5"/>
        <v>9</v>
      </c>
      <c r="R74" s="11">
        <f t="shared" si="6"/>
        <v>6</v>
      </c>
      <c r="S74" s="12" t="str" cm="1">
        <f t="array" ref="S74">INDEX('GeneticTestExp-ConceptMap-1'!$I$15:$N$124,Q74+1,R74)</f>
        <v/>
      </c>
    </row>
    <row r="75" spans="2:19">
      <c r="B75" s="11"/>
      <c r="C75" s="11"/>
      <c r="D75" s="12"/>
      <c r="E75" s="12"/>
      <c r="F75" s="64"/>
      <c r="G75" s="123"/>
      <c r="P75" s="11">
        <v>61</v>
      </c>
      <c r="Q75" s="11">
        <f t="shared" si="5"/>
        <v>10</v>
      </c>
      <c r="R75" s="11">
        <f t="shared" si="6"/>
        <v>1</v>
      </c>
      <c r="S75" s="12" t="str" cm="1">
        <f t="array" ref="S75">INDEX('GeneticTestExp-ConceptMap-1'!$I$15:$N$124,Q75+1,R75)</f>
        <v>* group[=].element[+].code = #GeneticTestExpressionI4rc.</v>
      </c>
    </row>
    <row r="76" spans="2:19">
      <c r="B76" s="11"/>
      <c r="C76" s="11"/>
      <c r="D76" s="12"/>
      <c r="E76" s="12"/>
      <c r="F76" s="64"/>
      <c r="G76" s="123"/>
      <c r="P76" s="11">
        <v>62</v>
      </c>
      <c r="Q76" s="11">
        <f t="shared" si="5"/>
        <v>10</v>
      </c>
      <c r="R76" s="11">
        <f t="shared" si="6"/>
        <v>2</v>
      </c>
      <c r="S76" s="12" t="str" cm="1">
        <f t="array" ref="S76">INDEX('GeneticTestExp-ConceptMap-1'!$I$15:$N$124,Q76+1,R76)</f>
        <v>* group[=].element[=].display = ##34###34#</v>
      </c>
    </row>
    <row r="77" spans="2:19">
      <c r="B77" s="11"/>
      <c r="C77" s="11"/>
      <c r="D77" s="12"/>
      <c r="E77" s="12"/>
      <c r="F77" s="64"/>
      <c r="G77" s="123"/>
      <c r="P77" s="11">
        <v>63</v>
      </c>
      <c r="Q77" s="11">
        <f t="shared" si="5"/>
        <v>10</v>
      </c>
      <c r="R77" s="11">
        <f t="shared" si="6"/>
        <v>3</v>
      </c>
      <c r="S77" s="12" t="str" cm="1">
        <f t="array" ref="S77">INDEX('GeneticTestExp-ConceptMap-1'!$I$15:$N$124,Q77+1,R77)</f>
        <v>* group[=].element[=].target.code = #Procedure.</v>
      </c>
    </row>
    <row r="78" spans="2:19">
      <c r="B78" s="11"/>
      <c r="C78" s="11"/>
      <c r="D78" s="12"/>
      <c r="E78" s="12"/>
      <c r="F78" s="64"/>
      <c r="G78" s="123"/>
      <c r="P78" s="11">
        <v>64</v>
      </c>
      <c r="Q78" s="11">
        <f t="shared" si="5"/>
        <v>10</v>
      </c>
      <c r="R78" s="11">
        <f t="shared" si="6"/>
        <v>4</v>
      </c>
      <c r="S78" s="12" t="str" cm="1">
        <f t="array" ref="S78">INDEX('GeneticTestExp-ConceptMap-1'!$I$15:$N$124,Q78+1,R78)</f>
        <v>* group[=].element[=].target.display = ##34###34#</v>
      </c>
    </row>
    <row r="79" spans="2:19">
      <c r="B79" s="11"/>
      <c r="C79" s="11"/>
      <c r="D79" s="12"/>
      <c r="E79" s="12"/>
      <c r="F79" s="64"/>
      <c r="G79" s="123"/>
      <c r="P79" s="11">
        <v>65</v>
      </c>
      <c r="Q79" s="11">
        <f t="shared" ref="Q79:Q142" si="9">IF(MOD(P79,$Q$8)=0,P79/$Q$8-1,INT(P79/$Q$8))</f>
        <v>10</v>
      </c>
      <c r="R79" s="11">
        <f t="shared" ref="R79:R142" si="10">IF(MOD(P79,$Q$8)=0,$Q$8,MOD(P79,$Q$8))</f>
        <v>5</v>
      </c>
      <c r="S79" s="12" t="str" cm="1">
        <f t="array" ref="S79">INDEX('GeneticTestExp-ConceptMap-1'!$I$15:$N$124,Q79+1,R79)</f>
        <v>* group[=].element[=].target.equivalence = #</v>
      </c>
    </row>
    <row r="80" spans="2:19">
      <c r="B80" s="11"/>
      <c r="C80" s="11"/>
      <c r="D80" s="12"/>
      <c r="E80" s="12"/>
      <c r="F80" s="64"/>
      <c r="G80" s="123"/>
      <c r="P80" s="11">
        <v>66</v>
      </c>
      <c r="Q80" s="11">
        <f t="shared" si="9"/>
        <v>10</v>
      </c>
      <c r="R80" s="11">
        <f t="shared" si="10"/>
        <v>6</v>
      </c>
      <c r="S80" s="12" t="str" cm="1">
        <f t="array" ref="S80">INDEX('GeneticTestExp-ConceptMap-1'!$I$15:$N$124,Q80+1,R80)</f>
        <v/>
      </c>
    </row>
    <row r="81" spans="2:19">
      <c r="B81" s="11"/>
      <c r="C81" s="11"/>
      <c r="D81" s="12"/>
      <c r="E81" s="12"/>
      <c r="F81" s="64"/>
      <c r="G81" s="123"/>
      <c r="P81" s="11">
        <v>67</v>
      </c>
      <c r="Q81" s="11">
        <f t="shared" si="9"/>
        <v>11</v>
      </c>
      <c r="R81" s="11">
        <f t="shared" si="10"/>
        <v>1</v>
      </c>
      <c r="S81" s="12" t="str" cm="1">
        <f t="array" ref="S81">INDEX('GeneticTestExp-ConceptMap-1'!$I$15:$N$124,Q81+1,R81)</f>
        <v>* group[=].element[+].code = #GeneticTestExpressionI4rc.</v>
      </c>
    </row>
    <row r="82" spans="2:19">
      <c r="B82" s="11"/>
      <c r="C82" s="11"/>
      <c r="D82" s="12"/>
      <c r="E82" s="12"/>
      <c r="F82" s="64"/>
      <c r="G82" s="123"/>
      <c r="P82" s="11">
        <v>68</v>
      </c>
      <c r="Q82" s="11">
        <f t="shared" si="9"/>
        <v>11</v>
      </c>
      <c r="R82" s="11">
        <f t="shared" si="10"/>
        <v>2</v>
      </c>
      <c r="S82" s="12" t="str" cm="1">
        <f t="array" ref="S82">INDEX('GeneticTestExp-ConceptMap-1'!$I$15:$N$124,Q82+1,R82)</f>
        <v>* group[=].element[=].display = ##34###34#</v>
      </c>
    </row>
    <row r="83" spans="2:19">
      <c r="B83" s="11"/>
      <c r="C83" s="11"/>
      <c r="D83" s="12"/>
      <c r="E83" s="12"/>
      <c r="F83" s="64"/>
      <c r="G83" s="123"/>
      <c r="P83" s="11">
        <v>69</v>
      </c>
      <c r="Q83" s="11">
        <f t="shared" si="9"/>
        <v>11</v>
      </c>
      <c r="R83" s="11">
        <f t="shared" si="10"/>
        <v>3</v>
      </c>
      <c r="S83" s="12" t="str" cm="1">
        <f t="array" ref="S83">INDEX('GeneticTestExp-ConceptMap-1'!$I$15:$N$124,Q83+1,R83)</f>
        <v>* group[=].element[=].target.code = #Procedure.</v>
      </c>
    </row>
    <row r="84" spans="2:19">
      <c r="B84" s="11"/>
      <c r="C84" s="11"/>
      <c r="D84" s="12"/>
      <c r="E84" s="12"/>
      <c r="F84" s="64"/>
      <c r="G84" s="123"/>
      <c r="P84" s="11">
        <v>70</v>
      </c>
      <c r="Q84" s="11">
        <f t="shared" si="9"/>
        <v>11</v>
      </c>
      <c r="R84" s="11">
        <f t="shared" si="10"/>
        <v>4</v>
      </c>
      <c r="S84" s="12" t="str" cm="1">
        <f t="array" ref="S84">INDEX('GeneticTestExp-ConceptMap-1'!$I$15:$N$124,Q84+1,R84)</f>
        <v>* group[=].element[=].target.display = ##34###34#</v>
      </c>
    </row>
    <row r="85" spans="2:19">
      <c r="B85" s="11"/>
      <c r="C85" s="11"/>
      <c r="D85" s="12"/>
      <c r="E85" s="12"/>
      <c r="F85" s="64"/>
      <c r="G85" s="123"/>
      <c r="P85" s="11">
        <v>71</v>
      </c>
      <c r="Q85" s="11">
        <f t="shared" si="9"/>
        <v>11</v>
      </c>
      <c r="R85" s="11">
        <f t="shared" si="10"/>
        <v>5</v>
      </c>
      <c r="S85" s="12" t="str" cm="1">
        <f t="array" ref="S85">INDEX('GeneticTestExp-ConceptMap-1'!$I$15:$N$124,Q85+1,R85)</f>
        <v>* group[=].element[=].target.equivalence = #</v>
      </c>
    </row>
    <row r="86" spans="2:19">
      <c r="B86" s="11"/>
      <c r="C86" s="11"/>
      <c r="D86" s="12"/>
      <c r="E86" s="12"/>
      <c r="F86" s="64"/>
      <c r="G86" s="123"/>
      <c r="P86" s="11">
        <v>72</v>
      </c>
      <c r="Q86" s="11">
        <f t="shared" si="9"/>
        <v>11</v>
      </c>
      <c r="R86" s="11">
        <f t="shared" si="10"/>
        <v>6</v>
      </c>
      <c r="S86" s="12" t="str" cm="1">
        <f t="array" ref="S86">INDEX('GeneticTestExp-ConceptMap-1'!$I$15:$N$124,Q86+1,R86)</f>
        <v/>
      </c>
    </row>
    <row r="87" spans="2:19">
      <c r="B87" s="11"/>
      <c r="C87" s="11"/>
      <c r="D87" s="12"/>
      <c r="E87" s="12"/>
      <c r="F87" s="64"/>
      <c r="G87" s="123"/>
      <c r="P87" s="11">
        <v>73</v>
      </c>
      <c r="Q87" s="11">
        <f t="shared" si="9"/>
        <v>12</v>
      </c>
      <c r="R87" s="11">
        <f t="shared" si="10"/>
        <v>1</v>
      </c>
      <c r="S87" s="12" t="str" cm="1">
        <f t="array" ref="S87">INDEX('GeneticTestExp-ConceptMap-1'!$I$15:$N$124,Q87+1,R87)</f>
        <v>* group[=].element[+].code = #GeneticTestExpressionI4rc.</v>
      </c>
    </row>
    <row r="88" spans="2:19">
      <c r="B88" s="11"/>
      <c r="C88" s="11"/>
      <c r="D88" s="12"/>
      <c r="E88" s="12"/>
      <c r="F88" s="64"/>
      <c r="G88" s="123"/>
      <c r="P88" s="11">
        <v>74</v>
      </c>
      <c r="Q88" s="11">
        <f t="shared" si="9"/>
        <v>12</v>
      </c>
      <c r="R88" s="11">
        <f t="shared" si="10"/>
        <v>2</v>
      </c>
      <c r="S88" s="12" t="str" cm="1">
        <f t="array" ref="S88">INDEX('GeneticTestExp-ConceptMap-1'!$I$15:$N$124,Q88+1,R88)</f>
        <v>* group[=].element[=].display = ##34###34#</v>
      </c>
    </row>
    <row r="89" spans="2:19">
      <c r="B89" s="11"/>
      <c r="C89" s="11"/>
      <c r="D89" s="12"/>
      <c r="E89" s="12"/>
      <c r="F89" s="64"/>
      <c r="G89" s="123"/>
      <c r="P89" s="11">
        <v>75</v>
      </c>
      <c r="Q89" s="11">
        <f t="shared" si="9"/>
        <v>12</v>
      </c>
      <c r="R89" s="11">
        <f t="shared" si="10"/>
        <v>3</v>
      </c>
      <c r="S89" s="12" t="str" cm="1">
        <f t="array" ref="S89">INDEX('GeneticTestExp-ConceptMap-1'!$I$15:$N$124,Q89+1,R89)</f>
        <v>* group[=].element[=].target.code = #Procedure.</v>
      </c>
    </row>
    <row r="90" spans="2:19">
      <c r="B90" s="11"/>
      <c r="C90" s="11"/>
      <c r="D90" s="12"/>
      <c r="E90" s="12"/>
      <c r="F90" s="64"/>
      <c r="G90" s="123"/>
      <c r="P90" s="11">
        <v>76</v>
      </c>
      <c r="Q90" s="11">
        <f t="shared" si="9"/>
        <v>12</v>
      </c>
      <c r="R90" s="11">
        <f t="shared" si="10"/>
        <v>4</v>
      </c>
      <c r="S90" s="12" t="str" cm="1">
        <f t="array" ref="S90">INDEX('GeneticTestExp-ConceptMap-1'!$I$15:$N$124,Q90+1,R90)</f>
        <v>* group[=].element[=].target.display = ##34###34#</v>
      </c>
    </row>
    <row r="91" spans="2:19">
      <c r="B91" s="11"/>
      <c r="C91" s="11"/>
      <c r="D91" s="12"/>
      <c r="E91" s="12"/>
      <c r="F91" s="64"/>
      <c r="G91" s="123"/>
      <c r="P91" s="11">
        <v>77</v>
      </c>
      <c r="Q91" s="11">
        <f t="shared" si="9"/>
        <v>12</v>
      </c>
      <c r="R91" s="11">
        <f t="shared" si="10"/>
        <v>5</v>
      </c>
      <c r="S91" s="12" t="str" cm="1">
        <f t="array" ref="S91">INDEX('GeneticTestExp-ConceptMap-1'!$I$15:$N$124,Q91+1,R91)</f>
        <v>* group[=].element[=].target.equivalence = #</v>
      </c>
    </row>
    <row r="92" spans="2:19">
      <c r="B92" s="11"/>
      <c r="C92" s="11"/>
      <c r="D92" s="12"/>
      <c r="E92" s="12"/>
      <c r="F92" s="64"/>
      <c r="G92" s="123"/>
      <c r="P92" s="11">
        <v>78</v>
      </c>
      <c r="Q92" s="11">
        <f t="shared" si="9"/>
        <v>12</v>
      </c>
      <c r="R92" s="11">
        <f t="shared" si="10"/>
        <v>6</v>
      </c>
      <c r="S92" s="12" t="str" cm="1">
        <f t="array" ref="S92">INDEX('GeneticTestExp-ConceptMap-1'!$I$15:$N$124,Q92+1,R92)</f>
        <v/>
      </c>
    </row>
    <row r="93" spans="2:19">
      <c r="B93" s="11"/>
      <c r="C93" s="11"/>
      <c r="D93" s="12"/>
      <c r="E93" s="12"/>
      <c r="F93" s="64"/>
      <c r="G93" s="123"/>
      <c r="P93" s="11">
        <v>79</v>
      </c>
      <c r="Q93" s="11">
        <f t="shared" si="9"/>
        <v>13</v>
      </c>
      <c r="R93" s="11">
        <f t="shared" si="10"/>
        <v>1</v>
      </c>
      <c r="S93" s="12" t="str" cm="1">
        <f t="array" ref="S93">INDEX('GeneticTestExp-ConceptMap-1'!$I$15:$N$124,Q93+1,R93)</f>
        <v>* group[=].element[+].code = #GeneticTestExpressionI4rc.</v>
      </c>
    </row>
    <row r="94" spans="2:19">
      <c r="B94" s="11"/>
      <c r="C94" s="11"/>
      <c r="D94" s="12"/>
      <c r="E94" s="12"/>
      <c r="F94" s="64"/>
      <c r="G94" s="123"/>
      <c r="P94" s="11">
        <v>80</v>
      </c>
      <c r="Q94" s="11">
        <f t="shared" si="9"/>
        <v>13</v>
      </c>
      <c r="R94" s="11">
        <f t="shared" si="10"/>
        <v>2</v>
      </c>
      <c r="S94" s="12" t="str" cm="1">
        <f t="array" ref="S94">INDEX('GeneticTestExp-ConceptMap-1'!$I$15:$N$124,Q94+1,R94)</f>
        <v>* group[=].element[=].display = ##34###34#</v>
      </c>
    </row>
    <row r="95" spans="2:19">
      <c r="B95" s="11"/>
      <c r="C95" s="11"/>
      <c r="D95" s="12"/>
      <c r="E95" s="12"/>
      <c r="F95" s="64"/>
      <c r="G95" s="123"/>
      <c r="P95" s="11">
        <v>81</v>
      </c>
      <c r="Q95" s="11">
        <f t="shared" si="9"/>
        <v>13</v>
      </c>
      <c r="R95" s="11">
        <f t="shared" si="10"/>
        <v>3</v>
      </c>
      <c r="S95" s="12" t="str" cm="1">
        <f t="array" ref="S95">INDEX('GeneticTestExp-ConceptMap-1'!$I$15:$N$124,Q95+1,R95)</f>
        <v>* group[=].element[=].target.code = #Procedure.</v>
      </c>
    </row>
    <row r="96" spans="2:19">
      <c r="B96" s="11"/>
      <c r="C96" s="11"/>
      <c r="D96" s="12"/>
      <c r="E96" s="12"/>
      <c r="F96" s="64"/>
      <c r="G96" s="123"/>
      <c r="P96" s="11">
        <v>82</v>
      </c>
      <c r="Q96" s="11">
        <f t="shared" si="9"/>
        <v>13</v>
      </c>
      <c r="R96" s="11">
        <f t="shared" si="10"/>
        <v>4</v>
      </c>
      <c r="S96" s="12" t="str" cm="1">
        <f t="array" ref="S96">INDEX('GeneticTestExp-ConceptMap-1'!$I$15:$N$124,Q96+1,R96)</f>
        <v>* group[=].element[=].target.display = ##34###34#</v>
      </c>
    </row>
    <row r="97" spans="2:19">
      <c r="B97" s="11"/>
      <c r="C97" s="11"/>
      <c r="D97" s="12"/>
      <c r="E97" s="12"/>
      <c r="F97" s="64"/>
      <c r="G97" s="123"/>
      <c r="P97" s="11">
        <v>83</v>
      </c>
      <c r="Q97" s="11">
        <f t="shared" si="9"/>
        <v>13</v>
      </c>
      <c r="R97" s="11">
        <f t="shared" si="10"/>
        <v>5</v>
      </c>
      <c r="S97" s="12" t="str" cm="1">
        <f t="array" ref="S97">INDEX('GeneticTestExp-ConceptMap-1'!$I$15:$N$124,Q97+1,R97)</f>
        <v>* group[=].element[=].target.equivalence = #</v>
      </c>
    </row>
    <row r="98" spans="2:19">
      <c r="B98" s="11"/>
      <c r="C98" s="11"/>
      <c r="D98" s="12"/>
      <c r="E98" s="12"/>
      <c r="F98" s="64"/>
      <c r="G98" s="123"/>
      <c r="P98" s="11">
        <v>84</v>
      </c>
      <c r="Q98" s="11">
        <f t="shared" si="9"/>
        <v>13</v>
      </c>
      <c r="R98" s="11">
        <f t="shared" si="10"/>
        <v>6</v>
      </c>
      <c r="S98" s="12" t="str" cm="1">
        <f t="array" ref="S98">INDEX('GeneticTestExp-ConceptMap-1'!$I$15:$N$124,Q98+1,R98)</f>
        <v/>
      </c>
    </row>
    <row r="99" spans="2:19">
      <c r="B99" s="11"/>
      <c r="C99" s="11"/>
      <c r="D99" s="12"/>
      <c r="E99" s="12"/>
      <c r="F99" s="64"/>
      <c r="G99" s="123"/>
      <c r="P99" s="11">
        <v>85</v>
      </c>
      <c r="Q99" s="11">
        <f t="shared" si="9"/>
        <v>14</v>
      </c>
      <c r="R99" s="11">
        <f t="shared" si="10"/>
        <v>1</v>
      </c>
      <c r="S99" s="12" t="str" cm="1">
        <f t="array" ref="S99">INDEX('GeneticTestExp-ConceptMap-1'!$I$15:$N$124,Q99+1,R99)</f>
        <v>* group[=].element[+].code = #GeneticTestExpressionI4rc.</v>
      </c>
    </row>
    <row r="100" spans="2:19">
      <c r="B100" s="11"/>
      <c r="C100" s="11"/>
      <c r="D100" s="12"/>
      <c r="E100" s="12"/>
      <c r="F100" s="64"/>
      <c r="G100" s="123"/>
      <c r="P100" s="11">
        <v>86</v>
      </c>
      <c r="Q100" s="11">
        <f t="shared" si="9"/>
        <v>14</v>
      </c>
      <c r="R100" s="11">
        <f t="shared" si="10"/>
        <v>2</v>
      </c>
      <c r="S100" s="12" t="str" cm="1">
        <f t="array" ref="S100">INDEX('GeneticTestExp-ConceptMap-1'!$I$15:$N$124,Q100+1,R100)</f>
        <v>* group[=].element[=].display = ##34###34#</v>
      </c>
    </row>
    <row r="101" spans="2:19">
      <c r="B101" s="11"/>
      <c r="C101" s="11"/>
      <c r="D101" s="12"/>
      <c r="E101" s="12"/>
      <c r="F101" s="64"/>
      <c r="G101" s="123"/>
      <c r="P101" s="11">
        <v>87</v>
      </c>
      <c r="Q101" s="11">
        <f t="shared" si="9"/>
        <v>14</v>
      </c>
      <c r="R101" s="11">
        <f t="shared" si="10"/>
        <v>3</v>
      </c>
      <c r="S101" s="12" t="str" cm="1">
        <f t="array" ref="S101">INDEX('GeneticTestExp-ConceptMap-1'!$I$15:$N$124,Q101+1,R101)</f>
        <v>* group[=].element[=].target.code = #Procedure.</v>
      </c>
    </row>
    <row r="102" spans="2:19">
      <c r="B102" s="11"/>
      <c r="C102" s="11"/>
      <c r="D102" s="12"/>
      <c r="E102" s="12"/>
      <c r="F102" s="64"/>
      <c r="G102" s="123"/>
      <c r="P102" s="11">
        <v>88</v>
      </c>
      <c r="Q102" s="11">
        <f t="shared" si="9"/>
        <v>14</v>
      </c>
      <c r="R102" s="11">
        <f t="shared" si="10"/>
        <v>4</v>
      </c>
      <c r="S102" s="12" t="str" cm="1">
        <f t="array" ref="S102">INDEX('GeneticTestExp-ConceptMap-1'!$I$15:$N$124,Q102+1,R102)</f>
        <v>* group[=].element[=].target.display = ##34###34#</v>
      </c>
    </row>
    <row r="103" spans="2:19">
      <c r="B103" s="11"/>
      <c r="C103" s="11"/>
      <c r="D103" s="12"/>
      <c r="E103" s="12"/>
      <c r="F103" s="64"/>
      <c r="G103" s="123"/>
      <c r="P103" s="11">
        <v>89</v>
      </c>
      <c r="Q103" s="11">
        <f t="shared" si="9"/>
        <v>14</v>
      </c>
      <c r="R103" s="11">
        <f t="shared" si="10"/>
        <v>5</v>
      </c>
      <c r="S103" s="12" t="str" cm="1">
        <f t="array" ref="S103">INDEX('GeneticTestExp-ConceptMap-1'!$I$15:$N$124,Q103+1,R103)</f>
        <v>* group[=].element[=].target.equivalence = #</v>
      </c>
    </row>
    <row r="104" spans="2:19">
      <c r="B104" s="11"/>
      <c r="C104" s="11"/>
      <c r="D104" s="12"/>
      <c r="E104" s="12"/>
      <c r="F104" s="64"/>
      <c r="G104" s="123"/>
      <c r="P104" s="11">
        <v>90</v>
      </c>
      <c r="Q104" s="11">
        <f t="shared" si="9"/>
        <v>14</v>
      </c>
      <c r="R104" s="11">
        <f t="shared" si="10"/>
        <v>6</v>
      </c>
      <c r="S104" s="12" t="str" cm="1">
        <f t="array" ref="S104">INDEX('GeneticTestExp-ConceptMap-1'!$I$15:$N$124,Q104+1,R104)</f>
        <v/>
      </c>
    </row>
    <row r="105" spans="2:19">
      <c r="B105" s="11"/>
      <c r="C105" s="11"/>
      <c r="D105" s="12"/>
      <c r="E105" s="12"/>
      <c r="F105" s="64"/>
      <c r="G105" s="123"/>
      <c r="P105" s="11">
        <v>91</v>
      </c>
      <c r="Q105" s="11">
        <f t="shared" si="9"/>
        <v>15</v>
      </c>
      <c r="R105" s="11">
        <f t="shared" si="10"/>
        <v>1</v>
      </c>
      <c r="S105" s="12" t="str" cm="1">
        <f t="array" ref="S105">INDEX('GeneticTestExp-ConceptMap-1'!$I$15:$N$124,Q105+1,R105)</f>
        <v>* group[=].element[+].code = #GeneticTestExpressionI4rc.</v>
      </c>
    </row>
    <row r="106" spans="2:19">
      <c r="B106" s="11"/>
      <c r="C106" s="11"/>
      <c r="D106" s="12"/>
      <c r="E106" s="12"/>
      <c r="F106" s="64"/>
      <c r="G106" s="123"/>
      <c r="P106" s="11">
        <v>92</v>
      </c>
      <c r="Q106" s="11">
        <f t="shared" si="9"/>
        <v>15</v>
      </c>
      <c r="R106" s="11">
        <f t="shared" si="10"/>
        <v>2</v>
      </c>
      <c r="S106" s="12" t="str" cm="1">
        <f t="array" ref="S106">INDEX('GeneticTestExp-ConceptMap-1'!$I$15:$N$124,Q106+1,R106)</f>
        <v>* group[=].element[=].display = ##34###34#</v>
      </c>
    </row>
    <row r="107" spans="2:19">
      <c r="B107" s="11"/>
      <c r="C107" s="11"/>
      <c r="D107" s="12"/>
      <c r="E107" s="12"/>
      <c r="F107" s="64"/>
      <c r="G107" s="123"/>
      <c r="P107" s="11">
        <v>93</v>
      </c>
      <c r="Q107" s="11">
        <f t="shared" si="9"/>
        <v>15</v>
      </c>
      <c r="R107" s="11">
        <f t="shared" si="10"/>
        <v>3</v>
      </c>
      <c r="S107" s="12" t="str" cm="1">
        <f t="array" ref="S107">INDEX('GeneticTestExp-ConceptMap-1'!$I$15:$N$124,Q107+1,R107)</f>
        <v>* group[=].element[=].target.code = #Procedure.</v>
      </c>
    </row>
    <row r="108" spans="2:19">
      <c r="B108" s="11"/>
      <c r="C108" s="11"/>
      <c r="D108" s="12"/>
      <c r="E108" s="12"/>
      <c r="F108" s="64"/>
      <c r="G108" s="123"/>
      <c r="P108" s="11">
        <v>94</v>
      </c>
      <c r="Q108" s="11">
        <f t="shared" si="9"/>
        <v>15</v>
      </c>
      <c r="R108" s="11">
        <f t="shared" si="10"/>
        <v>4</v>
      </c>
      <c r="S108" s="12" t="str" cm="1">
        <f t="array" ref="S108">INDEX('GeneticTestExp-ConceptMap-1'!$I$15:$N$124,Q108+1,R108)</f>
        <v>* group[=].element[=].target.display = ##34###34#</v>
      </c>
    </row>
    <row r="109" spans="2:19">
      <c r="B109" s="11"/>
      <c r="C109" s="11"/>
      <c r="D109" s="12"/>
      <c r="E109" s="12"/>
      <c r="F109" s="64"/>
      <c r="G109" s="123"/>
      <c r="P109" s="11">
        <v>95</v>
      </c>
      <c r="Q109" s="11">
        <f t="shared" si="9"/>
        <v>15</v>
      </c>
      <c r="R109" s="11">
        <f t="shared" si="10"/>
        <v>5</v>
      </c>
      <c r="S109" s="12" t="str" cm="1">
        <f t="array" ref="S109">INDEX('GeneticTestExp-ConceptMap-1'!$I$15:$N$124,Q109+1,R109)</f>
        <v>* group[=].element[=].target.equivalence = #</v>
      </c>
    </row>
    <row r="110" spans="2:19">
      <c r="B110" s="11"/>
      <c r="C110" s="11"/>
      <c r="D110" s="12"/>
      <c r="E110" s="12"/>
      <c r="F110" s="64"/>
      <c r="G110" s="123"/>
      <c r="P110" s="11">
        <v>96</v>
      </c>
      <c r="Q110" s="11">
        <f t="shared" si="9"/>
        <v>15</v>
      </c>
      <c r="R110" s="11">
        <f t="shared" si="10"/>
        <v>6</v>
      </c>
      <c r="S110" s="12" t="str" cm="1">
        <f t="array" ref="S110">INDEX('GeneticTestExp-ConceptMap-1'!$I$15:$N$124,Q110+1,R110)</f>
        <v/>
      </c>
    </row>
    <row r="111" spans="2:19">
      <c r="B111" s="11"/>
      <c r="C111" s="11"/>
      <c r="D111" s="12"/>
      <c r="E111" s="12"/>
      <c r="F111" s="64"/>
      <c r="G111" s="123"/>
      <c r="P111" s="11">
        <v>97</v>
      </c>
      <c r="Q111" s="11">
        <f t="shared" si="9"/>
        <v>16</v>
      </c>
      <c r="R111" s="11">
        <f t="shared" si="10"/>
        <v>1</v>
      </c>
      <c r="S111" s="12" t="str" cm="1">
        <f t="array" ref="S111">INDEX('GeneticTestExp-ConceptMap-1'!$I$15:$N$124,Q111+1,R111)</f>
        <v>* group[=].element[+].code = #GeneticTestExpressionI4rc.</v>
      </c>
    </row>
    <row r="112" spans="2:19">
      <c r="B112" s="11"/>
      <c r="C112" s="11"/>
      <c r="D112" s="12"/>
      <c r="E112" s="12"/>
      <c r="F112" s="64"/>
      <c r="G112" s="123"/>
      <c r="P112" s="11">
        <v>98</v>
      </c>
      <c r="Q112" s="11">
        <f t="shared" si="9"/>
        <v>16</v>
      </c>
      <c r="R112" s="11">
        <f t="shared" si="10"/>
        <v>2</v>
      </c>
      <c r="S112" s="12" t="str" cm="1">
        <f t="array" ref="S112">INDEX('GeneticTestExp-ConceptMap-1'!$I$15:$N$124,Q112+1,R112)</f>
        <v>* group[=].element[=].display = ##34###34#</v>
      </c>
    </row>
    <row r="113" spans="2:19">
      <c r="B113" s="11"/>
      <c r="C113" s="11"/>
      <c r="D113" s="12"/>
      <c r="E113" s="12"/>
      <c r="F113" s="64"/>
      <c r="G113" s="123"/>
      <c r="P113" s="11">
        <v>99</v>
      </c>
      <c r="Q113" s="11">
        <f t="shared" si="9"/>
        <v>16</v>
      </c>
      <c r="R113" s="11">
        <f t="shared" si="10"/>
        <v>3</v>
      </c>
      <c r="S113" s="12" t="str" cm="1">
        <f t="array" ref="S113">INDEX('GeneticTestExp-ConceptMap-1'!$I$15:$N$124,Q113+1,R113)</f>
        <v>* group[=].element[=].target.code = #Procedure.</v>
      </c>
    </row>
    <row r="114" spans="2:19">
      <c r="P114" s="11">
        <v>100</v>
      </c>
      <c r="Q114" s="11">
        <f t="shared" si="9"/>
        <v>16</v>
      </c>
      <c r="R114" s="11">
        <f t="shared" si="10"/>
        <v>4</v>
      </c>
      <c r="S114" s="12" t="str" cm="1">
        <f t="array" ref="S114">INDEX('GeneticTestExp-ConceptMap-1'!$I$15:$N$124,Q114+1,R114)</f>
        <v>* group[=].element[=].target.display = ##34###34#</v>
      </c>
    </row>
    <row r="115" spans="2:19">
      <c r="P115" s="11">
        <v>101</v>
      </c>
      <c r="Q115" s="11">
        <f t="shared" si="9"/>
        <v>16</v>
      </c>
      <c r="R115" s="11">
        <f t="shared" si="10"/>
        <v>5</v>
      </c>
      <c r="S115" s="12" t="str" cm="1">
        <f t="array" ref="S115">INDEX('GeneticTestExp-ConceptMap-1'!$I$15:$N$124,Q115+1,R115)</f>
        <v>* group[=].element[=].target.equivalence = #</v>
      </c>
    </row>
    <row r="116" spans="2:19">
      <c r="P116" s="11">
        <v>102</v>
      </c>
      <c r="Q116" s="11">
        <f t="shared" si="9"/>
        <v>16</v>
      </c>
      <c r="R116" s="11">
        <f t="shared" si="10"/>
        <v>6</v>
      </c>
      <c r="S116" s="12" t="str" cm="1">
        <f t="array" ref="S116">INDEX('GeneticTestExp-ConceptMap-1'!$I$15:$N$124,Q116+1,R116)</f>
        <v/>
      </c>
    </row>
    <row r="117" spans="2:19">
      <c r="P117" s="11">
        <v>103</v>
      </c>
      <c r="Q117" s="11">
        <f t="shared" si="9"/>
        <v>17</v>
      </c>
      <c r="R117" s="11">
        <f t="shared" si="10"/>
        <v>1</v>
      </c>
      <c r="S117" s="12" t="str" cm="1">
        <f t="array" ref="S117">INDEX('GeneticTestExp-ConceptMap-1'!$I$15:$N$124,Q117+1,R117)</f>
        <v>* group[=].element[+].code = #GeneticTestExpressionI4rc.</v>
      </c>
    </row>
    <row r="118" spans="2:19">
      <c r="P118" s="11">
        <v>104</v>
      </c>
      <c r="Q118" s="11">
        <f t="shared" si="9"/>
        <v>17</v>
      </c>
      <c r="R118" s="11">
        <f t="shared" si="10"/>
        <v>2</v>
      </c>
      <c r="S118" s="12" t="str" cm="1">
        <f t="array" ref="S118">INDEX('GeneticTestExp-ConceptMap-1'!$I$15:$N$124,Q118+1,R118)</f>
        <v>* group[=].element[=].display = ##34###34#</v>
      </c>
    </row>
    <row r="119" spans="2:19">
      <c r="P119" s="11">
        <v>105</v>
      </c>
      <c r="Q119" s="11">
        <f t="shared" si="9"/>
        <v>17</v>
      </c>
      <c r="R119" s="11">
        <f t="shared" si="10"/>
        <v>3</v>
      </c>
      <c r="S119" s="12" t="str" cm="1">
        <f t="array" ref="S119">INDEX('GeneticTestExp-ConceptMap-1'!$I$15:$N$124,Q119+1,R119)</f>
        <v>* group[=].element[=].target.code = #Procedure.</v>
      </c>
    </row>
    <row r="120" spans="2:19">
      <c r="P120" s="11">
        <v>106</v>
      </c>
      <c r="Q120" s="11">
        <f t="shared" si="9"/>
        <v>17</v>
      </c>
      <c r="R120" s="11">
        <f t="shared" si="10"/>
        <v>4</v>
      </c>
      <c r="S120" s="12" t="str" cm="1">
        <f t="array" ref="S120">INDEX('GeneticTestExp-ConceptMap-1'!$I$15:$N$124,Q120+1,R120)</f>
        <v>* group[=].element[=].target.display = ##34###34#</v>
      </c>
    </row>
    <row r="121" spans="2:19">
      <c r="P121" s="11">
        <v>107</v>
      </c>
      <c r="Q121" s="11">
        <f t="shared" si="9"/>
        <v>17</v>
      </c>
      <c r="R121" s="11">
        <f t="shared" si="10"/>
        <v>5</v>
      </c>
      <c r="S121" s="12" t="str" cm="1">
        <f t="array" ref="S121">INDEX('GeneticTestExp-ConceptMap-1'!$I$15:$N$124,Q121+1,R121)</f>
        <v>* group[=].element[=].target.equivalence = #</v>
      </c>
    </row>
    <row r="122" spans="2:19">
      <c r="P122" s="11">
        <v>108</v>
      </c>
      <c r="Q122" s="11">
        <f t="shared" si="9"/>
        <v>17</v>
      </c>
      <c r="R122" s="11">
        <f t="shared" si="10"/>
        <v>6</v>
      </c>
      <c r="S122" s="12" t="str" cm="1">
        <f t="array" ref="S122">INDEX('GeneticTestExp-ConceptMap-1'!$I$15:$N$124,Q122+1,R122)</f>
        <v/>
      </c>
    </row>
    <row r="123" spans="2:19">
      <c r="P123" s="11">
        <v>109</v>
      </c>
      <c r="Q123" s="11">
        <f t="shared" si="9"/>
        <v>18</v>
      </c>
      <c r="R123" s="11">
        <f t="shared" si="10"/>
        <v>1</v>
      </c>
      <c r="S123" s="12" t="str" cm="1">
        <f t="array" ref="S123">INDEX('GeneticTestExp-ConceptMap-1'!$I$15:$N$124,Q123+1,R123)</f>
        <v>* group[=].element[+].code = #GeneticTestExpressionI4rc.</v>
      </c>
    </row>
    <row r="124" spans="2:19">
      <c r="P124" s="11">
        <v>110</v>
      </c>
      <c r="Q124" s="11">
        <f t="shared" si="9"/>
        <v>18</v>
      </c>
      <c r="R124" s="11">
        <f t="shared" si="10"/>
        <v>2</v>
      </c>
      <c r="S124" s="12" t="str" cm="1">
        <f t="array" ref="S124">INDEX('GeneticTestExp-ConceptMap-1'!$I$15:$N$124,Q124+1,R124)</f>
        <v>* group[=].element[=].display = ##34###34#</v>
      </c>
    </row>
    <row r="125" spans="2:19">
      <c r="P125" s="11">
        <v>111</v>
      </c>
      <c r="Q125" s="11">
        <f t="shared" si="9"/>
        <v>18</v>
      </c>
      <c r="R125" s="11">
        <f t="shared" si="10"/>
        <v>3</v>
      </c>
      <c r="S125" s="12" t="str" cm="1">
        <f t="array" ref="S125">INDEX('GeneticTestExp-ConceptMap-1'!$I$15:$N$124,Q125+1,R125)</f>
        <v>* group[=].element[=].target.code = #Procedure.</v>
      </c>
    </row>
    <row r="126" spans="2:19">
      <c r="P126" s="11">
        <v>112</v>
      </c>
      <c r="Q126" s="11">
        <f t="shared" si="9"/>
        <v>18</v>
      </c>
      <c r="R126" s="11">
        <f t="shared" si="10"/>
        <v>4</v>
      </c>
      <c r="S126" s="12" t="str" cm="1">
        <f t="array" ref="S126">INDEX('GeneticTestExp-ConceptMap-1'!$I$15:$N$124,Q126+1,R126)</f>
        <v>* group[=].element[=].target.display = ##34###34#</v>
      </c>
    </row>
    <row r="127" spans="2:19">
      <c r="P127" s="11">
        <v>113</v>
      </c>
      <c r="Q127" s="11">
        <f t="shared" si="9"/>
        <v>18</v>
      </c>
      <c r="R127" s="11">
        <f t="shared" si="10"/>
        <v>5</v>
      </c>
      <c r="S127" s="12" t="str" cm="1">
        <f t="array" ref="S127">INDEX('GeneticTestExp-ConceptMap-1'!$I$15:$N$124,Q127+1,R127)</f>
        <v>* group[=].element[=].target.equivalence = #</v>
      </c>
    </row>
    <row r="128" spans="2:19">
      <c r="P128" s="11">
        <v>114</v>
      </c>
      <c r="Q128" s="11">
        <f t="shared" si="9"/>
        <v>18</v>
      </c>
      <c r="R128" s="11">
        <f t="shared" si="10"/>
        <v>6</v>
      </c>
      <c r="S128" s="12" t="str" cm="1">
        <f t="array" ref="S128">INDEX('GeneticTestExp-ConceptMap-1'!$I$15:$N$124,Q128+1,R128)</f>
        <v/>
      </c>
    </row>
    <row r="129" spans="16:19">
      <c r="P129" s="11">
        <v>115</v>
      </c>
      <c r="Q129" s="11">
        <f t="shared" si="9"/>
        <v>19</v>
      </c>
      <c r="R129" s="11">
        <f t="shared" si="10"/>
        <v>1</v>
      </c>
      <c r="S129" s="12" t="str" cm="1">
        <f t="array" ref="S129">INDEX('GeneticTestExp-ConceptMap-1'!$I$15:$N$124,Q129+1,R129)</f>
        <v>* group[=].element[+].code = #GeneticTestExpressionI4rc.</v>
      </c>
    </row>
    <row r="130" spans="16:19">
      <c r="P130" s="11">
        <v>116</v>
      </c>
      <c r="Q130" s="11">
        <f t="shared" si="9"/>
        <v>19</v>
      </c>
      <c r="R130" s="11">
        <f t="shared" si="10"/>
        <v>2</v>
      </c>
      <c r="S130" s="12" t="str" cm="1">
        <f t="array" ref="S130">INDEX('GeneticTestExp-ConceptMap-1'!$I$15:$N$124,Q130+1,R130)</f>
        <v>* group[=].element[=].display = ##34###34#</v>
      </c>
    </row>
    <row r="131" spans="16:19">
      <c r="P131" s="11">
        <v>117</v>
      </c>
      <c r="Q131" s="11">
        <f t="shared" si="9"/>
        <v>19</v>
      </c>
      <c r="R131" s="11">
        <f t="shared" si="10"/>
        <v>3</v>
      </c>
      <c r="S131" s="12" t="str" cm="1">
        <f t="array" ref="S131">INDEX('GeneticTestExp-ConceptMap-1'!$I$15:$N$124,Q131+1,R131)</f>
        <v>* group[=].element[=].target.code = #Procedure.</v>
      </c>
    </row>
    <row r="132" spans="16:19">
      <c r="P132" s="11">
        <v>118</v>
      </c>
      <c r="Q132" s="11">
        <f t="shared" si="9"/>
        <v>19</v>
      </c>
      <c r="R132" s="11">
        <f t="shared" si="10"/>
        <v>4</v>
      </c>
      <c r="S132" s="12" t="str" cm="1">
        <f t="array" ref="S132">INDEX('GeneticTestExp-ConceptMap-1'!$I$15:$N$124,Q132+1,R132)</f>
        <v>* group[=].element[=].target.display = ##34###34#</v>
      </c>
    </row>
    <row r="133" spans="16:19">
      <c r="P133" s="11">
        <v>119</v>
      </c>
      <c r="Q133" s="11">
        <f t="shared" si="9"/>
        <v>19</v>
      </c>
      <c r="R133" s="11">
        <f t="shared" si="10"/>
        <v>5</v>
      </c>
      <c r="S133" s="12" t="str" cm="1">
        <f t="array" ref="S133">INDEX('GeneticTestExp-ConceptMap-1'!$I$15:$N$124,Q133+1,R133)</f>
        <v>* group[=].element[=].target.equivalence = #</v>
      </c>
    </row>
    <row r="134" spans="16:19">
      <c r="P134" s="11">
        <v>120</v>
      </c>
      <c r="Q134" s="11">
        <f t="shared" si="9"/>
        <v>19</v>
      </c>
      <c r="R134" s="11">
        <f t="shared" si="10"/>
        <v>6</v>
      </c>
      <c r="S134" s="12" t="str" cm="1">
        <f t="array" ref="S134">INDEX('GeneticTestExp-ConceptMap-1'!$I$15:$N$124,Q134+1,R134)</f>
        <v/>
      </c>
    </row>
    <row r="135" spans="16:19">
      <c r="P135" s="11">
        <v>121</v>
      </c>
      <c r="Q135" s="11">
        <f t="shared" si="9"/>
        <v>20</v>
      </c>
      <c r="R135" s="11">
        <f t="shared" si="10"/>
        <v>1</v>
      </c>
      <c r="S135" s="12" t="str" cm="1">
        <f t="array" ref="S135">INDEX('GeneticTestExp-ConceptMap-1'!$I$15:$N$124,Q135+1,R135)</f>
        <v>* group[=].element[+].code = #GeneticTestExpressionI4rc.</v>
      </c>
    </row>
    <row r="136" spans="16:19">
      <c r="P136" s="11">
        <v>122</v>
      </c>
      <c r="Q136" s="11">
        <f t="shared" si="9"/>
        <v>20</v>
      </c>
      <c r="R136" s="11">
        <f t="shared" si="10"/>
        <v>2</v>
      </c>
      <c r="S136" s="12" t="str" cm="1">
        <f t="array" ref="S136">INDEX('GeneticTestExp-ConceptMap-1'!$I$15:$N$124,Q136+1,R136)</f>
        <v>* group[=].element[=].display = ##34###34#</v>
      </c>
    </row>
    <row r="137" spans="16:19">
      <c r="P137" s="11">
        <v>123</v>
      </c>
      <c r="Q137" s="11">
        <f t="shared" si="9"/>
        <v>20</v>
      </c>
      <c r="R137" s="11">
        <f t="shared" si="10"/>
        <v>3</v>
      </c>
      <c r="S137" s="12" t="str" cm="1">
        <f t="array" ref="S137">INDEX('GeneticTestExp-ConceptMap-1'!$I$15:$N$124,Q137+1,R137)</f>
        <v>* group[=].element[=].target.code = #Procedure.</v>
      </c>
    </row>
    <row r="138" spans="16:19">
      <c r="P138" s="11">
        <v>124</v>
      </c>
      <c r="Q138" s="11">
        <f t="shared" si="9"/>
        <v>20</v>
      </c>
      <c r="R138" s="11">
        <f t="shared" si="10"/>
        <v>4</v>
      </c>
      <c r="S138" s="12" t="str" cm="1">
        <f t="array" ref="S138">INDEX('GeneticTestExp-ConceptMap-1'!$I$15:$N$124,Q138+1,R138)</f>
        <v>* group[=].element[=].target.display = ##34###34#</v>
      </c>
    </row>
    <row r="139" spans="16:19">
      <c r="P139" s="11">
        <v>125</v>
      </c>
      <c r="Q139" s="11">
        <f t="shared" si="9"/>
        <v>20</v>
      </c>
      <c r="R139" s="11">
        <f t="shared" si="10"/>
        <v>5</v>
      </c>
      <c r="S139" s="12" t="str" cm="1">
        <f t="array" ref="S139">INDEX('GeneticTestExp-ConceptMap-1'!$I$15:$N$124,Q139+1,R139)</f>
        <v>* group[=].element[=].target.equivalence = #</v>
      </c>
    </row>
    <row r="140" spans="16:19">
      <c r="P140" s="11">
        <v>126</v>
      </c>
      <c r="Q140" s="11">
        <f t="shared" si="9"/>
        <v>20</v>
      </c>
      <c r="R140" s="11">
        <f t="shared" si="10"/>
        <v>6</v>
      </c>
      <c r="S140" s="12" t="str" cm="1">
        <f t="array" ref="S140">INDEX('GeneticTestExp-ConceptMap-1'!$I$15:$N$124,Q140+1,R140)</f>
        <v/>
      </c>
    </row>
    <row r="141" spans="16:19">
      <c r="P141" s="11">
        <v>127</v>
      </c>
      <c r="Q141" s="11">
        <f t="shared" si="9"/>
        <v>21</v>
      </c>
      <c r="R141" s="11">
        <f t="shared" si="10"/>
        <v>1</v>
      </c>
      <c r="S141" s="12" t="str" cm="1">
        <f t="array" ref="S141">INDEX('GeneticTestExp-ConceptMap-1'!$I$15:$N$124,Q141+1,R141)</f>
        <v>* group[=].element[+].code = #GeneticTestExpressionI4rc.</v>
      </c>
    </row>
    <row r="142" spans="16:19">
      <c r="P142" s="11">
        <v>128</v>
      </c>
      <c r="Q142" s="11">
        <f t="shared" si="9"/>
        <v>21</v>
      </c>
      <c r="R142" s="11">
        <f t="shared" si="10"/>
        <v>2</v>
      </c>
      <c r="S142" s="12" t="str" cm="1">
        <f t="array" ref="S142">INDEX('GeneticTestExp-ConceptMap-1'!$I$15:$N$124,Q142+1,R142)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INDEX('GeneticTestExp-ConceptMap-1'!$I$15:$N$124,Q143+1,R143)</f>
        <v>* group[=].element[=].target.code = #Procedure.</v>
      </c>
    </row>
    <row r="144" spans="16:19">
      <c r="P144" s="11">
        <v>130</v>
      </c>
      <c r="Q144" s="11">
        <f t="shared" si="11"/>
        <v>21</v>
      </c>
      <c r="R144" s="11">
        <f t="shared" si="12"/>
        <v>4</v>
      </c>
      <c r="S144" s="12" t="str" cm="1">
        <f t="array" ref="S144">INDEX('GeneticTestExp-ConceptMap-1'!$I$15:$N$124,Q144+1,R144)</f>
        <v>* group[=].element[=].target.display = ##34###34#</v>
      </c>
    </row>
    <row r="145" spans="16:19">
      <c r="P145" s="11">
        <v>131</v>
      </c>
      <c r="Q145" s="11">
        <f t="shared" si="11"/>
        <v>21</v>
      </c>
      <c r="R145" s="11">
        <f t="shared" si="12"/>
        <v>5</v>
      </c>
      <c r="S145" s="12" t="str" cm="1">
        <f t="array" ref="S145">INDEX('GeneticTestExp-ConceptMap-1'!$I$15:$N$124,Q145+1,R145)</f>
        <v>* group[=].element[=].target.equivalence = #</v>
      </c>
    </row>
    <row r="146" spans="16:19">
      <c r="P146" s="11">
        <v>132</v>
      </c>
      <c r="Q146" s="11">
        <f t="shared" si="11"/>
        <v>21</v>
      </c>
      <c r="R146" s="11">
        <f t="shared" si="12"/>
        <v>6</v>
      </c>
      <c r="S146" s="12" t="str" cm="1">
        <f t="array" ref="S146">INDEX('GeneticTestExp-ConceptMap-1'!$I$15:$N$124,Q146+1,R146)</f>
        <v/>
      </c>
    </row>
    <row r="147" spans="16:19">
      <c r="P147" s="11">
        <v>133</v>
      </c>
      <c r="Q147" s="11">
        <f t="shared" si="11"/>
        <v>22</v>
      </c>
      <c r="R147" s="11">
        <f t="shared" si="12"/>
        <v>1</v>
      </c>
      <c r="S147" s="12" t="str" cm="1">
        <f t="array" ref="S147">INDEX('GeneticTestExp-ConceptMap-1'!$I$15:$N$124,Q147+1,R147)</f>
        <v>* group[=].element[+].code = #GeneticTestExpressionI4rc.</v>
      </c>
    </row>
    <row r="148" spans="16:19">
      <c r="P148" s="11">
        <v>134</v>
      </c>
      <c r="Q148" s="11">
        <f t="shared" si="11"/>
        <v>22</v>
      </c>
      <c r="R148" s="11">
        <f t="shared" si="12"/>
        <v>2</v>
      </c>
      <c r="S148" s="12" t="str" cm="1">
        <f t="array" ref="S148">INDEX('GeneticTestExp-ConceptMap-1'!$I$15:$N$124,Q148+1,R148)</f>
        <v>* group[=].element[=].display = ##34###34#</v>
      </c>
    </row>
    <row r="149" spans="16:19">
      <c r="P149" s="11">
        <v>135</v>
      </c>
      <c r="Q149" s="11">
        <f t="shared" si="11"/>
        <v>22</v>
      </c>
      <c r="R149" s="11">
        <f t="shared" si="12"/>
        <v>3</v>
      </c>
      <c r="S149" s="12" t="str" cm="1">
        <f t="array" ref="S149">INDEX('GeneticTestExp-ConceptMap-1'!$I$15:$N$124,Q149+1,R149)</f>
        <v>* group[=].element[=].target.code = #Procedure.</v>
      </c>
    </row>
    <row r="150" spans="16:19">
      <c r="P150" s="11">
        <v>136</v>
      </c>
      <c r="Q150" s="11">
        <f t="shared" si="11"/>
        <v>22</v>
      </c>
      <c r="R150" s="11">
        <f t="shared" si="12"/>
        <v>4</v>
      </c>
      <c r="S150" s="12" t="str" cm="1">
        <f t="array" ref="S150">INDEX('GeneticTestExp-ConceptMap-1'!$I$15:$N$124,Q150+1,R150)</f>
        <v>* group[=].element[=].target.display = ##34###34#</v>
      </c>
    </row>
    <row r="151" spans="16:19">
      <c r="P151" s="11">
        <v>137</v>
      </c>
      <c r="Q151" s="11">
        <f t="shared" si="11"/>
        <v>22</v>
      </c>
      <c r="R151" s="11">
        <f t="shared" si="12"/>
        <v>5</v>
      </c>
      <c r="S151" s="12" t="str" cm="1">
        <f t="array" ref="S151">INDEX('GeneticTestExp-ConceptMap-1'!$I$15:$N$124,Q151+1,R151)</f>
        <v>* group[=].element[=].target.equivalence = #</v>
      </c>
    </row>
    <row r="152" spans="16:19">
      <c r="P152" s="11">
        <v>138</v>
      </c>
      <c r="Q152" s="11">
        <f t="shared" si="11"/>
        <v>22</v>
      </c>
      <c r="R152" s="11">
        <f t="shared" si="12"/>
        <v>6</v>
      </c>
      <c r="S152" s="12" t="str" cm="1">
        <f t="array" ref="S152">INDEX('GeneticTestExp-ConceptMap-1'!$I$15:$N$124,Q152+1,R152)</f>
        <v/>
      </c>
    </row>
    <row r="153" spans="16:19">
      <c r="P153" s="11">
        <v>139</v>
      </c>
      <c r="Q153" s="11">
        <f t="shared" si="11"/>
        <v>23</v>
      </c>
      <c r="R153" s="11">
        <f t="shared" si="12"/>
        <v>1</v>
      </c>
      <c r="S153" s="12" t="str" cm="1">
        <f t="array" ref="S153">INDEX('GeneticTestExp-ConceptMap-1'!$I$15:$N$124,Q153+1,R153)</f>
        <v>* group[=].element[+].code = #GeneticTestExpressionI4rc.</v>
      </c>
    </row>
    <row r="154" spans="16:19">
      <c r="P154" s="11">
        <v>140</v>
      </c>
      <c r="Q154" s="11">
        <f t="shared" si="11"/>
        <v>23</v>
      </c>
      <c r="R154" s="11">
        <f t="shared" si="12"/>
        <v>2</v>
      </c>
      <c r="S154" s="12" t="str" cm="1">
        <f t="array" ref="S154">INDEX('GeneticTestExp-ConceptMap-1'!$I$15:$N$124,Q154+1,R154)</f>
        <v>* group[=].element[=].display = ##34###34#</v>
      </c>
    </row>
    <row r="155" spans="16:19">
      <c r="P155" s="11">
        <v>141</v>
      </c>
      <c r="Q155" s="11">
        <f t="shared" si="11"/>
        <v>23</v>
      </c>
      <c r="R155" s="11">
        <f t="shared" si="12"/>
        <v>3</v>
      </c>
      <c r="S155" s="12" t="str" cm="1">
        <f t="array" ref="S155">INDEX('GeneticTestExp-ConceptMap-1'!$I$15:$N$124,Q155+1,R155)</f>
        <v>* group[=].element[=].target.code = #Procedure.</v>
      </c>
    </row>
    <row r="156" spans="16:19">
      <c r="P156" s="11">
        <v>142</v>
      </c>
      <c r="Q156" s="11">
        <f t="shared" si="11"/>
        <v>23</v>
      </c>
      <c r="R156" s="11">
        <f t="shared" si="12"/>
        <v>4</v>
      </c>
      <c r="S156" s="12" t="str" cm="1">
        <f t="array" ref="S156">INDEX('GeneticTestExp-ConceptMap-1'!$I$15:$N$124,Q156+1,R156)</f>
        <v>* group[=].element[=].target.display = ##34###34#</v>
      </c>
    </row>
    <row r="157" spans="16:19">
      <c r="P157" s="11">
        <v>143</v>
      </c>
      <c r="Q157" s="11">
        <f t="shared" si="11"/>
        <v>23</v>
      </c>
      <c r="R157" s="11">
        <f t="shared" si="12"/>
        <v>5</v>
      </c>
      <c r="S157" s="12" t="str" cm="1">
        <f t="array" ref="S157">INDEX('GeneticTestExp-ConceptMap-1'!$I$15:$N$124,Q157+1,R157)</f>
        <v>* group[=].element[=].target.equivalence = #</v>
      </c>
    </row>
    <row r="158" spans="16:19">
      <c r="P158" s="11">
        <v>144</v>
      </c>
      <c r="Q158" s="11">
        <f t="shared" si="11"/>
        <v>23</v>
      </c>
      <c r="R158" s="11">
        <f t="shared" si="12"/>
        <v>6</v>
      </c>
      <c r="S158" s="12" t="str" cm="1">
        <f t="array" ref="S158">INDEX('GeneticTestExp-ConceptMap-1'!$I$15:$N$124,Q158+1,R158)</f>
        <v/>
      </c>
    </row>
    <row r="159" spans="16:19">
      <c r="P159" s="11">
        <v>145</v>
      </c>
      <c r="Q159" s="11">
        <f t="shared" si="11"/>
        <v>24</v>
      </c>
      <c r="R159" s="11">
        <f t="shared" si="12"/>
        <v>1</v>
      </c>
      <c r="S159" s="12" t="str" cm="1">
        <f t="array" ref="S159">INDEX('GeneticTestExp-ConceptMap-1'!$I$15:$N$124,Q159+1,R159)</f>
        <v>* group[=].element[+].code = #GeneticTestExpressionI4rc.</v>
      </c>
    </row>
    <row r="160" spans="16:19">
      <c r="P160" s="11">
        <v>146</v>
      </c>
      <c r="Q160" s="11">
        <f t="shared" si="11"/>
        <v>24</v>
      </c>
      <c r="R160" s="11">
        <f t="shared" si="12"/>
        <v>2</v>
      </c>
      <c r="S160" s="12" t="str" cm="1">
        <f t="array" ref="S160">INDEX('GeneticTestExp-ConceptMap-1'!$I$15:$N$124,Q160+1,R160)</f>
        <v>* group[=].element[=].display = ##34###34#</v>
      </c>
    </row>
    <row r="161" spans="16:19">
      <c r="P161" s="11">
        <v>147</v>
      </c>
      <c r="Q161" s="11">
        <f t="shared" si="11"/>
        <v>24</v>
      </c>
      <c r="R161" s="11">
        <f t="shared" si="12"/>
        <v>3</v>
      </c>
      <c r="S161" s="12" t="str" cm="1">
        <f t="array" ref="S161">INDEX('GeneticTestExp-ConceptMap-1'!$I$15:$N$124,Q161+1,R161)</f>
        <v>* group[=].element[=].target.code = #Procedure.</v>
      </c>
    </row>
    <row r="162" spans="16:19">
      <c r="P162" s="11">
        <v>148</v>
      </c>
      <c r="Q162" s="11">
        <f t="shared" si="11"/>
        <v>24</v>
      </c>
      <c r="R162" s="11">
        <f t="shared" si="12"/>
        <v>4</v>
      </c>
      <c r="S162" s="12" t="str" cm="1">
        <f t="array" ref="S162">INDEX('GeneticTestExp-ConceptMap-1'!$I$15:$N$124,Q162+1,R162)</f>
        <v>* group[=].element[=].target.display = ##34###34#</v>
      </c>
    </row>
    <row r="163" spans="16:19">
      <c r="P163" s="11">
        <v>149</v>
      </c>
      <c r="Q163" s="11">
        <f t="shared" si="11"/>
        <v>24</v>
      </c>
      <c r="R163" s="11">
        <f t="shared" si="12"/>
        <v>5</v>
      </c>
      <c r="S163" s="12" t="str" cm="1">
        <f t="array" ref="S163">INDEX('GeneticTestExp-ConceptMap-1'!$I$15:$N$124,Q163+1,R163)</f>
        <v>* group[=].element[=].target.equivalence = #</v>
      </c>
    </row>
    <row r="164" spans="16:19">
      <c r="P164" s="11">
        <v>150</v>
      </c>
      <c r="Q164" s="11">
        <f t="shared" si="11"/>
        <v>24</v>
      </c>
      <c r="R164" s="11">
        <f t="shared" si="12"/>
        <v>6</v>
      </c>
      <c r="S164" s="12" t="str" cm="1">
        <f t="array" ref="S164">INDEX('GeneticTestExp-ConceptMap-1'!$I$15:$N$124,Q164+1,R164)</f>
        <v/>
      </c>
    </row>
    <row r="165" spans="16:19">
      <c r="P165" s="11">
        <v>151</v>
      </c>
      <c r="Q165" s="11">
        <f t="shared" si="11"/>
        <v>25</v>
      </c>
      <c r="R165" s="11">
        <f t="shared" si="12"/>
        <v>1</v>
      </c>
      <c r="S165" s="12" t="str" cm="1">
        <f t="array" ref="S165">INDEX('GeneticTestExp-ConceptMap-1'!$I$15:$N$124,Q165+1,R165)</f>
        <v>* group[=].element[+].code = #GeneticTestExpressionI4rc.</v>
      </c>
    </row>
    <row r="166" spans="16:19">
      <c r="P166" s="11">
        <v>152</v>
      </c>
      <c r="Q166" s="11">
        <f t="shared" si="11"/>
        <v>25</v>
      </c>
      <c r="R166" s="11">
        <f t="shared" si="12"/>
        <v>2</v>
      </c>
      <c r="S166" s="12" t="str" cm="1">
        <f t="array" ref="S166">INDEX('GeneticTestExp-ConceptMap-1'!$I$15:$N$124,Q166+1,R166)</f>
        <v>* group[=].element[=].display = ##34###34#</v>
      </c>
    </row>
    <row r="167" spans="16:19">
      <c r="P167" s="11">
        <v>153</v>
      </c>
      <c r="Q167" s="11">
        <f t="shared" si="11"/>
        <v>25</v>
      </c>
      <c r="R167" s="11">
        <f t="shared" si="12"/>
        <v>3</v>
      </c>
      <c r="S167" s="12" t="str" cm="1">
        <f t="array" ref="S167">INDEX('GeneticTestExp-ConceptMap-1'!$I$15:$N$124,Q167+1,R167)</f>
        <v>* group[=].element[=].target.code = #Procedure.</v>
      </c>
    </row>
    <row r="168" spans="16:19">
      <c r="P168" s="11">
        <v>154</v>
      </c>
      <c r="Q168" s="11">
        <f t="shared" si="11"/>
        <v>25</v>
      </c>
      <c r="R168" s="11">
        <f t="shared" si="12"/>
        <v>4</v>
      </c>
      <c r="S168" s="12" t="str" cm="1">
        <f t="array" ref="S168">INDEX('GeneticTestExp-ConceptMap-1'!$I$15:$N$124,Q168+1,R168)</f>
        <v>* group[=].element[=].target.display = ##34###34#</v>
      </c>
    </row>
    <row r="169" spans="16:19">
      <c r="P169" s="11">
        <v>155</v>
      </c>
      <c r="Q169" s="11">
        <f t="shared" si="11"/>
        <v>25</v>
      </c>
      <c r="R169" s="11">
        <f t="shared" si="12"/>
        <v>5</v>
      </c>
      <c r="S169" s="12" t="str" cm="1">
        <f t="array" ref="S169">INDEX('GeneticTestExp-ConceptMap-1'!$I$15:$N$124,Q169+1,R169)</f>
        <v>* group[=].element[=].target.equivalence = #</v>
      </c>
    </row>
    <row r="170" spans="16:19">
      <c r="P170" s="11">
        <v>156</v>
      </c>
      <c r="Q170" s="11">
        <f t="shared" si="11"/>
        <v>25</v>
      </c>
      <c r="R170" s="11">
        <f t="shared" si="12"/>
        <v>6</v>
      </c>
      <c r="S170" s="12" t="str" cm="1">
        <f t="array" ref="S170">INDEX('GeneticTestExp-ConceptMap-1'!$I$15:$N$124,Q170+1,R170)</f>
        <v/>
      </c>
    </row>
    <row r="171" spans="16:19">
      <c r="P171" s="11">
        <v>157</v>
      </c>
      <c r="Q171" s="11">
        <f t="shared" si="11"/>
        <v>26</v>
      </c>
      <c r="R171" s="11">
        <f t="shared" si="12"/>
        <v>1</v>
      </c>
      <c r="S171" s="12" t="str" cm="1">
        <f t="array" ref="S171">INDEX('GeneticTestExp-ConceptMap-1'!$I$15:$N$124,Q171+1,R171)</f>
        <v>* group[=].element[+].code = #GeneticTestExpressionI4rc.</v>
      </c>
    </row>
    <row r="172" spans="16:19">
      <c r="P172" s="11">
        <v>158</v>
      </c>
      <c r="Q172" s="11">
        <f t="shared" si="11"/>
        <v>26</v>
      </c>
      <c r="R172" s="11">
        <f t="shared" si="12"/>
        <v>2</v>
      </c>
      <c r="S172" s="12" t="str" cm="1">
        <f t="array" ref="S172">INDEX('GeneticTestExp-ConceptMap-1'!$I$15:$N$124,Q172+1,R172)</f>
        <v>* group[=].element[=].display = ##34###34#</v>
      </c>
    </row>
    <row r="173" spans="16:19">
      <c r="P173" s="11">
        <v>159</v>
      </c>
      <c r="Q173" s="11">
        <f t="shared" si="11"/>
        <v>26</v>
      </c>
      <c r="R173" s="11">
        <f t="shared" si="12"/>
        <v>3</v>
      </c>
      <c r="S173" s="12" t="str" cm="1">
        <f t="array" ref="S173">INDEX('GeneticTestExp-ConceptMap-1'!$I$15:$N$124,Q173+1,R173)</f>
        <v>* group[=].element[=].target.code = #Procedure.</v>
      </c>
    </row>
    <row r="174" spans="16:19">
      <c r="P174" s="11">
        <v>160</v>
      </c>
      <c r="Q174" s="11">
        <f t="shared" si="11"/>
        <v>26</v>
      </c>
      <c r="R174" s="11">
        <f t="shared" si="12"/>
        <v>4</v>
      </c>
      <c r="S174" s="12" t="str" cm="1">
        <f t="array" ref="S174">INDEX('GeneticTestExp-ConceptMap-1'!$I$15:$N$124,Q174+1,R174)</f>
        <v>* group[=].element[=].target.display = ##34###34#</v>
      </c>
    </row>
    <row r="175" spans="16:19">
      <c r="P175" s="11">
        <v>161</v>
      </c>
      <c r="Q175" s="11">
        <f t="shared" si="11"/>
        <v>26</v>
      </c>
      <c r="R175" s="11">
        <f t="shared" si="12"/>
        <v>5</v>
      </c>
      <c r="S175" s="12" t="str" cm="1">
        <f t="array" ref="S175">INDEX('GeneticTestExp-ConceptMap-1'!$I$15:$N$124,Q175+1,R175)</f>
        <v>* group[=].element[=].target.equivalence = #</v>
      </c>
    </row>
    <row r="176" spans="16:19">
      <c r="P176" s="11">
        <v>162</v>
      </c>
      <c r="Q176" s="11">
        <f t="shared" si="11"/>
        <v>26</v>
      </c>
      <c r="R176" s="11">
        <f t="shared" si="12"/>
        <v>6</v>
      </c>
      <c r="S176" s="12" t="str" cm="1">
        <f t="array" ref="S176">INDEX('GeneticTestExp-ConceptMap-1'!$I$15:$N$124,Q176+1,R176)</f>
        <v/>
      </c>
    </row>
    <row r="177" spans="16:19">
      <c r="P177" s="11">
        <v>163</v>
      </c>
      <c r="Q177" s="11">
        <f t="shared" si="11"/>
        <v>27</v>
      </c>
      <c r="R177" s="11">
        <f t="shared" si="12"/>
        <v>1</v>
      </c>
      <c r="S177" s="12" cm="1">
        <f t="array" ref="S177">INDEX('GeneticTestExp-ConceptMap-1'!$I$15:$N$124,Q177+1,R177)</f>
        <v>0</v>
      </c>
    </row>
    <row r="178" spans="16:19">
      <c r="P178" s="11">
        <v>164</v>
      </c>
      <c r="Q178" s="11">
        <f t="shared" si="11"/>
        <v>27</v>
      </c>
      <c r="R178" s="11">
        <f t="shared" si="12"/>
        <v>2</v>
      </c>
      <c r="S178" s="12" cm="1">
        <f t="array" ref="S178">INDEX('GeneticTestExp-ConceptMap-1'!$I$15:$N$124,Q178+1,R178)</f>
        <v>0</v>
      </c>
    </row>
    <row r="179" spans="16:19">
      <c r="P179" s="11">
        <v>165</v>
      </c>
      <c r="Q179" s="11">
        <f t="shared" si="11"/>
        <v>27</v>
      </c>
      <c r="R179" s="11">
        <f t="shared" si="12"/>
        <v>3</v>
      </c>
      <c r="S179" s="12" cm="1">
        <f t="array" ref="S179">INDEX('GeneticTestExp-ConceptMap-1'!$I$15:$N$124,Q179+1,R179)</f>
        <v>0</v>
      </c>
    </row>
    <row r="180" spans="16:19">
      <c r="P180" s="11">
        <v>166</v>
      </c>
      <c r="Q180" s="11">
        <f t="shared" si="11"/>
        <v>27</v>
      </c>
      <c r="R180" s="11">
        <f t="shared" si="12"/>
        <v>4</v>
      </c>
      <c r="S180" s="12" cm="1">
        <f t="array" ref="S180">INDEX('GeneticTestExp-ConceptMap-1'!$I$15:$N$124,Q180+1,R180)</f>
        <v>0</v>
      </c>
    </row>
    <row r="181" spans="16:19">
      <c r="P181" s="11">
        <v>167</v>
      </c>
      <c r="Q181" s="11">
        <f t="shared" si="11"/>
        <v>27</v>
      </c>
      <c r="R181" s="11">
        <f t="shared" si="12"/>
        <v>5</v>
      </c>
      <c r="S181" s="12" cm="1">
        <f t="array" ref="S181">INDEX('GeneticTestExp-ConceptMap-1'!$I$15:$N$124,Q181+1,R181)</f>
        <v>0</v>
      </c>
    </row>
    <row r="182" spans="16:19">
      <c r="P182" s="11">
        <v>168</v>
      </c>
      <c r="Q182" s="11">
        <f t="shared" si="11"/>
        <v>27</v>
      </c>
      <c r="R182" s="11">
        <f t="shared" si="12"/>
        <v>6</v>
      </c>
      <c r="S182" s="12" cm="1">
        <f t="array" ref="S182">INDEX('GeneticTestExp-ConceptMap-1'!$I$15:$N$124,Q182+1,R182)</f>
        <v>0</v>
      </c>
    </row>
    <row r="183" spans="16:19">
      <c r="P183" s="11">
        <v>169</v>
      </c>
      <c r="Q183" s="11">
        <f t="shared" si="11"/>
        <v>28</v>
      </c>
      <c r="R183" s="11">
        <f t="shared" si="12"/>
        <v>1</v>
      </c>
      <c r="S183" s="12" cm="1">
        <f t="array" ref="S183">INDEX('GeneticTestExp-ConceptMap-1'!$I$15:$N$124,Q183+1,R183)</f>
        <v>0</v>
      </c>
    </row>
    <row r="184" spans="16:19">
      <c r="P184" s="11">
        <v>170</v>
      </c>
      <c r="Q184" s="11">
        <f t="shared" si="11"/>
        <v>28</v>
      </c>
      <c r="R184" s="11">
        <f t="shared" si="12"/>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4" r:id="rId4" xr:uid="{8DCF05A8-2132-4773-8A5F-CB6FA614E879}"/>
    <hyperlink ref="E7" r:id="rId5" display="http://hl7.eu/fhir/ig/idea4rc/StructureDefinition/Procedure-radiotheraphy-eu-pcsp" xr:uid="{57956E81-5D63-4A65-A051-90A7F7CCE13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2313</v>
      </c>
    </row>
    <row r="3" spans="2:7">
      <c r="B3" s="24" t="s">
        <v>20</v>
      </c>
    </row>
    <row r="4" spans="2:7">
      <c r="B4" s="65" t="str">
        <f>"Instance: "&amp;'GeneticTestExp-ConceptMap-1'!C4</f>
        <v>Instance: treatmentResponse2FHIR</v>
      </c>
    </row>
    <row r="5" spans="2:7">
      <c r="B5" s="65" t="s">
        <v>1447</v>
      </c>
    </row>
    <row r="6" spans="2:7">
      <c r="B6" s="65" t="s">
        <v>1438</v>
      </c>
    </row>
    <row r="7" spans="2:7">
      <c r="B7" s="65" t="s">
        <v>1776</v>
      </c>
    </row>
    <row r="8" spans="2:7">
      <c r="B8" s="65" t="str">
        <f>"* name = ##34#"&amp;'GeneticTestExp-ConceptMap-1'!C3&amp;"##34#"</f>
        <v>* name = ##34#treatmentResponse2FHIR##34#</v>
      </c>
    </row>
    <row r="9" spans="2:7">
      <c r="B9" s="65" t="str">
        <f>"* title = ##34#"&amp;'GeneticTestExp-ConceptMap-1'!C5&amp;"##34#"</f>
        <v>* title = ##34#Radiotherapy Model to this guide Map##34#</v>
      </c>
    </row>
    <row r="10" spans="2:7">
      <c r="B10" s="65" t="s">
        <v>1439</v>
      </c>
    </row>
    <row r="11" spans="2:7">
      <c r="B11" s="65" t="s">
        <v>1440</v>
      </c>
    </row>
    <row r="12" spans="2:7">
      <c r="B12" s="65" t="str">
        <f>"* description = ##34#"&amp;'GeneticTestExp-ConceptMap-1'!C8&amp;"##34#"</f>
        <v>* description = ##34#Radiotherapy Model to this guide Map##34#</v>
      </c>
    </row>
    <row r="13" spans="2:7">
      <c r="B13" s="65" t="str">
        <f>"* purpose = ##34#"&amp;'GeneticTestExp-ConceptMap-1'!C9&amp;"##34#"</f>
        <v>* purpose = ##34#It shows how the Radiotherapy model is mapped into this guide##34#</v>
      </c>
    </row>
    <row r="14" spans="2:7">
      <c r="B14" s="69" t="str">
        <f>"* sourceUri = ##34#"&amp;'GeneticTestExp-ConceptMap-1'!E3&amp;"##34#"</f>
        <v>* sourceUri = ##34#http://hl7.eu/fhir/ig/idea4rc/StructureDefinition/GeneticTestExpressionI4rc##34#</v>
      </c>
    </row>
    <row r="15" spans="2:7">
      <c r="B15" s="69" t="str">
        <f>"* targetUri = ##34#"&amp;'GeneticTestExp-ConceptMap-1'!E4&amp;"##34#"</f>
        <v>* targetUri = ##34#http://hl7.eu/fhir/ig/idea4rc/StructureDefinition/Procedure-radiotheraphy-eu-i4rc##34#</v>
      </c>
    </row>
    <row r="16" spans="2:7">
      <c r="B16" s="68" t="str">
        <f>"* group[+].source = ##34#"&amp;'GeneticTestExp-ConceptMap-1'!E6&amp;"##34#"</f>
        <v>* group[+].source = ##34#http://hl7.eu/fhir/ig/idea4rc/StructureDefinition/GeneticTestExpressionI4rc##34#</v>
      </c>
    </row>
    <row r="17" spans="2:7">
      <c r="B17" s="68" t="str">
        <f>"* group[=].target = ##34#"&amp;'GeneticTestExp-ConceptMap-1'!E7&amp;"##34#"</f>
        <v>* group[=].target = ##34#http://hl7.eu/fhir/ig/idea4rc/StructureDefinition/Procedure-radiotheraphy-eu-i4rc##34#</v>
      </c>
    </row>
    <row r="18" spans="2:7">
      <c r="B18" s="121"/>
    </row>
    <row r="19" spans="2:7">
      <c r="B19" s="12" t="str">
        <f>IF('GeneticTestExp-ConceptMap-1'!S15=0,"//---END",'GeneticTestExp-ConceptMap-1'!S15)</f>
        <v>* group[=].element[+].code = #GeneticTestExpressionI4rc.</v>
      </c>
    </row>
    <row r="20" spans="2:7">
      <c r="B20" s="12" t="str">
        <f>IF('GeneticTestExp-ConceptMap-1'!S16=0,"//---END",'GeneticTestExp-ConceptMap-1'!S16)</f>
        <v>* group[=].element[=].display = ##34###34#</v>
      </c>
    </row>
    <row r="21" spans="2:7">
      <c r="B21" s="12" t="str">
        <f>IF('GeneticTestExp-ConceptMap-1'!S17=0,"//---END",'GeneticTestExp-ConceptMap-1'!S17)</f>
        <v>* group[=].element[=].target.code = #Procedure.</v>
      </c>
    </row>
    <row r="22" spans="2:7">
      <c r="B22" s="12" t="str">
        <f>IF('GeneticTestExp-ConceptMap-1'!S18=0,"//---END",'GeneticTestExp-ConceptMap-1'!S18)</f>
        <v>* group[=].element[=].target.display = ##34###34#</v>
      </c>
    </row>
    <row r="23" spans="2:7">
      <c r="B23" s="12" t="str">
        <f>IF('GeneticTestExp-ConceptMap-1'!S19=0,"//---END",'GeneticTestExp-ConceptMap-1'!S19)</f>
        <v>* group[=].element[=].target.equivalence = #</v>
      </c>
    </row>
    <row r="24" spans="2:7">
      <c r="B24" s="12" t="str">
        <f>IF('GeneticTestExp-ConceptMap-1'!S20=0,"//---END",'GeneticTestExp-ConceptMap-1'!S20)</f>
        <v/>
      </c>
      <c r="G24" s="7"/>
    </row>
    <row r="25" spans="2:7">
      <c r="B25" s="12" t="str">
        <f>IF('GeneticTestExp-ConceptMap-1'!S21=0,"//---END",'GeneticTestExp-ConceptMap-1'!S21)</f>
        <v>* group[=].element[+].code = #GeneticTestExpressionI4rc.</v>
      </c>
    </row>
    <row r="26" spans="2:7">
      <c r="B26" s="12" t="str">
        <f>IF('GeneticTestExp-ConceptMap-1'!S22=0,"//---END",'GeneticTestExp-ConceptMap-1'!S22)</f>
        <v>* group[=].element[=].display = ##34###34#</v>
      </c>
    </row>
    <row r="27" spans="2:7">
      <c r="B27" s="12" t="str">
        <f>IF('GeneticTestExp-ConceptMap-1'!S23=0,"//---END",'GeneticTestExp-ConceptMap-1'!S23)</f>
        <v>* group[=].element[=].target.code = #Procedure.</v>
      </c>
    </row>
    <row r="28" spans="2:7">
      <c r="B28" s="12" t="str">
        <f>IF('GeneticTestExp-ConceptMap-1'!S24=0,"//---END",'GeneticTestExp-ConceptMap-1'!S24)</f>
        <v>* group[=].element[=].target.display = ##34###34#</v>
      </c>
    </row>
    <row r="29" spans="2:7">
      <c r="B29" s="12" t="str">
        <f>IF('GeneticTestExp-ConceptMap-1'!S25=0,"//---END",'GeneticTestExp-ConceptMap-1'!S25)</f>
        <v>* group[=].element[=].target.equivalence = #</v>
      </c>
    </row>
    <row r="30" spans="2:7">
      <c r="B30" s="12" t="str">
        <f>IF('GeneticTestExp-ConceptMap-1'!S26=0,"//---END",'GeneticTestExp-ConceptMap-1'!S26)</f>
        <v/>
      </c>
    </row>
    <row r="31" spans="2:7">
      <c r="B31" s="12" t="str">
        <f>IF('GeneticTestExp-ConceptMap-1'!S27=0,"//---END",'GeneticTestExp-ConceptMap-1'!S27)</f>
        <v>* group[=].element[+].code = #GeneticTestExpressionI4rc.</v>
      </c>
    </row>
    <row r="32" spans="2:7">
      <c r="B32" s="12" t="str">
        <f>IF('GeneticTestExp-ConceptMap-1'!S28=0,"//---END",'GeneticTestExp-ConceptMap-1'!S28)</f>
        <v>* group[=].element[=].display = ##34###34#</v>
      </c>
    </row>
    <row r="33" spans="2:2">
      <c r="B33" s="12" t="str">
        <f>IF('GeneticTestExp-ConceptMap-1'!S29=0,"//---END",'GeneticTestExp-ConceptMap-1'!S29)</f>
        <v>* group[=].element[=].target.code = #Procedure.</v>
      </c>
    </row>
    <row r="34" spans="2:2">
      <c r="B34" s="12" t="str">
        <f>IF('GeneticTestExp-ConceptMap-1'!S30=0,"//---END",'GeneticTestExp-ConceptMap-1'!S30)</f>
        <v>* group[=].element[=].target.display = ##34###34#</v>
      </c>
    </row>
    <row r="35" spans="2:2">
      <c r="B35" s="12" t="str">
        <f>IF('GeneticTestExp-ConceptMap-1'!S31=0,"//---END",'GeneticTestExp-ConceptMap-1'!S31)</f>
        <v>* group[=].element[=].target.equivalence = #</v>
      </c>
    </row>
    <row r="36" spans="2:2">
      <c r="B36" s="12" t="str">
        <f>IF('GeneticTestExp-ConceptMap-1'!S32=0,"//---END",'GeneticTestExp-ConceptMap-1'!S32)</f>
        <v/>
      </c>
    </row>
    <row r="37" spans="2:2">
      <c r="B37" s="12" t="str">
        <f>IF('GeneticTestExp-ConceptMap-1'!S33=0,"//---END",'GeneticTestExp-ConceptMap-1'!S33)</f>
        <v>* group[=].element[+].code = #GeneticTestExpressionI4rc.</v>
      </c>
    </row>
    <row r="38" spans="2:2">
      <c r="B38" s="12" t="str">
        <f>IF('GeneticTestExp-ConceptMap-1'!S34=0,"//---END",'GeneticTestExp-ConceptMap-1'!S34)</f>
        <v>* group[=].element[=].display = ##34###34#</v>
      </c>
    </row>
    <row r="39" spans="2:2">
      <c r="B39" s="12" t="str">
        <f>IF('GeneticTestExp-ConceptMap-1'!S35=0,"//---END",'GeneticTestExp-ConceptMap-1'!S35)</f>
        <v>* group[=].element[=].target.code = #Procedure.</v>
      </c>
    </row>
    <row r="40" spans="2:2">
      <c r="B40" s="12" t="str">
        <f>IF('GeneticTestExp-ConceptMap-1'!S36=0,"//---END",'GeneticTestExp-ConceptMap-1'!S36)</f>
        <v>* group[=].element[=].target.display = ##34###34#</v>
      </c>
    </row>
    <row r="41" spans="2:2">
      <c r="B41" s="12" t="str">
        <f>IF('GeneticTestExp-ConceptMap-1'!S37=0,"//---END",'GeneticTestExp-ConceptMap-1'!S37)</f>
        <v>* group[=].element[=].target.equivalence = #</v>
      </c>
    </row>
    <row r="42" spans="2:2">
      <c r="B42" s="12" t="str">
        <f>IF('GeneticTestExp-ConceptMap-1'!S38=0,"//---END",'GeneticTestExp-ConceptMap-1'!S38)</f>
        <v/>
      </c>
    </row>
    <row r="43" spans="2:2">
      <c r="B43" s="12" t="str">
        <f>IF('GeneticTestExp-ConceptMap-1'!S39=0,"//---END",'GeneticTestExp-ConceptMap-1'!S39)</f>
        <v>* group[=].element[+].code = #GeneticTestExpressionI4rc.</v>
      </c>
    </row>
    <row r="44" spans="2:2">
      <c r="B44" s="12" t="str">
        <f>IF('GeneticTestExp-ConceptMap-1'!S40=0,"//---END",'GeneticTestExp-ConceptMap-1'!S40)</f>
        <v>* group[=].element[=].display = ##34###34#</v>
      </c>
    </row>
    <row r="45" spans="2:2">
      <c r="B45" s="12" t="str">
        <f>IF('GeneticTestExp-ConceptMap-1'!S41=0,"//---END",'GeneticTestExp-ConceptMap-1'!S41)</f>
        <v>* group[=].element[=].target.code = #Procedure.</v>
      </c>
    </row>
    <row r="46" spans="2:2">
      <c r="B46" s="12" t="str">
        <f>IF('GeneticTestExp-ConceptMap-1'!S42=0,"//---END",'GeneticTestExp-ConceptMap-1'!S42)</f>
        <v>* group[=].element[=].target.display = ##34###34#</v>
      </c>
    </row>
    <row r="47" spans="2:2">
      <c r="B47" s="12" t="str">
        <f>IF('GeneticTestExp-ConceptMap-1'!S43=0,"//---END",'GeneticTestExp-ConceptMap-1'!S43)</f>
        <v>* group[=].element[=].target.equivalence = #</v>
      </c>
    </row>
    <row r="48" spans="2:2">
      <c r="B48" s="12" t="str">
        <f>IF('GeneticTestExp-ConceptMap-1'!S44=0,"//---END",'GeneticTestExp-ConceptMap-1'!S44)</f>
        <v/>
      </c>
    </row>
    <row r="49" spans="2:2">
      <c r="B49" s="12" t="str">
        <f>IF('GeneticTestExp-ConceptMap-1'!S45=0,"//---END",'GeneticTestExp-ConceptMap-1'!S45)</f>
        <v>* group[=].element[+].code = #GeneticTestExpressionI4rc.</v>
      </c>
    </row>
    <row r="50" spans="2:2">
      <c r="B50" s="12" t="str">
        <f>IF('GeneticTestExp-ConceptMap-1'!S46=0,"//---END",'GeneticTestExp-ConceptMap-1'!S46)</f>
        <v>* group[=].element[=].display = ##34###34#</v>
      </c>
    </row>
    <row r="51" spans="2:2">
      <c r="B51" s="12" t="str">
        <f>IF('GeneticTestExp-ConceptMap-1'!S47=0,"//---END",'GeneticTestExp-ConceptMap-1'!S47)</f>
        <v>* group[=].element[=].target.code = #Procedure.</v>
      </c>
    </row>
    <row r="52" spans="2:2">
      <c r="B52" s="12" t="str">
        <f>IF('GeneticTestExp-ConceptMap-1'!S48=0,"//---END",'GeneticTestExp-ConceptMap-1'!S48)</f>
        <v>* group[=].element[=].target.display = ##34###34#</v>
      </c>
    </row>
    <row r="53" spans="2:2">
      <c r="B53" s="12" t="str">
        <f>IF('GeneticTestExp-ConceptMap-1'!S49=0,"//---END",'GeneticTestExp-ConceptMap-1'!S49)</f>
        <v>* group[=].element[=].target.equivalence = #</v>
      </c>
    </row>
    <row r="54" spans="2:2">
      <c r="B54" s="12" t="str">
        <f>IF('GeneticTestExp-ConceptMap-1'!S50=0,"//---END",'GeneticTestExp-ConceptMap-1'!S50)</f>
        <v/>
      </c>
    </row>
    <row r="55" spans="2:2">
      <c r="B55" s="12" t="str">
        <f>IF('GeneticTestExp-ConceptMap-1'!S51=0,"//---END",'GeneticTestExp-ConceptMap-1'!S51)</f>
        <v>* group[=].element[+].code = #GeneticTestExpressionI4rc.</v>
      </c>
    </row>
    <row r="56" spans="2:2">
      <c r="B56" s="12" t="str">
        <f>IF('GeneticTestExp-ConceptMap-1'!S52=0,"//---END",'GeneticTestExp-ConceptMap-1'!S52)</f>
        <v>* group[=].element[=].display = ##34###34#</v>
      </c>
    </row>
    <row r="57" spans="2:2">
      <c r="B57" s="12" t="str">
        <f>IF('GeneticTestExp-ConceptMap-1'!S53=0,"//---END",'GeneticTestExp-ConceptMap-1'!S53)</f>
        <v>* group[=].element[=].target.code = #Procedure.</v>
      </c>
    </row>
    <row r="58" spans="2:2">
      <c r="B58" s="12" t="str">
        <f>IF('GeneticTestExp-ConceptMap-1'!S54=0,"//---END",'GeneticTestExp-ConceptMap-1'!S54)</f>
        <v>* group[=].element[=].target.display = ##34###34#</v>
      </c>
    </row>
    <row r="59" spans="2:2">
      <c r="B59" s="12" t="str">
        <f>IF('GeneticTestExp-ConceptMap-1'!S55=0,"//---END",'GeneticTestExp-ConceptMap-1'!S55)</f>
        <v>* group[=].element[=].target.equivalence = #</v>
      </c>
    </row>
    <row r="60" spans="2:2">
      <c r="B60" s="12" t="str">
        <f>IF('GeneticTestExp-ConceptMap-1'!S56=0,"//---END",'GeneticTestExp-ConceptMap-1'!S56)</f>
        <v/>
      </c>
    </row>
    <row r="61" spans="2:2">
      <c r="B61" s="12" t="str">
        <f>IF('GeneticTestExp-ConceptMap-1'!S57=0,"//---END",'GeneticTestExp-ConceptMap-1'!S57)</f>
        <v>* group[=].element[+].code = #GeneticTestExpressionI4rc.</v>
      </c>
    </row>
    <row r="62" spans="2:2">
      <c r="B62" s="12" t="str">
        <f>IF('GeneticTestExp-ConceptMap-1'!S58=0,"//---END",'GeneticTestExp-ConceptMap-1'!S58)</f>
        <v>* group[=].element[=].display = ##34###34#</v>
      </c>
    </row>
    <row r="63" spans="2:2">
      <c r="B63" s="12" t="str">
        <f>IF('GeneticTestExp-ConceptMap-1'!S59=0,"//---END",'GeneticTestExp-ConceptMap-1'!S59)</f>
        <v>* group[=].element[=].target.code = #Procedure.</v>
      </c>
    </row>
    <row r="64" spans="2:2">
      <c r="B64" s="12" t="str">
        <f>IF('GeneticTestExp-ConceptMap-1'!S60=0,"//---END",'GeneticTestExp-ConceptMap-1'!S60)</f>
        <v>* group[=].element[=].target.display = ##34###34#</v>
      </c>
    </row>
    <row r="65" spans="2:2">
      <c r="B65" s="12" t="str">
        <f>IF('GeneticTestExp-ConceptMap-1'!S61=0,"//---END",'GeneticTestExp-ConceptMap-1'!S61)</f>
        <v>* group[=].element[=].target.equivalence = #</v>
      </c>
    </row>
    <row r="66" spans="2:2">
      <c r="B66" s="12" t="str">
        <f>IF('GeneticTestExp-ConceptMap-1'!S62=0,"//---END",'GeneticTestExp-ConceptMap-1'!S62)</f>
        <v/>
      </c>
    </row>
    <row r="67" spans="2:2">
      <c r="B67" s="12" t="str">
        <f>IF('GeneticTestExp-ConceptMap-1'!S63=0,"//---END",'GeneticTestExp-ConceptMap-1'!S63)</f>
        <v>* group[=].element[+].code = #GeneticTestExpressionI4rc.</v>
      </c>
    </row>
    <row r="68" spans="2:2">
      <c r="B68" s="12" t="str">
        <f>IF('GeneticTestExp-ConceptMap-1'!S64=0,"//---END",'GeneticTestExp-ConceptMap-1'!S64)</f>
        <v>* group[=].element[=].display = ##34###34#</v>
      </c>
    </row>
    <row r="69" spans="2:2">
      <c r="B69" s="12" t="str">
        <f>IF('GeneticTestExp-ConceptMap-1'!S65=0,"//---END",'GeneticTestExp-ConceptMap-1'!S65)</f>
        <v>* group[=].element[=].target.code = #Procedure.</v>
      </c>
    </row>
    <row r="70" spans="2:2">
      <c r="B70" s="12" t="str">
        <f>IF('GeneticTestExp-ConceptMap-1'!S66=0,"//---END",'GeneticTestExp-ConceptMap-1'!S66)</f>
        <v>* group[=].element[=].target.display = ##34###34#</v>
      </c>
    </row>
    <row r="71" spans="2:2">
      <c r="B71" s="12" t="str">
        <f>IF('GeneticTestExp-ConceptMap-1'!S67=0,"//---END",'GeneticTestExp-ConceptMap-1'!S67)</f>
        <v>* group[=].element[=].target.equivalence = #</v>
      </c>
    </row>
    <row r="72" spans="2:2">
      <c r="B72" s="12" t="str">
        <f>IF('GeneticTestExp-ConceptMap-1'!S68=0,"//---END",'GeneticTestExp-ConceptMap-1'!S68)</f>
        <v/>
      </c>
    </row>
    <row r="73" spans="2:2">
      <c r="B73" s="12" t="str">
        <f>IF('GeneticTestExp-ConceptMap-1'!S69=0,"//---END",'GeneticTestExp-ConceptMap-1'!S69)</f>
        <v>* group[=].element[+].code = #GeneticTestExpressionI4rc.</v>
      </c>
    </row>
    <row r="74" spans="2:2">
      <c r="B74" s="12" t="str">
        <f>IF('GeneticTestExp-ConceptMap-1'!S70=0,"//---END",'GeneticTestExp-ConceptMap-1'!S70)</f>
        <v>* group[=].element[=].display = ##34###34#</v>
      </c>
    </row>
    <row r="75" spans="2:2">
      <c r="B75" s="12" t="str">
        <f>IF('GeneticTestExp-ConceptMap-1'!S71=0,"//---END",'GeneticTestExp-ConceptMap-1'!S71)</f>
        <v>* group[=].element[=].target.code = #Procedure.</v>
      </c>
    </row>
    <row r="76" spans="2:2">
      <c r="B76" s="12" t="str">
        <f>IF('GeneticTestExp-ConceptMap-1'!S72=0,"//---END",'GeneticTestExp-ConceptMap-1'!S72)</f>
        <v>* group[=].element[=].target.display = ##34###34#</v>
      </c>
    </row>
    <row r="77" spans="2:2">
      <c r="B77" s="12" t="str">
        <f>IF('GeneticTestExp-ConceptMap-1'!S73=0,"//---END",'GeneticTestExp-ConceptMap-1'!S73)</f>
        <v>* group[=].element[=].target.equivalence = #</v>
      </c>
    </row>
    <row r="78" spans="2:2">
      <c r="B78" s="12" t="str">
        <f>IF('GeneticTestExp-ConceptMap-1'!S74=0,"//---END",'GeneticTestExp-ConceptMap-1'!S74)</f>
        <v/>
      </c>
    </row>
    <row r="79" spans="2:2">
      <c r="B79" s="12" t="str">
        <f>IF('GeneticTestExp-ConceptMap-1'!S75=0,"//---END",'GeneticTestExp-ConceptMap-1'!S75)</f>
        <v>* group[=].element[+].code = #GeneticTestExpressionI4rc.</v>
      </c>
    </row>
    <row r="80" spans="2:2">
      <c r="B80" s="12" t="str">
        <f>IF('GeneticTestExp-ConceptMap-1'!S76=0,"//---END",'GeneticTestExp-ConceptMap-1'!S76)</f>
        <v>* group[=].element[=].display = ##34###34#</v>
      </c>
    </row>
    <row r="81" spans="2:2">
      <c r="B81" s="12" t="str">
        <f>IF('GeneticTestExp-ConceptMap-1'!S77=0,"//---END",'GeneticTestExp-ConceptMap-1'!S77)</f>
        <v>* group[=].element[=].target.code = #Procedure.</v>
      </c>
    </row>
    <row r="82" spans="2:2">
      <c r="B82" s="12" t="str">
        <f>IF('GeneticTestExp-ConceptMap-1'!S78=0,"//---END",'GeneticTestExp-ConceptMap-1'!S78)</f>
        <v>* group[=].element[=].target.display = ##34###34#</v>
      </c>
    </row>
    <row r="83" spans="2:2">
      <c r="B83" s="12" t="str">
        <f>IF('GeneticTestExp-ConceptMap-1'!S79=0,"//---END",'GeneticTestExp-ConceptMap-1'!S79)</f>
        <v>* group[=].element[=].target.equivalence = #</v>
      </c>
    </row>
    <row r="84" spans="2:2">
      <c r="B84" s="12" t="str">
        <f>IF('GeneticTestExp-ConceptMap-1'!S80=0,"//---END",'GeneticTestExp-ConceptMap-1'!S80)</f>
        <v/>
      </c>
    </row>
    <row r="85" spans="2:2">
      <c r="B85" s="12" t="str">
        <f>IF('GeneticTestExp-ConceptMap-1'!S81=0,"//---END",'GeneticTestExp-ConceptMap-1'!S81)</f>
        <v>* group[=].element[+].code = #GeneticTestExpressionI4rc.</v>
      </c>
    </row>
    <row r="86" spans="2:2">
      <c r="B86" s="12" t="str">
        <f>IF('GeneticTestExp-ConceptMap-1'!S82=0,"//---END",'GeneticTestExp-ConceptMap-1'!S82)</f>
        <v>* group[=].element[=].display = ##34###34#</v>
      </c>
    </row>
    <row r="87" spans="2:2">
      <c r="B87" s="12" t="str">
        <f>IF('GeneticTestExp-ConceptMap-1'!S83=0,"//---END",'GeneticTestExp-ConceptMap-1'!S83)</f>
        <v>* group[=].element[=].target.code = #Procedure.</v>
      </c>
    </row>
    <row r="88" spans="2:2">
      <c r="B88" s="12" t="str">
        <f>IF('GeneticTestExp-ConceptMap-1'!S84=0,"//---END",'GeneticTestExp-ConceptMap-1'!S84)</f>
        <v>* group[=].element[=].target.display = ##34###34#</v>
      </c>
    </row>
    <row r="89" spans="2:2">
      <c r="B89" s="12" t="str">
        <f>IF('GeneticTestExp-ConceptMap-1'!S85=0,"//---END",'GeneticTestExp-ConceptMap-1'!S85)</f>
        <v>* group[=].element[=].target.equivalence = #</v>
      </c>
    </row>
    <row r="90" spans="2:2">
      <c r="B90" s="12" t="str">
        <f>IF('GeneticTestExp-ConceptMap-1'!S86=0,"//---END",'GeneticTestExp-ConceptMap-1'!S86)</f>
        <v/>
      </c>
    </row>
    <row r="91" spans="2:2">
      <c r="B91" s="12" t="str">
        <f>IF('GeneticTestExp-ConceptMap-1'!S87=0,"//---END",'GeneticTestExp-ConceptMap-1'!S87)</f>
        <v>* group[=].element[+].code = #GeneticTestExpressionI4rc.</v>
      </c>
    </row>
    <row r="92" spans="2:2">
      <c r="B92" s="12" t="str">
        <f>IF('GeneticTestExp-ConceptMap-1'!S88=0,"//---END",'GeneticTestExp-ConceptMap-1'!S88)</f>
        <v>* group[=].element[=].display = ##34###34#</v>
      </c>
    </row>
    <row r="93" spans="2:2">
      <c r="B93" s="12" t="str">
        <f>IF('GeneticTestExp-ConceptMap-1'!S89=0,"//---END",'GeneticTestExp-ConceptMap-1'!S89)</f>
        <v>* group[=].element[=].target.code = #Procedure.</v>
      </c>
    </row>
    <row r="94" spans="2:2">
      <c r="B94" s="12" t="str">
        <f>IF('GeneticTestExp-ConceptMap-1'!S90=0,"//---END",'GeneticTestExp-ConceptMap-1'!S90)</f>
        <v>* group[=].element[=].target.display = ##34###34#</v>
      </c>
    </row>
    <row r="95" spans="2:2">
      <c r="B95" s="12" t="str">
        <f>IF('GeneticTestExp-ConceptMap-1'!S91=0,"//---END",'GeneticTestExp-ConceptMap-1'!S91)</f>
        <v>* group[=].element[=].target.equivalence = #</v>
      </c>
    </row>
    <row r="96" spans="2:2">
      <c r="B96" s="12" t="str">
        <f>IF('GeneticTestExp-ConceptMap-1'!S92=0,"//---END",'GeneticTestExp-ConceptMap-1'!S92)</f>
        <v/>
      </c>
    </row>
    <row r="97" spans="2:2">
      <c r="B97" s="12" t="str">
        <f>IF('GeneticTestExp-ConceptMap-1'!S93=0,"//---END",'GeneticTestExp-ConceptMap-1'!S93)</f>
        <v>* group[=].element[+].code = #GeneticTestExpressionI4rc.</v>
      </c>
    </row>
    <row r="98" spans="2:2">
      <c r="B98" s="12" t="str">
        <f>IF('GeneticTestExp-ConceptMap-1'!S94=0,"//---END",'GeneticTestExp-ConceptMap-1'!S94)</f>
        <v>* group[=].element[=].display = ##34###34#</v>
      </c>
    </row>
    <row r="99" spans="2:2">
      <c r="B99" s="12" t="str">
        <f>IF('GeneticTestExp-ConceptMap-1'!S95=0,"//---END",'GeneticTestExp-ConceptMap-1'!S95)</f>
        <v>* group[=].element[=].target.code = #Procedure.</v>
      </c>
    </row>
    <row r="100" spans="2:2">
      <c r="B100" s="12" t="str">
        <f>IF('GeneticTestExp-ConceptMap-1'!S96=0,"//---END",'GeneticTestExp-ConceptMap-1'!S96)</f>
        <v>* group[=].element[=].target.display = ##34###34#</v>
      </c>
    </row>
    <row r="101" spans="2:2">
      <c r="B101" s="12" t="str">
        <f>IF('GeneticTestExp-ConceptMap-1'!S97=0,"//---END",'GeneticTestExp-ConceptMap-1'!S97)</f>
        <v>* group[=].element[=].target.equivalence = #</v>
      </c>
    </row>
    <row r="102" spans="2:2">
      <c r="B102" s="12" t="str">
        <f>IF('GeneticTestExp-ConceptMap-1'!S98=0,"//---END",'GeneticTestExp-ConceptMap-1'!S98)</f>
        <v/>
      </c>
    </row>
    <row r="103" spans="2:2">
      <c r="B103" s="12" t="str">
        <f>IF('GeneticTestExp-ConceptMap-1'!S99=0,"//---END",'GeneticTestExp-ConceptMap-1'!S99)</f>
        <v>* group[=].element[+].code = #GeneticTestExpressionI4rc.</v>
      </c>
    </row>
    <row r="104" spans="2:2">
      <c r="B104" s="12" t="str">
        <f>IF('GeneticTestExp-ConceptMap-1'!S100=0,"//---END",'GeneticTestExp-ConceptMap-1'!S100)</f>
        <v>* group[=].element[=].display = ##34###34#</v>
      </c>
    </row>
    <row r="105" spans="2:2">
      <c r="B105" s="12" t="str">
        <f>IF('GeneticTestExp-ConceptMap-1'!S101=0,"//---END",'GeneticTestExp-ConceptMap-1'!S101)</f>
        <v>* group[=].element[=].target.code = #Procedure.</v>
      </c>
    </row>
    <row r="106" spans="2:2">
      <c r="B106" s="12" t="str">
        <f>IF('GeneticTestExp-ConceptMap-1'!S102=0,"//---END",'GeneticTestExp-ConceptMap-1'!S102)</f>
        <v>* group[=].element[=].target.display = ##34###34#</v>
      </c>
    </row>
    <row r="107" spans="2:2">
      <c r="B107" s="12" t="str">
        <f>IF('GeneticTestExp-ConceptMap-1'!S103=0,"//---END",'GeneticTestExp-ConceptMap-1'!S103)</f>
        <v>* group[=].element[=].target.equivalence = #</v>
      </c>
    </row>
    <row r="108" spans="2:2">
      <c r="B108" s="12" t="str">
        <f>IF('GeneticTestExp-ConceptMap-1'!S104=0,"//---END",'GeneticTestExp-ConceptMap-1'!S104)</f>
        <v/>
      </c>
    </row>
    <row r="109" spans="2:2">
      <c r="B109" s="12" t="str">
        <f>IF('GeneticTestExp-ConceptMap-1'!S105=0,"//---END",'GeneticTestExp-ConceptMap-1'!S105)</f>
        <v>* group[=].element[+].code = #GeneticTestExpressionI4rc.</v>
      </c>
    </row>
    <row r="110" spans="2:2">
      <c r="B110" s="12" t="str">
        <f>IF('GeneticTestExp-ConceptMap-1'!S106=0,"//---END",'GeneticTestExp-ConceptMap-1'!S106)</f>
        <v>* group[=].element[=].display = ##34###34#</v>
      </c>
    </row>
    <row r="111" spans="2:2">
      <c r="B111" s="12" t="str">
        <f>IF('GeneticTestExp-ConceptMap-1'!S107=0,"//---END",'GeneticTestExp-ConceptMap-1'!S107)</f>
        <v>* group[=].element[=].target.code = #Procedure.</v>
      </c>
    </row>
    <row r="112" spans="2:2">
      <c r="B112" s="12" t="str">
        <f>IF('GeneticTestExp-ConceptMap-1'!S108=0,"//---END",'GeneticTestExp-ConceptMap-1'!S108)</f>
        <v>* group[=].element[=].target.display = ##34###34#</v>
      </c>
    </row>
    <row r="113" spans="2:2">
      <c r="B113" s="12" t="str">
        <f>IF('GeneticTestExp-ConceptMap-1'!S109=0,"//---END",'GeneticTestExp-ConceptMap-1'!S109)</f>
        <v>* group[=].element[=].target.equivalence = #</v>
      </c>
    </row>
    <row r="114" spans="2:2">
      <c r="B114" s="12" t="str">
        <f>IF('GeneticTestExp-ConceptMap-1'!S110=0,"//---END",'GeneticTestExp-ConceptMap-1'!S110)</f>
        <v/>
      </c>
    </row>
    <row r="115" spans="2:2">
      <c r="B115" s="12" t="str">
        <f>IF('GeneticTestExp-ConceptMap-1'!S111=0,"//---END",'GeneticTestExp-ConceptMap-1'!S111)</f>
        <v>* group[=].element[+].code = #GeneticTestExpressionI4rc.</v>
      </c>
    </row>
    <row r="116" spans="2:2">
      <c r="B116" s="12" t="str">
        <f>IF('GeneticTestExp-ConceptMap-1'!S112=0,"//---END",'GeneticTestExp-ConceptMap-1'!S112)</f>
        <v>* group[=].element[=].display = ##34###34#</v>
      </c>
    </row>
    <row r="117" spans="2:2">
      <c r="B117" s="12" t="str">
        <f>IF('GeneticTestExp-ConceptMap-1'!S113=0,"//---END",'GeneticTestExp-ConceptMap-1'!S113)</f>
        <v>* group[=].element[=].target.code = #Procedure.</v>
      </c>
    </row>
    <row r="118" spans="2:2">
      <c r="B118" s="12" t="str">
        <f>IF('GeneticTestExp-ConceptMap-1'!S114=0,"//---END",'GeneticTestExp-ConceptMap-1'!S114)</f>
        <v>* group[=].element[=].target.display = ##34###34#</v>
      </c>
    </row>
    <row r="119" spans="2:2">
      <c r="B119" s="12" t="str">
        <f>IF('GeneticTestExp-ConceptMap-1'!S115=0,"//---END",'GeneticTestExp-ConceptMap-1'!S115)</f>
        <v>* group[=].element[=].target.equivalence = #</v>
      </c>
    </row>
    <row r="120" spans="2:2">
      <c r="B120" s="12" t="str">
        <f>IF('GeneticTestExp-ConceptMap-1'!S116=0,"//---END",'GeneticTestExp-ConceptMap-1'!S116)</f>
        <v/>
      </c>
    </row>
    <row r="121" spans="2:2">
      <c r="B121" s="12" t="str">
        <f>IF('GeneticTestExp-ConceptMap-1'!S117=0,"//---END",'GeneticTestExp-ConceptMap-1'!S117)</f>
        <v>* group[=].element[+].code = #GeneticTestExpressionI4rc.</v>
      </c>
    </row>
    <row r="122" spans="2:2">
      <c r="B122" s="12" t="str">
        <f>IF('GeneticTestExp-ConceptMap-1'!S118=0,"//---END",'GeneticTestExp-ConceptMap-1'!S118)</f>
        <v>* group[=].element[=].display = ##34###34#</v>
      </c>
    </row>
    <row r="123" spans="2:2">
      <c r="B123" s="12" t="str">
        <f>IF('GeneticTestExp-ConceptMap-1'!S119=0,"//---END",'GeneticTestExp-ConceptMap-1'!S119)</f>
        <v>* group[=].element[=].target.code = #Procedure.</v>
      </c>
    </row>
    <row r="124" spans="2:2">
      <c r="B124" s="12" t="str">
        <f>IF('GeneticTestExp-ConceptMap-1'!S120=0,"//---END",'GeneticTestExp-ConceptMap-1'!S120)</f>
        <v>* group[=].element[=].target.display = ##34###34#</v>
      </c>
    </row>
    <row r="125" spans="2:2">
      <c r="B125" s="12" t="str">
        <f>IF('GeneticTestExp-ConceptMap-1'!S121=0,"//---END",'GeneticTestExp-ConceptMap-1'!S121)</f>
        <v>* group[=].element[=].target.equivalence = #</v>
      </c>
    </row>
    <row r="126" spans="2:2">
      <c r="B126" s="12" t="str">
        <f>IF('GeneticTestExp-ConceptMap-1'!S122=0,"//---END",'GeneticTestExp-ConceptMap-1'!S122)</f>
        <v/>
      </c>
    </row>
    <row r="127" spans="2:2">
      <c r="B127" s="12" t="str">
        <f>IF('GeneticTestExp-ConceptMap-1'!S123=0,"//---END",'GeneticTestExp-ConceptMap-1'!S123)</f>
        <v>* group[=].element[+].code = #GeneticTestExpressionI4rc.</v>
      </c>
    </row>
    <row r="128" spans="2:2">
      <c r="B128" s="12" t="str">
        <f>IF('GeneticTestExp-ConceptMap-1'!S124=0,"//---END",'GeneticTestExp-ConceptMap-1'!S124)</f>
        <v>* group[=].element[=].display = ##34###34#</v>
      </c>
    </row>
    <row r="129" spans="2:2">
      <c r="B129" s="12" t="str">
        <f>IF('GeneticTestExp-ConceptMap-1'!S125=0,"//---END",'GeneticTestExp-ConceptMap-1'!S125)</f>
        <v>* group[=].element[=].target.code = #Procedure.</v>
      </c>
    </row>
    <row r="130" spans="2:2">
      <c r="B130" s="12" t="str">
        <f>IF('GeneticTestExp-ConceptMap-1'!S126=0,"//---END",'GeneticTestExp-ConceptMap-1'!S126)</f>
        <v>* group[=].element[=].target.display = ##34###34#</v>
      </c>
    </row>
    <row r="131" spans="2:2">
      <c r="B131" s="12" t="str">
        <f>IF('GeneticTestExp-ConceptMap-1'!S127=0,"//---END",'GeneticTestExp-ConceptMap-1'!S127)</f>
        <v>* group[=].element[=].target.equivalence = #</v>
      </c>
    </row>
    <row r="132" spans="2:2">
      <c r="B132" s="12" t="str">
        <f>IF('GeneticTestExp-ConceptMap-1'!S128=0,"//---END",'GeneticTestExp-ConceptMap-1'!S128)</f>
        <v/>
      </c>
    </row>
    <row r="133" spans="2:2">
      <c r="B133" s="12" t="str">
        <f>IF('GeneticTestExp-ConceptMap-1'!S129=0,"//---END",'GeneticTestExp-ConceptMap-1'!S129)</f>
        <v>* group[=].element[+].code = #GeneticTestExpressionI4rc.</v>
      </c>
    </row>
    <row r="134" spans="2:2">
      <c r="B134" s="12" t="str">
        <f>IF('GeneticTestExp-ConceptMap-1'!S130=0,"//---END",'GeneticTestExp-ConceptMap-1'!S130)</f>
        <v>* group[=].element[=].display = ##34###34#</v>
      </c>
    </row>
    <row r="135" spans="2:2">
      <c r="B135" s="12" t="str">
        <f>IF('GeneticTestExp-ConceptMap-1'!S131=0,"//---END",'GeneticTestExp-ConceptMap-1'!S131)</f>
        <v>* group[=].element[=].target.code = #Procedure.</v>
      </c>
    </row>
    <row r="136" spans="2:2">
      <c r="B136" s="12" t="str">
        <f>IF('GeneticTestExp-ConceptMap-1'!S132=0,"//---END",'GeneticTestExp-ConceptMap-1'!S132)</f>
        <v>* group[=].element[=].target.display = ##34###34#</v>
      </c>
    </row>
    <row r="137" spans="2:2">
      <c r="B137" s="12" t="str">
        <f>IF('GeneticTestExp-ConceptMap-1'!S133=0,"//---END",'GeneticTestExp-ConceptMap-1'!S133)</f>
        <v>* group[=].element[=].target.equivalence = #</v>
      </c>
    </row>
    <row r="138" spans="2:2">
      <c r="B138" s="12" t="str">
        <f>IF('GeneticTestExp-ConceptMap-1'!S134=0,"//---END",'GeneticTestExp-ConceptMap-1'!S134)</f>
        <v/>
      </c>
    </row>
    <row r="139" spans="2:2">
      <c r="B139" s="12" t="str">
        <f>IF('GeneticTestExp-ConceptMap-1'!S135=0,"//---END",'GeneticTestExp-ConceptMap-1'!S135)</f>
        <v>* group[=].element[+].code = #GeneticTestExpressionI4rc.</v>
      </c>
    </row>
    <row r="140" spans="2:2">
      <c r="B140" s="12" t="str">
        <f>IF('GeneticTestExp-ConceptMap-1'!S136=0,"//---END",'GeneticTestExp-ConceptMap-1'!S136)</f>
        <v>* group[=].element[=].display = ##34###34#</v>
      </c>
    </row>
    <row r="141" spans="2:2">
      <c r="B141" s="12" t="str">
        <f>IF('GeneticTestExp-ConceptMap-1'!S137=0,"//---END",'GeneticTestExp-ConceptMap-1'!S137)</f>
        <v>* group[=].element[=].target.code = #Procedure.</v>
      </c>
    </row>
    <row r="142" spans="2:2">
      <c r="B142" s="12" t="str">
        <f>IF('GeneticTestExp-ConceptMap-1'!S138=0,"//---END",'GeneticTestExp-ConceptMap-1'!S138)</f>
        <v>* group[=].element[=].target.display = ##34###34#</v>
      </c>
    </row>
    <row r="143" spans="2:2">
      <c r="B143" s="12" t="str">
        <f>IF('GeneticTestExp-ConceptMap-1'!S139=0,"//---END",'GeneticTestExp-ConceptMap-1'!S139)</f>
        <v>* group[=].element[=].target.equivalence = #</v>
      </c>
    </row>
    <row r="144" spans="2:2">
      <c r="B144" s="12" t="str">
        <f>IF('GeneticTestExp-ConceptMap-1'!S140=0,"//---END",'GeneticTestExp-ConceptMap-1'!S140)</f>
        <v/>
      </c>
    </row>
    <row r="145" spans="2:2">
      <c r="B145" s="12" t="str">
        <f>IF('GeneticTestExp-ConceptMap-1'!S141=0,"//---END",'GeneticTestExp-ConceptMap-1'!S141)</f>
        <v>* group[=].element[+].code = #GeneticTestExpressionI4rc.</v>
      </c>
    </row>
    <row r="146" spans="2:2">
      <c r="B146" s="12" t="str">
        <f>IF('GeneticTestExp-ConceptMap-1'!S142=0,"//---END",'GeneticTestExp-ConceptMap-1'!S142)</f>
        <v>* group[=].element[=].display = ##34###34#</v>
      </c>
    </row>
    <row r="147" spans="2:2">
      <c r="B147" s="12" t="str">
        <f>IF('GeneticTestExp-ConceptMap-1'!S143=0,"//---END",'GeneticTestExp-ConceptMap-1'!S143)</f>
        <v>* group[=].element[=].target.code = #Procedure.</v>
      </c>
    </row>
    <row r="148" spans="2:2">
      <c r="B148" s="12" t="str">
        <f>IF('GeneticTestExp-ConceptMap-1'!S144=0,"//---END",'GeneticTestExp-ConceptMap-1'!S144)</f>
        <v>* group[=].element[=].target.display = ##34###34#</v>
      </c>
    </row>
    <row r="149" spans="2:2">
      <c r="B149" s="12" t="str">
        <f>IF('GeneticTestExp-ConceptMap-1'!S145=0,"//---END",'GeneticTestExp-ConceptMap-1'!S145)</f>
        <v>* group[=].element[=].target.equivalence = #</v>
      </c>
    </row>
    <row r="150" spans="2:2">
      <c r="B150" s="12" t="str">
        <f>IF('GeneticTestExp-ConceptMap-1'!S146=0,"//---END",'GeneticTestExp-ConceptMap-1'!S146)</f>
        <v/>
      </c>
    </row>
    <row r="151" spans="2:2">
      <c r="B151" s="12" t="str">
        <f>IF('GeneticTestExp-ConceptMap-1'!S147=0,"//---END",'GeneticTestExp-ConceptMap-1'!S147)</f>
        <v>* group[=].element[+].code = #GeneticTestExpressionI4rc.</v>
      </c>
    </row>
    <row r="152" spans="2:2">
      <c r="B152" s="12" t="str">
        <f>IF('GeneticTestExp-ConceptMap-1'!S148=0,"//---END",'GeneticTestExp-ConceptMap-1'!S148)</f>
        <v>* group[=].element[=].display = ##34###34#</v>
      </c>
    </row>
    <row r="153" spans="2:2">
      <c r="B153" s="12" t="str">
        <f>IF('GeneticTestExp-ConceptMap-1'!S149=0,"//---END",'GeneticTestExp-ConceptMap-1'!S149)</f>
        <v>* group[=].element[=].target.code = #Procedure.</v>
      </c>
    </row>
    <row r="154" spans="2:2">
      <c r="B154" s="12" t="str">
        <f>IF('GeneticTestExp-ConceptMap-1'!S150=0,"//---END",'GeneticTestExp-ConceptMap-1'!S150)</f>
        <v>* group[=].element[=].target.display = ##34###34#</v>
      </c>
    </row>
    <row r="155" spans="2:2">
      <c r="B155" s="12" t="str">
        <f>IF('GeneticTestExp-ConceptMap-1'!S151=0,"//---END",'GeneticTestExp-ConceptMap-1'!S151)</f>
        <v>* group[=].element[=].target.equivalence = #</v>
      </c>
    </row>
    <row r="156" spans="2:2">
      <c r="B156" s="12" t="str">
        <f>IF('GeneticTestExp-ConceptMap-1'!S152=0,"//---END",'GeneticTestExp-ConceptMap-1'!S152)</f>
        <v/>
      </c>
    </row>
    <row r="157" spans="2:2">
      <c r="B157" s="12" t="str">
        <f>IF('GeneticTestExp-ConceptMap-1'!S153=0,"//---END",'GeneticTestExp-ConceptMap-1'!S153)</f>
        <v>* group[=].element[+].code = #GeneticTestExpressionI4rc.</v>
      </c>
    </row>
    <row r="158" spans="2:2">
      <c r="B158" s="12" t="str">
        <f>IF('GeneticTestExp-ConceptMap-1'!S154=0,"//---END",'GeneticTestExp-ConceptMap-1'!S154)</f>
        <v>* group[=].element[=].display = ##34###34#</v>
      </c>
    </row>
    <row r="159" spans="2:2">
      <c r="B159" s="12" t="str">
        <f>IF('GeneticTestExp-ConceptMap-1'!S155=0,"//---END",'GeneticTestExp-ConceptMap-1'!S155)</f>
        <v>* group[=].element[=].target.code = #Procedure.</v>
      </c>
    </row>
    <row r="160" spans="2:2">
      <c r="B160" s="12" t="str">
        <f>IF('GeneticTestExp-ConceptMap-1'!S156=0,"//---END",'GeneticTestExp-ConceptMap-1'!S156)</f>
        <v>* group[=].element[=].target.display = ##34###34#</v>
      </c>
    </row>
    <row r="161" spans="2:2">
      <c r="B161" s="12" t="str">
        <f>IF('GeneticTestExp-ConceptMap-1'!S157=0,"//---END",'GeneticTestExp-ConceptMap-1'!S157)</f>
        <v>* group[=].element[=].target.equivalence = #</v>
      </c>
    </row>
    <row r="162" spans="2:2">
      <c r="B162" s="12" t="str">
        <f>IF('GeneticTestExp-ConceptMap-1'!S158=0,"//---END",'GeneticTestExp-ConceptMap-1'!S158)</f>
        <v/>
      </c>
    </row>
    <row r="163" spans="2:2">
      <c r="B163" s="12" t="str">
        <f>IF('GeneticTestExp-ConceptMap-1'!S159=0,"//---END",'GeneticTestExp-ConceptMap-1'!S159)</f>
        <v>* group[=].element[+].code = #GeneticTestExpressionI4rc.</v>
      </c>
    </row>
    <row r="164" spans="2:2">
      <c r="B164" s="12" t="str">
        <f>IF('GeneticTestExp-ConceptMap-1'!S160=0,"//---END",'GeneticTestExp-ConceptMap-1'!S160)</f>
        <v>* group[=].element[=].display = ##34###34#</v>
      </c>
    </row>
    <row r="165" spans="2:2">
      <c r="B165" s="12" t="str">
        <f>IF('GeneticTestExp-ConceptMap-1'!S161=0,"//---END",'GeneticTestExp-ConceptMap-1'!S161)</f>
        <v>* group[=].element[=].target.code = #Procedure.</v>
      </c>
    </row>
    <row r="166" spans="2:2">
      <c r="B166" s="12" t="str">
        <f>IF('GeneticTestExp-ConceptMap-1'!S162=0,"//---END",'GeneticTestExp-ConceptMap-1'!S162)</f>
        <v>* group[=].element[=].target.display = ##34###34#</v>
      </c>
    </row>
    <row r="167" spans="2:2">
      <c r="B167" s="12" t="str">
        <f>IF('GeneticTestExp-ConceptMap-1'!S163=0,"//---END",'GeneticTestExp-ConceptMap-1'!S163)</f>
        <v>* group[=].element[=].target.equivalence = #</v>
      </c>
    </row>
    <row r="168" spans="2:2">
      <c r="B168" s="12" t="str">
        <f>IF('GeneticTestExp-ConceptMap-1'!S164=0,"//---END",'GeneticTestExp-ConceptMap-1'!S164)</f>
        <v/>
      </c>
    </row>
    <row r="169" spans="2:2">
      <c r="B169" s="12" t="str">
        <f>IF('GeneticTestExp-ConceptMap-1'!S165=0,"//---END",'GeneticTestExp-ConceptMap-1'!S165)</f>
        <v>* group[=].element[+].code = #GeneticTestExpressionI4rc.</v>
      </c>
    </row>
    <row r="170" spans="2:2">
      <c r="B170" s="12" t="str">
        <f>IF('GeneticTestExp-ConceptMap-1'!S166=0,"//---END",'GeneticTestExp-ConceptMap-1'!S166)</f>
        <v>* group[=].element[=].display = ##34###34#</v>
      </c>
    </row>
    <row r="171" spans="2:2">
      <c r="B171" s="12" t="str">
        <f>IF('GeneticTestExp-ConceptMap-1'!S167=0,"//---END",'GeneticTestExp-ConceptMap-1'!S167)</f>
        <v>* group[=].element[=].target.code = #Procedure.</v>
      </c>
    </row>
    <row r="172" spans="2:2">
      <c r="B172" s="12" t="str">
        <f>IF('GeneticTestExp-ConceptMap-1'!S168=0,"//---END",'GeneticTestExp-ConceptMap-1'!S168)</f>
        <v>* group[=].element[=].target.display = ##34###34#</v>
      </c>
    </row>
    <row r="173" spans="2:2">
      <c r="B173" s="12" t="str">
        <f>IF('GeneticTestExp-ConceptMap-1'!S169=0,"//---END",'GeneticTestExp-ConceptMap-1'!S169)</f>
        <v>* group[=].element[=].target.equivalence = #</v>
      </c>
    </row>
    <row r="174" spans="2:2">
      <c r="B174" s="12" t="str">
        <f>IF('GeneticTestExp-ConceptMap-1'!S170=0,"//---END",'GeneticTestExp-ConceptMap-1'!S170)</f>
        <v/>
      </c>
    </row>
    <row r="175" spans="2:2">
      <c r="B175" s="12" t="str">
        <f>IF('GeneticTestExp-ConceptMap-1'!S171=0,"//---END",'GeneticTestExp-ConceptMap-1'!S171)</f>
        <v>* group[=].element[+].code = #GeneticTestExpressionI4rc.</v>
      </c>
    </row>
    <row r="176" spans="2:2">
      <c r="B176" s="12" t="str">
        <f>IF('GeneticTestExp-ConceptMap-1'!S172=0,"//---END",'GeneticTestExp-ConceptMap-1'!S172)</f>
        <v>* group[=].element[=].display = ##34###34#</v>
      </c>
    </row>
    <row r="177" spans="2:2">
      <c r="B177" s="12" t="str">
        <f>IF('GeneticTestExp-ConceptMap-1'!S173=0,"//---END",'GeneticTestExp-ConceptMap-1'!S173)</f>
        <v>* group[=].element[=].target.code = #Procedure.</v>
      </c>
    </row>
    <row r="178" spans="2:2">
      <c r="B178" s="12" t="str">
        <f>IF('GeneticTestExp-ConceptMap-1'!S174=0,"//---END",'GeneticTestExp-ConceptMap-1'!S174)</f>
        <v>* group[=].element[=].target.display = ##34###34#</v>
      </c>
    </row>
    <row r="179" spans="2:2">
      <c r="B179" s="12" t="str">
        <f>IF('GeneticTestExp-ConceptMap-1'!S175=0,"//---END",'GeneticTestExp-ConceptMap-1'!S175)</f>
        <v>* group[=].element[=].target.equivalence = #</v>
      </c>
    </row>
    <row r="180" spans="2:2">
      <c r="B180" s="12" t="str">
        <f>IF('GeneticTestExp-ConceptMap-1'!S176=0,"//---END",'GeneticTestExp-ConceptMap-1'!S176)</f>
        <v/>
      </c>
    </row>
    <row r="181" spans="2:2">
      <c r="B181" s="12" t="str">
        <f>IF('GeneticTestExp-ConceptMap-1'!S177=0,"//---END",'GeneticTestExp-ConceptMap-1'!S177)</f>
        <v>//---END</v>
      </c>
    </row>
    <row r="182" spans="2:2">
      <c r="B182" s="12" t="str">
        <f>IF('GeneticTestExp-ConceptMap-1'!S178=0,"//---END",'GeneticTestExp-ConceptMap-1'!S178)</f>
        <v>//---END</v>
      </c>
    </row>
    <row r="183" spans="2:2">
      <c r="B183" s="12" t="str">
        <f>IF('GeneticTestExp-ConceptMap-1'!S179=0,"//---END",'GeneticTestExp-ConceptMap-1'!S179)</f>
        <v>//---END</v>
      </c>
    </row>
    <row r="184" spans="2:2">
      <c r="B184" s="12" t="str">
        <f>IF('GeneticTestExp-ConceptMap-1'!S180=0,"//---END",'GeneticTestExp-ConceptMap-1'!S180)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3" t="s">
        <v>20</v>
      </c>
    </row>
    <row r="2" spans="1:9">
      <c r="I2" s="24" t="s">
        <v>19</v>
      </c>
    </row>
    <row r="3" spans="1:9" ht="15.5" thickBot="1">
      <c r="I3" s="24" t="str">
        <f>I1</f>
        <v>// -------------------------------------------------------------------------------</v>
      </c>
    </row>
    <row r="4" spans="1:9">
      <c r="A4" s="5" t="s">
        <v>11</v>
      </c>
      <c r="B4" s="45" t="s">
        <v>1396</v>
      </c>
      <c r="I4" s="16" t="str">
        <f>CONCATENATE("Logical: ",B4)</f>
        <v>Logical: Osiris</v>
      </c>
    </row>
    <row r="5" spans="1:9">
      <c r="A5" s="14" t="s">
        <v>16</v>
      </c>
      <c r="B5" s="46" t="s">
        <v>1396</v>
      </c>
      <c r="I5" s="16" t="str">
        <f>CONCATENATE("Id: ",B5)</f>
        <v>Id: Osiris</v>
      </c>
    </row>
    <row r="6" spans="1:9">
      <c r="A6" s="14" t="s">
        <v>10</v>
      </c>
      <c r="B6" s="47" t="s">
        <v>1397</v>
      </c>
      <c r="I6" s="17" t="str">
        <f>CONCATENATE("Title: ##34#",B6,"##34#")</f>
        <v>Title: ##34#Osiris Model##34#</v>
      </c>
    </row>
    <row r="7" spans="1:9" ht="15.5" thickBot="1">
      <c r="A7" s="26" t="s">
        <v>2</v>
      </c>
      <c r="B7" s="48" t="s">
        <v>1398</v>
      </c>
      <c r="C7" s="9" t="s">
        <v>3</v>
      </c>
      <c r="D7" s="1" t="s">
        <v>4</v>
      </c>
      <c r="E7" s="3" t="s">
        <v>5</v>
      </c>
      <c r="F7" s="3" t="s">
        <v>6</v>
      </c>
      <c r="G7" s="3" t="s">
        <v>7</v>
      </c>
      <c r="I7" s="17"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c r="B271" s="11"/>
      <c r="C271" s="12"/>
      <c r="D271" s="12"/>
      <c r="E271" s="12"/>
      <c r="F271" s="11"/>
      <c r="G271" s="11"/>
      <c r="H271" s="25"/>
      <c r="I271" s="12"/>
    </row>
    <row r="272" spans="1:9">
      <c r="B272" s="11"/>
      <c r="C272" s="12"/>
      <c r="D272" s="12"/>
      <c r="E272" s="12"/>
      <c r="F272" s="11"/>
      <c r="G272" s="11"/>
      <c r="H272" s="25"/>
      <c r="I272" s="12"/>
    </row>
    <row r="273" spans="9:9">
      <c r="I273" s="12"/>
    </row>
  </sheetData>
  <pageMargins left="0.7" right="0.7" top="0.75" bottom="0.75" header="0.3" footer="0.3"/>
  <pageSetup paperSize="9" orientation="portrait"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1459</v>
      </c>
      <c r="E4" s="19" t="str">
        <f>CONCATENATE("Mapping: ",C4)</f>
        <v>Mapping: xxxxxxxxx</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158</v>
      </c>
      <c r="E6" s="20" t="str">
        <f>CONCATENATE("Title: ##34#",C6,"##34#")</f>
        <v>Title: ##34#Idea4RC Subject model to FHIR R4 Map##34#</v>
      </c>
      <c r="H6" s="7"/>
      <c r="I6" s="7"/>
      <c r="J6" s="7"/>
      <c r="K6" s="7"/>
      <c r="L6" s="7"/>
      <c r="M6" s="7"/>
      <c r="N6" s="7"/>
      <c r="O6" s="7"/>
    </row>
    <row r="7" spans="1:15" ht="15.5" thickBot="1">
      <c r="B7" s="10" t="s">
        <v>18</v>
      </c>
      <c r="C7" s="8" t="str">
        <f>B9</f>
        <v>Osiris</v>
      </c>
      <c r="E7" s="20" t="str">
        <f>CONCATENATE("Source: ",C7)</f>
        <v>Source: Osiris</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Osiris!B5</f>
        <v>Osiris</v>
      </c>
      <c r="C9" s="6"/>
      <c r="E9" s="27" t="str">
        <f>CONCATENATE("* -&gt; ##34#",C9,"##34#")</f>
        <v>* -&gt; ##34###34#</v>
      </c>
      <c r="H9" s="7"/>
      <c r="I9" s="7"/>
      <c r="J9" s="7"/>
      <c r="K9" s="7"/>
      <c r="L9" s="7"/>
      <c r="M9" s="7"/>
      <c r="N9" s="7"/>
      <c r="O9" s="7"/>
    </row>
    <row r="10" spans="1:15">
      <c r="A10" s="11"/>
      <c r="B10" s="11" t="str">
        <f>Osiris!B8</f>
        <v>Patient</v>
      </c>
      <c r="C10" s="11" t="s">
        <v>159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159</v>
      </c>
      <c r="E11" s="12" t="str">
        <f t="shared" si="0"/>
        <v>* Patient.Id -&gt; ##34#.birthDate##34#</v>
      </c>
      <c r="H11" s="7"/>
      <c r="I11" s="7"/>
      <c r="J11" s="7"/>
      <c r="K11" s="7"/>
      <c r="L11" s="7"/>
      <c r="M11" s="7"/>
      <c r="N11" s="7"/>
      <c r="O11" s="7"/>
    </row>
    <row r="12" spans="1:15">
      <c r="A12" s="11"/>
      <c r="B12" s="11" t="str">
        <f>Osiris!B10</f>
        <v>Patient.Gender</v>
      </c>
      <c r="C12" s="11" t="s">
        <v>160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161</v>
      </c>
      <c r="E13" s="12" t="str">
        <f t="shared" si="0"/>
        <v>* Patient.Ethnicity -&gt; ##34#.maritalStatus##34#</v>
      </c>
      <c r="H13" s="7"/>
      <c r="I13" s="7"/>
      <c r="J13" s="7"/>
      <c r="K13" s="7"/>
      <c r="L13" s="7"/>
      <c r="M13" s="7"/>
      <c r="N13" s="7"/>
      <c r="O13" s="7"/>
    </row>
    <row r="14" spans="1:15">
      <c r="A14" s="11"/>
      <c r="B14" s="11" t="str">
        <f>Osiris!$B$12</f>
        <v>Patient.BirthDate</v>
      </c>
      <c r="C14" s="11" t="s">
        <v>162</v>
      </c>
      <c r="E14" s="12" t="str">
        <f t="shared" si="0"/>
        <v>* Patient.BirthDate -&gt; ##34#.gender##34#</v>
      </c>
      <c r="H14" s="7"/>
      <c r="I14" s="7"/>
      <c r="J14" s="7"/>
      <c r="K14" s="7"/>
      <c r="L14" s="7"/>
      <c r="M14" s="7"/>
      <c r="N14" s="7"/>
      <c r="O14" s="7"/>
    </row>
    <row r="15" spans="1:15">
      <c r="A15" s="11"/>
      <c r="B15" s="11" t="str">
        <f>Osiris!$B$12</f>
        <v>Patient.BirthDate</v>
      </c>
      <c r="C15" s="11" t="s">
        <v>163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164</v>
      </c>
      <c r="E16" s="12" t="str">
        <f t="shared" si="0"/>
        <v>* Patient.BirthDate -&gt; ##34#.extension('patient-sexForClinicalUse').value##34#</v>
      </c>
      <c r="H16" s="7"/>
      <c r="I16" s="7"/>
      <c r="J16" s="7"/>
      <c r="K16" s="7"/>
      <c r="L16" s="7"/>
      <c r="M16" s="7"/>
      <c r="N16" s="7"/>
      <c r="O16" s="7"/>
    </row>
    <row r="17" spans="1:5">
      <c r="A17" s="11"/>
      <c r="B17" s="11" t="str">
        <f>Osiris!B13</f>
        <v>Patient.DeathDate</v>
      </c>
      <c r="C17" s="11" t="s">
        <v>22</v>
      </c>
      <c r="E17" s="12" t="str">
        <f t="shared" si="0"/>
        <v>* Patient.DeathDate -&gt; ##34#to be mapped##34#</v>
      </c>
    </row>
    <row r="18" spans="1:5">
      <c r="A18" s="11"/>
      <c r="B18" s="11" t="str">
        <f>Osiris!B14</f>
        <v>Patient.ProviderCenterId</v>
      </c>
      <c r="C18" s="11" t="s">
        <v>165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1401</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2"/>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1460</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3" t="str">
        <f>'Osiris-Map'!E1</f>
        <v>// -------------------------------------------------------------------------------</v>
      </c>
    </row>
    <row r="31" spans="3:3">
      <c r="C31" s="24" t="str">
        <f>'Osiris-Map'!E2</f>
        <v>//  Map to FHIR R4</v>
      </c>
    </row>
    <row r="32" spans="3:3">
      <c r="C32" s="24"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t="s">
        <v>166</v>
      </c>
      <c r="E4" s="54"/>
      <c r="H4" s="12"/>
      <c r="I4" s="11"/>
      <c r="J4" s="11"/>
      <c r="K4" s="11"/>
      <c r="L4" s="11"/>
    </row>
    <row r="5" spans="1:17" ht="15.5" thickBot="1">
      <c r="B5" s="10" t="s">
        <v>16</v>
      </c>
      <c r="C5" s="13" t="s">
        <v>13</v>
      </c>
      <c r="E5" s="55"/>
      <c r="H5" s="12"/>
      <c r="I5" s="11"/>
      <c r="J5" s="11"/>
      <c r="K5" s="11"/>
      <c r="L5" s="11"/>
    </row>
    <row r="6" spans="1:17" ht="15.5" thickBot="1">
      <c r="B6" s="10" t="s">
        <v>10</v>
      </c>
      <c r="C6" s="7" t="s">
        <v>158</v>
      </c>
      <c r="E6" s="7"/>
      <c r="H6" s="16" t="s">
        <v>1444</v>
      </c>
      <c r="I6" s="67" t="s">
        <v>1445</v>
      </c>
      <c r="J6" s="16" t="s">
        <v>1442</v>
      </c>
      <c r="K6" s="67" t="s">
        <v>1443</v>
      </c>
      <c r="L6" s="63" t="s">
        <v>1437</v>
      </c>
    </row>
    <row r="7" spans="1:17">
      <c r="B7" s="60" t="s">
        <v>18</v>
      </c>
      <c r="C7" s="56" t="str">
        <f>B9</f>
        <v>Osiris</v>
      </c>
      <c r="E7" s="56"/>
      <c r="H7" s="12"/>
      <c r="I7" s="11"/>
      <c r="J7" s="11"/>
      <c r="K7" s="11"/>
      <c r="L7" s="11"/>
    </row>
    <row r="8" spans="1:17">
      <c r="B8" s="62" t="s">
        <v>15</v>
      </c>
      <c r="C8" s="11" t="s">
        <v>12</v>
      </c>
      <c r="D8" s="12"/>
      <c r="E8" s="11"/>
      <c r="F8" s="63" t="s">
        <v>1437</v>
      </c>
      <c r="G8" s="66"/>
      <c r="H8" s="12"/>
      <c r="I8" s="11"/>
      <c r="J8" s="63"/>
      <c r="K8" s="63"/>
      <c r="L8" s="63"/>
    </row>
    <row r="9" spans="1:17">
      <c r="A9" s="59"/>
      <c r="B9" s="6" t="str">
        <f>Osiris!B5</f>
        <v>Osiris</v>
      </c>
      <c r="C9" s="11"/>
      <c r="D9" s="6"/>
      <c r="E9" s="6"/>
      <c r="F9" s="11"/>
      <c r="H9" s="12"/>
      <c r="I9" s="11"/>
      <c r="J9" s="11"/>
      <c r="K9" s="11"/>
      <c r="L9" s="63"/>
    </row>
    <row r="10" spans="1:17" ht="44.25">
      <c r="A10" s="59"/>
      <c r="B10" s="11" t="str">
        <f>Osiris!B8</f>
        <v>Patient</v>
      </c>
      <c r="C10" s="11" t="str">
        <f>Osiris!C8</f>
        <v>Patient</v>
      </c>
      <c r="D10" s="57" t="e">
        <f>#REF!</f>
        <v>#REF!</v>
      </c>
      <c r="E10" s="57" t="e">
        <f>#REF!</f>
        <v>#REF!</v>
      </c>
      <c r="F10" s="64" t="s">
        <v>1429</v>
      </c>
      <c r="G10" s="58"/>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59"/>
      <c r="B11" s="11" t="str">
        <f>Osiris!B9</f>
        <v>Patient.Id</v>
      </c>
      <c r="C11" s="11" t="str">
        <f>Osiris!C9</f>
        <v>Patient Id [C1]</v>
      </c>
      <c r="D11" s="11"/>
      <c r="E11" s="11"/>
      <c r="F11" s="64" t="s">
        <v>1424</v>
      </c>
      <c r="G11" s="58"/>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59"/>
      <c r="B12" s="11" t="str">
        <f>Osiris!B10</f>
        <v>Patient.Gender</v>
      </c>
      <c r="C12" s="11" t="str">
        <f>Osiris!C10</f>
        <v>Gender [C2]</v>
      </c>
      <c r="D12" s="11" t="e">
        <f>$D$10&amp;"."&amp;#REF!</f>
        <v>#REF!</v>
      </c>
      <c r="E12" s="11" t="e">
        <f>#REF!</f>
        <v>#REF!</v>
      </c>
      <c r="F12" s="64" t="s">
        <v>1431</v>
      </c>
      <c r="G12" s="58"/>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c r="A13" s="59"/>
      <c r="B13" s="11" t="str">
        <f>Osiris!B11</f>
        <v>Patient.Ethnicity</v>
      </c>
      <c r="C13" s="11" t="str">
        <f>Osiris!C11</f>
        <v>Ethnicity [C3]</v>
      </c>
      <c r="D13" s="11" t="e">
        <f>$D$10&amp;"."&amp;#REF!</f>
        <v>#REF!</v>
      </c>
      <c r="E13" s="11" t="e">
        <f>#REF!</f>
        <v>#REF!</v>
      </c>
      <c r="F13" s="64" t="s">
        <v>1407</v>
      </c>
      <c r="G13" s="58"/>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c r="A14" s="59"/>
      <c r="B14" s="11" t="str">
        <f>Osiris!$B$12</f>
        <v>Patient.BirthDate</v>
      </c>
      <c r="C14" s="11" t="str">
        <f>Osiris!C12</f>
        <v>Birth Date [C4]</v>
      </c>
      <c r="D14" s="11" t="e">
        <f>$D$10&amp;"."&amp;#REF!</f>
        <v>#REF!</v>
      </c>
      <c r="E14" s="11" t="e">
        <f>#REF!</f>
        <v>#REF!</v>
      </c>
      <c r="F14" s="64" t="s">
        <v>1429</v>
      </c>
      <c r="G14" s="58"/>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59"/>
      <c r="B15" s="11" t="str">
        <f>Osiris!B13</f>
        <v>Patient.DeathDate</v>
      </c>
      <c r="C15" s="11" t="str">
        <f>Osiris!C13</f>
        <v>Death Date [C5]</v>
      </c>
      <c r="D15" s="11"/>
      <c r="E15" s="11"/>
      <c r="F15" s="64" t="s">
        <v>1424</v>
      </c>
      <c r="G15" s="58"/>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59"/>
      <c r="B16" s="11" t="str">
        <f>Osiris!B14</f>
        <v>Patient.ProviderCenterId</v>
      </c>
      <c r="C16" s="11" t="str">
        <f>Osiris!C14</f>
        <v>Provider  Center  Id [C6]</v>
      </c>
      <c r="D16" s="11"/>
      <c r="E16" s="11"/>
      <c r="F16" s="64" t="s">
        <v>1424</v>
      </c>
      <c r="G16" s="58"/>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59"/>
      <c r="B17" s="11" t="str">
        <f>Osiris!B15</f>
        <v>Patient.OriginCenterId</v>
      </c>
      <c r="C17" s="11" t="str">
        <f>Osiris!C15</f>
        <v>Origin  Center  Id [C71]</v>
      </c>
      <c r="D17" s="11"/>
      <c r="E17" s="12"/>
      <c r="F17" s="64" t="s">
        <v>1424</v>
      </c>
      <c r="G17" s="58"/>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59"/>
      <c r="B18" s="11" t="str">
        <f>Osiris!B16</f>
        <v>Patient.CauseOfDeath</v>
      </c>
      <c r="C18" s="11" t="str">
        <f>Osiris!C16</f>
        <v>Cause of death [C7]</v>
      </c>
      <c r="D18" s="11"/>
      <c r="E18" s="12"/>
      <c r="F18" s="64" t="s">
        <v>1424</v>
      </c>
      <c r="G18" s="58"/>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4" t="s">
        <v>1424</v>
      </c>
      <c r="G19" s="58"/>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4" t="s">
        <v>1424</v>
      </c>
      <c r="G20" s="58"/>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4"/>
      <c r="G21" s="58"/>
      <c r="J21" s="58"/>
      <c r="K21" s="58"/>
      <c r="L21" s="66"/>
      <c r="N21" s="11">
        <v>12</v>
      </c>
      <c r="O21" s="11">
        <f t="shared" si="5"/>
        <v>2</v>
      </c>
      <c r="P21" s="11">
        <f t="shared" si="6"/>
        <v>2</v>
      </c>
      <c r="Q21" s="12" t="str" cm="1">
        <f t="array" ref="Q21">INDEX('Osiris-ConceptMap'!$H$10:$L$264,O21+1,P21)</f>
        <v>* group[=].element[=].display = ##34#Gender [C2]##34#</v>
      </c>
    </row>
    <row r="22" spans="1:17">
      <c r="B22" s="11"/>
      <c r="C22" s="11"/>
      <c r="D22" s="11"/>
      <c r="E22" s="12"/>
      <c r="F22" s="64"/>
      <c r="G22" s="58"/>
      <c r="J22" s="58"/>
      <c r="K22" s="58"/>
      <c r="L22" s="66"/>
      <c r="N22" s="11">
        <v>13</v>
      </c>
      <c r="O22" s="11">
        <f t="shared" si="5"/>
        <v>2</v>
      </c>
      <c r="P22" s="11">
        <f t="shared" si="6"/>
        <v>3</v>
      </c>
      <c r="Q22" s="12" t="e" cm="1">
        <f t="array" ref="Q22">INDEX('Osiris-ConceptMap'!$H$10:$L$264,O22+1,P22)</f>
        <v>#REF!</v>
      </c>
    </row>
    <row r="23" spans="1:17">
      <c r="B23" s="11"/>
      <c r="C23" s="11"/>
      <c r="D23" s="11"/>
      <c r="E23" s="12"/>
      <c r="F23" s="64"/>
      <c r="G23" s="58"/>
      <c r="J23" s="58"/>
      <c r="K23" s="58"/>
      <c r="L23" s="66"/>
      <c r="N23" s="11">
        <v>14</v>
      </c>
      <c r="O23" s="11">
        <f t="shared" si="5"/>
        <v>2</v>
      </c>
      <c r="P23" s="11">
        <f t="shared" si="6"/>
        <v>4</v>
      </c>
      <c r="Q23" s="12" t="e" cm="1">
        <f t="array" ref="Q23">INDEX('Osiris-ConceptMap'!$H$10:$L$264,O23+1,P23)</f>
        <v>#REF!</v>
      </c>
    </row>
    <row r="24" spans="1:17">
      <c r="B24" s="11"/>
      <c r="C24" s="11"/>
      <c r="D24" s="11"/>
      <c r="E24" s="12"/>
      <c r="F24" s="64"/>
      <c r="G24" s="58"/>
      <c r="J24" s="58"/>
      <c r="K24" s="58"/>
      <c r="L24" s="66"/>
      <c r="N24" s="11">
        <v>15</v>
      </c>
      <c r="O24" s="11">
        <f t="shared" si="5"/>
        <v>2</v>
      </c>
      <c r="P24" s="11">
        <f t="shared" si="6"/>
        <v>5</v>
      </c>
      <c r="Q24" s="12" t="str" cm="1">
        <f t="array" ref="Q24">INDEX('Osiris-ConceptMap'!$H$10:$L$264,O24+1,P24)</f>
        <v>* group[=].element[=].target.equivalence = #wider</v>
      </c>
    </row>
    <row r="25" spans="1:17">
      <c r="B25" s="11"/>
      <c r="C25" s="11"/>
      <c r="D25" s="11"/>
      <c r="E25" s="12"/>
      <c r="F25" s="64"/>
      <c r="G25" s="58"/>
      <c r="J25" s="58"/>
      <c r="K25" s="58"/>
      <c r="L25" s="66"/>
      <c r="N25" s="11">
        <v>16</v>
      </c>
      <c r="O25" s="11">
        <f t="shared" si="5"/>
        <v>3</v>
      </c>
      <c r="P25" s="11">
        <f t="shared" si="6"/>
        <v>1</v>
      </c>
      <c r="Q25" s="12" t="str" cm="1">
        <f t="array" ref="Q25">INDEX('Osiris-ConceptMap'!$H$10:$L$264,O25+1,P25)</f>
        <v>* group[=].element[+].code = #Osiris.Patient.Ethnicity</v>
      </c>
    </row>
    <row r="26" spans="1:17">
      <c r="B26" s="11"/>
      <c r="C26" s="11"/>
      <c r="D26" s="11"/>
      <c r="E26" s="12"/>
      <c r="F26" s="64"/>
      <c r="G26" s="58"/>
      <c r="J26" s="58"/>
      <c r="K26" s="58"/>
      <c r="L26" s="66"/>
      <c r="N26" s="11">
        <v>17</v>
      </c>
      <c r="O26" s="11">
        <f t="shared" si="5"/>
        <v>3</v>
      </c>
      <c r="P26" s="11">
        <f t="shared" si="6"/>
        <v>2</v>
      </c>
      <c r="Q26" s="12" t="str" cm="1">
        <f t="array" ref="Q26">INDEX('Osiris-ConceptMap'!$H$10:$L$264,O26+1,P26)</f>
        <v>* group[=].element[=].display = ##34#Ethnicity [C3]##34#</v>
      </c>
    </row>
    <row r="27" spans="1:17">
      <c r="B27" s="11"/>
      <c r="C27" s="11"/>
      <c r="D27" s="11"/>
      <c r="E27" s="12"/>
      <c r="F27" s="64"/>
      <c r="G27" s="58"/>
      <c r="J27" s="58"/>
      <c r="K27" s="58"/>
      <c r="L27" s="66"/>
      <c r="N27" s="11">
        <v>18</v>
      </c>
      <c r="O27" s="11">
        <f t="shared" si="5"/>
        <v>3</v>
      </c>
      <c r="P27" s="11">
        <f t="shared" si="6"/>
        <v>3</v>
      </c>
      <c r="Q27" s="12" t="e" cm="1">
        <f t="array" ref="Q27">INDEX('Osiris-ConceptMap'!$H$10:$L$264,O27+1,P27)</f>
        <v>#REF!</v>
      </c>
    </row>
    <row r="28" spans="1:17">
      <c r="B28" s="11"/>
      <c r="C28" s="11"/>
      <c r="D28" s="11"/>
      <c r="E28" s="12"/>
      <c r="F28" s="64"/>
      <c r="G28" s="58"/>
      <c r="J28" s="58"/>
      <c r="K28" s="58"/>
      <c r="L28" s="66"/>
      <c r="N28" s="11">
        <v>19</v>
      </c>
      <c r="O28" s="11">
        <f t="shared" si="5"/>
        <v>3</v>
      </c>
      <c r="P28" s="11">
        <f t="shared" si="6"/>
        <v>4</v>
      </c>
      <c r="Q28" s="12" t="e" cm="1">
        <f t="array" ref="Q28">INDEX('Osiris-ConceptMap'!$H$10:$L$264,O28+1,P28)</f>
        <v>#REF!</v>
      </c>
    </row>
    <row r="29" spans="1:17">
      <c r="B29" s="11"/>
      <c r="C29" s="11"/>
      <c r="D29" s="11"/>
      <c r="E29" s="12"/>
      <c r="F29" s="64"/>
      <c r="G29" s="58"/>
      <c r="J29" s="58"/>
      <c r="K29" s="58"/>
      <c r="L29" s="66"/>
      <c r="N29" s="11">
        <v>20</v>
      </c>
      <c r="O29" s="11">
        <f t="shared" si="5"/>
        <v>3</v>
      </c>
      <c r="P29" s="11">
        <f t="shared" si="6"/>
        <v>5</v>
      </c>
      <c r="Q29" s="12" t="str" cm="1">
        <f t="array" ref="Q29">INDEX('Osiris-ConceptMap'!$H$10:$L$264,O29+1,P29)</f>
        <v>* group[=].element[=].target.equivalence = #relatedto</v>
      </c>
    </row>
    <row r="30" spans="1:17">
      <c r="B30" s="11"/>
      <c r="C30" s="11"/>
      <c r="D30" s="11"/>
      <c r="E30" s="12"/>
      <c r="F30" s="64"/>
      <c r="G30" s="58"/>
      <c r="J30" s="58"/>
      <c r="K30" s="58"/>
      <c r="L30" s="66"/>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4"/>
      <c r="G31" s="58"/>
      <c r="I31"/>
      <c r="J31" s="58"/>
      <c r="K31" s="58"/>
      <c r="L31" s="66"/>
      <c r="N31" s="11">
        <v>22</v>
      </c>
      <c r="O31" s="11">
        <f t="shared" si="5"/>
        <v>4</v>
      </c>
      <c r="P31" s="11">
        <f t="shared" si="6"/>
        <v>2</v>
      </c>
      <c r="Q31" s="12" t="str" cm="1">
        <f t="array" ref="Q31">INDEX('Osiris-ConceptMap'!$H$10:$L$264,O31+1,P31)</f>
        <v>* group[=].element[=].display = ##34#Birth Date [C4]##34#</v>
      </c>
    </row>
    <row r="32" spans="1:17" s="2" customFormat="1">
      <c r="A32"/>
      <c r="B32" s="61"/>
      <c r="C32" s="61"/>
      <c r="D32" s="61"/>
      <c r="F32" s="58"/>
      <c r="G32" s="58"/>
      <c r="I32"/>
      <c r="J32" s="58"/>
      <c r="K32" s="58"/>
      <c r="L32" s="66"/>
      <c r="N32" s="11">
        <v>23</v>
      </c>
      <c r="O32" s="11">
        <f t="shared" si="5"/>
        <v>4</v>
      </c>
      <c r="P32" s="11">
        <f t="shared" si="6"/>
        <v>3</v>
      </c>
      <c r="Q32" s="12" t="e" cm="1">
        <f t="array" ref="Q32">INDEX('Osiris-ConceptMap'!$H$10:$L$264,O32+1,P32)</f>
        <v>#REF!</v>
      </c>
    </row>
    <row r="33" spans="1:17" s="2" customFormat="1">
      <c r="A33"/>
      <c r="B33" s="11"/>
      <c r="C33" s="11"/>
      <c r="F33" s="58"/>
      <c r="G33" s="58"/>
      <c r="I33"/>
      <c r="J33" s="58"/>
      <c r="K33" s="58"/>
      <c r="L33" s="66"/>
      <c r="N33" s="11">
        <v>24</v>
      </c>
      <c r="O33" s="11">
        <f t="shared" si="5"/>
        <v>4</v>
      </c>
      <c r="P33" s="11">
        <f t="shared" si="6"/>
        <v>4</v>
      </c>
      <c r="Q33" s="12" t="e" cm="1">
        <f t="array" ref="Q33">INDEX('Osiris-ConceptMap'!$H$10:$L$264,O33+1,P33)</f>
        <v>#REF!</v>
      </c>
    </row>
    <row r="34" spans="1:17" s="2" customFormat="1">
      <c r="A34"/>
      <c r="B34" s="11"/>
      <c r="C34"/>
      <c r="F34" s="58"/>
      <c r="G34" s="58"/>
      <c r="I34" s="58"/>
      <c r="J34" s="58"/>
      <c r="K34" s="58"/>
      <c r="L34" s="66"/>
      <c r="N34" s="11">
        <v>25</v>
      </c>
      <c r="O34" s="11">
        <f t="shared" si="5"/>
        <v>4</v>
      </c>
      <c r="P34" s="11">
        <f t="shared" si="6"/>
        <v>5</v>
      </c>
      <c r="Q34" s="12" t="str" cm="1">
        <f t="array" ref="Q34">INDEX('Osiris-ConceptMap'!$H$10:$L$264,O34+1,P34)</f>
        <v>* group[=].element[=].target.equivalence = #equivalent</v>
      </c>
    </row>
    <row r="35" spans="1:17" s="2" customFormat="1">
      <c r="A35"/>
      <c r="B35" s="11"/>
      <c r="C35"/>
      <c r="F35" s="58"/>
      <c r="G35" s="58"/>
      <c r="I35" s="58"/>
      <c r="J35" s="58"/>
      <c r="K35" s="58"/>
      <c r="L35" s="66"/>
      <c r="N35" s="11">
        <v>26</v>
      </c>
      <c r="O35" s="11">
        <f t="shared" si="5"/>
        <v>5</v>
      </c>
      <c r="P35" s="11">
        <f t="shared" si="6"/>
        <v>1</v>
      </c>
      <c r="Q35" s="12" t="str" cm="1">
        <f t="array" ref="Q35">INDEX('Osiris-ConceptMap'!$H$10:$L$264,O35+1,P35)</f>
        <v>* group[=].element[+].code = #Osiris.Patient.DeathDate</v>
      </c>
    </row>
    <row r="36" spans="1:17" s="2" customFormat="1">
      <c r="A36"/>
      <c r="B36" s="11"/>
      <c r="C36"/>
      <c r="F36" s="58"/>
      <c r="G36" s="58"/>
      <c r="I36" s="58"/>
      <c r="J36" s="58"/>
      <c r="K36" s="58"/>
      <c r="L36" s="66"/>
      <c r="N36" s="11">
        <v>27</v>
      </c>
      <c r="O36" s="11">
        <f t="shared" si="5"/>
        <v>5</v>
      </c>
      <c r="P36" s="11">
        <f t="shared" si="6"/>
        <v>2</v>
      </c>
      <c r="Q36" s="12" t="str" cm="1">
        <f t="array" ref="Q36">INDEX('Osiris-ConceptMap'!$H$10:$L$264,O36+1,P36)</f>
        <v>* group[=].element[=].display = ##34#Death Date [C5]##34#</v>
      </c>
    </row>
    <row r="37" spans="1:17" s="2" customFormat="1">
      <c r="A37"/>
      <c r="B37" s="11"/>
      <c r="C37"/>
      <c r="F37" s="58"/>
      <c r="G37" s="58"/>
      <c r="I37" s="58"/>
      <c r="J37" s="58"/>
      <c r="K37" s="58"/>
      <c r="L37" s="58"/>
      <c r="N37" s="11">
        <v>28</v>
      </c>
      <c r="O37" s="11">
        <f t="shared" si="5"/>
        <v>5</v>
      </c>
      <c r="P37" s="11">
        <f t="shared" si="6"/>
        <v>3</v>
      </c>
      <c r="Q37" s="12" t="str" cm="1">
        <f t="array" ref="Q37">INDEX('Osiris-ConceptMap'!$H$10:$L$264,O37+1,P37)</f>
        <v>//-- unmatched</v>
      </c>
    </row>
    <row r="38" spans="1:17" s="2" customFormat="1">
      <c r="A38"/>
      <c r="B38" s="11"/>
      <c r="C38"/>
      <c r="F38" s="58"/>
      <c r="G38" s="58"/>
      <c r="I38" s="58"/>
      <c r="J38" s="58"/>
      <c r="K38" s="58"/>
      <c r="L38" s="58"/>
      <c r="N38" s="11">
        <v>29</v>
      </c>
      <c r="O38" s="11">
        <f t="shared" si="5"/>
        <v>5</v>
      </c>
      <c r="P38" s="11">
        <f t="shared" si="6"/>
        <v>4</v>
      </c>
      <c r="Q38" s="12" t="str" cm="1">
        <f t="array" ref="Q38">INDEX('Osiris-ConceptMap'!$H$10:$L$264,O38+1,P38)</f>
        <v>//-- unmatched</v>
      </c>
    </row>
    <row r="39" spans="1:17" s="2" customFormat="1">
      <c r="A39"/>
      <c r="B39" s="11"/>
      <c r="C39"/>
      <c r="F39" s="58"/>
      <c r="G39" s="58"/>
      <c r="I39" s="58"/>
      <c r="J39" s="58"/>
      <c r="K39" s="58"/>
      <c r="L39" s="58"/>
      <c r="N39" s="11">
        <v>30</v>
      </c>
      <c r="O39" s="11">
        <f t="shared" si="5"/>
        <v>5</v>
      </c>
      <c r="P39" s="11">
        <f t="shared" si="6"/>
        <v>5</v>
      </c>
      <c r="Q39" s="12" t="str" cm="1">
        <f t="array" ref="Q39">INDEX('Osiris-ConceptMap'!$H$10:$L$264,O39+1,P39)</f>
        <v>* group[=].element[=].target.equivalence = #unmatched</v>
      </c>
    </row>
    <row r="40" spans="1:17" s="2" customFormat="1">
      <c r="A40"/>
      <c r="B40" s="11"/>
      <c r="C40"/>
      <c r="F40" s="58"/>
      <c r="G40" s="58"/>
      <c r="I40" s="58"/>
      <c r="J40" s="58"/>
      <c r="K40" s="58"/>
      <c r="L40" s="58"/>
      <c r="N40" s="11">
        <v>31</v>
      </c>
      <c r="O40" s="11">
        <f t="shared" si="5"/>
        <v>6</v>
      </c>
      <c r="P40" s="11">
        <f t="shared" si="6"/>
        <v>1</v>
      </c>
      <c r="Q40" s="12" t="str" cm="1">
        <f t="array" ref="Q40">INDEX('Osiris-ConceptMap'!$H$10:$L$264,O40+1,P40)</f>
        <v>* group[=].element[+].code = #Osiris.Patient.ProviderCenterId</v>
      </c>
    </row>
    <row r="41" spans="1:17" s="2" customFormat="1">
      <c r="A41"/>
      <c r="B41" s="11"/>
      <c r="C41"/>
      <c r="F41" s="58"/>
      <c r="G41" s="58"/>
      <c r="I41" s="58"/>
      <c r="J41" s="58"/>
      <c r="K41" s="58"/>
      <c r="L41" s="58"/>
      <c r="N41" s="11">
        <v>32</v>
      </c>
      <c r="O41" s="11">
        <f t="shared" si="5"/>
        <v>6</v>
      </c>
      <c r="P41" s="11">
        <f t="shared" si="6"/>
        <v>2</v>
      </c>
      <c r="Q41" s="12" t="str" cm="1">
        <f t="array" ref="Q41">INDEX('Osiris-ConceptMap'!$H$10:$L$264,O41+1,P41)</f>
        <v>* group[=].element[=].display = ##34#Provider  Center  Id [C6]##34#</v>
      </c>
    </row>
    <row r="42" spans="1:17" s="2" customFormat="1">
      <c r="A42"/>
      <c r="B42" s="11"/>
      <c r="C42"/>
      <c r="F42" s="58"/>
      <c r="G42" s="58"/>
      <c r="I42" s="58"/>
      <c r="J42" s="58"/>
      <c r="K42" s="58"/>
      <c r="L42" s="58"/>
      <c r="N42" s="11">
        <v>33</v>
      </c>
      <c r="O42" s="11">
        <f t="shared" si="5"/>
        <v>6</v>
      </c>
      <c r="P42" s="11">
        <f t="shared" si="6"/>
        <v>3</v>
      </c>
      <c r="Q42" s="12" t="str" cm="1">
        <f t="array" ref="Q42">INDEX('Osiris-ConceptMap'!$H$10:$L$264,O42+1,P42)</f>
        <v>//-- unmatched</v>
      </c>
    </row>
    <row r="43" spans="1:17">
      <c r="F43" s="58"/>
      <c r="G43" s="58"/>
      <c r="I43" s="58"/>
      <c r="J43" s="58"/>
      <c r="K43" s="58"/>
      <c r="L43" s="58"/>
      <c r="N43" s="11">
        <v>34</v>
      </c>
      <c r="O43" s="11">
        <f t="shared" si="5"/>
        <v>6</v>
      </c>
      <c r="P43" s="11">
        <f t="shared" si="6"/>
        <v>4</v>
      </c>
      <c r="Q43" s="12" t="str" cm="1">
        <f t="array" ref="Q43">INDEX('Osiris-ConceptMap'!$H$10:$L$264,O43+1,P43)</f>
        <v>//-- unmatched</v>
      </c>
    </row>
    <row r="44" spans="1:17">
      <c r="F44" s="58"/>
      <c r="G44" s="58"/>
      <c r="I44" s="58"/>
      <c r="J44" s="58"/>
      <c r="K44" s="58"/>
      <c r="L44" s="58"/>
      <c r="N44" s="11">
        <v>35</v>
      </c>
      <c r="O44" s="11">
        <f t="shared" si="5"/>
        <v>6</v>
      </c>
      <c r="P44" s="11">
        <f t="shared" si="6"/>
        <v>5</v>
      </c>
      <c r="Q44" s="12" t="str" cm="1">
        <f t="array" ref="Q44">INDEX('Osiris-ConceptMap'!$H$10:$L$264,O44+1,P44)</f>
        <v>* group[=].element[=].target.equivalence = #unmatched</v>
      </c>
    </row>
    <row r="45" spans="1:17">
      <c r="F45" s="58"/>
      <c r="G45" s="58"/>
      <c r="I45" s="58"/>
      <c r="J45" s="58"/>
      <c r="K45" s="58"/>
      <c r="L45" s="58"/>
      <c r="N45" s="11">
        <v>36</v>
      </c>
      <c r="O45" s="11">
        <f t="shared" si="5"/>
        <v>7</v>
      </c>
      <c r="P45" s="11">
        <f t="shared" si="6"/>
        <v>1</v>
      </c>
      <c r="Q45" s="12" t="str" cm="1">
        <f t="array" ref="Q45">INDEX('Osiris-ConceptMap'!$H$10:$L$264,O45+1,P45)</f>
        <v>* group[=].element[+].code = #Osiris.Patient.OriginCenterId</v>
      </c>
    </row>
    <row r="46" spans="1:17">
      <c r="F46" s="58"/>
      <c r="G46" s="58"/>
      <c r="I46" s="58"/>
      <c r="J46" s="58"/>
      <c r="K46" s="58"/>
      <c r="L46" s="58"/>
      <c r="N46" s="11">
        <v>37</v>
      </c>
      <c r="O46" s="11">
        <f t="shared" si="5"/>
        <v>7</v>
      </c>
      <c r="P46" s="11">
        <f t="shared" si="6"/>
        <v>2</v>
      </c>
      <c r="Q46" s="12" t="str" cm="1">
        <f t="array" ref="Q46">INDEX('Osiris-ConceptMap'!$H$10:$L$264,O46+1,P46)</f>
        <v>* group[=].element[=].display = ##34#Origin  Center  Id [C71]##34#</v>
      </c>
    </row>
    <row r="47" spans="1:17">
      <c r="B47" t="s">
        <v>1402</v>
      </c>
      <c r="C47" t="s">
        <v>1403</v>
      </c>
      <c r="D47" t="s">
        <v>1404</v>
      </c>
      <c r="E47" t="s">
        <v>1405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1448</v>
      </c>
    </row>
    <row r="3" spans="2:7">
      <c r="B3" s="24" t="s">
        <v>20</v>
      </c>
    </row>
    <row r="4" spans="2:7">
      <c r="B4" s="65" t="s">
        <v>1446</v>
      </c>
    </row>
    <row r="5" spans="2:7">
      <c r="B5" s="65" t="s">
        <v>1447</v>
      </c>
    </row>
    <row r="6" spans="2:7">
      <c r="B6" s="65" t="s">
        <v>1438</v>
      </c>
    </row>
    <row r="7" spans="2:7">
      <c r="B7" s="65" t="s">
        <v>1450</v>
      </c>
    </row>
    <row r="8" spans="2:7">
      <c r="B8" s="65" t="s">
        <v>1451</v>
      </c>
    </row>
    <row r="9" spans="2:7">
      <c r="B9" s="65" t="s">
        <v>1452</v>
      </c>
    </row>
    <row r="10" spans="2:7">
      <c r="B10" s="65" t="s">
        <v>1439</v>
      </c>
    </row>
    <row r="11" spans="2:7">
      <c r="B11" s="65" t="s">
        <v>1440</v>
      </c>
    </row>
    <row r="12" spans="2:7">
      <c r="B12" s="65" t="s">
        <v>1453</v>
      </c>
    </row>
    <row r="13" spans="2:7">
      <c r="B13" s="65" t="s">
        <v>1454</v>
      </c>
    </row>
    <row r="14" spans="2:7">
      <c r="B14" s="69" t="s">
        <v>1455</v>
      </c>
    </row>
    <row r="15" spans="2:7">
      <c r="B15" s="69" t="s">
        <v>1456</v>
      </c>
    </row>
    <row r="16" spans="2:7">
      <c r="B16" s="65"/>
    </row>
    <row r="17" spans="2:2">
      <c r="B17" s="68" t="s">
        <v>1457</v>
      </c>
    </row>
    <row r="18" spans="2:2">
      <c r="B18" s="68" t="s">
        <v>1458</v>
      </c>
    </row>
    <row r="19" spans="2:2">
      <c r="B19" s="70"/>
    </row>
    <row r="20" spans="2:2">
      <c r="B20" s="12" t="str">
        <f>IF('Osiris-ConceptMap'!Q10=0,"//---END",'Osiris-ConceptMap'!Q10)</f>
        <v>* group[=].element[+].code = #Osiris.Patient</v>
      </c>
    </row>
    <row r="21" spans="2:2">
      <c r="B21" s="12" t="str">
        <f>IF('Osiris-ConceptMap'!Q11=0,"//---END",'Osiris-ConceptMap'!Q11)</f>
        <v>* group[=].element[=].display = ##34#Patient##34#</v>
      </c>
    </row>
    <row r="22" spans="2:2">
      <c r="B22" s="12" t="e">
        <f>IF('Osiris-ConceptMap'!Q12=0,"//---END",'Osiris-ConceptMap'!Q12)</f>
        <v>#REF!</v>
      </c>
    </row>
    <row r="23" spans="2:2">
      <c r="B23" s="12" t="e">
        <f>IF('Osiris-ConceptMap'!Q13=0,"//---END",'Osiris-ConceptMap'!Q13)</f>
        <v>#REF!</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e">
        <f>IF('Osiris-ConceptMap'!Q22=0,"//---END",'Osiris-ConceptMap'!Q22)</f>
        <v>#REF!</v>
      </c>
    </row>
    <row r="33" spans="2:2">
      <c r="B33" s="12" t="e">
        <f>IF('Osiris-ConceptMap'!Q23=0,"//---END",'Osiris-ConceptMap'!Q23)</f>
        <v>#REF!</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e">
        <f>IF('Osiris-ConceptMap'!Q27=0,"//---END",'Osiris-ConceptMap'!Q27)</f>
        <v>#REF!</v>
      </c>
    </row>
    <row r="38" spans="2:2">
      <c r="B38" s="12" t="e">
        <f>IF('Osiris-ConceptMap'!Q28=0,"//---END",'Osiris-ConceptMap'!Q28)</f>
        <v>#REF!</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e">
        <f>IF('Osiris-ConceptMap'!Q32=0,"//---END",'Osiris-ConceptMap'!Q32)</f>
        <v>#REF!</v>
      </c>
    </row>
    <row r="43" spans="2:2">
      <c r="B43" s="12" t="e">
        <f>IF('Osiris-ConceptMap'!Q33=0,"//---END",'Osiris-ConceptMap'!Q33)</f>
        <v>#REF!</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58"/>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cols>
    <col min="4" max="4" width="18" customWidth="1"/>
    <col min="5" max="5" width="17.7265625" customWidth="1"/>
  </cols>
  <sheetData>
    <row r="6" spans="3:6">
      <c r="C6">
        <v>1</v>
      </c>
      <c r="D6" t="s">
        <v>1407</v>
      </c>
      <c r="E6" t="s">
        <v>1408</v>
      </c>
      <c r="F6" t="s">
        <v>1409</v>
      </c>
    </row>
    <row r="7" spans="3:6">
      <c r="C7">
        <v>2</v>
      </c>
      <c r="D7" t="s">
        <v>1429</v>
      </c>
      <c r="E7" t="s">
        <v>1410</v>
      </c>
      <c r="F7" t="s">
        <v>1411</v>
      </c>
    </row>
    <row r="8" spans="3:6">
      <c r="C8">
        <v>3</v>
      </c>
      <c r="D8" t="s">
        <v>1430</v>
      </c>
      <c r="E8" t="s">
        <v>1412</v>
      </c>
      <c r="F8" t="s">
        <v>1413</v>
      </c>
    </row>
    <row r="9" spans="3:6">
      <c r="C9">
        <v>2</v>
      </c>
      <c r="D9" t="s">
        <v>1431</v>
      </c>
      <c r="E9" t="s">
        <v>1414</v>
      </c>
      <c r="F9" t="s">
        <v>1415</v>
      </c>
    </row>
    <row r="10" spans="3:6">
      <c r="C10">
        <v>2</v>
      </c>
      <c r="D10" t="s">
        <v>1432</v>
      </c>
      <c r="E10" t="s">
        <v>1416</v>
      </c>
      <c r="F10" t="s">
        <v>1417</v>
      </c>
    </row>
    <row r="11" spans="3:6">
      <c r="C11">
        <v>2</v>
      </c>
      <c r="D11" t="s">
        <v>1433</v>
      </c>
      <c r="E11" t="s">
        <v>1418</v>
      </c>
      <c r="F11" t="s">
        <v>1419</v>
      </c>
    </row>
    <row r="12" spans="3:6">
      <c r="C12">
        <v>2</v>
      </c>
      <c r="D12" t="s">
        <v>1434</v>
      </c>
      <c r="E12" t="s">
        <v>1420</v>
      </c>
      <c r="F12" t="s">
        <v>1421</v>
      </c>
    </row>
    <row r="13" spans="3:6">
      <c r="C13">
        <v>2</v>
      </c>
      <c r="D13" t="s">
        <v>1435</v>
      </c>
      <c r="E13" t="s">
        <v>1422</v>
      </c>
      <c r="F13" t="s">
        <v>1423</v>
      </c>
    </row>
    <row r="14" spans="3:6">
      <c r="C14">
        <v>1</v>
      </c>
      <c r="D14" t="s">
        <v>1424</v>
      </c>
      <c r="E14" t="s">
        <v>1425</v>
      </c>
      <c r="F14" t="s">
        <v>1426</v>
      </c>
    </row>
    <row r="15" spans="3:6">
      <c r="C15">
        <v>2</v>
      </c>
      <c r="D15" t="s">
        <v>1436</v>
      </c>
      <c r="E15" t="s">
        <v>1427</v>
      </c>
      <c r="F15"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80</vt:i4>
      </vt:variant>
    </vt:vector>
  </HeadingPairs>
  <TitlesOfParts>
    <vt:vector size="80" baseType="lpstr">
      <vt:lpstr> 4. Cancer under study</vt:lpstr>
      <vt:lpstr>2.Demographic &amp; life style</vt:lpstr>
      <vt:lpstr>OsirisDataElementConcept</vt:lpstr>
      <vt:lpstr>CancerEpisode-src</vt:lpstr>
      <vt:lpstr>CancerEpisode</vt:lpstr>
      <vt:lpstr>CancerEpisode-fsh</vt:lpstr>
      <vt:lpstr>CancerEpisode-ConceptMap-1</vt:lpstr>
      <vt:lpstr>CancerEpisode-ConceptMap-2</vt:lpstr>
      <vt:lpstr>CancerEpisode-CM-fsh</vt:lpstr>
      <vt:lpstr>Subject</vt:lpstr>
      <vt:lpstr>Subject-Map-1</vt:lpstr>
      <vt:lpstr>Subject-fsh</vt:lpstr>
      <vt:lpstr>Subject-ConceptMap-1</vt:lpstr>
      <vt:lpstr>Subject-ConceptMap-2</vt:lpstr>
      <vt:lpstr>Subject-ConceptMap-3</vt:lpstr>
      <vt:lpstr>Subject-ConceptMap-4</vt:lpstr>
      <vt:lpstr>Subject-ConceptMap-5-8</vt:lpstr>
      <vt:lpstr>Subject-ConceptMap-9</vt:lpstr>
      <vt:lpstr>Subject-CM-fsh</vt:lpstr>
      <vt:lpstr>EpisodeEvent</vt:lpstr>
      <vt:lpstr>EpisodeEvent-Map-1</vt:lpstr>
      <vt:lpstr>EpisodeEvent-fsh</vt:lpstr>
      <vt:lpstr>EpisodeEvent-ConceptMap-1</vt:lpstr>
      <vt:lpstr>EpisodeEvent-CM-fsh</vt:lpstr>
      <vt:lpstr>ClinicalStage</vt:lpstr>
      <vt:lpstr>ClinicalStage-Map-1</vt:lpstr>
      <vt:lpstr>ClinicalStage-fsh</vt:lpstr>
      <vt:lpstr>ClinicalStage-ConceptMap-1</vt:lpstr>
      <vt:lpstr>ClinicalStage-ConceptMap-2</vt:lpstr>
      <vt:lpstr>ClinicalStage-ConceptMap-3</vt:lpstr>
      <vt:lpstr>ClinicalStage-ConceptMap-4</vt:lpstr>
      <vt:lpstr>ClinicalStage-CM-fsh</vt:lpstr>
      <vt:lpstr>PathologicalStage</vt:lpstr>
      <vt:lpstr>PathologicalStage-fsh</vt:lpstr>
      <vt:lpstr>PathStage-ConceptMap-1</vt:lpstr>
      <vt:lpstr>PathStage-ConceptMap-2</vt:lpstr>
      <vt:lpstr>PathStage-ConceptMap-3</vt:lpstr>
      <vt:lpstr>PathStage-ConceptMap-4</vt:lpstr>
      <vt:lpstr>PathStage-CM-fsh</vt:lpstr>
      <vt:lpstr>SystemicTreatment</vt:lpstr>
      <vt:lpstr>SystemicTreatment-fsh</vt:lpstr>
      <vt:lpstr>SystemicTreatm-ConceptMap-1</vt:lpstr>
      <vt:lpstr>SystemicTreatment-CM-fsh</vt:lpstr>
      <vt:lpstr>Surgery</vt:lpstr>
      <vt:lpstr>Surgery-fsh</vt:lpstr>
      <vt:lpstr>Surgery-ConceptMap-1</vt:lpstr>
      <vt:lpstr>Surgery-CM-fsh</vt:lpstr>
      <vt:lpstr>Radiotherapy</vt:lpstr>
      <vt:lpstr>Radiotherapy-fsh</vt:lpstr>
      <vt:lpstr>Radiotherapy-ConceptMap-1</vt:lpstr>
      <vt:lpstr>Radiotherapy-CM-fsh</vt:lpstr>
      <vt:lpstr>ConvertOsiris</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GeneticTestExpression</vt:lpstr>
      <vt:lpstr>GeneticTestExpression-fsh</vt:lpstr>
      <vt:lpstr>GeneticTestExp-ConceptMap-1</vt:lpstr>
      <vt:lpstr>GeneticTestExpressio-CM-fsh</vt:lpstr>
      <vt:lpstr>Osiris</vt:lpstr>
      <vt:lpstr>Osiris-Map</vt:lpstr>
      <vt:lpstr>Osiris-fsh-noMap</vt:lpstr>
      <vt:lpstr>Osiris-fsh</vt:lpstr>
      <vt:lpstr>Osiris-ConceptMap</vt:lpstr>
      <vt:lpstr>Osiris-CM-fsh</vt:lpstr>
      <vt:lpstr>equivalence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2023-11-07T16:30:13Z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