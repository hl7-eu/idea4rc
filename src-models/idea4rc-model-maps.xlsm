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10.xml" ContentType="application/vnd.openxmlformats-officedocument.drawing+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idea4rc/src-models/"/>
    </mc:Choice>
  </mc:AlternateContent>
  <xr:revisionPtr revIDLastSave="226" documentId="13_ncr:1_{40CF605B-9299-409E-8899-37F2DEE1081C}" xr6:coauthVersionLast="47" xr6:coauthVersionMax="47" xr10:uidLastSave="{5FCE83C1-6030-45FE-A468-5D9B6D23669C}"/>
  <bookViews>
    <workbookView xWindow="-90" yWindow="-21710" windowWidth="38620" windowHeight="21100" tabRatio="819" firstSheet="22" activeTab="27" xr2:uid="{82F0A5E9-86C8-45A2-AB20-6CF6AA2FD42B}"/>
  </bookViews>
  <sheets>
    <sheet name=" 4. Cancer under study" sheetId="150" r:id="rId1"/>
    <sheet name="2.Demographic &amp; life style" sheetId="137" r:id="rId2"/>
    <sheet name="OsirisDataElementConcept" sheetId="139" r:id="rId3"/>
    <sheet name="Common" sheetId="114" r:id="rId4"/>
    <sheet name="CancerEpisode-src" sheetId="175" r:id="rId5"/>
    <sheet name="CancerEpisode" sheetId="172" r:id="rId6"/>
    <sheet name="CancerEpisode-Map-1" sheetId="173" r:id="rId7"/>
    <sheet name="CancerEpisode-fsh" sheetId="174" r:id="rId8"/>
    <sheet name="CancerEpisode-ConceptMap-1" sheetId="178" r:id="rId9"/>
    <sheet name="CancerEpisode-ConceptMap-2" sheetId="186" r:id="rId10"/>
    <sheet name="CancerEpisode-CM-fsh" sheetId="179" r:id="rId11"/>
    <sheet name="Subject" sheetId="169" r:id="rId12"/>
    <sheet name="Subject-Map-1" sheetId="170" r:id="rId13"/>
    <sheet name="Subject-fsh" sheetId="171" r:id="rId14"/>
    <sheet name="Subject-ConceptMap-1" sheetId="180" r:id="rId15"/>
    <sheet name="Subject-ConceptMap-2" sheetId="182" r:id="rId16"/>
    <sheet name="Subject-ConceptMap-3" sheetId="183" r:id="rId17"/>
    <sheet name="Subject-ConceptMap-4" sheetId="184" r:id="rId18"/>
    <sheet name="Subject-ConceptMap-5" sheetId="185" r:id="rId19"/>
    <sheet name="Subject-CM-fsh" sheetId="181" r:id="rId20"/>
    <sheet name="EpisodeEvent-src" sheetId="192" r:id="rId21"/>
    <sheet name="EpisodeEvent" sheetId="193" r:id="rId22"/>
    <sheet name="EpisodeEvent-Map-1" sheetId="194" r:id="rId23"/>
    <sheet name="EpisodeEvent-fsh" sheetId="195" r:id="rId24"/>
    <sheet name="ClinicalStage-src" sheetId="187" r:id="rId25"/>
    <sheet name="ClinicalStage" sheetId="159" r:id="rId26"/>
    <sheet name="ClinicalStage-Map-1" sheetId="160" r:id="rId27"/>
    <sheet name="ClinicalStage-fsh" sheetId="161" r:id="rId28"/>
    <sheet name="ClinicalStage-ConceptMap" sheetId="162" r:id="rId29"/>
    <sheet name="ClinicalStage-CM-fsh" sheetId="163" r:id="rId30"/>
    <sheet name="PathologicalStage-src" sheetId="188" r:id="rId31"/>
    <sheet name="PathologicalStage" sheetId="189" r:id="rId32"/>
    <sheet name="PathologicalStage-Map-1" sheetId="190" r:id="rId33"/>
    <sheet name="PathologicalStage-fsh" sheetId="191" r:id="rId34"/>
    <sheet name="Treatment" sheetId="164" r:id="rId35"/>
    <sheet name="Treatment-Map-1" sheetId="165" r:id="rId36"/>
    <sheet name="Treatment-fsh" sheetId="166" r:id="rId37"/>
    <sheet name="Treatment-ConceptMap" sheetId="167" r:id="rId38"/>
    <sheet name="Treatment-CM-fsh" sheetId="168" r:id="rId39"/>
    <sheet name="ConvertOsiris" sheetId="138" r:id="rId40"/>
    <sheet name="Osiris" sheetId="141" r:id="rId41"/>
    <sheet name="Osiris-Map" sheetId="142" r:id="rId42"/>
    <sheet name="Osiris-fsh-noMap" sheetId="144" r:id="rId43"/>
    <sheet name="Osiris-fsh" sheetId="143" r:id="rId44"/>
    <sheet name="Osiris-ConceptMap" sheetId="145" r:id="rId45"/>
    <sheet name="Osiris-CM-fsh" sheetId="147" r:id="rId46"/>
    <sheet name="Foglio2" sheetId="146" r:id="rId47"/>
  </sheets>
  <externalReferences>
    <externalReference r:id="rId48"/>
  </externalReferences>
  <definedNames>
    <definedName name="_xlnm._FilterDatabase" localSheetId="1" hidden="1">'2.Demographic &amp; life style'!$A$2:$S$47</definedName>
    <definedName name="_xlnm._FilterDatabase" localSheetId="5" hidden="1">CancerEpisode!$A$7:$M$39</definedName>
    <definedName name="_xlnm._FilterDatabase" localSheetId="39" hidden="1">ConvertOsiris!$D$2:$U$232</definedName>
    <definedName name="_xlnm._FilterDatabase" localSheetId="11"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7" i="195" l="1"/>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B28" i="190"/>
  <c r="E28" i="190" s="1"/>
  <c r="J25" i="189"/>
  <c r="J24" i="189"/>
  <c r="J23" i="189"/>
  <c r="J22" i="189"/>
  <c r="J21" i="189"/>
  <c r="J20" i="189"/>
  <c r="B21" i="190"/>
  <c r="E21" i="190" s="1"/>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E98" i="190"/>
  <c r="E97" i="190"/>
  <c r="E96" i="190"/>
  <c r="B95" i="190"/>
  <c r="E95" i="190" s="1"/>
  <c r="B94" i="190"/>
  <c r="E94" i="190" s="1"/>
  <c r="E93" i="190"/>
  <c r="B93" i="190"/>
  <c r="B92" i="190"/>
  <c r="E92" i="190" s="1"/>
  <c r="B91" i="190"/>
  <c r="E91" i="190" s="1"/>
  <c r="B90" i="190"/>
  <c r="E90" i="190" s="1"/>
  <c r="E89" i="190"/>
  <c r="B89" i="190"/>
  <c r="B88" i="190"/>
  <c r="E88" i="190" s="1"/>
  <c r="B87" i="190"/>
  <c r="E87" i="190" s="1"/>
  <c r="B86" i="190"/>
  <c r="E86" i="190" s="1"/>
  <c r="E85" i="190"/>
  <c r="B85" i="190"/>
  <c r="B84" i="190"/>
  <c r="E84" i="190" s="1"/>
  <c r="B83" i="190"/>
  <c r="E83" i="190" s="1"/>
  <c r="B82" i="190"/>
  <c r="E82" i="190" s="1"/>
  <c r="E81" i="190"/>
  <c r="B81" i="190"/>
  <c r="B80" i="190"/>
  <c r="E80" i="190" s="1"/>
  <c r="B79" i="190"/>
  <c r="E79" i="190" s="1"/>
  <c r="B78" i="190"/>
  <c r="E78" i="190" s="1"/>
  <c r="E77" i="190"/>
  <c r="B77" i="190"/>
  <c r="B76" i="190"/>
  <c r="E76" i="190" s="1"/>
  <c r="B75" i="190"/>
  <c r="E75" i="190" s="1"/>
  <c r="B74" i="190"/>
  <c r="E74" i="190" s="1"/>
  <c r="E73" i="190"/>
  <c r="B73" i="190"/>
  <c r="E72" i="190"/>
  <c r="B72" i="190"/>
  <c r="B71" i="190"/>
  <c r="E71" i="190" s="1"/>
  <c r="B70" i="190"/>
  <c r="E70" i="190" s="1"/>
  <c r="E69" i="190"/>
  <c r="B69" i="190"/>
  <c r="E68" i="190"/>
  <c r="B68" i="190"/>
  <c r="B67" i="190"/>
  <c r="E67" i="190" s="1"/>
  <c r="B66" i="190"/>
  <c r="E66" i="190" s="1"/>
  <c r="E65" i="190"/>
  <c r="B65" i="190"/>
  <c r="E64" i="190"/>
  <c r="B64" i="190"/>
  <c r="B63" i="190"/>
  <c r="E63" i="190" s="1"/>
  <c r="B62" i="190"/>
  <c r="E62" i="190" s="1"/>
  <c r="E61" i="190"/>
  <c r="B61" i="190"/>
  <c r="E60" i="190"/>
  <c r="B60" i="190"/>
  <c r="B59" i="190"/>
  <c r="E59" i="190" s="1"/>
  <c r="B58" i="190"/>
  <c r="E58" i="190" s="1"/>
  <c r="E57" i="190"/>
  <c r="B57" i="190"/>
  <c r="E56" i="190"/>
  <c r="B56" i="190"/>
  <c r="B55" i="190"/>
  <c r="E55" i="190" s="1"/>
  <c r="B54" i="190"/>
  <c r="E54" i="190" s="1"/>
  <c r="E53" i="190"/>
  <c r="B53" i="190"/>
  <c r="E52" i="190"/>
  <c r="B52" i="190"/>
  <c r="B51" i="190"/>
  <c r="E51" i="190" s="1"/>
  <c r="B50" i="190"/>
  <c r="E50" i="190" s="1"/>
  <c r="E49" i="190"/>
  <c r="B49" i="190"/>
  <c r="E48" i="190"/>
  <c r="B48" i="190"/>
  <c r="B47" i="190"/>
  <c r="E47" i="190" s="1"/>
  <c r="B46" i="190"/>
  <c r="E46" i="190" s="1"/>
  <c r="E45" i="190"/>
  <c r="B45" i="190"/>
  <c r="E44" i="190"/>
  <c r="B44" i="190"/>
  <c r="B43" i="190"/>
  <c r="E43" i="190" s="1"/>
  <c r="B42" i="190"/>
  <c r="E42" i="190" s="1"/>
  <c r="E41" i="190"/>
  <c r="B41" i="190"/>
  <c r="E40" i="190"/>
  <c r="B40" i="190"/>
  <c r="B39" i="190"/>
  <c r="E39" i="190" s="1"/>
  <c r="B38" i="190"/>
  <c r="E38" i="190" s="1"/>
  <c r="E37" i="190"/>
  <c r="B37" i="190"/>
  <c r="E36" i="190"/>
  <c r="B36" i="190"/>
  <c r="B35" i="190"/>
  <c r="E35" i="190" s="1"/>
  <c r="B34" i="190"/>
  <c r="E34" i="190" s="1"/>
  <c r="E33" i="190"/>
  <c r="B33" i="190"/>
  <c r="E32" i="190"/>
  <c r="B32" i="190"/>
  <c r="B31" i="190"/>
  <c r="E31" i="190" s="1"/>
  <c r="B30" i="190"/>
  <c r="E30" i="190" s="1"/>
  <c r="E29" i="190"/>
  <c r="B29" i="190"/>
  <c r="B27" i="190"/>
  <c r="E27" i="190" s="1"/>
  <c r="B26" i="190"/>
  <c r="E26" i="190" s="1"/>
  <c r="B25" i="190"/>
  <c r="E25" i="190" s="1"/>
  <c r="B24" i="190"/>
  <c r="E24" i="190" s="1"/>
  <c r="B23" i="190"/>
  <c r="E23" i="190" s="1"/>
  <c r="B22" i="190"/>
  <c r="E22" i="190" s="1"/>
  <c r="B19" i="190"/>
  <c r="E19" i="190" s="1"/>
  <c r="B18" i="190"/>
  <c r="E18" i="190" s="1"/>
  <c r="B17" i="190"/>
  <c r="E17" i="190" s="1"/>
  <c r="B16" i="190"/>
  <c r="E16" i="190" s="1"/>
  <c r="B15" i="190"/>
  <c r="E15" i="190" s="1"/>
  <c r="B14" i="190"/>
  <c r="E14" i="190" s="1"/>
  <c r="B11" i="190"/>
  <c r="E11" i="190" s="1"/>
  <c r="B10" i="190"/>
  <c r="E10" i="190" s="1"/>
  <c r="E9" i="190"/>
  <c r="B9" i="190"/>
  <c r="C7" i="190" s="1"/>
  <c r="E7" i="190" s="1"/>
  <c r="E8" i="190"/>
  <c r="E6" i="190"/>
  <c r="E5" i="190"/>
  <c r="E4" i="190"/>
  <c r="E3" i="190"/>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S142" i="178" s="1" a="1"/>
  <c r="S142" i="178" s="1"/>
  <c r="B146" i="179" s="1"/>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S58" i="178" a="1"/>
  <c r="S58" i="178" s="1"/>
  <c r="B62" i="179" s="1"/>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J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B16" i="178"/>
  <c r="C16" i="178"/>
  <c r="B17" i="178"/>
  <c r="C17" i="178"/>
  <c r="B18" i="178"/>
  <c r="C18" i="178"/>
  <c r="B19" i="178"/>
  <c r="C19" i="178"/>
  <c r="B20" i="178"/>
  <c r="C20" i="178"/>
  <c r="B21" i="178"/>
  <c r="C21" i="178"/>
  <c r="B22" i="178"/>
  <c r="C22" i="178"/>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B19" i="194" l="1"/>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B12" i="190"/>
  <c r="E12" i="190" s="1"/>
  <c r="B13" i="190"/>
  <c r="E13" i="190" s="1"/>
  <c r="B20" i="190"/>
  <c r="E20" i="190" s="1"/>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L13" i="172" l="1"/>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E49" i="173"/>
  <c r="E48" i="173"/>
  <c r="E47" i="173"/>
  <c r="E46" i="173"/>
  <c r="E45" i="173"/>
  <c r="E44" i="173"/>
  <c r="E43" i="173"/>
  <c r="E42" i="173"/>
  <c r="E41" i="173"/>
  <c r="B40" i="173"/>
  <c r="E40" i="173" s="1"/>
  <c r="B39" i="173"/>
  <c r="E39" i="173" s="1"/>
  <c r="B38" i="173"/>
  <c r="E38" i="173" s="1"/>
  <c r="B37" i="173"/>
  <c r="E37" i="173" s="1"/>
  <c r="B36" i="173"/>
  <c r="E36" i="173" s="1"/>
  <c r="B35" i="173"/>
  <c r="E35" i="173" s="1"/>
  <c r="B34" i="173"/>
  <c r="E34" i="173" s="1"/>
  <c r="B33" i="173"/>
  <c r="E33" i="173" s="1"/>
  <c r="B32" i="173"/>
  <c r="E32" i="173" s="1"/>
  <c r="B31" i="173"/>
  <c r="E31" i="173" s="1"/>
  <c r="B30" i="173"/>
  <c r="E30" i="173" s="1"/>
  <c r="B29" i="173"/>
  <c r="E29" i="173" s="1"/>
  <c r="B28" i="173"/>
  <c r="E28" i="173" s="1"/>
  <c r="B27" i="173"/>
  <c r="E27" i="173" s="1"/>
  <c r="B26" i="173"/>
  <c r="E26" i="173" s="1"/>
  <c r="B25" i="173"/>
  <c r="E25" i="173" s="1"/>
  <c r="B24" i="173"/>
  <c r="E24" i="173" s="1"/>
  <c r="B22" i="173"/>
  <c r="E22" i="173" s="1"/>
  <c r="B21" i="173"/>
  <c r="E21" i="173" s="1"/>
  <c r="B20" i="173"/>
  <c r="E20" i="173" s="1"/>
  <c r="B19" i="173"/>
  <c r="E19" i="173" s="1"/>
  <c r="B18" i="173"/>
  <c r="E18" i="173" s="1"/>
  <c r="B17" i="173"/>
  <c r="E17" i="173" s="1"/>
  <c r="B16" i="173"/>
  <c r="E16" i="173" s="1"/>
  <c r="B14" i="173"/>
  <c r="E14" i="173" s="1"/>
  <c r="B13" i="173"/>
  <c r="E13" i="173" s="1"/>
  <c r="B12" i="173"/>
  <c r="E12" i="173" s="1"/>
  <c r="B11" i="173"/>
  <c r="E11" i="173" s="1"/>
  <c r="B10" i="173"/>
  <c r="E10" i="173" s="1"/>
  <c r="E9" i="173"/>
  <c r="B9" i="173"/>
  <c r="C7" i="173" s="1"/>
  <c r="E7" i="173" s="1"/>
  <c r="E8" i="173"/>
  <c r="E6" i="173"/>
  <c r="E5" i="173"/>
  <c r="C4" i="173"/>
  <c r="E4" i="173" s="1"/>
  <c r="E3" i="173"/>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B23" i="173"/>
  <c r="E23" i="173" s="1"/>
  <c r="B15" i="173"/>
  <c r="E15" i="173"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537" i="166" l="1"/>
  <c r="C538" i="166"/>
  <c r="C539" i="166"/>
  <c r="C540" i="166"/>
  <c r="C353" i="166"/>
  <c r="C354" i="166"/>
  <c r="C355" i="166"/>
  <c r="C170" i="166"/>
  <c r="C171" i="166"/>
  <c r="C172" i="166"/>
  <c r="C173" i="166"/>
  <c r="C174" i="166"/>
  <c r="C175" i="166"/>
  <c r="C176" i="166"/>
  <c r="C177" i="166"/>
  <c r="C162" i="166"/>
  <c r="C146" i="166"/>
  <c r="C128" i="166"/>
  <c r="C120" i="166"/>
  <c r="C97" i="166"/>
  <c r="C106" i="166"/>
  <c r="C114" i="166"/>
  <c r="L171" i="164"/>
  <c r="L172" i="164"/>
  <c r="L173" i="164"/>
  <c r="L174" i="164"/>
  <c r="L175" i="164"/>
  <c r="L176" i="164"/>
  <c r="L177" i="164"/>
  <c r="J171" i="164"/>
  <c r="J172" i="164"/>
  <c r="J173" i="164"/>
  <c r="J174" i="164"/>
  <c r="J175" i="164"/>
  <c r="J176" i="164"/>
  <c r="J177" i="164"/>
  <c r="L98" i="164"/>
  <c r="C280" i="166" s="1"/>
  <c r="L107" i="164"/>
  <c r="C289" i="166" s="1"/>
  <c r="L114" i="164"/>
  <c r="C296" i="166" s="1"/>
  <c r="L115" i="164"/>
  <c r="C297" i="166" s="1"/>
  <c r="L123" i="164"/>
  <c r="C305" i="166" s="1"/>
  <c r="L130" i="164"/>
  <c r="C312" i="166" s="1"/>
  <c r="L131" i="164"/>
  <c r="C313" i="166" s="1"/>
  <c r="L139" i="164"/>
  <c r="C321" i="166" s="1"/>
  <c r="L147" i="164"/>
  <c r="C329" i="166" s="1"/>
  <c r="L155" i="164"/>
  <c r="C337" i="166" s="1"/>
  <c r="L163" i="164"/>
  <c r="C345" i="166" s="1"/>
  <c r="L65" i="164"/>
  <c r="C247" i="166" s="1"/>
  <c r="L81" i="164"/>
  <c r="C263" i="166" s="1"/>
  <c r="L97" i="164"/>
  <c r="C279" i="166" s="1"/>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06" i="165"/>
  <c r="C470" i="166" s="1"/>
  <c r="E114" i="165"/>
  <c r="C478" i="166" s="1"/>
  <c r="E128" i="165"/>
  <c r="C492" i="166" s="1"/>
  <c r="E138" i="165"/>
  <c r="C502" i="166" s="1"/>
  <c r="E154" i="165"/>
  <c r="C518"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B107" i="165"/>
  <c r="E107" i="165" s="1"/>
  <c r="C471" i="166" s="1"/>
  <c r="B108" i="165"/>
  <c r="E108" i="165" s="1"/>
  <c r="C472" i="166" s="1"/>
  <c r="B109" i="165"/>
  <c r="E109" i="165" s="1"/>
  <c r="C473" i="166" s="1"/>
  <c r="B110" i="165"/>
  <c r="E110" i="165" s="1"/>
  <c r="C474" i="166" s="1"/>
  <c r="B96" i="165"/>
  <c r="E96" i="165" s="1"/>
  <c r="C460" i="166" s="1"/>
  <c r="B97" i="165"/>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Q43" i="167" s="1" a="1"/>
  <c r="Q43" i="167" s="1"/>
  <c r="B53" i="168" s="1"/>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Q23" i="167" s="1" a="1"/>
  <c r="Q23" i="167" s="1"/>
  <c r="B33" i="168" s="1"/>
  <c r="P22" i="167"/>
  <c r="O22" i="167"/>
  <c r="P21" i="167"/>
  <c r="O21" i="167"/>
  <c r="P20" i="167"/>
  <c r="O20" i="167"/>
  <c r="P19" i="167"/>
  <c r="O19" i="167"/>
  <c r="Q19" i="167" s="1" a="1"/>
  <c r="Q19" i="167" s="1"/>
  <c r="B29" i="168" s="1"/>
  <c r="P18" i="167"/>
  <c r="O18" i="167"/>
  <c r="Q18" i="167" s="1" a="1"/>
  <c r="Q18" i="167" s="1"/>
  <c r="B28" i="168" s="1"/>
  <c r="P17" i="167"/>
  <c r="O17" i="167"/>
  <c r="Q17" i="167" s="1" a="1"/>
  <c r="Q17" i="167" s="1"/>
  <c r="B27" i="168" s="1"/>
  <c r="L17" i="167"/>
  <c r="K17" i="167"/>
  <c r="J17" i="167"/>
  <c r="Q47" i="167" s="1" a="1"/>
  <c r="Q47" i="167" s="1"/>
  <c r="B57" i="168" s="1"/>
  <c r="C17" i="167"/>
  <c r="I17" i="167" s="1"/>
  <c r="P16" i="167"/>
  <c r="O16" i="167"/>
  <c r="L16" i="167"/>
  <c r="K16" i="167"/>
  <c r="E16" i="167"/>
  <c r="D16" i="167"/>
  <c r="J16" i="167" s="1"/>
  <c r="C16" i="167"/>
  <c r="I16" i="167" s="1"/>
  <c r="P15" i="167"/>
  <c r="O15" i="167"/>
  <c r="L15" i="167"/>
  <c r="K15" i="167"/>
  <c r="Q38" i="167" s="1" a="1"/>
  <c r="Q38" i="167" s="1"/>
  <c r="B48" i="168" s="1"/>
  <c r="J15" i="167"/>
  <c r="E15" i="167"/>
  <c r="D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Q12" i="167" s="1" a="1"/>
  <c r="Q12" i="167" s="1"/>
  <c r="B22" i="168" s="1"/>
  <c r="L12" i="167"/>
  <c r="K12" i="167"/>
  <c r="E12" i="167"/>
  <c r="D12" i="167"/>
  <c r="J12" i="167" s="1"/>
  <c r="C12" i="167"/>
  <c r="I12" i="167" s="1"/>
  <c r="P11" i="167"/>
  <c r="O11" i="167"/>
  <c r="L11" i="167"/>
  <c r="K11" i="167"/>
  <c r="J11" i="167"/>
  <c r="E11" i="167"/>
  <c r="D11" i="167"/>
  <c r="C11" i="167"/>
  <c r="I11" i="167" s="1"/>
  <c r="P10" i="167"/>
  <c r="O10" i="167"/>
  <c r="L10" i="167"/>
  <c r="J10" i="167"/>
  <c r="E10" i="167"/>
  <c r="K10" i="167" s="1"/>
  <c r="Q13" i="167" s="1" a="1"/>
  <c r="Q13" i="167" s="1"/>
  <c r="B23" i="168" s="1"/>
  <c r="D10" i="167"/>
  <c r="C10" i="167"/>
  <c r="I10" i="167" s="1"/>
  <c r="Q11" i="167" s="1" a="1"/>
  <c r="Q11" i="167" s="1"/>
  <c r="B21" i="168" s="1"/>
  <c r="B10" i="167"/>
  <c r="B17" i="167" s="1"/>
  <c r="H17" i="167" s="1"/>
  <c r="Q45" i="167" s="1" a="1"/>
  <c r="Q45" i="167" s="1"/>
  <c r="B55" i="168" s="1"/>
  <c r="C365" i="166"/>
  <c r="C364" i="166"/>
  <c r="C2" i="166"/>
  <c r="C1" i="166"/>
  <c r="E97" i="165"/>
  <c r="C461" i="166" s="1"/>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P184" i="162"/>
  <c r="O184" i="162"/>
  <c r="Q184" i="162" s="1" a="1"/>
  <c r="Q184" i="162" s="1"/>
  <c r="P183" i="162"/>
  <c r="O183" i="162"/>
  <c r="Q183" i="162" s="1" a="1"/>
  <c r="Q183" i="162" s="1"/>
  <c r="P182" i="162"/>
  <c r="O182" i="162"/>
  <c r="P181" i="162"/>
  <c r="O181" i="162"/>
  <c r="Q181" i="162" s="1" a="1"/>
  <c r="Q181" i="162" s="1"/>
  <c r="P180" i="162"/>
  <c r="O180" i="162"/>
  <c r="Q180" i="162" s="1" a="1"/>
  <c r="Q180" i="162" s="1"/>
  <c r="Q179" i="162"/>
  <c r="P179" i="162"/>
  <c r="O179" i="162"/>
  <c r="Q179" i="162" s="1" a="1"/>
  <c r="P178" i="162"/>
  <c r="O178" i="162"/>
  <c r="Q178" i="162" s="1" a="1"/>
  <c r="Q178" i="162" s="1"/>
  <c r="Q177" i="162"/>
  <c r="P177" i="162"/>
  <c r="O177" i="162"/>
  <c r="Q177" i="162" s="1" a="1"/>
  <c r="P176" i="162"/>
  <c r="O176" i="162"/>
  <c r="Q176" i="162" s="1" a="1"/>
  <c r="Q176" i="162" s="1"/>
  <c r="P175" i="162"/>
  <c r="O175" i="162"/>
  <c r="Q175" i="162" s="1" a="1"/>
  <c r="Q175" i="162" s="1"/>
  <c r="P174" i="162"/>
  <c r="O174" i="162"/>
  <c r="P173" i="162"/>
  <c r="O173" i="162"/>
  <c r="Q173" i="162" s="1" a="1"/>
  <c r="Q173" i="162" s="1"/>
  <c r="P172" i="162"/>
  <c r="O172" i="162"/>
  <c r="P171" i="162"/>
  <c r="O171" i="162"/>
  <c r="P170" i="162"/>
  <c r="O170" i="162"/>
  <c r="Q170" i="162" s="1" a="1"/>
  <c r="Q170" i="162" s="1"/>
  <c r="P169" i="162"/>
  <c r="O169" i="162"/>
  <c r="P168" i="162"/>
  <c r="O168" i="162"/>
  <c r="Q168" i="162" s="1" a="1"/>
  <c r="Q168" i="162" s="1"/>
  <c r="P167" i="162"/>
  <c r="O167" i="162"/>
  <c r="Q167" i="162" s="1" a="1"/>
  <c r="Q167" i="162" s="1"/>
  <c r="P166" i="162"/>
  <c r="O166" i="162"/>
  <c r="P165" i="162"/>
  <c r="O165" i="162"/>
  <c r="Q165" i="162" s="1" a="1"/>
  <c r="Q165" i="162" s="1"/>
  <c r="P164" i="162"/>
  <c r="O164" i="162"/>
  <c r="Q164" i="162" s="1" a="1"/>
  <c r="Q164" i="162" s="1"/>
  <c r="P163" i="162"/>
  <c r="O163" i="162"/>
  <c r="P162" i="162"/>
  <c r="O162" i="162"/>
  <c r="Q162" i="162" s="1" a="1"/>
  <c r="Q162" i="162" s="1"/>
  <c r="Q161" i="162"/>
  <c r="P161" i="162"/>
  <c r="O161" i="162"/>
  <c r="Q161" i="162" s="1" a="1"/>
  <c r="P160" i="162"/>
  <c r="O160" i="162"/>
  <c r="Q160" i="162" s="1" a="1"/>
  <c r="Q160" i="162" s="1"/>
  <c r="P159" i="162"/>
  <c r="O159" i="162"/>
  <c r="Q159" i="162" s="1" a="1"/>
  <c r="Q159" i="162" s="1"/>
  <c r="P158" i="162"/>
  <c r="O158" i="162"/>
  <c r="P157" i="162"/>
  <c r="O157" i="162"/>
  <c r="Q157" i="162" s="1" a="1"/>
  <c r="Q157" i="162" s="1"/>
  <c r="P156" i="162"/>
  <c r="O156" i="162"/>
  <c r="P155" i="162"/>
  <c r="O155" i="162"/>
  <c r="P154" i="162"/>
  <c r="O154" i="162"/>
  <c r="Q154" i="162" s="1" a="1"/>
  <c r="Q154" i="162" s="1"/>
  <c r="Q153" i="162"/>
  <c r="P153" i="162"/>
  <c r="O153" i="162"/>
  <c r="Q153" i="162" s="1" a="1"/>
  <c r="P152" i="162"/>
  <c r="O152" i="162"/>
  <c r="Q152" i="162" s="1" a="1"/>
  <c r="Q152" i="162" s="1"/>
  <c r="P151" i="162"/>
  <c r="O151" i="162"/>
  <c r="Q151" i="162" s="1" a="1"/>
  <c r="Q151" i="162" s="1"/>
  <c r="P150" i="162"/>
  <c r="O150" i="162"/>
  <c r="P149" i="162"/>
  <c r="O149" i="162"/>
  <c r="Q149" i="162" s="1" a="1"/>
  <c r="Q149" i="162" s="1"/>
  <c r="P148" i="162"/>
  <c r="O148" i="162"/>
  <c r="Q148" i="162" s="1" a="1"/>
  <c r="Q148" i="162" s="1"/>
  <c r="P147" i="162"/>
  <c r="O147" i="162"/>
  <c r="P146" i="162"/>
  <c r="O146" i="162"/>
  <c r="Q146" i="162" s="1" a="1"/>
  <c r="Q146" i="162" s="1"/>
  <c r="Q145" i="162"/>
  <c r="P145" i="162"/>
  <c r="O145" i="162"/>
  <c r="Q145" i="162" s="1" a="1"/>
  <c r="P144" i="162"/>
  <c r="O144" i="162"/>
  <c r="Q144" i="162" s="1" a="1"/>
  <c r="Q144" i="162" s="1"/>
  <c r="P143" i="162"/>
  <c r="O143" i="162"/>
  <c r="Q143" i="162" s="1" a="1"/>
  <c r="Q143" i="162" s="1"/>
  <c r="P142" i="162"/>
  <c r="O142" i="162"/>
  <c r="P141" i="162"/>
  <c r="O141" i="162"/>
  <c r="Q141" i="162" s="1" a="1"/>
  <c r="Q141" i="162" s="1"/>
  <c r="P140" i="162"/>
  <c r="O140" i="162"/>
  <c r="Q140" i="162" s="1" a="1"/>
  <c r="Q140" i="162" s="1"/>
  <c r="P139" i="162"/>
  <c r="O139" i="162"/>
  <c r="P138" i="162"/>
  <c r="O138" i="162"/>
  <c r="Q138" i="162" s="1" a="1"/>
  <c r="Q138" i="162" s="1"/>
  <c r="P137" i="162"/>
  <c r="O137" i="162"/>
  <c r="Q137" i="162" s="1" a="1"/>
  <c r="Q137" i="162" s="1"/>
  <c r="P136" i="162"/>
  <c r="O136" i="162"/>
  <c r="Q136" i="162" s="1" a="1"/>
  <c r="Q136" i="162" s="1"/>
  <c r="P135" i="162"/>
  <c r="O135" i="162"/>
  <c r="Q135" i="162" s="1" a="1"/>
  <c r="Q135" i="162" s="1"/>
  <c r="Q134" i="162" a="1"/>
  <c r="Q134" i="162" s="1"/>
  <c r="P134" i="162"/>
  <c r="O134" i="162"/>
  <c r="Q133" i="162" a="1"/>
  <c r="Q133" i="162" s="1"/>
  <c r="P133" i="162"/>
  <c r="O133" i="162"/>
  <c r="P132" i="162"/>
  <c r="Q132" i="162" s="1" a="1"/>
  <c r="Q132" i="162" s="1"/>
  <c r="O132" i="162"/>
  <c r="P131" i="162"/>
  <c r="Q131" i="162" s="1" a="1"/>
  <c r="Q131" i="162" s="1"/>
  <c r="O131" i="162"/>
  <c r="P130" i="162"/>
  <c r="O130" i="162"/>
  <c r="Q130" i="162" s="1" a="1"/>
  <c r="Q130" i="162" s="1"/>
  <c r="P129" i="162"/>
  <c r="O129" i="162"/>
  <c r="Q129" i="162" s="1" a="1"/>
  <c r="Q129" i="162" s="1"/>
  <c r="P128" i="162"/>
  <c r="O128" i="162"/>
  <c r="Q128" i="162" s="1" a="1"/>
  <c r="Q128" i="162" s="1"/>
  <c r="P127" i="162"/>
  <c r="O127" i="162"/>
  <c r="Q127" i="162" s="1" a="1"/>
  <c r="Q127" i="162" s="1"/>
  <c r="Q126" i="162" a="1"/>
  <c r="Q126" i="162" s="1"/>
  <c r="P126" i="162"/>
  <c r="O126" i="162"/>
  <c r="Q125" i="162" a="1"/>
  <c r="Q125" i="162" s="1"/>
  <c r="P125" i="162"/>
  <c r="O125" i="162"/>
  <c r="P124" i="162"/>
  <c r="Q124" i="162" s="1" a="1"/>
  <c r="Q124" i="162" s="1"/>
  <c r="O124" i="162"/>
  <c r="P123" i="162"/>
  <c r="Q123" i="162" s="1" a="1"/>
  <c r="Q123" i="162" s="1"/>
  <c r="O123" i="162"/>
  <c r="P122" i="162"/>
  <c r="O122" i="162"/>
  <c r="Q122" i="162" s="1" a="1"/>
  <c r="Q122" i="162" s="1"/>
  <c r="P121" i="162"/>
  <c r="O121" i="162"/>
  <c r="Q121" i="162" s="1" a="1"/>
  <c r="Q121" i="162" s="1"/>
  <c r="P120" i="162"/>
  <c r="O120" i="162"/>
  <c r="Q120" i="162" s="1" a="1"/>
  <c r="Q120" i="162" s="1"/>
  <c r="P119" i="162"/>
  <c r="O119" i="162"/>
  <c r="Q119" i="162" s="1" a="1"/>
  <c r="Q119" i="162" s="1"/>
  <c r="Q118" i="162" a="1"/>
  <c r="Q118" i="162" s="1"/>
  <c r="P118" i="162"/>
  <c r="O118" i="162"/>
  <c r="Q117" i="162" a="1"/>
  <c r="Q117" i="162" s="1"/>
  <c r="P117" i="162"/>
  <c r="O117" i="162"/>
  <c r="P116" i="162"/>
  <c r="Q116" i="162" s="1" a="1"/>
  <c r="Q116" i="162" s="1"/>
  <c r="O116" i="162"/>
  <c r="P115" i="162"/>
  <c r="Q115" i="162" s="1" a="1"/>
  <c r="Q115" i="162" s="1"/>
  <c r="O115" i="162"/>
  <c r="P114" i="162"/>
  <c r="O114" i="162"/>
  <c r="Q114" i="162" s="1" a="1"/>
  <c r="Q114" i="162" s="1"/>
  <c r="P113" i="162"/>
  <c r="O113" i="162"/>
  <c r="Q113" i="162" s="1" a="1"/>
  <c r="Q113" i="162" s="1"/>
  <c r="P112" i="162"/>
  <c r="O112" i="162"/>
  <c r="Q112" i="162" s="1" a="1"/>
  <c r="Q112" i="162" s="1"/>
  <c r="P111" i="162"/>
  <c r="O111" i="162"/>
  <c r="Q111" i="162" s="1" a="1"/>
  <c r="Q111" i="162" s="1"/>
  <c r="Q110" i="162" a="1"/>
  <c r="Q110" i="162" s="1"/>
  <c r="P110" i="162"/>
  <c r="O110" i="162"/>
  <c r="Q109" i="162" a="1"/>
  <c r="Q109" i="162" s="1"/>
  <c r="P109" i="162"/>
  <c r="O109" i="162"/>
  <c r="P108" i="162"/>
  <c r="Q108" i="162" s="1" a="1"/>
  <c r="Q108" i="162" s="1"/>
  <c r="O108" i="162"/>
  <c r="P107" i="162"/>
  <c r="Q107" i="162" s="1" a="1"/>
  <c r="Q107" i="162" s="1"/>
  <c r="O107" i="162"/>
  <c r="P106" i="162"/>
  <c r="O106" i="162"/>
  <c r="Q106" i="162" s="1" a="1"/>
  <c r="Q106" i="162" s="1"/>
  <c r="P105" i="162"/>
  <c r="O105" i="162"/>
  <c r="Q105" i="162" s="1" a="1"/>
  <c r="Q105" i="162" s="1"/>
  <c r="P104" i="162"/>
  <c r="O104" i="162"/>
  <c r="Q104" i="162" s="1" a="1"/>
  <c r="Q104" i="162" s="1"/>
  <c r="P103" i="162"/>
  <c r="O103" i="162"/>
  <c r="Q103" i="162" s="1" a="1"/>
  <c r="Q103" i="162" s="1"/>
  <c r="Q102" i="162" a="1"/>
  <c r="Q102" i="162" s="1"/>
  <c r="P102" i="162"/>
  <c r="O102" i="162"/>
  <c r="Q101" i="162" a="1"/>
  <c r="Q101" i="162" s="1"/>
  <c r="P101" i="162"/>
  <c r="O101" i="162"/>
  <c r="P100" i="162"/>
  <c r="Q100" i="162" s="1" a="1"/>
  <c r="Q100" i="162" s="1"/>
  <c r="O100" i="162"/>
  <c r="P99" i="162"/>
  <c r="Q99" i="162" s="1" a="1"/>
  <c r="Q99" i="162" s="1"/>
  <c r="O99" i="162"/>
  <c r="P98" i="162"/>
  <c r="O98" i="162"/>
  <c r="Q98" i="162" s="1" a="1"/>
  <c r="Q98" i="162" s="1"/>
  <c r="P97" i="162"/>
  <c r="O97" i="162"/>
  <c r="Q97" i="162" s="1" a="1"/>
  <c r="Q97" i="162" s="1"/>
  <c r="P96" i="162"/>
  <c r="O96" i="162"/>
  <c r="Q96" i="162" s="1" a="1"/>
  <c r="Q96" i="162" s="1"/>
  <c r="P95" i="162"/>
  <c r="O95" i="162"/>
  <c r="Q95" i="162" s="1" a="1"/>
  <c r="Q95" i="162" s="1"/>
  <c r="Q94" i="162" a="1"/>
  <c r="Q94" i="162" s="1"/>
  <c r="P94" i="162"/>
  <c r="O94" i="162"/>
  <c r="Q93" i="162" a="1"/>
  <c r="Q93" i="162" s="1"/>
  <c r="P93" i="162"/>
  <c r="O93" i="162"/>
  <c r="P92" i="162"/>
  <c r="Q92" i="162" s="1" a="1"/>
  <c r="Q92" i="162" s="1"/>
  <c r="O92" i="162"/>
  <c r="P91" i="162"/>
  <c r="Q91" i="162" s="1" a="1"/>
  <c r="Q91" i="162" s="1"/>
  <c r="O91" i="162"/>
  <c r="P90" i="162"/>
  <c r="O90" i="162"/>
  <c r="Q90" i="162" s="1" a="1"/>
  <c r="Q90" i="162" s="1"/>
  <c r="P89" i="162"/>
  <c r="O89" i="162"/>
  <c r="Q89" i="162" s="1" a="1"/>
  <c r="Q89" i="162" s="1"/>
  <c r="P88" i="162"/>
  <c r="O88" i="162"/>
  <c r="Q88" i="162" s="1" a="1"/>
  <c r="Q88" i="162" s="1"/>
  <c r="P87" i="162"/>
  <c r="O87" i="162"/>
  <c r="Q87" i="162" s="1" a="1"/>
  <c r="Q87" i="162" s="1"/>
  <c r="Q86" i="162" a="1"/>
  <c r="Q86" i="162" s="1"/>
  <c r="P86" i="162"/>
  <c r="O86" i="162"/>
  <c r="Q85" i="162" a="1"/>
  <c r="Q85" i="162" s="1"/>
  <c r="P85" i="162"/>
  <c r="O85" i="162"/>
  <c r="P84" i="162"/>
  <c r="Q84" i="162" s="1" a="1"/>
  <c r="Q84" i="162" s="1"/>
  <c r="O84" i="162"/>
  <c r="P83" i="162"/>
  <c r="Q83" i="162" s="1" a="1"/>
  <c r="Q83" i="162" s="1"/>
  <c r="O83" i="162"/>
  <c r="P82" i="162"/>
  <c r="O82" i="162"/>
  <c r="Q82" i="162" s="1" a="1"/>
  <c r="Q82" i="162" s="1"/>
  <c r="P81" i="162"/>
  <c r="O81" i="162"/>
  <c r="Q81" i="162" s="1" a="1"/>
  <c r="Q81" i="162" s="1"/>
  <c r="P80" i="162"/>
  <c r="O80" i="162"/>
  <c r="Q80" i="162" s="1" a="1"/>
  <c r="Q80" i="162" s="1"/>
  <c r="P79" i="162"/>
  <c r="O79" i="162"/>
  <c r="Q79" i="162" s="1" a="1"/>
  <c r="Q79" i="162" s="1"/>
  <c r="Q78" i="162" a="1"/>
  <c r="Q78" i="162" s="1"/>
  <c r="P78" i="162"/>
  <c r="O78" i="162"/>
  <c r="Q77" i="162" a="1"/>
  <c r="Q77" i="162" s="1"/>
  <c r="P77" i="162"/>
  <c r="O77" i="162"/>
  <c r="P76" i="162"/>
  <c r="Q76" i="162" s="1" a="1"/>
  <c r="Q76" i="162" s="1"/>
  <c r="O76" i="162"/>
  <c r="P75" i="162"/>
  <c r="O75" i="162"/>
  <c r="Q75" i="162" s="1" a="1"/>
  <c r="Q75" i="162" s="1"/>
  <c r="P74" i="162"/>
  <c r="O74" i="162"/>
  <c r="Q74" i="162" s="1" a="1"/>
  <c r="Q74" i="162" s="1"/>
  <c r="P73" i="162"/>
  <c r="O73" i="162"/>
  <c r="Q73" i="162" s="1" a="1"/>
  <c r="Q73" i="162" s="1"/>
  <c r="P72" i="162"/>
  <c r="O72" i="162"/>
  <c r="Q72" i="162" s="1" a="1"/>
  <c r="Q72" i="162" s="1"/>
  <c r="P71" i="162"/>
  <c r="O71" i="162"/>
  <c r="Q71" i="162" s="1" a="1"/>
  <c r="Q71" i="162" s="1"/>
  <c r="Q70" i="162" a="1"/>
  <c r="Q70" i="162" s="1"/>
  <c r="P70" i="162"/>
  <c r="O70" i="162"/>
  <c r="Q69" i="162" a="1"/>
  <c r="Q69" i="162" s="1"/>
  <c r="P69" i="162"/>
  <c r="O69" i="162"/>
  <c r="P68" i="162"/>
  <c r="O68" i="162"/>
  <c r="Q68" i="162" s="1" a="1"/>
  <c r="Q68" i="162" s="1"/>
  <c r="P67" i="162"/>
  <c r="Q67" i="162" s="1" a="1"/>
  <c r="Q67" i="162" s="1"/>
  <c r="O67" i="162"/>
  <c r="P66" i="162"/>
  <c r="O66" i="162"/>
  <c r="Q66" i="162" s="1" a="1"/>
  <c r="Q66" i="162" s="1"/>
  <c r="P65" i="162"/>
  <c r="O65" i="162"/>
  <c r="Q65" i="162" s="1" a="1"/>
  <c r="Q65" i="162" s="1"/>
  <c r="P64" i="162"/>
  <c r="O64" i="162"/>
  <c r="Q64" i="162" s="1" a="1"/>
  <c r="Q64" i="162" s="1"/>
  <c r="P63" i="162"/>
  <c r="O63" i="162"/>
  <c r="Q63" i="162" s="1" a="1"/>
  <c r="Q63" i="162" s="1"/>
  <c r="Q62" i="162" a="1"/>
  <c r="Q62" i="162" s="1"/>
  <c r="P62" i="162"/>
  <c r="O62" i="162"/>
  <c r="Q61" i="162" a="1"/>
  <c r="Q61" i="162" s="1"/>
  <c r="P61" i="162"/>
  <c r="O61" i="162"/>
  <c r="P60" i="162"/>
  <c r="Q60" i="162" s="1" a="1"/>
  <c r="Q60" i="162" s="1"/>
  <c r="O60" i="162"/>
  <c r="P59" i="162"/>
  <c r="O59" i="162"/>
  <c r="Q59" i="162" s="1" a="1"/>
  <c r="Q59" i="162" s="1"/>
  <c r="P58" i="162"/>
  <c r="O58" i="162"/>
  <c r="Q58" i="162" s="1" a="1"/>
  <c r="Q58" i="162" s="1"/>
  <c r="P57" i="162"/>
  <c r="O57" i="162"/>
  <c r="Q57" i="162" s="1" a="1"/>
  <c r="Q57" i="162" s="1"/>
  <c r="P56" i="162"/>
  <c r="O56" i="162"/>
  <c r="Q56" i="162" s="1" a="1"/>
  <c r="Q56" i="162" s="1"/>
  <c r="P55" i="162"/>
  <c r="O55" i="162"/>
  <c r="Q55" i="162" s="1" a="1"/>
  <c r="Q55" i="162" s="1"/>
  <c r="Q54" i="162" a="1"/>
  <c r="Q54" i="162" s="1"/>
  <c r="P54" i="162"/>
  <c r="O54" i="162"/>
  <c r="Q53" i="162" a="1"/>
  <c r="Q53" i="162" s="1"/>
  <c r="P53" i="162"/>
  <c r="O53" i="162"/>
  <c r="P52" i="162"/>
  <c r="O52" i="162"/>
  <c r="Q52" i="162" s="1" a="1"/>
  <c r="Q52" i="162" s="1"/>
  <c r="B62" i="163" s="1"/>
  <c r="P51" i="162"/>
  <c r="Q51" i="162" s="1" a="1"/>
  <c r="Q51" i="162" s="1"/>
  <c r="B61" i="163" s="1"/>
  <c r="O51" i="162"/>
  <c r="P50" i="162"/>
  <c r="O50" i="162"/>
  <c r="Q50" i="162" s="1" a="1"/>
  <c r="Q50" i="162" s="1"/>
  <c r="B60" i="163" s="1"/>
  <c r="P49" i="162"/>
  <c r="O49" i="162"/>
  <c r="Q49" i="162" s="1" a="1"/>
  <c r="Q49" i="162" s="1"/>
  <c r="B59" i="163" s="1"/>
  <c r="P48" i="162"/>
  <c r="O48" i="162"/>
  <c r="Q48" i="162" s="1" a="1"/>
  <c r="Q48" i="162" s="1"/>
  <c r="B58" i="163" s="1"/>
  <c r="P47" i="162"/>
  <c r="O47" i="162"/>
  <c r="Q47" i="162" s="1" a="1"/>
  <c r="Q47" i="162" s="1"/>
  <c r="B57" i="163" s="1"/>
  <c r="P46" i="162"/>
  <c r="O46" i="162"/>
  <c r="P45" i="162"/>
  <c r="O45" i="162"/>
  <c r="P44" i="162"/>
  <c r="Q44" i="162" s="1" a="1"/>
  <c r="Q44" i="162" s="1"/>
  <c r="B54" i="163" s="1"/>
  <c r="O44" i="162"/>
  <c r="P43" i="162"/>
  <c r="O43" i="162"/>
  <c r="Q43" i="162" s="1" a="1"/>
  <c r="Q43" i="162" s="1"/>
  <c r="B53" i="163" s="1"/>
  <c r="P42" i="162"/>
  <c r="O42" i="162"/>
  <c r="P41" i="162"/>
  <c r="O41" i="162"/>
  <c r="P40" i="162"/>
  <c r="O40" i="162"/>
  <c r="P39" i="162"/>
  <c r="O39" i="162"/>
  <c r="Q39" i="162" s="1" a="1"/>
  <c r="Q39" i="162" s="1"/>
  <c r="B49" i="163" s="1"/>
  <c r="P38" i="162"/>
  <c r="O38" i="162"/>
  <c r="Q37" i="162" a="1"/>
  <c r="Q37" i="162" s="1"/>
  <c r="B47" i="163" s="1"/>
  <c r="P37" i="162"/>
  <c r="O37" i="162"/>
  <c r="P36" i="162"/>
  <c r="O36" i="162"/>
  <c r="P35" i="162"/>
  <c r="O35" i="162"/>
  <c r="P34" i="162"/>
  <c r="O34" i="162"/>
  <c r="Q34" i="162" s="1" a="1"/>
  <c r="Q34" i="162" s="1"/>
  <c r="B44" i="163" s="1"/>
  <c r="P33" i="162"/>
  <c r="O33" i="162"/>
  <c r="Q33" i="162" s="1" a="1"/>
  <c r="Q33" i="162" s="1"/>
  <c r="B43" i="163" s="1"/>
  <c r="P32" i="162"/>
  <c r="O32" i="162"/>
  <c r="Q32" i="162" s="1" a="1"/>
  <c r="Q32" i="162" s="1"/>
  <c r="B42" i="163" s="1"/>
  <c r="P31" i="162"/>
  <c r="O31" i="162"/>
  <c r="P30" i="162"/>
  <c r="O30" i="162"/>
  <c r="P29" i="162"/>
  <c r="O29" i="162"/>
  <c r="P28" i="162"/>
  <c r="Q28" i="162" s="1" a="1"/>
  <c r="Q28" i="162" s="1"/>
  <c r="B38" i="163" s="1"/>
  <c r="O28" i="162"/>
  <c r="P27" i="162"/>
  <c r="O27" i="162"/>
  <c r="Q27" i="162" s="1" a="1"/>
  <c r="Q27" i="162" s="1"/>
  <c r="B37" i="163" s="1"/>
  <c r="P26" i="162"/>
  <c r="O26" i="162"/>
  <c r="P25" i="162"/>
  <c r="O25" i="162"/>
  <c r="P24" i="162"/>
  <c r="O24" i="162"/>
  <c r="Q24" i="162" s="1" a="1"/>
  <c r="Q24" i="162" s="1"/>
  <c r="B34" i="163" s="1"/>
  <c r="P23" i="162"/>
  <c r="O23" i="162"/>
  <c r="Q23" i="162" s="1" a="1"/>
  <c r="Q23" i="162" s="1"/>
  <c r="B33" i="163" s="1"/>
  <c r="P22" i="162"/>
  <c r="O22" i="162"/>
  <c r="P21" i="162"/>
  <c r="O21" i="162"/>
  <c r="P20" i="162"/>
  <c r="O20" i="162"/>
  <c r="P19" i="162"/>
  <c r="O19" i="162"/>
  <c r="Q19" i="162" s="1" a="1"/>
  <c r="Q19" i="162" s="1"/>
  <c r="B29" i="163" s="1"/>
  <c r="P18" i="162"/>
  <c r="O18" i="162"/>
  <c r="Q18" i="162" s="1" a="1"/>
  <c r="Q18" i="162" s="1"/>
  <c r="B28" i="163" s="1"/>
  <c r="P17" i="162"/>
  <c r="O17" i="162"/>
  <c r="Q17" i="162" s="1" a="1"/>
  <c r="Q17" i="162" s="1"/>
  <c r="B27" i="163" s="1"/>
  <c r="L17" i="162"/>
  <c r="K17" i="162"/>
  <c r="J17" i="162"/>
  <c r="C17" i="162"/>
  <c r="I17" i="162" s="1"/>
  <c r="Q46" i="162" s="1" a="1"/>
  <c r="Q46" i="162" s="1"/>
  <c r="B56" i="163" s="1"/>
  <c r="P16" i="162"/>
  <c r="O16" i="162"/>
  <c r="L16" i="162"/>
  <c r="E16" i="162"/>
  <c r="K16" i="162" s="1"/>
  <c r="D16" i="162"/>
  <c r="J16" i="162" s="1"/>
  <c r="C16" i="162"/>
  <c r="I16" i="162" s="1"/>
  <c r="P15" i="162"/>
  <c r="O15" i="162"/>
  <c r="L15" i="162"/>
  <c r="K15" i="162"/>
  <c r="Q38" i="162" s="1" a="1"/>
  <c r="Q38" i="162" s="1"/>
  <c r="B48" i="163" s="1"/>
  <c r="J15" i="162"/>
  <c r="E15" i="162"/>
  <c r="D15" i="162"/>
  <c r="C15" i="162"/>
  <c r="I15" i="162" s="1"/>
  <c r="P14" i="162"/>
  <c r="Q14" i="162" s="1" a="1"/>
  <c r="Q14" i="162" s="1"/>
  <c r="B24" i="163" s="1"/>
  <c r="O14" i="162"/>
  <c r="L14" i="162"/>
  <c r="K14" i="162"/>
  <c r="J14" i="162"/>
  <c r="C14" i="162"/>
  <c r="I14" i="162" s="1"/>
  <c r="P13" i="162"/>
  <c r="O13" i="162"/>
  <c r="Q13" i="162" s="1" a="1"/>
  <c r="Q13" i="162" s="1"/>
  <c r="B23" i="163" s="1"/>
  <c r="L13" i="162"/>
  <c r="Q29" i="162" s="1" a="1"/>
  <c r="Q29" i="162" s="1"/>
  <c r="B39" i="163" s="1"/>
  <c r="K13" i="162"/>
  <c r="J13" i="162"/>
  <c r="C13" i="162"/>
  <c r="I13" i="162" s="1"/>
  <c r="P12" i="162"/>
  <c r="O12" i="162"/>
  <c r="L12" i="162"/>
  <c r="E12" i="162"/>
  <c r="K12" i="162" s="1"/>
  <c r="D12" i="162"/>
  <c r="J12" i="162" s="1"/>
  <c r="C12" i="162"/>
  <c r="I12" i="162" s="1"/>
  <c r="P11" i="162"/>
  <c r="O11" i="162"/>
  <c r="L11" i="162"/>
  <c r="K11" i="162"/>
  <c r="J11" i="162"/>
  <c r="E11" i="162"/>
  <c r="D11" i="162"/>
  <c r="C11" i="162"/>
  <c r="I11" i="162" s="1"/>
  <c r="P10" i="162"/>
  <c r="O10" i="162"/>
  <c r="L10" i="162"/>
  <c r="E10" i="162"/>
  <c r="K10" i="162" s="1"/>
  <c r="D10" i="162"/>
  <c r="J10" i="162" s="1"/>
  <c r="C10" i="162"/>
  <c r="I10" i="162" s="1"/>
  <c r="B10" i="162"/>
  <c r="B17" i="162" s="1"/>
  <c r="H17" i="162" s="1"/>
  <c r="Q45" i="162" s="1" a="1"/>
  <c r="Q45" i="162" s="1"/>
  <c r="B55" i="163"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Q11" i="162" l="1" a="1"/>
  <c r="Q11" i="162" s="1"/>
  <c r="B21" i="163" s="1"/>
  <c r="B12" i="162"/>
  <c r="H12" i="162" s="1"/>
  <c r="L90" i="164"/>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37" i="167" a="1"/>
  <c r="Q37" i="167" s="1"/>
  <c r="B47" i="168" s="1"/>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2" i="167" a="1"/>
  <c r="Q22" i="167" s="1"/>
  <c r="B32" i="168" s="1"/>
  <c r="Q26" i="167" a="1"/>
  <c r="Q26" i="167" s="1"/>
  <c r="B36" i="168" s="1"/>
  <c r="C84" i="166"/>
  <c r="C15" i="166"/>
  <c r="Q42" i="167" a="1"/>
  <c r="Q42" i="167" s="1"/>
  <c r="B52" i="168" s="1"/>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Q21" i="162" a="1"/>
  <c r="Q21" i="162" s="1"/>
  <c r="B31" i="163" s="1"/>
  <c r="Q31" i="162" a="1"/>
  <c r="Q31" i="162" s="1"/>
  <c r="B41" i="163" s="1"/>
  <c r="Q36" i="162" a="1"/>
  <c r="Q36" i="162" s="1"/>
  <c r="B46" i="163" s="1"/>
  <c r="Q16" i="162" a="1"/>
  <c r="Q16" i="162" s="1"/>
  <c r="B26" i="163" s="1"/>
  <c r="Q26" i="162" a="1"/>
  <c r="Q26" i="162" s="1"/>
  <c r="B36" i="163" s="1"/>
  <c r="L8" i="159"/>
  <c r="C36" i="161" s="1"/>
  <c r="B14" i="162"/>
  <c r="H14" i="162" s="1"/>
  <c r="Q30" i="162" s="1" a="1"/>
  <c r="Q30" i="162" s="1"/>
  <c r="B40" i="163" s="1"/>
  <c r="B16" i="162"/>
  <c r="H16" i="162" s="1"/>
  <c r="Q40" i="162" s="1" a="1"/>
  <c r="Q40" i="162" s="1"/>
  <c r="B50" i="163" s="1"/>
  <c r="H10" i="162"/>
  <c r="Q10" i="162" s="1" a="1"/>
  <c r="Q10" i="162" s="1"/>
  <c r="B20" i="163" s="1"/>
  <c r="Q20" i="162" a="1"/>
  <c r="Q20" i="162" s="1"/>
  <c r="B30" i="163" s="1"/>
  <c r="Q41" i="162" a="1"/>
  <c r="Q41" i="162" s="1"/>
  <c r="B51" i="163" s="1"/>
  <c r="Q22" i="162" a="1"/>
  <c r="Q22" i="162" s="1"/>
  <c r="B32" i="163" s="1"/>
  <c r="Q12" i="162" a="1"/>
  <c r="Q12" i="162" s="1"/>
  <c r="B22" i="163" s="1"/>
  <c r="Q42" i="162" a="1"/>
  <c r="Q42" i="162" s="1"/>
  <c r="B52" i="163" s="1"/>
  <c r="B11" i="162"/>
  <c r="H11" i="162" s="1"/>
  <c r="Q15" i="162" s="1" a="1"/>
  <c r="Q15" i="162" s="1"/>
  <c r="B25" i="163" s="1"/>
  <c r="B15" i="162"/>
  <c r="H15" i="162" s="1"/>
  <c r="Q35" i="162" s="1" a="1"/>
  <c r="Q35" i="162" s="1"/>
  <c r="B45" i="163" s="1"/>
  <c r="Q139" i="162" a="1"/>
  <c r="Q139" i="162" s="1"/>
  <c r="Q142" i="162" a="1"/>
  <c r="Q142" i="162" s="1"/>
  <c r="Q155" i="162" a="1"/>
  <c r="Q155" i="162" s="1"/>
  <c r="Q158" i="162" a="1"/>
  <c r="Q158" i="162" s="1"/>
  <c r="Q171" i="162" a="1"/>
  <c r="Q171" i="162" s="1"/>
  <c r="Q174" i="162" a="1"/>
  <c r="Q174" i="162" s="1"/>
  <c r="B13" i="162"/>
  <c r="H13" i="162" s="1"/>
  <c r="Q25" i="162" s="1" a="1"/>
  <c r="Q25" i="162" s="1"/>
  <c r="B35" i="163" s="1"/>
  <c r="Q156" i="162" a="1"/>
  <c r="Q156" i="162" s="1"/>
  <c r="Q169" i="162" a="1"/>
  <c r="Q169" i="162" s="1"/>
  <c r="Q172" i="162" a="1"/>
  <c r="Q172" i="162" s="1"/>
  <c r="Q147" i="162" a="1"/>
  <c r="Q147" i="162" s="1"/>
  <c r="Q150" i="162" a="1"/>
  <c r="Q150" i="162" s="1"/>
  <c r="Q163" i="162" a="1"/>
  <c r="Q163" i="162" s="1"/>
  <c r="Q166" i="162" a="1"/>
  <c r="Q166" i="162" s="1"/>
  <c r="Q182" i="162" a="1"/>
  <c r="Q182" i="162"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16" i="166" l="1"/>
  <c r="C360" i="166"/>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<sst xmlns="http://schemas.openxmlformats.org/spreadsheetml/2006/main" count="7054" uniqueCount="2545">
  <si>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</si>
  <si>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</si>
  <si>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</si>
  <si>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</si>
  <si>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</si>
  <si>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</si>
  <si>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</si>
  <si>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</si>
  <si>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</si>
  <si>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</si>
  <si>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</si>
  <si>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</si>
  <si>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</si>
  <si>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</si>
  <si>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</si>
  <si>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</si>
  <si>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</si>
  <si>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</si>
  <si>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</si>
  <si>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</si>
  <si>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</si>
  <si>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</si>
  <si>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</si>
  <si>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</si>
  <si>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</si>
  <si>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</si>
  <si>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</si>
  <si>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</si>
  <si>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</si>
  <si>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</si>
  <si>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</si>
  <si>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</si>
  <si>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</si>
  <si>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</si>
  <si>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</si>
  <si>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</si>
  <si>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</si>
  <si>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</si>
  <si>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</si>
  <si>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</si>
  <si>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</si>
  <si>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</si>
  <si>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</si>
  <si>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</si>
  <si>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</si>
  <si>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</si>
  <si>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</si>
  <si>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</si>
  <si>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</si>
  <si>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</si>
  <si>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</si>
  <si>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</si>
  <si>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</si>
  <si>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</si>
  <si>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</si>
  <si>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</si>
  <si>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</si>
  <si>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</si>
  <si>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</si>
  <si>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</si>
  <si>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</si>
  <si>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</si>
  <si>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</si>
  <si>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</si>
  <si>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</si>
  <si>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</si>
  <si>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</si>
  <si>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</si>
  <si>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</si>
  <si>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</si>
  <si>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</si>
  <si>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</si>
  <si>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</si>
  <si>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</si>
  <si>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</si>
  <si>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</si>
  <si>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</si>
  <si>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</si>
  <si>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</si>
  <si>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</si>
  <si>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</si>
  <si>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</si>
  <si>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</si>
  <si>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</si>
  <si>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</si>
  <si>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</si>
  <si>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</si>
  <si>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</si>
  <si>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</si>
  <si>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</si>
  <si>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</si>
  <si>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</si>
  <si>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</si>
  <si>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</si>
  <si>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</si>
  <si>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</si>
  <si>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</si>
  <si>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</si>
  <si>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</si>
  <si>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</si>
  <si>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</si>
  <si>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</si>
  <si>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</si>
  <si>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</si>
  <si>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</si>
  <si>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</si>
  <si>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</si>
  <si>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</si>
  <si>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</si>
  <si>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</si>
  <si>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</si>
  <si>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</si>
  <si>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</si>
  <si>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</si>
  <si>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</si>
  <si>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</si>
  <si>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</si>
  <si>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</si>
  <si>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</si>
  <si>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</si>
  <si>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</si>
  <si>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</si>
  <si>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</si>
  <si>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</si>
  <si>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</si>
  <si>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</si>
  <si>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</si>
  <si>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</si>
  <si>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</si>
  <si>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</si>
  <si>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</si>
  <si>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</si>
  <si>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</si>
  <si>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</si>
  <si>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</si>
  <si>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</si>
  <si>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</si>
  <si>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</si>
  <si>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</si>
  <si>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</si>
  <si>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</si>
  <si>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</si>
  <si>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</si>
  <si>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</si>
  <si>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</si>
  <si>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</si>
  <si>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</si>
  <si>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</si>
  <si>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</si>
  <si>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</si>
  <si>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</si>
  <si>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</si>
  <si>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</si>
  <si>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</si>
  <si>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</si>
  <si>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</si>
  <si>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</si>
  <si>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</si>
  <si>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</si>
  <si>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</si>
  <si>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</si>
  <si>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</si>
  <si>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</si>
  <si>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</si>
  <si>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</si>
  <si>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</si>
  <si>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</si>
  <si>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</si>
  <si>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</si>
  <si>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</si>
  <si>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</si>
  <si>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</si>
  <si>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</si>
  <si>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</si>
  <si>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</si>
  <si>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</si>
  <si>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</si>
  <si>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</si>
  <si>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</si>
  <si>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</si>
  <si>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</si>
  <si>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</si>
  <si>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</si>
  <si>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</si>
  <si>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</si>
  <si>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</si>
  <si>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</si>
  <si>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</si>
  <si>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</si>
  <si>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</si>
  <si>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</si>
  <si>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</si>
  <si>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</si>
  <si>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</si>
  <si>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</si>
  <si>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</si>
  <si>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</si>
  <si>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</si>
  <si>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</si>
  <si>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</si>
  <si>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</si>
  <si>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</si>
  <si>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</si>
  <si>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</si>
  <si>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</si>
  <si>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</si>
  <si>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</si>
  <si>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</si>
  <si>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</si>
  <si>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</si>
  <si>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</si>
  <si>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</si>
  <si>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</si>
  <si>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</si>
  <si>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</si>
  <si>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</si>
  <si>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</si>
  <si>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</si>
  <si>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</si>
  <si>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</si>
  <si>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</si>
  <si>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</si>
  <si>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</si>
  <si>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</si>
  <si>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</si>
  <si>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</si>
  <si>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</si>
  <si>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</si>
  <si>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</si>
  <si>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</si>
  <si>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</si>
  <si>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</si>
  <si>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</si>
  <si>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</si>
  <si>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</si>
  <si>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</si>
  <si>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</si>
  <si>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</si>
  <si>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</si>
  <si>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</si>
  <si>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</si>
  <si>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</si>
  <si>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</si>
  <si>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</si>
  <si>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</si>
  <si>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</si>
  <si>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</si>
  <si>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</si>
  <si>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</si>
  <si>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</si>
  <si>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</si>
  <si>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</si>
  <si>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</si>
  <si>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</si>
  <si>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</si>
  <si>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</si>
  <si>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</si>
  <si>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</si>
  <si>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</si>
  <si>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</si>
  <si>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</si>
  <si>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</si>
  <si>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</si>
  <si>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</si>
  <si>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</si>
  <si>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</si>
  <si>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</si>
  <si>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</si>
  <si>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</si>
  <si>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</si>
  <si>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</si>
  <si>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</si>
  <si>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</si>
  <si>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</si>
  <si>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</si>
  <si>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</si>
  <si>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</si>
  <si>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</si>
  <si>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</si>
  <si>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</si>
  <si>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</si>
  <si>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</si>
  <si>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</si>
  <si>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</si>
  <si>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</si>
  <si>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</si>
  <si>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</si>
  <si>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</si>
  <si>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</si>
  <si>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</si>
  <si>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</si>
  <si>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</si>
  <si>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</si>
  <si>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</si>
  <si>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</si>
  <si>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</si>
  <si>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</si>
  <si>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</si>
  <si>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</si>
  <si>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</si>
  <si>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</si>
  <si>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</si>
  <si>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</si>
  <si>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</si>
  <si>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</si>
  <si>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</si>
  <si>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</si>
  <si>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</si>
  <si>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</si>
  <si>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</si>
  <si>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</si>
  <si>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</si>
  <si>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</si>
  <si>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</si>
  <si>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</si>
  <si>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</si>
  <si>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</si>
  <si>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</si>
  <si>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</si>
  <si>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</si>
  <si>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</si>
  <si>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</si>
  <si>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</si>
  <si>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</si>
  <si>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</si>
  <si>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</si>
  <si>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</si>
  <si>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</si>
  <si>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</si>
  <si>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</si>
  <si>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</si>
  <si>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</si>
  <si>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</si>
  <si>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</si>
  <si>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</si>
  <si>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</si>
  <si>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</si>
  <si>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</si>
  <si>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</si>
  <si>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</si>
  <si>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</si>
  <si>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</si>
  <si>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</si>
  <si>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</si>
  <si>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</si>
  <si>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</si>
  <si>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</si>
  <si>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</si>
  <si>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</si>
  <si>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</si>
  <si>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</si>
  <si>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</si>
  <si>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</si>
  <si>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</si>
  <si>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</si>
  <si>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</si>
  <si>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</si>
  <si>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</si>
  <si>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</si>
  <si>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</si>
  <si>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</si>
  <si>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</si>
  <si>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</si>
  <si>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</si>
  <si>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</si>
  <si>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</si>
  <si>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</si>
  <si>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</si>
  <si>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</si>
  <si>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</si>
  <si>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</si>
  <si>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</si>
  <si>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</si>
  <si>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</si>
  <si>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</si>
  <si>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</si>
  <si>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</si>
  <si>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</si>
  <si>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</si>
  <si>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</si>
  <si>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</si>
  <si>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</si>
  <si>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</si>
  <si>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</si>
  <si>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</si>
  <si>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</si>
  <si>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</si>
  <si>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</si>
  <si>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</si>
  <si>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</si>
  <si>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</si>
  <si>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</si>
  <si>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</si>
  <si>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</si>
  <si>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</si>
  <si>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</si>
  <si>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</si>
  <si>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</si>
  <si>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</si>
  <si>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</si>
  <si>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</si>
  <si>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</si>
  <si>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</si>
  <si>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</si>
  <si>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</si>
  <si>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</si>
  <si>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</si>
  <si>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</si>
  <si>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</si>
  <si>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</si>
  <si>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</si>
  <si>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</si>
  <si>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</si>
  <si>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</si>
  <si>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</si>
  <si>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</si>
  <si>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</si>
  <si>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</si>
  <si>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</si>
  <si>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</si>
  <si>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</si>
  <si>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</si>
  <si>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</si>
  <si>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</si>
  <si>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</si>
  <si>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</si>
  <si>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</si>
  <si>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</si>
  <si>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</si>
  <si>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</si>
  <si>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</si>
  <si>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</si>
  <si>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</si>
  <si>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</si>
  <si>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</si>
  <si>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</si>
  <si>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</si>
  <si>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</si>
  <si>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</si>
  <si>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</si>
  <si>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</si>
  <si>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</si>
  <si>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</si>
  <si>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</si>
  <si>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</si>
  <si>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</si>
  <si>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</si>
  <si>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</si>
  <si>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</si>
  <si>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</si>
  <si>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</si>
  <si>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</si>
  <si>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</si>
  <si>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</si>
  <si>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</si>
  <si>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</si>
  <si>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</si>
  <si>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</si>
  <si>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</si>
  <si>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</si>
  <si>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</si>
  <si>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</si>
  <si>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</si>
  <si>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</si>
  <si>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</si>
  <si>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</si>
  <si>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</si>
  <si>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</si>
  <si>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</si>
  <si>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</si>
  <si>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</si>
  <si>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</si>
  <si>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</si>
  <si>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</si>
  <si>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</si>
  <si>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</si>
  <si>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</si>
  <si>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</si>
  <si>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</si>
  <si>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</si>
  <si>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</si>
  <si>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</si>
  <si>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</si>
  <si>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</si>
  <si>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</si>
  <si>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</si>
  <si>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</si>
  <si>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</si>
  <si>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</si>
  <si>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</si>
  <si>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</si>
  <si>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</si>
  <si>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</si>
  <si>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</si>
  <si>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</si>
  <si>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</si>
  <si>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</si>
  <si>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</si>
  <si>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</si>
  <si>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</si>
  <si>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</si>
  <si>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</si>
  <si>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</si>
  <si>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</si>
  <si>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</si>
  <si>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</si>
  <si>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</si>
  <si>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</si>
  <si>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</si>
  <si>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</si>
  <si>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</si>
  <si>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</si>
  <si>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</si>
  <si>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</si>
  <si>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</si>
  <si>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</si>
  <si>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</si>
  <si>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</si>
  <si>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</si>
  <si>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</si>
  <si>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</si>
  <si>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</si>
  <si>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</si>
  <si>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</si>
  <si>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</si>
  <si>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</si>
  <si>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</si>
  <si>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</si>
  <si>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</si>
  <si>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</si>
  <si>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</si>
  <si>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</si>
  <si>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</si>
  <si>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</si>
  <si>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</si>
  <si>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</si>
  <si>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</si>
  <si>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</si>
  <si>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</si>
  <si>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</si>
  <si>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</si>
  <si>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</si>
  <si>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</si>
  <si>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</si>
  <si>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</si>
  <si>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</si>
  <si>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</si>
  <si>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</si>
  <si>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</si>
  <si>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</si>
  <si>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</si>
  <si>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</si>
  <si>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</si>
  <si>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</si>
  <si>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</si>
  <si>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</si>
  <si>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</si>
  <si>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</si>
  <si>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</si>
  <si>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</si>
  <si>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</si>
  <si>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</si>
  <si>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</si>
  <si>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</si>
  <si>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</si>
  <si>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</si>
  <si>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</si>
  <si>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</si>
  <si>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</si>
  <si>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</si>
  <si>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</si>
  <si>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</si>
  <si>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</si>
  <si>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</si>
  <si>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</si>
  <si>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</si>
  <si>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</si>
  <si>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</si>
  <si>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</si>
  <si>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</si>
  <si>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</si>
  <si>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</si>
  <si>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</si>
  <si>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</si>
  <si>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</si>
  <si>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</si>
  <si>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</si>
  <si>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</si>
  <si>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</si>
  <si>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</si>
  <si>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</si>
  <si>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</si>
  <si>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</si>
  <si>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</si>
  <si>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</si>
  <si>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</si>
  <si>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</si>
  <si>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</si>
  <si>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</si>
  <si>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</si>
  <si>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</si>
  <si>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</si>
  <si>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</si>
  <si>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</si>
  <si>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</si>
  <si>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</si>
  <si>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</si>
  <si>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</si>
  <si>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</si>
  <si>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</si>
  <si>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</si>
  <si>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</si>
  <si>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</si>
  <si>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</si>
  <si>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</si>
  <si>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</si>
  <si>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</si>
  <si>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</si>
  <si>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</si>
  <si>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</si>
  <si>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</si>
  <si>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</si>
  <si>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</si>
  <si>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</si>
  <si>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</si>
  <si>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</si>
  <si>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</si>
  <si>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</si>
  <si>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</si>
  <si>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</si>
  <si>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</si>
  <si>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</si>
  <si>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</si>
  <si>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</si>
  <si>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</si>
  <si>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</si>
  <si>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</si>
  <si>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</si>
  <si>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</si>
  <si>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</si>
  <si>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</si>
  <si>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</si>
  <si>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</si>
  <si>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</si>
  <si>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</si>
  <si>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</si>
  <si>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</si>
  <si>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</si>
  <si>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</si>
  <si>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</si>
  <si>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</si>
  <si>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</si>
  <si>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</si>
  <si>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</si>
  <si>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</si>
  <si>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</si>
  <si>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</si>
  <si>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</si>
  <si>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</si>
  <si>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</si>
  <si>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</si>
  <si>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</si>
  <si>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</si>
  <si>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</si>
  <si>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</si>
  <si>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</si>
  <si>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</si>
  <si>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</si>
  <si>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</si>
  <si>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</si>
  <si>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</si>
  <si>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</si>
  <si>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</si>
  <si>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</si>
  <si>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</si>
  <si>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</si>
  <si>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</si>
  <si>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</si>
  <si>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</si>
  <si>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</si>
  <si>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</si>
  <si>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</si>
  <si>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</si>
  <si>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</si>
  <si>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</si>
  <si>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</si>
  <si>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</si>
  <si>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</si>
  <si>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</si>
  <si>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</si>
  <si>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</si>
  <si>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</si>
  <si>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</si>
  <si>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</si>
  <si>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</si>
  <si>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</si>
  <si>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</si>
  <si>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</si>
  <si>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</si>
  <si>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</si>
  <si>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</si>
  <si>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</si>
  <si>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</si>
  <si>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</si>
  <si>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</si>
  <si>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</si>
  <si>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</si>
  <si>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</si>
  <si>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</si>
  <si>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</si>
  <si>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</si>
  <si>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</si>
  <si>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</si>
  <si>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</si>
  <si>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</si>
  <si>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</si>
  <si>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</si>
  <si>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</si>
  <si>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</si>
  <si>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</si>
  <si>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</si>
  <si>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</si>
  <si>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</si>
  <si>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</si>
  <si>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</si>
  <si>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</si>
  <si>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</si>
  <si>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</si>
  <si>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</si>
  <si>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</si>
  <si>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</si>
  <si>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</si>
  <si>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</si>
  <si>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</si>
  <si>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</si>
  <si>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</si>
  <si>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</si>
  <si>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</si>
  <si>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</si>
  <si>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</si>
  <si>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</si>
  <si>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</si>
  <si>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</si>
  <si>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</si>
  <si>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</si>
  <si>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</si>
  <si>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</si>
  <si>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</si>
  <si>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</si>
  <si>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</si>
  <si>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</si>
  <si>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</si>
  <si>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</si>
  <si>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</si>
  <si>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</si>
  <si>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</si>
  <si>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</si>
  <si>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</si>
  <si>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</si>
  <si>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</si>
  <si>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</si>
  <si>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</si>
  <si>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</si>
  <si>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</si>
  <si>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</si>
  <si>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</si>
  <si>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</si>
  <si>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</si>
  <si>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</si>
  <si>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</si>
  <si>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</si>
  <si>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</si>
  <si>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</si>
  <si>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</si>
  <si>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</si>
  <si>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</si>
  <si>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</si>
  <si>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</si>
  <si>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</si>
  <si>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</si>
  <si>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</si>
  <si>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</si>
  <si>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</si>
  <si>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</si>
  <si>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</si>
  <si>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</si>
  <si>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</si>
  <si>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</si>
  <si>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</si>
  <si>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</si>
  <si>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</si>
  <si>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</si>
  <si>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</si>
  <si>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</si>
  <si>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</si>
  <si>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</si>
  <si>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</si>
  <si>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</si>
  <si>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</si>
  <si>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</si>
  <si>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</si>
  <si>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</si>
  <si>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</si>
  <si>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</si>
  <si>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</si>
  <si>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</si>
  <si>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</si>
  <si>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</si>
  <si>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</si>
  <si>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</si>
  <si>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</si>
  <si>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</si>
  <si>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</si>
  <si>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</si>
  <si>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</si>
  <si>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</si>
  <si>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</si>
  <si>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</si>
  <si>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</si>
  <si>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</si>
  <si>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</si>
  <si>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</si>
  <si>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</si>
  <si>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</si>
  <si>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</si>
  <si>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</si>
  <si>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</si>
  <si>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</si>
  <si>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</si>
  <si>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</si>
  <si>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</si>
  <si>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</si>
  <si>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</si>
  <si>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</si>
  <si>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</si>
  <si>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</si>
  <si>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</si>
  <si>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</si>
  <si>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</si>
  <si>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</si>
  <si>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</si>
  <si>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</si>
  <si>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</si>
  <si>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</si>
  <si>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</si>
  <si>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</si>
  <si>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</si>
  <si>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</si>
  <si>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</si>
  <si>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</si>
  <si>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</si>
  <si>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</si>
  <si>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</si>
  <si>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</si>
  <si>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</si>
  <si>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</si>
  <si>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</si>
  <si>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</si>
  <si>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</si>
  <si>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</si>
  <si>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</si>
  <si>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</si>
  <si>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</si>
  <si>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</si>
  <si>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</si>
  <si>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</si>
  <si>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</si>
  <si>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</si>
  <si>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</si>
  <si>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</si>
  <si>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</si>
  <si>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</si>
  <si>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</si>
  <si>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</si>
  <si>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</si>
  <si>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</si>
  <si>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</si>
  <si>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</si>
  <si>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</si>
  <si>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</si>
  <si>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</si>
  <si>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</si>
  <si>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</si>
  <si>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</si>
  <si>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</si>
  <si>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</si>
  <si>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</si>
  <si>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</si>
  <si>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</si>
  <si>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</si>
  <si>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</si>
  <si>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</si>
  <si>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</si>
  <si>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</si>
  <si>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</si>
  <si>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</si>
  <si>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</si>
  <si>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</si>
  <si>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</si>
  <si>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</si>
  <si>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</si>
  <si>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</si>
  <si>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</si>
  <si>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</si>
  <si>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</si>
  <si>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</si>
  <si>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</si>
  <si>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</si>
  <si>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</si>
  <si>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</si>
  <si>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</si>
  <si>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</si>
  <si>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</si>
  <si>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</si>
  <si>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</si>
  <si>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</si>
  <si>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</si>
  <si>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</si>
  <si>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</si>
  <si>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</si>
  <si>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</si>
  <si>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</si>
  <si>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</si>
  <si>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</si>
  <si>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</si>
  <si>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</si>
  <si>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</si>
  <si>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</si>
  <si>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</si>
  <si>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</si>
  <si>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</si>
  <si>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</si>
  <si>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</si>
  <si>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</si>
  <si>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</si>
  <si>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</si>
  <si>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</si>
  <si>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</si>
  <si>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</si>
  <si>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</si>
  <si>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</si>
  <si>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</si>
  <si>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</si>
  <si>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</si>
  <si>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</si>
  <si>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</si>
  <si>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</si>
  <si>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</si>
  <si>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</si>
  <si>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</si>
  <si>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</si>
  <si>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</si>
  <si>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</si>
  <si>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</si>
  <si>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</si>
  <si>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</si>
  <si>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</si>
  <si>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</si>
  <si>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</si>
  <si>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</si>
  <si>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</si>
  <si>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</si>
  <si>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</si>
  <si>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</si>
  <si>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</si>
  <si>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</si>
  <si>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</si>
  <si>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</si>
  <si>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</si>
  <si>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</si>
  <si>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</si>
  <si>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</si>
  <si>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</si>
  <si>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</si>
  <si>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</si>
  <si>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</si>
  <si>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</si>
  <si>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</si>
  <si>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</si>
  <si>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</si>
  <si>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</si>
  <si>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</si>
  <si>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</si>
  <si>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</si>
  <si>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</si>
  <si>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</si>
  <si>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</si>
  <si>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</si>
  <si>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</si>
  <si>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</si>
  <si>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</si>
  <si>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</si>
  <si>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</si>
  <si>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</si>
  <si>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</si>
  <si>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</si>
  <si>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</si>
  <si>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</si>
  <si>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</si>
  <si>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</si>
  <si>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</si>
  <si>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</si>
  <si>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</si>
  <si>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</si>
  <si>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</si>
  <si>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</si>
  <si>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</si>
  <si>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</si>
  <si>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</si>
  <si>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</si>
  <si>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</si>
  <si>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</si>
  <si>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</si>
  <si>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</si>
  <si>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</si>
  <si>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</si>
  <si>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</si>
  <si>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</si>
  <si>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</si>
  <si>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</si>
  <si>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</si>
  <si>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</si>
  <si>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</si>
  <si>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</si>
  <si>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</si>
  <si>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</si>
  <si>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</si>
  <si>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</si>
  <si>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</si>
  <si>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</si>
  <si>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</si>
  <si>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</si>
  <si>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</si>
  <si>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</si>
  <si>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</si>
  <si>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</si>
  <si>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</si>
  <si>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</si>
  <si>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</si>
  <si>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</si>
  <si>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</si>
  <si>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</si>
  <si>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</si>
  <si>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</si>
  <si>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</si>
  <si>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</si>
  <si>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</si>
  <si>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</si>
  <si>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</si>
  <si>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</si>
  <si>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</si>
  <si>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</si>
  <si>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</si>
  <si>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</si>
  <si>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</si>
  <si>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</si>
  <si>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</si>
  <si>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</si>
  <si>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</si>
  <si>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</si>
  <si>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</si>
  <si>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</si>
  <si>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</si>
  <si>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</si>
  <si>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</si>
  <si>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</si>
  <si>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</si>
  <si>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</si>
  <si>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</si>
  <si>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</si>
  <si>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</si>
  <si>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</si>
  <si>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</si>
  <si>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</si>
  <si>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</si>
  <si>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</si>
  <si>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</si>
  <si>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</si>
  <si>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</si>
  <si>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</si>
  <si>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</si>
  <si>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</si>
  <si>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</si>
  <si>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</si>
  <si>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</si>
  <si>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</si>
  <si>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</si>
  <si>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</si>
  <si>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</si>
  <si>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</si>
  <si>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</si>
  <si>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</si>
  <si>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</si>
  <si>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</si>
  <si>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</si>
  <si>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</si>
  <si>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</si>
  <si>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</si>
  <si>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</si>
  <si>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</si>
  <si>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</si>
  <si>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</si>
  <si>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</si>
  <si>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</si>
  <si>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</si>
  <si>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</si>
  <si>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</si>
  <si>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</si>
  <si>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</si>
  <si>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</si>
  <si>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</si>
  <si>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</si>
  <si>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</si>
  <si>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</si>
  <si>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</si>
  <si>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</si>
  <si>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</si>
  <si>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</si>
  <si>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</si>
  <si>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</si>
  <si>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</si>
  <si>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</si>
  <si>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</si>
  <si>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</si>
  <si>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</si>
  <si>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</si>
  <si>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</si>
  <si>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</si>
  <si>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</si>
  <si>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</si>
  <si>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</si>
  <si>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</si>
  <si>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</si>
  <si>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</si>
  <si>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</si>
  <si>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</si>
  <si>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</si>
  <si>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</si>
  <si>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</si>
  <si>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</si>
  <si>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</si>
  <si>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</si>
  <si>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</si>
  <si>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</si>
  <si>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</si>
  <si>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</si>
  <si>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</si>
  <si>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</si>
  <si>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</si>
  <si>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</si>
  <si>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</si>
  <si>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</si>
  <si>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</si>
  <si>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</si>
  <si>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</si>
  <si>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</si>
  <si>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</si>
  <si>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</si>
  <si>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</si>
  <si>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</si>
  <si>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</si>
  <si>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</si>
  <si>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</si>
  <si>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</si>
  <si>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</si>
  <si>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</si>
  <si>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</si>
  <si>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</si>
  <si>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</si>
  <si>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</si>
  <si>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</si>
  <si>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</si>
  <si>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</si>
  <si>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</si>
  <si>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</si>
  <si>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</si>
  <si>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</si>
  <si>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</si>
  <si>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</si>
  <si>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</si>
  <si>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</si>
  <si>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</si>
  <si>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</si>
  <si>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</si>
  <si>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</si>
  <si>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</si>
  <si>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</si>
  <si>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</si>
  <si>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</si>
  <si>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</si>
  <si>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</si>
  <si>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</si>
  <si>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</si>
  <si>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</si>
  <si>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</si>
  <si>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</si>
  <si>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</si>
  <si>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</si>
  <si>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</si>
  <si>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</si>
  <si>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</si>
  <si>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</si>
  <si>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</si>
  <si>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</si>
  <si>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</si>
  <si>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</si>
  <si>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</si>
  <si>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</si>
  <si>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</si>
  <si>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</si>
  <si>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</si>
  <si>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</si>
  <si>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</si>
  <si>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</si>
  <si>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</si>
  <si>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</si>
  <si>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</si>
  <si>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</si>
  <si>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</si>
  <si>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</si>
  <si>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</si>
  <si>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</si>
  <si>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</si>
  <si>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</si>
  <si>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</si>
  <si>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</si>
  <si>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</si>
  <si>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</si>
  <si>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</si>
  <si>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</si>
  <si>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</si>
  <si>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</si>
  <si>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</si>
  <si>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</si>
  <si>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</si>
  <si>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</si>
  <si>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</si>
  <si>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</si>
  <si>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</si>
  <si>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</si>
  <si>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</si>
  <si>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</si>
  <si>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</si>
  <si>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</si>
  <si>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</si>
  <si>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</si>
  <si>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</si>
  <si>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</si>
  <si>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</si>
  <si>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</si>
  <si>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</si>
  <si>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</si>
  <si>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</si>
  <si>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</si>
  <si>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</si>
  <si>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</si>
  <si>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</si>
  <si>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</si>
  <si>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</si>
  <si>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</si>
  <si>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</si>
  <si>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</si>
  <si>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</si>
  <si>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</si>
  <si>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</si>
  <si>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</si>
  <si>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</si>
  <si>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</si>
  <si>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</si>
  <si>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</si>
  <si>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</si>
  <si>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</si>
  <si>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</si>
  <si>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</si>
  <si>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</si>
  <si>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</si>
  <si>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</si>
  <si>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</si>
  <si>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</si>
  <si>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</si>
  <si>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</si>
  <si>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</si>
  <si>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</si>
  <si>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</si>
  <si>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</si>
  <si>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</si>
  <si>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</si>
  <si>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</si>
  <si>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</si>
  <si>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</si>
  <si>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</si>
  <si>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</si>
  <si>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</si>
  <si>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</si>
  <si>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</si>
  <si>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</si>
  <si>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</si>
  <si>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</si>
  <si>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</si>
  <si>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</si>
  <si>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</si>
  <si>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</si>
  <si>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</si>
  <si>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</si>
  <si>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</si>
  <si>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</si>
  <si>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</si>
  <si>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</si>
  <si>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</si>
  <si>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</si>
  <si>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</si>
  <si>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</si>
  <si>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</si>
  <si>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</si>
  <si>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</si>
  <si>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</si>
  <si>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</si>
  <si>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</si>
  <si>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</si>
  <si>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</si>
  <si>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</si>
  <si>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</si>
  <si>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</si>
  <si>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</si>
  <si>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</si>
  <si>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</si>
  <si>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</si>
  <si>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</si>
  <si>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</si>
  <si>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</si>
  <si>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</si>
  <si>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</si>
  <si>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</si>
  <si>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</si>
  <si>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</si>
  <si>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</si>
  <si>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</si>
  <si>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</si>
  <si>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</si>
  <si>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</si>
  <si>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</si>
  <si>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</si>
  <si>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</si>
  <si>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</si>
  <si>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</si>
  <si>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</si>
  <si>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</si>
  <si>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</si>
  <si>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</si>
  <si>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</si>
  <si>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</si>
  <si>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</si>
  <si>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</si>
  <si>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</si>
  <si>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</si>
  <si>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</si>
  <si>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</si>
  <si>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</si>
  <si>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</si>
  <si>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</si>
  <si>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</si>
  <si>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</si>
  <si>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</si>
  <si>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</si>
  <si>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</si>
  <si>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</si>
  <si>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</si>
  <si>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</si>
  <si>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</si>
  <si>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</si>
  <si>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</si>
  <si>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</si>
  <si>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</si>
  <si>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</si>
  <si>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</si>
  <si>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</si>
  <si>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</si>
  <si>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</si>
  <si>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</si>
  <si>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</si>
  <si>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</si>
  <si>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</si>
  <si>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</si>
  <si>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</si>
  <si>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</si>
  <si>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</si>
  <si>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</si>
  <si>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</si>
  <si>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</si>
  <si>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</si>
  <si>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</si>
  <si>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</si>
  <si>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</si>
  <si>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</si>
  <si>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</si>
  <si>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</si>
  <si>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</si>
  <si>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</si>
  <si>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</si>
  <si>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</si>
  <si>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</si>
  <si>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</si>
  <si>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</si>
  <si>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</si>
  <si>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</si>
  <si>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</si>
  <si>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</si>
  <si>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</si>
  <si>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</si>
  <si>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</si>
  <si>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</si>
  <si>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</si>
  <si>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</si>
  <si>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</si>
  <si>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</si>
  <si>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</si>
  <si>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</si>
  <si>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</si>
  <si>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</si>
  <si>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</si>
  <si>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</si>
  <si>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</si>
  <si>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</si>
  <si>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</si>
  <si>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</si>
  <si>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</si>
  <si>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</si>
  <si>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</si>
  <si>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</si>
  <si>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</si>
  <si>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</si>
  <si>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</si>
  <si>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</si>
  <si>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</si>
  <si>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</si>
  <si>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</si>
  <si>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</si>
  <si>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</si>
  <si>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</si>
  <si>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</si>
  <si>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</si>
  <si>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</si>
  <si>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</si>
  <si>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</si>
  <si>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</si>
  <si>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</si>
  <si>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</si>
  <si>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</si>
  <si>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</si>
  <si>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</si>
  <si>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</si>
  <si>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</si>
  <si>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</si>
  <si>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</si>
  <si>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</si>
  <si>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</si>
  <si>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</si>
  <si>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</si>
  <si>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</si>
  <si>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</si>
  <si>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</si>
  <si>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</si>
  <si>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</si>
  <si>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</si>
  <si>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</si>
  <si>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</si>
  <si>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</si>
  <si>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</si>
  <si>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</si>
  <si>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</si>
  <si>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</si>
  <si>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</si>
  <si>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</si>
  <si>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</si>
  <si>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</si>
  <si>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</si>
  <si>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</si>
  <si>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</si>
  <si>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</si>
  <si>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</si>
  <si>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</si>
  <si>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</si>
  <si>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</si>
  <si>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</si>
  <si>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</si>
  <si>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</si>
  <si>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</si>
  <si>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</si>
  <si>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</si>
  <si>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</si>
  <si>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</si>
  <si>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</si>
  <si>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</si>
  <si>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</si>
  <si>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</si>
  <si>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</si>
  <si>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</si>
  <si>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</si>
  <si>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</si>
  <si>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</si>
  <si>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</si>
  <si>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</si>
  <si>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</si>
  <si>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</si>
  <si>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</si>
  <si>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</si>
  <si>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</si>
  <si>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</si>
  <si>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</si>
  <si>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</si>
  <si>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</si>
  <si>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</si>
  <si>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</si>
  <si>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</si>
  <si>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</si>
  <si>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</si>
  <si>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</si>
  <si>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</si>
  <si>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</si>
  <si>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</si>
  <si>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</si>
  <si>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</si>
  <si>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</si>
  <si>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</si>
  <si>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</si>
  <si>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</si>
  <si>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</si>
  <si>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</si>
  <si>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</si>
  <si>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</si>
  <si>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</si>
  <si>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</si>
  <si>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</si>
  <si>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</si>
  <si>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</si>
  <si>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</si>
  <si>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</si>
  <si>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</si>
  <si>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</si>
  <si>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</si>
  <si>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</si>
  <si>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</si>
  <si>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</si>
  <si>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</si>
  <si>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</si>
  <si>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</si>
  <si>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</si>
  <si>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</si>
  <si>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</si>
  <si>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</si>
  <si>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</si>
  <si>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</si>
  <si>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</si>
  <si>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</si>
  <si>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</si>
  <si>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</si>
  <si>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</si>
  <si>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</si>
  <si>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</si>
  <si>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</si>
  <si>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</si>
  <si>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</si>
  <si>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</si>
  <si>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</si>
  <si>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</si>
  <si>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</si>
  <si>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</si>
  <si>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</si>
  <si>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</si>
  <si>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</si>
  <si>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</si>
  <si>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</si>
  <si>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</si>
  <si>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</si>
  <si>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</si>
  <si>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</si>
  <si>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</si>
  <si>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</si>
  <si>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</si>
  <si>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</si>
  <si>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</si>
  <si>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</si>
  <si>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</si>
  <si>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</si>
  <si>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</si>
  <si>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</si>
  <si>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</si>
  <si>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</si>
  <si>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</si>
  <si>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</si>
  <si>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</si>
  <si>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</si>
  <si>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</si>
  <si>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</si>
  <si>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</si>
  <si>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</si>
  <si>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</si>
  <si>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</si>
  <si>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</si>
  <si>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</si>
  <si>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</si>
  <si>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</si>
  <si>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</si>
  <si>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</si>
  <si>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</si>
  <si>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</si>
  <si>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</si>
  <si>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</si>
  <si>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</si>
  <si>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</si>
  <si>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</si>
  <si>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</si>
  <si>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</si>
  <si>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</si>
  <si>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</si>
  <si>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</si>
  <si>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</si>
  <si>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</si>
  <si>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</si>
  <si>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</si>
  <si>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</si>
  <si>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</si>
  <si>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</si>
  <si>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</si>
  <si>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</si>
  <si>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Must be formatted as YYYYMMDD Leave empty if not known Optional rule  Possible date anonymisation by
setting the 15th of every month ie YYYYMM15 If the month is not known we set it to June 06</t>
  </si>
  <si>
    <t>primerType</t>
  </si>
  <si>
    <t>copyNumber</t>
  </si>
  <si>
    <t>instrumentStatus</t>
  </si>
  <si>
    <t>Unknown</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</si>
  <si>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</si>
  <si>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</si>
  <si>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</si>
  <si>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</si>
  <si>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</si>
  <si>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</si>
  <si>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</si>
  <si>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</si>
  <si>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</si>
  <si>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</si>
  <si>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</si>
  <si>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</si>
  <si>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</si>
  <si>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</si>
  <si>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</si>
  <si>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</si>
  <si>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</si>
  <si>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</si>
  <si>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</si>
  <si>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</si>
  <si>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</si>
  <si>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</si>
  <si>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</si>
  <si>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</si>
  <si>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</si>
  <si>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</si>
  <si>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</si>
  <si>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</si>
  <si>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</si>
  <si>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</si>
  <si>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</si>
  <si>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</si>
  <si>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</si>
  <si>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</si>
  <si>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</si>
  <si>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</si>
  <si>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</si>
  <si>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</si>
  <si>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</si>
  <si>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</si>
  <si>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</si>
  <si>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</si>
  <si>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</si>
  <si>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</si>
  <si>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</si>
  <si>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</si>
  <si>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</si>
  <si>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</si>
  <si>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</si>
  <si>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</si>
  <si>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</si>
  <si>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</si>
  <si>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</si>
  <si>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</si>
  <si>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</si>
  <si>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</si>
  <si>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</si>
  <si>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</si>
  <si>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</si>
  <si>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</si>
  <si>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</si>
  <si>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</si>
  <si>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</si>
  <si>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</si>
  <si>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</si>
  <si>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</si>
  <si>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</si>
  <si>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</si>
  <si>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</si>
  <si>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</si>
  <si>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</si>
  <si>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</si>
  <si>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</si>
  <si>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</si>
  <si>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</si>
  <si>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</si>
  <si>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</si>
  <si>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</si>
  <si>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</si>
  <si>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</si>
  <si>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</si>
  <si>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</si>
  <si>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</si>
  <si>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</si>
  <si>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</si>
  <si>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</si>
  <si>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</si>
  <si>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</si>
  <si>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</si>
  <si>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</si>
  <si>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</si>
  <si>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</si>
  <si>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</si>
  <si>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</si>
  <si>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</si>
  <si>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</si>
  <si>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</si>
  <si>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</si>
  <si>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</si>
  <si>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</si>
  <si>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</si>
  <si>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</si>
  <si>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</si>
  <si>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</si>
  <si>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</si>
  <si>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</si>
  <si>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</si>
  <si>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</si>
  <si>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</si>
  <si>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</si>
  <si>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</si>
  <si>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</si>
  <si>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</si>
  <si>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</si>
  <si>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</si>
  <si>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</si>
  <si>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</si>
  <si>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</si>
  <si>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</si>
  <si>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</si>
  <si>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</si>
  <si>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</si>
  <si>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</si>
  <si>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</si>
  <si>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</si>
  <si>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</si>
  <si>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</si>
  <si>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</si>
  <si>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</si>
  <si>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</si>
  <si>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</si>
  <si>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</si>
  <si>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</si>
  <si>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</si>
  <si>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</si>
  <si>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</si>
  <si>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</si>
  <si>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</si>
  <si>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</si>
  <si>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</si>
  <si>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</si>
  <si>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</si>
  <si>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</si>
  <si>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</si>
  <si>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</si>
  <si>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</si>
  <si>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</si>
  <si>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</si>
  <si>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</si>
  <si>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</si>
  <si>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</si>
  <si>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</si>
  <si>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</si>
  <si>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</si>
  <si>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</si>
  <si>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</si>
  <si>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</si>
  <si>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</si>
  <si>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</si>
  <si>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</si>
  <si>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</si>
  <si>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</si>
  <si>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</si>
  <si>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</si>
  <si>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</si>
  <si>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</si>
  <si>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</si>
  <si>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</si>
  <si>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</si>
  <si>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</si>
  <si>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</si>
  <si>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</si>
  <si>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</si>
  <si>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</si>
  <si>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</si>
  <si>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</si>
  <si>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</si>
  <si>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</si>
  <si>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</si>
  <si>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</si>
  <si>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</si>
  <si>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</si>
  <si>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</si>
  <si>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</si>
  <si>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</si>
  <si>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</si>
  <si>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</si>
  <si>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</si>
  <si>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</si>
  <si>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</si>
  <si>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</si>
  <si>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</si>
  <si>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</si>
  <si>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</si>
  <si>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</si>
  <si>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</si>
  <si>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</si>
  <si>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</si>
  <si>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</si>
  <si>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</si>
  <si>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</si>
  <si>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</si>
  <si>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</si>
  <si>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</si>
  <si>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</si>
  <si>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</si>
  <si>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</si>
  <si>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</si>
  <si>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</si>
  <si>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</si>
  <si>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</si>
  <si>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</si>
  <si>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</si>
  <si>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</si>
  <si>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</si>
  <si>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</si>
  <si>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</si>
  <si>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</si>
  <si>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</si>
  <si>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</si>
  <si>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</si>
  <si>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</si>
  <si>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</si>
  <si>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</si>
  <si>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</si>
  <si>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</si>
  <si>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</si>
  <si>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</si>
  <si>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</si>
  <si>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</si>
  <si>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</si>
  <si>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</si>
  <si>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</si>
  <si>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</si>
  <si>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</si>
  <si>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</si>
  <si>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</si>
  <si>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</si>
  <si>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</si>
  <si>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</si>
  <si>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</si>
  <si>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</si>
  <si>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</si>
  <si>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</si>
  <si>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</si>
  <si>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</si>
  <si>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</si>
  <si>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</si>
  <si>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</si>
  <si>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</si>
  <si>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</si>
  <si>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</si>
  <si>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</si>
  <si>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</si>
  <si>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</si>
  <si>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</si>
  <si>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</si>
  <si>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</si>
  <si>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</si>
  <si>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</si>
  <si>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</si>
  <si>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</si>
  <si>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</si>
  <si>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</si>
  <si>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</si>
  <si>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</si>
  <si>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</si>
  <si>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</si>
  <si>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</si>
  <si>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</si>
  <si>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</si>
  <si>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</si>
  <si>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</si>
  <si>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</si>
  <si>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</si>
  <si>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</si>
  <si>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</si>
  <si>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</si>
  <si>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</si>
  <si>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</si>
  <si>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</si>
  <si>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</si>
  <si>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</si>
  <si>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</si>
  <si>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</si>
  <si>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</si>
  <si>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</si>
  <si>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</si>
  <si>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</si>
  <si>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</si>
  <si>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</si>
  <si>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</si>
  <si>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</si>
  <si>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</si>
  <si>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</si>
  <si>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</si>
  <si>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</si>
  <si>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</si>
  <si>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</si>
  <si>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</si>
  <si>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</si>
  <si>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</si>
  <si>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</si>
  <si>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</si>
  <si>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</si>
  <si>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</si>
  <si>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</si>
  <si>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</si>
  <si>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</si>
  <si>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</si>
  <si>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</si>
  <si>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</si>
  <si>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</si>
  <si>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</si>
  <si>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</si>
  <si>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</si>
  <si>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</si>
  <si>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</si>
  <si>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</si>
  <si>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</si>
  <si>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</si>
  <si>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</si>
  <si>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</si>
  <si>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</si>
  <si>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</si>
  <si>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</si>
  <si>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</si>
  <si>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</si>
  <si>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</si>
  <si>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</si>
  <si>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</si>
  <si>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</si>
  <si>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</si>
  <si>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</si>
  <si>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</si>
  <si>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</si>
  <si>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</si>
  <si>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</si>
  <si>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</si>
  <si>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</si>
  <si>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</si>
  <si>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</si>
  <si>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</si>
  <si>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</si>
  <si>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</si>
  <si>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</si>
  <si>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</si>
  <si>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</si>
  <si>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</si>
  <si>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</si>
  <si>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</si>
  <si>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</si>
  <si>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</si>
  <si>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</si>
  <si>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</si>
  <si>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</si>
  <si>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</si>
  <si>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</si>
  <si>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</si>
  <si>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</si>
  <si>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</si>
  <si>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</si>
  <si>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</si>
  <si>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</si>
  <si>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</si>
  <si>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</si>
  <si>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</si>
  <si>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</si>
  <si>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</si>
  <si>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</si>
  <si>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</si>
  <si>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</si>
  <si>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</si>
  <si>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</si>
  <si>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</si>
  <si>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</si>
  <si>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</si>
  <si>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</si>
  <si>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</si>
  <si>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</si>
  <si>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</si>
  <si>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</si>
  <si>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</si>
  <si>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</si>
  <si>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</si>
  <si>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surgicalComplicationsClavienDindoClassificationPleaseSelectTheWorstOne</t>
  </si>
  <si>
    <t>surgicalComplicationsClavienDindoClassification2ComplicationsPleaseSelectThe2WorstOne</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</si>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</sst>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s>
  <fills count="2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2" borderId="0" applyNumberFormat="0" applyBorder="0" applyAlignment="0" applyProtection="0"/>
  </cellStyleXfs>
  <cellXfs count="16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0" fillId="18" borderId="0" xfId="0" applyFill="1"/>
    <xf numFmtId="0" fontId="0" fillId="5" borderId="0" xfId="0" applyFill="1"/>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17" borderId="0" xfId="0" applyFill="1" applyAlignment="1">
      <alignment wrapText="1"/>
    </xf>
    <xf numFmtId="0" fontId="3" fillId="18" borderId="0" xfId="0" applyFont="1" applyFill="1"/>
    <xf numFmtId="0" fontId="0" fillId="19" borderId="0" xfId="0" applyFill="1"/>
    <xf numFmtId="0" fontId="0" fillId="0" borderId="25" xfId="0" applyBorder="1"/>
    <xf numFmtId="0" fontId="0" fillId="20" borderId="1" xfId="0" applyFill="1" applyBorder="1"/>
    <xf numFmtId="0" fontId="0" fillId="20" borderId="1" xfId="0" applyFill="1" applyBorder="1" applyAlignment="1">
      <alignment wrapText="1"/>
    </xf>
    <xf numFmtId="0" fontId="0" fillId="21" borderId="1" xfId="0" applyFill="1" applyBorder="1"/>
    <xf numFmtId="0" fontId="0" fillId="18" borderId="1" xfId="0" applyFill="1" applyBorder="1"/>
    <xf numFmtId="0" fontId="0" fillId="18" borderId="1" xfId="0" applyFill="1" applyBorder="1" applyAlignment="1">
      <alignment wrapText="1"/>
    </xf>
    <xf numFmtId="0" fontId="42" fillId="22" borderId="0" xfId="6"/>
    <xf numFmtId="0" fontId="2" fillId="23" borderId="1" xfId="1" applyFill="1" applyBorder="1" applyAlignment="1">
      <alignment wrapText="1"/>
    </xf>
    <xf numFmtId="0" fontId="0" fillId="21" borderId="1" xfId="0" applyFill="1" applyBorder="1" applyAlignment="1">
      <alignment wrapText="1"/>
    </xf>
    <xf numFmtId="0" fontId="0" fillId="24" borderId="1" xfId="0" applyFill="1" applyBorder="1" applyAlignment="1">
      <alignment wrapText="1"/>
    </xf>
    <xf numFmtId="0" fontId="0" fillId="3" borderId="15" xfId="0" applyFill="1" applyBorder="1"/>
    <xf numFmtId="0" fontId="0" fillId="24"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5"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8" borderId="1" xfId="0" applyFont="1" applyFill="1" applyBorder="1" applyAlignment="1">
      <alignment wrapText="1"/>
    </xf>
    <xf numFmtId="0" fontId="1" fillId="18" borderId="1" xfId="0" applyFont="1" applyFill="1" applyBorder="1"/>
    <xf numFmtId="49" fontId="1" fillId="18" borderId="1" xfId="0" applyNumberFormat="1" applyFont="1" applyFill="1" applyBorder="1"/>
    <xf numFmtId="49" fontId="1" fillId="18" borderId="1" xfId="0" applyNumberFormat="1" applyFont="1" applyFill="1" applyBorder="1" applyAlignment="1">
      <alignment wrapText="1"/>
    </xf>
    <xf numFmtId="0" fontId="43" fillId="10" borderId="1" xfId="0" applyFont="1" applyFill="1" applyBorder="1"/>
    <xf numFmtId="49" fontId="0" fillId="25"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9"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connections" Target="connection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eetMetadata" Target="metadata.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7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A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D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7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7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B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D00-0000016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1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1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4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4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2600-0000018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2A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2B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2B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6.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4" Type="http://schemas.openxmlformats.org/officeDocument/2006/relationships/ctrlProp" Target="../ctrlProps/ctrlProp14.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20.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5" t="s">
        <v>1473</v>
      </c>
      <c r="B1" s="156"/>
      <c r="C1" s="156"/>
      <c r="D1" s="156"/>
      <c r="E1" s="156"/>
      <c r="F1" s="156"/>
      <c r="G1" s="156"/>
      <c r="H1" s="156"/>
      <c r="I1" s="156"/>
      <c r="J1" s="156"/>
      <c r="K1" s="156"/>
      <c r="L1" s="156"/>
      <c r="M1" s="75"/>
      <c r="N1" s="75"/>
      <c r="O1" s="75"/>
      <c r="P1" s="75"/>
      <c r="Q1" s="75"/>
      <c r="R1" s="75"/>
      <c r="S1" s="75"/>
      <c r="T1" s="75"/>
      <c r="U1" s="75"/>
      <c r="V1" s="75"/>
      <c r="W1" s="75"/>
      <c r="X1" s="75"/>
      <c r="Y1" s="75"/>
      <c r="Z1" s="75"/>
    </row>
    <row r="2" spans="1:26" ht="13.5">
      <c r="A2" s="76"/>
    </row>
    <row r="3" spans="1:26" ht="30.75" customHeight="1">
      <c r="A3" s="77" t="s">
        <v>1474</v>
      </c>
      <c r="B3" s="78" t="s">
        <v>168</v>
      </c>
      <c r="C3" s="78" t="s">
        <v>1475</v>
      </c>
      <c r="D3" s="78" t="s">
        <v>1476</v>
      </c>
      <c r="E3" s="78" t="s">
        <v>1477</v>
      </c>
      <c r="F3" s="78" t="s">
        <v>178</v>
      </c>
      <c r="G3" s="78" t="s">
        <v>1478</v>
      </c>
      <c r="H3" s="78" t="s">
        <v>176</v>
      </c>
      <c r="I3" s="78" t="s">
        <v>1479</v>
      </c>
      <c r="J3" s="78" t="s">
        <v>1480</v>
      </c>
      <c r="K3" s="78" t="s">
        <v>1481</v>
      </c>
      <c r="L3" s="78" t="s">
        <v>1482</v>
      </c>
      <c r="M3" s="79"/>
      <c r="N3" s="79"/>
      <c r="O3" s="79"/>
      <c r="P3" s="79"/>
      <c r="Q3" s="79"/>
      <c r="R3" s="79"/>
      <c r="S3" s="79"/>
      <c r="T3" s="79"/>
      <c r="U3" s="79"/>
      <c r="V3" s="79"/>
      <c r="W3" s="79"/>
      <c r="X3" s="79"/>
      <c r="Y3" s="79"/>
      <c r="Z3" s="80"/>
    </row>
    <row r="4" spans="1:26" ht="65.25" customHeight="1">
      <c r="A4" s="81" t="s">
        <v>1483</v>
      </c>
      <c r="B4" s="82" t="s">
        <v>1484</v>
      </c>
      <c r="C4" s="82" t="s">
        <v>282</v>
      </c>
      <c r="D4" s="82" t="str">
        <f t="array" ref="D4">"CUS_"&amp;C4</f>
        <v>CUS_DiagnosisDate</v>
      </c>
      <c r="E4" s="82" t="s">
        <v>1485</v>
      </c>
      <c r="F4" s="82" t="s">
        <v>1486</v>
      </c>
      <c r="G4" s="82" t="s">
        <v>209</v>
      </c>
      <c r="H4" s="82" t="s">
        <v>201</v>
      </c>
      <c r="I4" s="82" t="s">
        <v>1487</v>
      </c>
      <c r="J4" s="82" t="s">
        <v>1488</v>
      </c>
      <c r="K4" s="82" t="s">
        <v>213</v>
      </c>
      <c r="L4" s="83"/>
      <c r="M4" s="83"/>
      <c r="N4" s="83"/>
      <c r="O4" s="83"/>
      <c r="P4" s="83"/>
      <c r="Q4" s="83"/>
      <c r="R4" s="83"/>
      <c r="S4" s="83"/>
      <c r="T4" s="83"/>
      <c r="U4" s="83"/>
      <c r="V4" s="83"/>
      <c r="W4" s="83"/>
      <c r="X4" s="83"/>
      <c r="Y4" s="83"/>
      <c r="Z4" s="83"/>
    </row>
    <row r="5" spans="1:26" ht="65.25" customHeight="1">
      <c r="A5" s="84" t="s">
        <v>1489</v>
      </c>
      <c r="B5" s="85" t="s">
        <v>1484</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1490</v>
      </c>
      <c r="B6" s="88" t="s">
        <v>1484</v>
      </c>
      <c r="C6" s="88" t="s">
        <v>1491</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1492</v>
      </c>
      <c r="B7" s="82" t="s">
        <v>1484</v>
      </c>
      <c r="C7" s="82" t="s">
        <v>1493</v>
      </c>
      <c r="D7" s="82" t="str">
        <f t="array" ref="D7">"CUS_"&amp;C7</f>
        <v>CUS_AgeAtDiagnosis</v>
      </c>
      <c r="E7" s="82" t="s">
        <v>1494</v>
      </c>
      <c r="F7" s="82" t="s">
        <v>1495</v>
      </c>
      <c r="G7" s="82" t="s">
        <v>1496</v>
      </c>
      <c r="H7" s="82" t="s">
        <v>1497</v>
      </c>
      <c r="I7" s="82" t="s">
        <v>1498</v>
      </c>
      <c r="J7" s="82" t="s">
        <v>1499</v>
      </c>
      <c r="K7" s="82">
        <v>62</v>
      </c>
      <c r="L7" s="83"/>
      <c r="M7" s="83"/>
      <c r="N7" s="83"/>
      <c r="O7" s="83"/>
      <c r="P7" s="83"/>
      <c r="Q7" s="83"/>
      <c r="R7" s="83"/>
      <c r="S7" s="83"/>
      <c r="T7" s="83"/>
      <c r="U7" s="83"/>
      <c r="V7" s="83"/>
      <c r="W7" s="83"/>
      <c r="X7" s="83"/>
      <c r="Y7" s="83"/>
      <c r="Z7" s="83"/>
    </row>
    <row r="8" spans="1:26" ht="65.25" customHeight="1">
      <c r="A8" s="84" t="s">
        <v>1492</v>
      </c>
      <c r="B8" s="85" t="s">
        <v>1484</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1500</v>
      </c>
      <c r="B9" s="82" t="s">
        <v>1484</v>
      </c>
      <c r="C9" s="82" t="s">
        <v>1501</v>
      </c>
      <c r="D9" s="82" t="str">
        <f t="array" ref="D9">"CUS_"&amp;C9</f>
        <v>CUS_HistologyGroup</v>
      </c>
      <c r="E9" s="82" t="s">
        <v>1500</v>
      </c>
      <c r="F9" s="82" t="s">
        <v>1502</v>
      </c>
      <c r="G9" s="82" t="s">
        <v>185</v>
      </c>
      <c r="H9" s="82" t="s">
        <v>201</v>
      </c>
      <c r="I9" s="82" t="s">
        <v>1503</v>
      </c>
      <c r="J9" s="90" t="s">
        <v>1504</v>
      </c>
      <c r="K9" s="82" t="s">
        <v>1505</v>
      </c>
      <c r="L9" s="91" t="s">
        <v>1506</v>
      </c>
      <c r="M9" s="83"/>
      <c r="N9" s="83"/>
      <c r="O9" s="83"/>
      <c r="P9" s="83"/>
      <c r="Q9" s="83"/>
      <c r="R9" s="83"/>
      <c r="S9" s="83"/>
      <c r="T9" s="83"/>
      <c r="U9" s="83"/>
      <c r="V9" s="83"/>
      <c r="W9" s="83"/>
      <c r="X9" s="83"/>
      <c r="Y9" s="83"/>
      <c r="Z9" s="83"/>
    </row>
    <row r="10" spans="1:26" ht="65.25" customHeight="1">
      <c r="A10" s="157" t="s">
        <v>1507</v>
      </c>
      <c r="B10" s="158"/>
      <c r="C10" s="158"/>
      <c r="D10" s="158"/>
      <c r="E10" s="158"/>
      <c r="F10" s="158"/>
      <c r="G10" s="158"/>
      <c r="H10" s="158"/>
      <c r="I10" s="158"/>
      <c r="J10" s="158"/>
      <c r="K10" s="158"/>
      <c r="L10" s="83"/>
      <c r="M10" s="83"/>
      <c r="N10" s="83"/>
      <c r="O10" s="83"/>
      <c r="P10" s="83"/>
      <c r="Q10" s="83"/>
      <c r="R10" s="83"/>
      <c r="S10" s="83"/>
      <c r="T10" s="83"/>
      <c r="U10" s="83"/>
      <c r="V10" s="83"/>
      <c r="W10" s="83"/>
      <c r="X10" s="83"/>
      <c r="Y10" s="83"/>
      <c r="Z10" s="83"/>
    </row>
    <row r="11" spans="1:26" ht="65.25" customHeight="1">
      <c r="A11" s="81" t="s">
        <v>1508</v>
      </c>
      <c r="B11" s="82" t="s">
        <v>1501</v>
      </c>
      <c r="C11" s="82" t="s">
        <v>1509</v>
      </c>
      <c r="D11" s="82" t="str">
        <f t="array" ref="D11">"CUS_"&amp;C11</f>
        <v>CUS_HistologySquamous</v>
      </c>
      <c r="E11" s="82" t="s">
        <v>1510</v>
      </c>
      <c r="F11" s="82" t="s">
        <v>1511</v>
      </c>
      <c r="G11" s="82" t="s">
        <v>185</v>
      </c>
      <c r="H11" s="82" t="s">
        <v>201</v>
      </c>
      <c r="I11" s="82" t="s">
        <v>1512</v>
      </c>
      <c r="J11" s="90" t="s">
        <v>1513</v>
      </c>
      <c r="K11" s="82"/>
      <c r="L11" s="91" t="s">
        <v>1506</v>
      </c>
      <c r="M11" s="83"/>
      <c r="N11" s="83"/>
      <c r="O11" s="83"/>
      <c r="P11" s="83"/>
      <c r="Q11" s="83"/>
      <c r="R11" s="83"/>
      <c r="S11" s="83"/>
      <c r="T11" s="83"/>
      <c r="U11" s="83"/>
      <c r="V11" s="83"/>
      <c r="W11" s="83"/>
      <c r="X11" s="83"/>
      <c r="Y11" s="83"/>
      <c r="Z11" s="83"/>
    </row>
    <row r="12" spans="1:26" ht="65.25" customHeight="1">
      <c r="A12" s="81" t="s">
        <v>1514</v>
      </c>
      <c r="B12" s="82" t="s">
        <v>1501</v>
      </c>
      <c r="C12" s="82" t="s">
        <v>1515</v>
      </c>
      <c r="D12" s="82" t="str">
        <f t="array" ref="D12">"CUS_"&amp;C12</f>
        <v>CUS_HistologyAdenocarcinoma</v>
      </c>
      <c r="E12" s="82" t="s">
        <v>1516</v>
      </c>
      <c r="F12" s="92" t="s">
        <v>1517</v>
      </c>
      <c r="G12" s="82" t="s">
        <v>185</v>
      </c>
      <c r="H12" s="82" t="s">
        <v>201</v>
      </c>
      <c r="I12" s="82" t="s">
        <v>1518</v>
      </c>
      <c r="J12" s="90" t="s">
        <v>1519</v>
      </c>
      <c r="K12" s="82"/>
      <c r="L12" s="91" t="s">
        <v>1506</v>
      </c>
      <c r="M12" s="83"/>
      <c r="N12" s="83"/>
      <c r="O12" s="83"/>
      <c r="P12" s="83"/>
      <c r="Q12" s="83"/>
      <c r="R12" s="83"/>
      <c r="S12" s="83"/>
      <c r="T12" s="83"/>
      <c r="U12" s="83"/>
      <c r="V12" s="83"/>
      <c r="W12" s="83"/>
      <c r="X12" s="83"/>
      <c r="Y12" s="83"/>
      <c r="Z12" s="83"/>
    </row>
    <row r="13" spans="1:26" ht="65.25" customHeight="1">
      <c r="A13" s="81" t="s">
        <v>1520</v>
      </c>
      <c r="B13" s="82" t="s">
        <v>1501</v>
      </c>
      <c r="C13" s="82" t="s">
        <v>1521</v>
      </c>
      <c r="D13" s="82" t="str">
        <f t="array" ref="D13">"CUS_"&amp;C13</f>
        <v>CUS_HistologyNeuroendocrine</v>
      </c>
      <c r="E13" s="82" t="s">
        <v>1522</v>
      </c>
      <c r="F13" s="93" t="s">
        <v>1523</v>
      </c>
      <c r="G13" s="82" t="s">
        <v>185</v>
      </c>
      <c r="H13" s="82" t="s">
        <v>201</v>
      </c>
      <c r="I13" s="82" t="s">
        <v>1524</v>
      </c>
      <c r="J13" s="90" t="s">
        <v>1525</v>
      </c>
      <c r="K13" s="82"/>
      <c r="L13" s="91" t="s">
        <v>1506</v>
      </c>
      <c r="M13" s="83"/>
      <c r="N13" s="83"/>
      <c r="O13" s="83"/>
      <c r="P13" s="83"/>
      <c r="Q13" s="83"/>
      <c r="R13" s="83"/>
      <c r="S13" s="83"/>
      <c r="T13" s="83"/>
      <c r="U13" s="83"/>
      <c r="V13" s="83"/>
      <c r="W13" s="83"/>
      <c r="X13" s="83"/>
      <c r="Y13" s="83"/>
      <c r="Z13" s="83"/>
    </row>
    <row r="14" spans="1:26" ht="65.25" customHeight="1">
      <c r="A14" s="81" t="s">
        <v>1526</v>
      </c>
      <c r="B14" s="82" t="s">
        <v>1501</v>
      </c>
      <c r="C14" s="82" t="s">
        <v>1527</v>
      </c>
      <c r="D14" s="82" t="str">
        <f t="array" ref="D14">"CUS_"&amp;C14</f>
        <v>CUS_HistologyOdontogenicCarcinoma</v>
      </c>
      <c r="E14" s="82" t="s">
        <v>1528</v>
      </c>
      <c r="F14" s="93" t="s">
        <v>1529</v>
      </c>
      <c r="G14" s="82" t="s">
        <v>185</v>
      </c>
      <c r="H14" s="82" t="s">
        <v>201</v>
      </c>
      <c r="I14" s="82" t="s">
        <v>1530</v>
      </c>
      <c r="J14" s="90" t="s">
        <v>1531</v>
      </c>
      <c r="K14" s="82"/>
      <c r="L14" s="91" t="s">
        <v>1506</v>
      </c>
      <c r="M14" s="83"/>
      <c r="N14" s="83"/>
      <c r="O14" s="83"/>
      <c r="P14" s="83"/>
      <c r="Q14" s="83"/>
      <c r="R14" s="83"/>
      <c r="S14" s="83"/>
      <c r="T14" s="83"/>
      <c r="U14" s="83"/>
      <c r="V14" s="83"/>
      <c r="W14" s="83"/>
      <c r="X14" s="83"/>
      <c r="Y14" s="83"/>
      <c r="Z14" s="83"/>
    </row>
    <row r="15" spans="1:26" ht="65.25" customHeight="1">
      <c r="A15" s="81" t="s">
        <v>1532</v>
      </c>
      <c r="B15" s="82" t="s">
        <v>1501</v>
      </c>
      <c r="C15" s="82" t="s">
        <v>1533</v>
      </c>
      <c r="D15" s="82" t="str">
        <f t="array" ref="D15">"CUS_"&amp;C15</f>
        <v>CUS_HistologySNUC</v>
      </c>
      <c r="E15" s="82" t="s">
        <v>1534</v>
      </c>
      <c r="F15" s="93" t="s">
        <v>1535</v>
      </c>
      <c r="G15" s="82" t="s">
        <v>185</v>
      </c>
      <c r="H15" s="82" t="s">
        <v>201</v>
      </c>
      <c r="I15" s="82" t="s">
        <v>1536</v>
      </c>
      <c r="J15" s="90" t="s">
        <v>1537</v>
      </c>
      <c r="K15" s="82"/>
      <c r="L15" s="91" t="s">
        <v>1506</v>
      </c>
      <c r="M15" s="83"/>
      <c r="N15" s="83"/>
      <c r="O15" s="83"/>
      <c r="P15" s="83"/>
      <c r="Q15" s="83"/>
      <c r="R15" s="83"/>
      <c r="S15" s="83"/>
      <c r="T15" s="83"/>
      <c r="U15" s="83"/>
      <c r="V15" s="83"/>
      <c r="W15" s="83"/>
      <c r="X15" s="83"/>
      <c r="Y15" s="83"/>
      <c r="Z15" s="83"/>
    </row>
    <row r="16" spans="1:26" ht="65.25" customHeight="1">
      <c r="A16" s="81" t="s">
        <v>1538</v>
      </c>
      <c r="B16" s="82" t="s">
        <v>1484</v>
      </c>
      <c r="C16" s="82" t="s">
        <v>1539</v>
      </c>
      <c r="D16" s="82" t="str">
        <f t="array" ref="D16">"CUS_"&amp;C16</f>
        <v>CUS_SiteRare</v>
      </c>
      <c r="E16" s="82" t="s">
        <v>1540</v>
      </c>
      <c r="F16" s="94" t="s">
        <v>1541</v>
      </c>
      <c r="G16" s="82" t="s">
        <v>185</v>
      </c>
      <c r="H16" s="82" t="s">
        <v>201</v>
      </c>
      <c r="I16" s="82" t="s">
        <v>1542</v>
      </c>
      <c r="J16" s="90" t="s">
        <v>1543</v>
      </c>
      <c r="K16" s="82"/>
      <c r="L16" s="91" t="s">
        <v>1544</v>
      </c>
      <c r="M16" s="83"/>
      <c r="N16" s="83"/>
      <c r="O16" s="83"/>
      <c r="P16" s="83"/>
      <c r="Q16" s="83"/>
      <c r="R16" s="83"/>
      <c r="S16" s="83"/>
      <c r="T16" s="83"/>
      <c r="U16" s="83"/>
      <c r="V16" s="83"/>
      <c r="W16" s="83"/>
      <c r="X16" s="83"/>
      <c r="Y16" s="83"/>
      <c r="Z16" s="83"/>
    </row>
    <row r="17" spans="1:26" ht="65.25" customHeight="1">
      <c r="A17" s="81" t="s">
        <v>1545</v>
      </c>
      <c r="B17" s="82" t="s">
        <v>1484</v>
      </c>
      <c r="C17" s="82" t="s">
        <v>1546</v>
      </c>
      <c r="D17" s="82" t="str">
        <f t="array" ref="D17">"CUS_"&amp;C17</f>
        <v>CUS_SiteCommonAndRare</v>
      </c>
      <c r="E17" s="82" t="s">
        <v>1547</v>
      </c>
      <c r="F17" s="94" t="s">
        <v>1541</v>
      </c>
      <c r="G17" s="82" t="s">
        <v>185</v>
      </c>
      <c r="H17" s="82" t="s">
        <v>201</v>
      </c>
      <c r="I17" s="82" t="s">
        <v>1542</v>
      </c>
      <c r="J17" s="90" t="s">
        <v>1548</v>
      </c>
      <c r="K17" s="82"/>
      <c r="L17" s="91" t="s">
        <v>1544</v>
      </c>
      <c r="M17" s="83"/>
      <c r="N17" s="83"/>
      <c r="O17" s="83"/>
      <c r="P17" s="83"/>
      <c r="Q17" s="83"/>
      <c r="R17" s="83"/>
      <c r="S17" s="83"/>
      <c r="T17" s="83"/>
      <c r="U17" s="83"/>
      <c r="V17" s="83"/>
      <c r="W17" s="83"/>
      <c r="X17" s="83"/>
      <c r="Y17" s="83"/>
      <c r="Z17" s="83"/>
    </row>
    <row r="18" spans="1:26" ht="65.25" customHeight="1">
      <c r="A18" s="159" t="s">
        <v>1549</v>
      </c>
      <c r="B18" s="158"/>
      <c r="C18" s="158"/>
      <c r="D18" s="158"/>
      <c r="E18" s="158"/>
      <c r="F18" s="158"/>
      <c r="G18" s="158"/>
      <c r="H18" s="158"/>
      <c r="I18" s="158"/>
      <c r="J18" s="158"/>
      <c r="K18" s="82"/>
      <c r="L18" s="83"/>
      <c r="M18" s="83"/>
      <c r="N18" s="83"/>
      <c r="O18" s="83"/>
      <c r="P18" s="83"/>
      <c r="Q18" s="83"/>
      <c r="R18" s="83"/>
      <c r="S18" s="83"/>
      <c r="T18" s="83"/>
      <c r="U18" s="83"/>
      <c r="V18" s="83"/>
      <c r="W18" s="83"/>
      <c r="X18" s="83"/>
      <c r="Y18" s="83"/>
      <c r="Z18" s="83"/>
    </row>
    <row r="19" spans="1:26" ht="65.25" customHeight="1">
      <c r="A19" s="81" t="s">
        <v>1550</v>
      </c>
      <c r="B19" s="82" t="s">
        <v>1551</v>
      </c>
      <c r="C19" s="82" t="str">
        <f t="shared" ref="C19:C39" si="0">SUBSTITUTE(PROPER(A19), " ","")</f>
        <v>NasalCavityAndParanasalSinusesSubsite</v>
      </c>
      <c r="D19" s="82" t="str">
        <f t="array" ref="D19">"CUS_"&amp;C19</f>
        <v>CUS_NasalCavityAndParanasalSinusesSubsite</v>
      </c>
      <c r="E19" s="82" t="s">
        <v>1550</v>
      </c>
      <c r="F19" s="82" t="s">
        <v>1552</v>
      </c>
      <c r="G19" s="82" t="s">
        <v>185</v>
      </c>
      <c r="H19" s="82" t="s">
        <v>201</v>
      </c>
      <c r="I19" s="82" t="s">
        <v>1553</v>
      </c>
      <c r="J19" s="90" t="s">
        <v>1554</v>
      </c>
      <c r="K19" s="82"/>
      <c r="L19" s="91" t="s">
        <v>1544</v>
      </c>
      <c r="M19" s="91" t="s">
        <v>1555</v>
      </c>
      <c r="N19" s="83"/>
      <c r="O19" s="83"/>
      <c r="P19" s="83"/>
      <c r="Q19" s="83"/>
      <c r="R19" s="83"/>
      <c r="S19" s="83"/>
      <c r="T19" s="83"/>
      <c r="U19" s="83"/>
      <c r="V19" s="83"/>
      <c r="W19" s="83"/>
      <c r="X19" s="83"/>
      <c r="Y19" s="83"/>
      <c r="Z19" s="83"/>
    </row>
    <row r="20" spans="1:26" ht="65.25" customHeight="1">
      <c r="A20" s="81" t="s">
        <v>1556</v>
      </c>
      <c r="B20" s="82" t="s">
        <v>1551</v>
      </c>
      <c r="C20" s="82" t="str">
        <f t="shared" si="0"/>
        <v>NasopharynxSubsite</v>
      </c>
      <c r="D20" s="82" t="str">
        <f t="array" ref="D20">"CUS_"&amp;C20</f>
        <v>CUS_NasopharynxSubsite</v>
      </c>
      <c r="E20" s="82" t="s">
        <v>1556</v>
      </c>
      <c r="F20" s="82" t="s">
        <v>1557</v>
      </c>
      <c r="G20" s="82" t="s">
        <v>185</v>
      </c>
      <c r="H20" s="82" t="s">
        <v>201</v>
      </c>
      <c r="I20" s="82" t="s">
        <v>1553</v>
      </c>
      <c r="J20" s="95" t="s">
        <v>1558</v>
      </c>
      <c r="K20" s="82"/>
      <c r="L20" s="91" t="s">
        <v>1544</v>
      </c>
      <c r="M20" s="83"/>
      <c r="N20" s="83"/>
      <c r="O20" s="83"/>
      <c r="P20" s="83"/>
      <c r="Q20" s="83"/>
      <c r="R20" s="83"/>
      <c r="S20" s="83"/>
      <c r="T20" s="83"/>
      <c r="U20" s="83"/>
      <c r="V20" s="83"/>
      <c r="W20" s="83"/>
      <c r="X20" s="83"/>
      <c r="Y20" s="83"/>
      <c r="Z20" s="83"/>
    </row>
    <row r="21" spans="1:26" ht="65.25" customHeight="1">
      <c r="A21" s="81" t="s">
        <v>1559</v>
      </c>
      <c r="B21" s="82" t="s">
        <v>1551</v>
      </c>
      <c r="C21" s="82" t="str">
        <f t="shared" si="0"/>
        <v>HypopharynxSubsite</v>
      </c>
      <c r="D21" s="82" t="str">
        <f t="array" ref="D21">"CUS_"&amp;C21</f>
        <v>CUS_HypopharynxSubsite</v>
      </c>
      <c r="E21" s="82" t="s">
        <v>1559</v>
      </c>
      <c r="F21" s="82" t="s">
        <v>1560</v>
      </c>
      <c r="G21" s="82" t="s">
        <v>185</v>
      </c>
      <c r="H21" s="82" t="s">
        <v>201</v>
      </c>
      <c r="I21" s="82" t="s">
        <v>1553</v>
      </c>
      <c r="J21" s="95" t="s">
        <v>1561</v>
      </c>
      <c r="K21" s="82"/>
      <c r="L21" s="91" t="s">
        <v>1544</v>
      </c>
      <c r="M21" s="83"/>
      <c r="N21" s="83"/>
      <c r="O21" s="83"/>
      <c r="P21" s="83"/>
      <c r="Q21" s="83"/>
      <c r="R21" s="83"/>
      <c r="S21" s="83"/>
      <c r="T21" s="83"/>
      <c r="U21" s="83"/>
      <c r="V21" s="83"/>
      <c r="W21" s="83"/>
      <c r="X21" s="83"/>
      <c r="Y21" s="83"/>
      <c r="Z21" s="83"/>
    </row>
    <row r="22" spans="1:26" ht="65.25" customHeight="1">
      <c r="A22" s="81" t="s">
        <v>1562</v>
      </c>
      <c r="B22" s="82" t="s">
        <v>1551</v>
      </c>
      <c r="C22" s="82" t="str">
        <f t="shared" si="0"/>
        <v>OropharynxSubsite</v>
      </c>
      <c r="D22" s="82" t="str">
        <f t="array" ref="D22">"CUS_"&amp;C22</f>
        <v>CUS_OropharynxSubsite</v>
      </c>
      <c r="E22" s="82" t="s">
        <v>1562</v>
      </c>
      <c r="F22" s="82" t="s">
        <v>1563</v>
      </c>
      <c r="G22" s="82" t="s">
        <v>185</v>
      </c>
      <c r="H22" s="82" t="s">
        <v>201</v>
      </c>
      <c r="I22" s="82" t="s">
        <v>1553</v>
      </c>
      <c r="J22" s="95" t="s">
        <v>1564</v>
      </c>
      <c r="K22" s="82"/>
      <c r="L22" s="91" t="s">
        <v>1544</v>
      </c>
      <c r="M22" s="83"/>
      <c r="N22" s="83"/>
      <c r="O22" s="83"/>
      <c r="P22" s="83"/>
      <c r="Q22" s="83"/>
      <c r="R22" s="83"/>
      <c r="S22" s="83"/>
      <c r="T22" s="83"/>
      <c r="U22" s="83"/>
      <c r="V22" s="83"/>
      <c r="W22" s="83"/>
      <c r="X22" s="83"/>
      <c r="Y22" s="83"/>
      <c r="Z22" s="83"/>
    </row>
    <row r="23" spans="1:26" ht="65.25" customHeight="1">
      <c r="A23" s="81" t="s">
        <v>1565</v>
      </c>
      <c r="B23" s="82" t="s">
        <v>1551</v>
      </c>
      <c r="C23" s="82" t="str">
        <f t="shared" si="0"/>
        <v>LarynxSubsite</v>
      </c>
      <c r="D23" s="82" t="str">
        <f t="array" ref="D23">"CUS_"&amp;C23</f>
        <v>CUS_LarynxSubsite</v>
      </c>
      <c r="E23" s="82" t="s">
        <v>1565</v>
      </c>
      <c r="F23" s="82" t="s">
        <v>1566</v>
      </c>
      <c r="G23" s="82" t="s">
        <v>185</v>
      </c>
      <c r="H23" s="82" t="s">
        <v>201</v>
      </c>
      <c r="I23" s="82" t="s">
        <v>1553</v>
      </c>
      <c r="J23" s="95" t="s">
        <v>1567</v>
      </c>
      <c r="K23" s="82"/>
      <c r="L23" s="91" t="s">
        <v>1544</v>
      </c>
      <c r="M23" s="83"/>
      <c r="N23" s="83"/>
      <c r="O23" s="83"/>
      <c r="P23" s="83"/>
      <c r="Q23" s="83"/>
      <c r="R23" s="83"/>
      <c r="S23" s="83"/>
      <c r="T23" s="83"/>
      <c r="U23" s="83"/>
      <c r="V23" s="83"/>
      <c r="W23" s="83"/>
      <c r="X23" s="83"/>
      <c r="Y23" s="83"/>
      <c r="Z23" s="83"/>
    </row>
    <row r="24" spans="1:26" ht="65.25" customHeight="1">
      <c r="A24" s="81" t="s">
        <v>1568</v>
      </c>
      <c r="B24" s="82" t="s">
        <v>1551</v>
      </c>
      <c r="C24" s="82" t="str">
        <f t="shared" si="0"/>
        <v>OralCavitySubsite</v>
      </c>
      <c r="D24" s="82" t="str">
        <f t="array" ref="D24">"CUS_"&amp;C24</f>
        <v>CUS_OralCavitySubsite</v>
      </c>
      <c r="E24" s="82" t="s">
        <v>1568</v>
      </c>
      <c r="F24" s="82" t="s">
        <v>1569</v>
      </c>
      <c r="G24" s="82" t="s">
        <v>185</v>
      </c>
      <c r="H24" s="82" t="s">
        <v>201</v>
      </c>
      <c r="I24" s="82" t="s">
        <v>1553</v>
      </c>
      <c r="J24" s="96" t="s">
        <v>1570</v>
      </c>
      <c r="K24" s="82"/>
      <c r="L24" s="91" t="s">
        <v>1544</v>
      </c>
      <c r="M24" s="83"/>
      <c r="N24" s="83"/>
      <c r="O24" s="83"/>
      <c r="P24" s="83"/>
      <c r="Q24" s="83"/>
      <c r="R24" s="83"/>
      <c r="S24" s="83"/>
      <c r="T24" s="83"/>
      <c r="U24" s="83"/>
      <c r="V24" s="83"/>
      <c r="W24" s="83"/>
      <c r="X24" s="83"/>
      <c r="Y24" s="83"/>
      <c r="Z24" s="83"/>
    </row>
    <row r="25" spans="1:26" ht="65.25" customHeight="1">
      <c r="A25" s="81" t="s">
        <v>1571</v>
      </c>
      <c r="B25" s="82" t="s">
        <v>1551</v>
      </c>
      <c r="C25" s="82" t="str">
        <f t="shared" si="0"/>
        <v>LipSubsite</v>
      </c>
      <c r="D25" s="82" t="str">
        <f t="array" ref="D25">"CUS_"&amp;C25</f>
        <v>CUS_LipSubsite</v>
      </c>
      <c r="E25" s="82" t="s">
        <v>1571</v>
      </c>
      <c r="F25" s="82" t="s">
        <v>1572</v>
      </c>
      <c r="G25" s="82" t="s">
        <v>185</v>
      </c>
      <c r="H25" s="82" t="s">
        <v>201</v>
      </c>
      <c r="I25" s="82" t="s">
        <v>1553</v>
      </c>
      <c r="J25" s="96" t="s">
        <v>1573</v>
      </c>
      <c r="K25" s="82"/>
      <c r="L25" s="91" t="s">
        <v>1544</v>
      </c>
      <c r="M25" s="83"/>
      <c r="N25" s="83"/>
      <c r="O25" s="83"/>
      <c r="P25" s="83"/>
      <c r="Q25" s="83"/>
      <c r="R25" s="83"/>
      <c r="S25" s="83"/>
      <c r="T25" s="83"/>
      <c r="U25" s="83"/>
      <c r="V25" s="83"/>
      <c r="W25" s="83"/>
      <c r="X25" s="83"/>
      <c r="Y25" s="83"/>
      <c r="Z25" s="83"/>
    </row>
    <row r="26" spans="1:26" ht="65.25" customHeight="1">
      <c r="A26" s="81" t="s">
        <v>1574</v>
      </c>
      <c r="B26" s="82" t="s">
        <v>1484</v>
      </c>
      <c r="C26" s="82" t="str">
        <f t="shared" si="0"/>
        <v>PlasmaticEbvDnaAtBaseline</v>
      </c>
      <c r="D26" s="82" t="str">
        <f t="array" ref="D26">"CUS_"&amp;C26</f>
        <v>CUS_PlasmaticEbvDnaAtBaseline</v>
      </c>
      <c r="E26" s="82" t="s">
        <v>1574</v>
      </c>
      <c r="F26" s="82" t="s">
        <v>1575</v>
      </c>
      <c r="G26" s="82" t="s">
        <v>185</v>
      </c>
      <c r="H26" s="82" t="s">
        <v>201</v>
      </c>
      <c r="I26" s="82" t="s">
        <v>1576</v>
      </c>
      <c r="J26" s="82" t="s">
        <v>1577</v>
      </c>
      <c r="K26" s="82"/>
      <c r="L26" s="83"/>
      <c r="M26" s="83"/>
      <c r="N26" s="83"/>
      <c r="O26" s="83"/>
      <c r="P26" s="83"/>
      <c r="Q26" s="83"/>
      <c r="R26" s="83"/>
      <c r="S26" s="83"/>
      <c r="T26" s="83"/>
      <c r="U26" s="83"/>
      <c r="V26" s="83"/>
      <c r="W26" s="83"/>
      <c r="X26" s="83"/>
      <c r="Y26" s="83"/>
      <c r="Z26" s="83"/>
    </row>
    <row r="27" spans="1:26" ht="65.25" customHeight="1">
      <c r="A27" s="81" t="s">
        <v>1578</v>
      </c>
      <c r="B27" s="82" t="s">
        <v>1484</v>
      </c>
      <c r="C27" s="82" t="str">
        <f t="shared" si="0"/>
        <v>PrimerType</v>
      </c>
      <c r="D27" s="82" t="str">
        <f t="array" ref="D27">"CUS_"&amp;C27</f>
        <v>CUS_PrimerType</v>
      </c>
      <c r="E27" s="82" t="s">
        <v>1578</v>
      </c>
      <c r="F27" s="82" t="s">
        <v>1579</v>
      </c>
      <c r="G27" s="82" t="s">
        <v>185</v>
      </c>
      <c r="H27" s="82" t="s">
        <v>201</v>
      </c>
      <c r="I27" s="82" t="s">
        <v>1580</v>
      </c>
      <c r="J27" s="82" t="s">
        <v>1581</v>
      </c>
      <c r="K27" s="82"/>
      <c r="L27" s="83"/>
      <c r="M27" s="83"/>
      <c r="N27" s="83"/>
      <c r="O27" s="83"/>
      <c r="P27" s="83"/>
      <c r="Q27" s="83"/>
      <c r="R27" s="83"/>
      <c r="S27" s="83"/>
      <c r="T27" s="83"/>
      <c r="U27" s="83"/>
      <c r="V27" s="83"/>
      <c r="W27" s="83"/>
      <c r="X27" s="83"/>
      <c r="Y27" s="83"/>
      <c r="Z27" s="83"/>
    </row>
    <row r="28" spans="1:26" ht="65.25" customHeight="1">
      <c r="A28" s="97" t="s">
        <v>1582</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1484</v>
      </c>
      <c r="C29" s="82" t="str">
        <f t="shared" si="0"/>
        <v>CopyNumber</v>
      </c>
      <c r="D29" s="82" t="str">
        <f t="array" ref="D29">"CUS_"&amp;C29</f>
        <v>CUS_CopyNumber</v>
      </c>
      <c r="E29" s="82" t="s">
        <v>866</v>
      </c>
      <c r="F29" s="82" t="s">
        <v>1583</v>
      </c>
      <c r="G29" s="82" t="s">
        <v>344</v>
      </c>
      <c r="H29" s="82" t="s">
        <v>201</v>
      </c>
      <c r="I29" s="82" t="s">
        <v>1584</v>
      </c>
      <c r="J29" s="82" t="s">
        <v>344</v>
      </c>
      <c r="K29" s="82"/>
      <c r="L29" s="83"/>
      <c r="M29" s="83"/>
      <c r="N29" s="83"/>
      <c r="O29" s="83"/>
      <c r="P29" s="83"/>
      <c r="Q29" s="83"/>
      <c r="R29" s="83"/>
      <c r="S29" s="83"/>
      <c r="T29" s="83"/>
      <c r="U29" s="83"/>
      <c r="V29" s="83"/>
      <c r="W29" s="83"/>
      <c r="X29" s="83"/>
      <c r="Y29" s="83"/>
      <c r="Z29" s="83"/>
    </row>
    <row r="30" spans="1:26" ht="65.25" customHeight="1">
      <c r="A30" s="81" t="s">
        <v>1585</v>
      </c>
      <c r="B30" s="82" t="s">
        <v>1484</v>
      </c>
      <c r="C30" s="82" t="str">
        <f t="shared" si="0"/>
        <v>HpvStatus</v>
      </c>
      <c r="D30" s="82" t="str">
        <f t="array" ref="D30">"CUS_"&amp;C30</f>
        <v>CUS_HpvStatus</v>
      </c>
      <c r="E30" s="82" t="s">
        <v>1585</v>
      </c>
      <c r="F30" s="82" t="s">
        <v>1586</v>
      </c>
      <c r="G30" s="82" t="s">
        <v>185</v>
      </c>
      <c r="H30" s="82" t="s">
        <v>201</v>
      </c>
      <c r="I30" s="82" t="s">
        <v>1587</v>
      </c>
      <c r="J30" s="82" t="s">
        <v>1588</v>
      </c>
      <c r="K30" s="82"/>
      <c r="L30" s="83"/>
      <c r="M30" s="83"/>
      <c r="N30" s="83"/>
      <c r="O30" s="83"/>
      <c r="P30" s="83"/>
      <c r="Q30" s="83"/>
      <c r="R30" s="83"/>
      <c r="S30" s="83"/>
      <c r="T30" s="83"/>
      <c r="U30" s="83"/>
      <c r="V30" s="83"/>
      <c r="W30" s="83"/>
      <c r="X30" s="83"/>
      <c r="Y30" s="83"/>
      <c r="Z30" s="83"/>
    </row>
    <row r="31" spans="1:26" ht="65.25" customHeight="1">
      <c r="A31" s="81" t="s">
        <v>1589</v>
      </c>
      <c r="B31" s="82" t="s">
        <v>1484</v>
      </c>
      <c r="C31" s="82" t="str">
        <f t="shared" si="0"/>
        <v>HpvStatusDetectedBy</v>
      </c>
      <c r="D31" s="82" t="str">
        <f t="array" ref="D31">"CUS_"&amp;C31</f>
        <v>CUS_HpvStatusDetectedBy</v>
      </c>
      <c r="E31" s="82" t="s">
        <v>1590</v>
      </c>
      <c r="F31" s="82" t="s">
        <v>1591</v>
      </c>
      <c r="G31" s="82" t="s">
        <v>185</v>
      </c>
      <c r="H31" s="82" t="s">
        <v>201</v>
      </c>
      <c r="I31" s="82" t="s">
        <v>1592</v>
      </c>
      <c r="J31" s="82" t="s">
        <v>1593</v>
      </c>
      <c r="K31" s="82"/>
      <c r="L31" s="83"/>
      <c r="M31" s="83"/>
      <c r="N31" s="83"/>
      <c r="O31" s="83"/>
      <c r="P31" s="83"/>
      <c r="Q31" s="83"/>
      <c r="R31" s="83"/>
      <c r="S31" s="83"/>
      <c r="T31" s="83"/>
      <c r="U31" s="83"/>
      <c r="V31" s="83"/>
      <c r="W31" s="83"/>
      <c r="X31" s="83"/>
      <c r="Y31" s="83"/>
      <c r="Z31" s="83"/>
    </row>
    <row r="32" spans="1:26" ht="65.25" customHeight="1">
      <c r="A32" s="81" t="s">
        <v>1594</v>
      </c>
      <c r="B32" s="82" t="s">
        <v>1484</v>
      </c>
      <c r="C32" s="82" t="str">
        <f t="shared" si="0"/>
        <v>P16</v>
      </c>
      <c r="D32" s="82" t="str">
        <f t="array" ref="D32">"CUS_"&amp;C32</f>
        <v>CUS_P16</v>
      </c>
      <c r="E32" s="82" t="s">
        <v>1594</v>
      </c>
      <c r="F32" s="82" t="s">
        <v>1595</v>
      </c>
      <c r="G32" s="82" t="s">
        <v>185</v>
      </c>
      <c r="H32" s="82" t="s">
        <v>201</v>
      </c>
      <c r="I32" s="82" t="s">
        <v>1587</v>
      </c>
      <c r="J32" s="82" t="s">
        <v>1596</v>
      </c>
      <c r="K32" s="82"/>
      <c r="L32" s="83"/>
      <c r="M32" s="83"/>
      <c r="N32" s="83"/>
      <c r="O32" s="83"/>
      <c r="P32" s="83"/>
      <c r="Q32" s="83"/>
      <c r="R32" s="83"/>
      <c r="S32" s="83"/>
      <c r="T32" s="83"/>
      <c r="U32" s="83"/>
      <c r="V32" s="83"/>
      <c r="W32" s="83"/>
      <c r="X32" s="83"/>
      <c r="Y32" s="83"/>
      <c r="Z32" s="83"/>
    </row>
    <row r="33" spans="1:26" ht="65.25" customHeight="1">
      <c r="A33" s="81" t="s">
        <v>1597</v>
      </c>
      <c r="B33" s="82" t="s">
        <v>1484</v>
      </c>
      <c r="C33" s="82" t="str">
        <f t="shared" si="0"/>
        <v>Pd-L1</v>
      </c>
      <c r="D33" s="82" t="str">
        <f t="array" ref="D33">"CUS_"&amp;C33</f>
        <v>CUS_Pd-L1</v>
      </c>
      <c r="E33" s="82" t="s">
        <v>1597</v>
      </c>
      <c r="F33" s="82" t="s">
        <v>1598</v>
      </c>
      <c r="G33" s="82" t="s">
        <v>185</v>
      </c>
      <c r="H33" s="82" t="s">
        <v>201</v>
      </c>
      <c r="I33" s="82" t="s">
        <v>1587</v>
      </c>
      <c r="J33" s="82" t="s">
        <v>1599</v>
      </c>
      <c r="K33" s="82"/>
      <c r="L33" s="83"/>
      <c r="M33" s="83"/>
      <c r="N33" s="83"/>
      <c r="O33" s="83"/>
      <c r="P33" s="83"/>
      <c r="Q33" s="83"/>
      <c r="R33" s="83"/>
      <c r="S33" s="83"/>
      <c r="T33" s="83"/>
      <c r="U33" s="83"/>
      <c r="V33" s="83"/>
      <c r="W33" s="83"/>
      <c r="X33" s="83"/>
      <c r="Y33" s="83"/>
      <c r="Z33" s="83"/>
    </row>
    <row r="34" spans="1:26" ht="65.25" customHeight="1">
      <c r="A34" s="81" t="s">
        <v>1600</v>
      </c>
      <c r="B34" s="82" t="s">
        <v>1484</v>
      </c>
      <c r="C34" s="82" t="str">
        <f t="shared" si="0"/>
        <v>Pd-L1Method</v>
      </c>
      <c r="D34" s="82" t="str">
        <f t="array" ref="D34">"CUS_"&amp;C34</f>
        <v>CUS_Pd-L1Method</v>
      </c>
      <c r="E34" s="82" t="s">
        <v>1600</v>
      </c>
      <c r="F34" s="82" t="s">
        <v>1601</v>
      </c>
      <c r="G34" s="82" t="s">
        <v>185</v>
      </c>
      <c r="H34" s="82" t="s">
        <v>201</v>
      </c>
      <c r="I34" s="82" t="s">
        <v>1592</v>
      </c>
      <c r="J34" s="82" t="s">
        <v>1602</v>
      </c>
      <c r="K34" s="82"/>
      <c r="L34" s="83"/>
      <c r="M34" s="83"/>
      <c r="N34" s="83"/>
      <c r="O34" s="83"/>
      <c r="P34" s="83"/>
      <c r="Q34" s="83"/>
      <c r="R34" s="83"/>
      <c r="S34" s="83"/>
      <c r="T34" s="83"/>
      <c r="U34" s="83"/>
      <c r="V34" s="83"/>
      <c r="W34" s="83"/>
      <c r="X34" s="83"/>
      <c r="Y34" s="83"/>
      <c r="Z34" s="83"/>
    </row>
    <row r="35" spans="1:26" ht="65.25" customHeight="1">
      <c r="A35" s="81" t="s">
        <v>1603</v>
      </c>
      <c r="B35" s="82" t="s">
        <v>1484</v>
      </c>
      <c r="C35" s="82" t="str">
        <f t="shared" si="0"/>
        <v>Pd-L1CpsValue</v>
      </c>
      <c r="D35" s="82" t="str">
        <f t="array" ref="D35">"CUS_"&amp;C35</f>
        <v>CUS_Pd-L1CpsValue</v>
      </c>
      <c r="E35" s="82" t="s">
        <v>1604</v>
      </c>
      <c r="F35" s="82" t="s">
        <v>1605</v>
      </c>
      <c r="G35" s="82" t="s">
        <v>344</v>
      </c>
      <c r="H35" s="82" t="s">
        <v>201</v>
      </c>
      <c r="I35" s="82" t="s">
        <v>1606</v>
      </c>
      <c r="J35" s="82" t="s">
        <v>80</v>
      </c>
      <c r="K35" s="82"/>
      <c r="L35" s="83"/>
      <c r="M35" s="83"/>
      <c r="N35" s="83"/>
      <c r="O35" s="83"/>
      <c r="P35" s="83"/>
      <c r="Q35" s="83"/>
      <c r="R35" s="83"/>
      <c r="S35" s="83"/>
      <c r="T35" s="83"/>
      <c r="U35" s="83"/>
      <c r="V35" s="83"/>
      <c r="W35" s="83"/>
      <c r="X35" s="83"/>
      <c r="Y35" s="83"/>
      <c r="Z35" s="83"/>
    </row>
    <row r="36" spans="1:26" ht="65.25" customHeight="1">
      <c r="A36" s="81" t="s">
        <v>1607</v>
      </c>
      <c r="B36" s="82" t="s">
        <v>1484</v>
      </c>
      <c r="C36" s="82" t="str">
        <f t="shared" si="0"/>
        <v>Pd-L1TpsValue</v>
      </c>
      <c r="D36" s="82" t="str">
        <f t="array" ref="D36">"CUS_"&amp;C36</f>
        <v>CUS_Pd-L1TpsValue</v>
      </c>
      <c r="E36" s="82" t="s">
        <v>1608</v>
      </c>
      <c r="F36" s="82" t="s">
        <v>1609</v>
      </c>
      <c r="G36" s="82" t="s">
        <v>344</v>
      </c>
      <c r="H36" s="82" t="s">
        <v>201</v>
      </c>
      <c r="I36" s="82" t="s">
        <v>1610</v>
      </c>
      <c r="J36" s="82" t="s">
        <v>80</v>
      </c>
      <c r="K36" s="82"/>
      <c r="L36" s="83"/>
      <c r="M36" s="83"/>
      <c r="N36" s="83"/>
      <c r="O36" s="83"/>
      <c r="P36" s="83"/>
      <c r="Q36" s="83"/>
      <c r="R36" s="83"/>
      <c r="S36" s="83"/>
      <c r="T36" s="83"/>
      <c r="U36" s="83"/>
      <c r="V36" s="83"/>
      <c r="W36" s="83"/>
      <c r="X36" s="83"/>
      <c r="Y36" s="83"/>
      <c r="Z36" s="83"/>
    </row>
    <row r="37" spans="1:26" ht="65.25" customHeight="1">
      <c r="A37" s="81" t="s">
        <v>1611</v>
      </c>
      <c r="B37" s="82"/>
      <c r="C37" s="82" t="str">
        <f t="shared" si="0"/>
        <v>Crp–CReactiveProteinTested</v>
      </c>
      <c r="D37" s="82" t="str">
        <f t="array" ref="D37">"CUS_"&amp;C37</f>
        <v>CUS_Crp–CReactiveProteinTested</v>
      </c>
      <c r="E37" s="82" t="s">
        <v>1611</v>
      </c>
      <c r="F37" s="82" t="s">
        <v>1612</v>
      </c>
      <c r="G37" s="82" t="s">
        <v>185</v>
      </c>
      <c r="H37" s="82" t="s">
        <v>201</v>
      </c>
      <c r="I37" s="82" t="s">
        <v>1587</v>
      </c>
      <c r="J37" s="82" t="s">
        <v>1596</v>
      </c>
      <c r="K37" s="82"/>
      <c r="L37" s="83"/>
      <c r="M37" s="83"/>
      <c r="N37" s="83"/>
      <c r="O37" s="83"/>
      <c r="P37" s="83"/>
      <c r="Q37" s="83"/>
      <c r="R37" s="83"/>
      <c r="S37" s="83"/>
      <c r="T37" s="83"/>
      <c r="U37" s="83"/>
      <c r="V37" s="83"/>
      <c r="W37" s="83"/>
      <c r="X37" s="83"/>
      <c r="Y37" s="83"/>
      <c r="Z37" s="83"/>
    </row>
    <row r="38" spans="1:26" ht="65.25" customHeight="1">
      <c r="A38" s="81" t="s">
        <v>1613</v>
      </c>
      <c r="B38" s="82"/>
      <c r="C38" s="82" t="str">
        <f t="shared" si="0"/>
        <v>CReactiveProtein-Crp(Mg/Dl)</v>
      </c>
      <c r="D38" s="82" t="str">
        <f t="array" ref="D38">"CUS_"&amp;C38</f>
        <v>CUS_CReactiveProtein-Crp(Mg/Dl)</v>
      </c>
      <c r="E38" s="82" t="s">
        <v>1613</v>
      </c>
      <c r="F38" s="82" t="s">
        <v>1614</v>
      </c>
      <c r="G38" s="82" t="s">
        <v>185</v>
      </c>
      <c r="H38" s="82" t="s">
        <v>201</v>
      </c>
      <c r="I38" s="82" t="s">
        <v>1615</v>
      </c>
      <c r="J38" s="82" t="s">
        <v>80</v>
      </c>
      <c r="K38" s="82"/>
      <c r="L38" s="83"/>
      <c r="M38" s="83"/>
      <c r="N38" s="83"/>
      <c r="O38" s="83"/>
      <c r="P38" s="83"/>
      <c r="Q38" s="83"/>
      <c r="R38" s="83"/>
      <c r="S38" s="83"/>
      <c r="T38" s="83"/>
      <c r="U38" s="83"/>
      <c r="V38" s="83"/>
      <c r="W38" s="83"/>
      <c r="X38" s="83"/>
      <c r="Y38" s="83"/>
      <c r="Z38" s="83"/>
    </row>
    <row r="39" spans="1:26" ht="65.25" customHeight="1">
      <c r="A39" s="81" t="s">
        <v>1616</v>
      </c>
      <c r="B39" s="82"/>
      <c r="C39" s="82" t="str">
        <f t="shared" si="0"/>
        <v>InstrumentStatus</v>
      </c>
      <c r="D39" s="82" t="str">
        <f t="array" ref="D39">"CUS_"&amp;C39</f>
        <v>CUS_InstrumentStatus</v>
      </c>
      <c r="E39" s="82" t="s">
        <v>1616</v>
      </c>
      <c r="F39" s="82" t="s">
        <v>152</v>
      </c>
      <c r="G39" s="82" t="s">
        <v>1617</v>
      </c>
      <c r="H39" s="82" t="s">
        <v>201</v>
      </c>
      <c r="I39" s="82" t="s">
        <v>1618</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0" t="s">
        <v>23</v>
      </c>
      <c r="B1" s="160"/>
      <c r="C1" s="160"/>
      <c r="D1" s="160"/>
      <c r="E1" s="160"/>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1" t="s">
        <v>120</v>
      </c>
      <c r="E24" s="30" t="s">
        <v>41</v>
      </c>
      <c r="F24" s="30" t="s">
        <v>118</v>
      </c>
      <c r="G24" s="30" t="s">
        <v>48</v>
      </c>
      <c r="H24" s="31" t="s">
        <v>37</v>
      </c>
    </row>
    <row r="25" spans="1:9" ht="42">
      <c r="A25" s="33" t="s">
        <v>121</v>
      </c>
      <c r="B25" s="30" t="s">
        <v>39</v>
      </c>
      <c r="C25" s="161"/>
      <c r="E25" s="30" t="s">
        <v>41</v>
      </c>
      <c r="F25" s="30" t="s">
        <v>118</v>
      </c>
      <c r="G25" s="30" t="s">
        <v>48</v>
      </c>
      <c r="H25" s="31" t="s">
        <v>37</v>
      </c>
      <c r="I25" s="42"/>
    </row>
    <row r="26" spans="1:9" ht="42">
      <c r="A26" s="33" t="s">
        <v>122</v>
      </c>
      <c r="B26" s="30" t="s">
        <v>39</v>
      </c>
      <c r="C26" s="161"/>
      <c r="E26" s="30" t="s">
        <v>41</v>
      </c>
      <c r="F26" s="30" t="s">
        <v>118</v>
      </c>
      <c r="G26" s="30" t="s">
        <v>48</v>
      </c>
      <c r="H26" s="31" t="s">
        <v>37</v>
      </c>
    </row>
    <row r="27" spans="1:9" ht="42">
      <c r="A27" s="33" t="s">
        <v>123</v>
      </c>
      <c r="B27" s="30" t="s">
        <v>39</v>
      </c>
      <c r="C27" s="161"/>
      <c r="E27" s="30" t="s">
        <v>41</v>
      </c>
      <c r="F27" s="30" t="s">
        <v>118</v>
      </c>
      <c r="G27" s="30" t="s">
        <v>48</v>
      </c>
      <c r="H27" s="31" t="s">
        <v>37</v>
      </c>
    </row>
    <row r="28" spans="1:9" ht="42">
      <c r="A28" s="33" t="s">
        <v>124</v>
      </c>
      <c r="B28" s="30" t="s">
        <v>39</v>
      </c>
      <c r="C28" s="161"/>
      <c r="E28" s="30" t="s">
        <v>41</v>
      </c>
      <c r="F28" s="30" t="s">
        <v>118</v>
      </c>
      <c r="G28" s="30" t="s">
        <v>48</v>
      </c>
      <c r="H28" s="31" t="s">
        <v>37</v>
      </c>
    </row>
    <row r="29" spans="1:9" ht="42">
      <c r="A29" s="33" t="s">
        <v>125</v>
      </c>
      <c r="B29" s="30" t="s">
        <v>39</v>
      </c>
      <c r="C29" s="161"/>
      <c r="E29" s="30" t="s">
        <v>41</v>
      </c>
      <c r="F29" s="30" t="s">
        <v>118</v>
      </c>
      <c r="G29" s="30" t="s">
        <v>48</v>
      </c>
      <c r="H29" s="31" t="s">
        <v>37</v>
      </c>
    </row>
    <row r="30" spans="1:9" ht="42">
      <c r="A30" s="33" t="s">
        <v>126</v>
      </c>
      <c r="B30" s="30" t="s">
        <v>39</v>
      </c>
      <c r="C30" s="161"/>
      <c r="E30" s="30" t="s">
        <v>41</v>
      </c>
      <c r="F30" s="30" t="s">
        <v>118</v>
      </c>
      <c r="G30" s="30" t="s">
        <v>48</v>
      </c>
      <c r="H30" s="31" t="s">
        <v>37</v>
      </c>
    </row>
    <row r="31" spans="1:9" ht="42">
      <c r="A31" s="33" t="s">
        <v>127</v>
      </c>
      <c r="B31" s="30" t="s">
        <v>39</v>
      </c>
      <c r="C31" s="161"/>
      <c r="E31" s="30" t="s">
        <v>41</v>
      </c>
      <c r="F31" s="30" t="s">
        <v>118</v>
      </c>
      <c r="G31" s="30" t="s">
        <v>48</v>
      </c>
      <c r="H31" s="31" t="s">
        <v>37</v>
      </c>
    </row>
    <row r="32" spans="1:9" ht="42">
      <c r="A32" s="33" t="s">
        <v>128</v>
      </c>
      <c r="B32" s="30" t="s">
        <v>39</v>
      </c>
      <c r="C32" s="161"/>
      <c r="E32" s="30" t="s">
        <v>41</v>
      </c>
      <c r="F32" s="30" t="s">
        <v>118</v>
      </c>
      <c r="G32" s="30" t="s">
        <v>48</v>
      </c>
      <c r="H32" s="31" t="s">
        <v>37</v>
      </c>
    </row>
    <row r="33" spans="1:9" ht="42">
      <c r="A33" s="33" t="s">
        <v>129</v>
      </c>
      <c r="B33" s="30" t="s">
        <v>39</v>
      </c>
      <c r="C33" s="161"/>
      <c r="E33" s="30" t="s">
        <v>41</v>
      </c>
      <c r="F33" s="30" t="s">
        <v>118</v>
      </c>
      <c r="G33" s="30" t="s">
        <v>48</v>
      </c>
      <c r="H33" s="31" t="s">
        <v>37</v>
      </c>
    </row>
    <row r="34" spans="1:9" ht="42">
      <c r="A34" s="33" t="s">
        <v>130</v>
      </c>
      <c r="B34" s="30" t="s">
        <v>39</v>
      </c>
      <c r="C34" s="161"/>
      <c r="E34" s="30" t="s">
        <v>41</v>
      </c>
      <c r="F34" s="30" t="s">
        <v>118</v>
      </c>
      <c r="G34" s="30" t="s">
        <v>48</v>
      </c>
      <c r="H34" s="31" t="s">
        <v>37</v>
      </c>
    </row>
    <row r="35" spans="1:9" ht="42">
      <c r="A35" s="33" t="s">
        <v>131</v>
      </c>
      <c r="B35" s="30" t="s">
        <v>39</v>
      </c>
      <c r="C35" s="161"/>
      <c r="E35" s="30" t="s">
        <v>41</v>
      </c>
      <c r="F35" s="30" t="s">
        <v>118</v>
      </c>
      <c r="G35" s="30" t="s">
        <v>48</v>
      </c>
      <c r="H35" s="31" t="s">
        <v>37</v>
      </c>
    </row>
    <row r="36" spans="1:9" ht="42">
      <c r="A36" s="33" t="s">
        <v>132</v>
      </c>
      <c r="B36" s="30" t="s">
        <v>39</v>
      </c>
      <c r="C36" s="161"/>
      <c r="E36" s="30" t="s">
        <v>41</v>
      </c>
      <c r="F36" s="30" t="s">
        <v>118</v>
      </c>
      <c r="G36" s="30" t="s">
        <v>48</v>
      </c>
      <c r="H36" s="31" t="s">
        <v>37</v>
      </c>
    </row>
    <row r="37" spans="1:9" ht="42">
      <c r="A37" s="33" t="s">
        <v>133</v>
      </c>
      <c r="B37" s="30" t="s">
        <v>39</v>
      </c>
      <c r="C37" s="161"/>
      <c r="E37" s="30" t="s">
        <v>41</v>
      </c>
      <c r="F37" s="30" t="s">
        <v>118</v>
      </c>
      <c r="G37" s="30" t="s">
        <v>48</v>
      </c>
      <c r="H37" s="31" t="s">
        <v>37</v>
      </c>
    </row>
    <row r="38" spans="1:9" ht="42">
      <c r="A38" s="33" t="s">
        <v>134</v>
      </c>
      <c r="B38" s="30" t="s">
        <v>39</v>
      </c>
      <c r="C38" s="161"/>
      <c r="E38" s="30" t="s">
        <v>41</v>
      </c>
      <c r="F38" s="30" t="s">
        <v>118</v>
      </c>
      <c r="G38" s="30" t="s">
        <v>48</v>
      </c>
      <c r="H38" s="31" t="s">
        <v>37</v>
      </c>
    </row>
    <row r="39" spans="1:9" ht="42">
      <c r="A39" s="33" t="s">
        <v>135</v>
      </c>
      <c r="B39" s="30" t="s">
        <v>39</v>
      </c>
      <c r="C39" s="161"/>
      <c r="E39" s="30" t="s">
        <v>41</v>
      </c>
      <c r="F39" s="30" t="s">
        <v>118</v>
      </c>
      <c r="G39" s="30" t="s">
        <v>48</v>
      </c>
      <c r="H39" s="31" t="s">
        <v>37</v>
      </c>
    </row>
    <row r="40" spans="1:9" ht="42">
      <c r="A40" s="33" t="s">
        <v>136</v>
      </c>
      <c r="B40" s="30" t="s">
        <v>39</v>
      </c>
      <c r="C40" s="161"/>
      <c r="E40" s="30" t="s">
        <v>41</v>
      </c>
      <c r="F40" s="30" t="s">
        <v>118</v>
      </c>
      <c r="G40" s="30" t="s">
        <v>48</v>
      </c>
      <c r="H40" s="31" t="s">
        <v>37</v>
      </c>
    </row>
    <row r="41" spans="1:9" ht="42">
      <c r="A41" s="33" t="s">
        <v>137</v>
      </c>
      <c r="B41" s="30" t="s">
        <v>39</v>
      </c>
      <c r="C41" s="161"/>
      <c r="E41" s="30" t="s">
        <v>41</v>
      </c>
      <c r="F41" s="30" t="s">
        <v>118</v>
      </c>
      <c r="G41" s="30" t="s">
        <v>48</v>
      </c>
      <c r="H41" s="31" t="s">
        <v>37</v>
      </c>
    </row>
    <row r="42" spans="1:9" ht="42">
      <c r="A42" s="33" t="s">
        <v>138</v>
      </c>
      <c r="B42" s="30" t="s">
        <v>39</v>
      </c>
      <c r="C42" s="161"/>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B27" sqref="B27:H31"/>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2220</v>
      </c>
      <c r="B1" s="100" t="s">
        <v>2219</v>
      </c>
      <c r="C1" s="100" t="s">
        <v>2218</v>
      </c>
      <c r="D1" s="100" t="s">
        <v>4</v>
      </c>
      <c r="E1" s="100" t="s">
        <v>7</v>
      </c>
      <c r="F1" s="100" t="s">
        <v>1480</v>
      </c>
      <c r="G1" s="100" t="s">
        <v>2217</v>
      </c>
      <c r="H1" s="100" t="s">
        <v>5</v>
      </c>
      <c r="I1" s="100" t="s">
        <v>6</v>
      </c>
    </row>
    <row r="2" spans="1:11">
      <c r="A2">
        <v>0</v>
      </c>
      <c r="B2" t="s">
        <v>2216</v>
      </c>
      <c r="C2" t="s">
        <v>14</v>
      </c>
      <c r="D2" t="s">
        <v>2215</v>
      </c>
      <c r="E2" t="s">
        <v>2214</v>
      </c>
      <c r="F2" t="s">
        <v>2213</v>
      </c>
      <c r="H2">
        <v>1</v>
      </c>
      <c r="I2">
        <v>1</v>
      </c>
      <c r="K2" s="117"/>
    </row>
    <row r="3" spans="1:11">
      <c r="A3">
        <v>1</v>
      </c>
      <c r="B3" t="s">
        <v>2212</v>
      </c>
      <c r="C3" t="s">
        <v>1483</v>
      </c>
      <c r="D3" t="s">
        <v>1486</v>
      </c>
      <c r="E3" t="s">
        <v>209</v>
      </c>
      <c r="F3" t="s">
        <v>213</v>
      </c>
      <c r="H3">
        <v>1</v>
      </c>
      <c r="I3">
        <v>1</v>
      </c>
    </row>
    <row r="4" spans="1:11">
      <c r="A4">
        <v>2</v>
      </c>
      <c r="B4" t="s">
        <v>2211</v>
      </c>
      <c r="C4" t="s">
        <v>1490</v>
      </c>
      <c r="D4" t="s">
        <v>2210</v>
      </c>
      <c r="E4" t="s">
        <v>2209</v>
      </c>
      <c r="F4" t="s">
        <v>2208</v>
      </c>
      <c r="H4">
        <v>1</v>
      </c>
      <c r="I4">
        <v>1</v>
      </c>
    </row>
    <row r="5" spans="1:11">
      <c r="A5">
        <v>3</v>
      </c>
      <c r="B5" t="s">
        <v>2207</v>
      </c>
      <c r="C5" t="s">
        <v>1494</v>
      </c>
      <c r="D5" t="s">
        <v>1495</v>
      </c>
      <c r="E5" t="s">
        <v>1496</v>
      </c>
      <c r="F5" t="s">
        <v>1499</v>
      </c>
      <c r="H5">
        <v>1</v>
      </c>
      <c r="I5">
        <v>1</v>
      </c>
    </row>
    <row r="6" spans="1:11">
      <c r="A6">
        <v>4</v>
      </c>
      <c r="B6" t="s">
        <v>2206</v>
      </c>
      <c r="C6" t="s">
        <v>2205</v>
      </c>
      <c r="D6" t="s">
        <v>2204</v>
      </c>
      <c r="E6" t="s">
        <v>275</v>
      </c>
      <c r="F6" t="s">
        <v>2203</v>
      </c>
      <c r="G6" t="s">
        <v>2203</v>
      </c>
      <c r="H6">
        <v>0</v>
      </c>
      <c r="I6">
        <v>1</v>
      </c>
    </row>
    <row r="7" spans="1:11">
      <c r="A7">
        <v>5</v>
      </c>
      <c r="B7" t="s">
        <v>2202</v>
      </c>
      <c r="C7" t="s">
        <v>1500</v>
      </c>
      <c r="D7" t="s">
        <v>1502</v>
      </c>
      <c r="E7" t="s">
        <v>275</v>
      </c>
      <c r="F7" t="s">
        <v>2201</v>
      </c>
      <c r="G7" t="s">
        <v>2200</v>
      </c>
      <c r="H7">
        <v>1</v>
      </c>
      <c r="I7">
        <v>1</v>
      </c>
    </row>
    <row r="8" spans="1:11">
      <c r="A8">
        <v>7</v>
      </c>
      <c r="B8" t="s">
        <v>2199</v>
      </c>
      <c r="C8" t="s">
        <v>1510</v>
      </c>
      <c r="D8" t="s">
        <v>1511</v>
      </c>
      <c r="E8" t="s">
        <v>185</v>
      </c>
      <c r="F8" t="s">
        <v>2198</v>
      </c>
      <c r="G8" t="s">
        <v>2197</v>
      </c>
      <c r="H8">
        <v>1</v>
      </c>
      <c r="I8">
        <v>1</v>
      </c>
    </row>
    <row r="9" spans="1:11">
      <c r="A9">
        <v>8</v>
      </c>
      <c r="B9" t="s">
        <v>2196</v>
      </c>
      <c r="C9" t="s">
        <v>1516</v>
      </c>
      <c r="D9" t="s">
        <v>1517</v>
      </c>
      <c r="E9" t="s">
        <v>185</v>
      </c>
      <c r="F9" t="s">
        <v>2195</v>
      </c>
      <c r="G9" t="s">
        <v>2194</v>
      </c>
      <c r="H9">
        <v>1</v>
      </c>
      <c r="I9">
        <v>1</v>
      </c>
    </row>
    <row r="10" spans="1:11">
      <c r="A10">
        <v>9</v>
      </c>
      <c r="B10" t="s">
        <v>2193</v>
      </c>
      <c r="C10" t="s">
        <v>1522</v>
      </c>
      <c r="D10" t="s">
        <v>1523</v>
      </c>
      <c r="E10" t="s">
        <v>185</v>
      </c>
      <c r="F10" t="s">
        <v>2192</v>
      </c>
      <c r="G10" t="s">
        <v>2191</v>
      </c>
      <c r="H10">
        <v>1</v>
      </c>
      <c r="I10">
        <v>1</v>
      </c>
    </row>
    <row r="11" spans="1:11">
      <c r="A11">
        <v>10</v>
      </c>
      <c r="B11" t="s">
        <v>2190</v>
      </c>
      <c r="C11" t="s">
        <v>1528</v>
      </c>
      <c r="D11" t="s">
        <v>1529</v>
      </c>
      <c r="E11" t="s">
        <v>185</v>
      </c>
      <c r="F11" t="s">
        <v>2189</v>
      </c>
      <c r="G11" t="s">
        <v>2188</v>
      </c>
      <c r="H11">
        <v>1</v>
      </c>
      <c r="I11">
        <v>1</v>
      </c>
    </row>
    <row r="12" spans="1:11">
      <c r="A12">
        <v>11</v>
      </c>
      <c r="B12" t="s">
        <v>2187</v>
      </c>
      <c r="C12" t="s">
        <v>1534</v>
      </c>
      <c r="D12" t="s">
        <v>1535</v>
      </c>
      <c r="E12" t="s">
        <v>185</v>
      </c>
      <c r="F12" t="s">
        <v>2186</v>
      </c>
      <c r="G12" t="s">
        <v>2185</v>
      </c>
      <c r="H12">
        <v>1</v>
      </c>
      <c r="I12">
        <v>1</v>
      </c>
    </row>
    <row r="13" spans="1:11">
      <c r="A13">
        <v>13</v>
      </c>
      <c r="B13" t="s">
        <v>2184</v>
      </c>
      <c r="C13" t="s">
        <v>1550</v>
      </c>
      <c r="D13" t="s">
        <v>1552</v>
      </c>
      <c r="E13" t="s">
        <v>185</v>
      </c>
      <c r="F13" t="s">
        <v>2183</v>
      </c>
      <c r="G13" t="s">
        <v>2182</v>
      </c>
      <c r="H13">
        <v>1</v>
      </c>
      <c r="I13">
        <v>1</v>
      </c>
    </row>
    <row r="14" spans="1:11">
      <c r="A14">
        <v>14</v>
      </c>
      <c r="B14" t="s">
        <v>2181</v>
      </c>
      <c r="C14" t="s">
        <v>1556</v>
      </c>
      <c r="D14" t="s">
        <v>1557</v>
      </c>
      <c r="E14" t="s">
        <v>185</v>
      </c>
      <c r="F14" t="s">
        <v>2180</v>
      </c>
      <c r="G14" t="s">
        <v>2179</v>
      </c>
      <c r="H14">
        <v>1</v>
      </c>
      <c r="I14">
        <v>1</v>
      </c>
    </row>
    <row r="15" spans="1:11">
      <c r="A15">
        <v>15</v>
      </c>
      <c r="B15" t="s">
        <v>2178</v>
      </c>
      <c r="C15" t="s">
        <v>1559</v>
      </c>
      <c r="D15" t="s">
        <v>1560</v>
      </c>
      <c r="E15" t="s">
        <v>185</v>
      </c>
      <c r="F15" t="s">
        <v>2177</v>
      </c>
      <c r="G15" t="s">
        <v>2176</v>
      </c>
      <c r="H15">
        <v>1</v>
      </c>
      <c r="I15">
        <v>1</v>
      </c>
    </row>
    <row r="16" spans="1:11">
      <c r="A16">
        <v>16</v>
      </c>
      <c r="B16" t="s">
        <v>2175</v>
      </c>
      <c r="C16" t="s">
        <v>1562</v>
      </c>
      <c r="D16" t="s">
        <v>1563</v>
      </c>
      <c r="E16" t="s">
        <v>185</v>
      </c>
      <c r="F16" t="s">
        <v>2174</v>
      </c>
      <c r="G16" t="s">
        <v>2173</v>
      </c>
      <c r="H16">
        <v>1</v>
      </c>
      <c r="I16">
        <v>1</v>
      </c>
    </row>
    <row r="17" spans="1:9">
      <c r="A17">
        <v>17</v>
      </c>
      <c r="B17" t="s">
        <v>2172</v>
      </c>
      <c r="C17" t="s">
        <v>1565</v>
      </c>
      <c r="D17" t="s">
        <v>1566</v>
      </c>
      <c r="E17" t="s">
        <v>185</v>
      </c>
      <c r="F17" t="s">
        <v>2171</v>
      </c>
      <c r="G17" t="s">
        <v>2170</v>
      </c>
      <c r="H17">
        <v>1</v>
      </c>
      <c r="I17">
        <v>1</v>
      </c>
    </row>
    <row r="18" spans="1:9">
      <c r="A18">
        <v>18</v>
      </c>
      <c r="B18" t="s">
        <v>2169</v>
      </c>
      <c r="C18" t="s">
        <v>1568</v>
      </c>
      <c r="D18" t="s">
        <v>1569</v>
      </c>
      <c r="E18" t="s">
        <v>185</v>
      </c>
      <c r="F18" t="s">
        <v>1570</v>
      </c>
      <c r="G18" t="s">
        <v>2168</v>
      </c>
      <c r="H18">
        <v>1</v>
      </c>
      <c r="I18">
        <v>1</v>
      </c>
    </row>
    <row r="19" spans="1:9">
      <c r="A19">
        <v>19</v>
      </c>
      <c r="B19" t="s">
        <v>2167</v>
      </c>
      <c r="C19" t="s">
        <v>1571</v>
      </c>
      <c r="D19" t="s">
        <v>1572</v>
      </c>
      <c r="E19" t="s">
        <v>185</v>
      </c>
      <c r="F19" t="s">
        <v>1573</v>
      </c>
      <c r="G19" t="s">
        <v>2166</v>
      </c>
      <c r="H19">
        <v>1</v>
      </c>
      <c r="I19">
        <v>1</v>
      </c>
    </row>
    <row r="20" spans="1:9">
      <c r="A20">
        <v>20</v>
      </c>
      <c r="B20" t="s">
        <v>2165</v>
      </c>
      <c r="C20" t="s">
        <v>1574</v>
      </c>
      <c r="D20" t="s">
        <v>1575</v>
      </c>
      <c r="E20" t="s">
        <v>185</v>
      </c>
      <c r="F20" t="s">
        <v>1577</v>
      </c>
      <c r="G20" t="s">
        <v>2162</v>
      </c>
      <c r="H20">
        <v>0</v>
      </c>
      <c r="I20">
        <v>1</v>
      </c>
    </row>
    <row r="21" spans="1:9">
      <c r="A21">
        <v>21</v>
      </c>
      <c r="B21" t="s">
        <v>2164</v>
      </c>
      <c r="C21" t="s">
        <v>1585</v>
      </c>
      <c r="D21" t="s">
        <v>1586</v>
      </c>
      <c r="E21" t="s">
        <v>185</v>
      </c>
      <c r="F21" t="s">
        <v>1588</v>
      </c>
      <c r="G21" t="s">
        <v>2162</v>
      </c>
      <c r="H21">
        <v>0</v>
      </c>
      <c r="I21">
        <v>1</v>
      </c>
    </row>
    <row r="22" spans="1:9">
      <c r="A22">
        <v>22</v>
      </c>
      <c r="B22" t="s">
        <v>2163</v>
      </c>
      <c r="C22" t="s">
        <v>1611</v>
      </c>
      <c r="D22" t="s">
        <v>1612</v>
      </c>
      <c r="E22" t="s">
        <v>185</v>
      </c>
      <c r="F22" t="s">
        <v>1596</v>
      </c>
      <c r="G22" t="s">
        <v>2162</v>
      </c>
      <c r="H22">
        <v>0</v>
      </c>
      <c r="I22">
        <v>1</v>
      </c>
    </row>
    <row r="27" spans="1:9">
      <c r="C27" s="9" t="s">
        <v>3</v>
      </c>
      <c r="D27" s="1" t="s">
        <v>4</v>
      </c>
      <c r="E27" s="3" t="s">
        <v>5</v>
      </c>
      <c r="F27" s="3" t="s">
        <v>6</v>
      </c>
      <c r="G27" s="3" t="s">
        <v>7</v>
      </c>
      <c r="H27" s="107" t="s">
        <v>1621</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3"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1623</v>
      </c>
      <c r="L1" s="23" t="s">
        <v>20</v>
      </c>
    </row>
    <row r="2" spans="1:12">
      <c r="J2" s="24" t="s">
        <v>19</v>
      </c>
      <c r="L2" s="24" t="s">
        <v>1622</v>
      </c>
    </row>
    <row r="3" spans="1:12" ht="17.75" customHeight="1" thickBot="1">
      <c r="J3" s="24" t="str">
        <f>J1</f>
        <v>//===================================================</v>
      </c>
      <c r="L3" s="24" t="str">
        <f>L1</f>
        <v>// -------------------------------------------------------------------------------</v>
      </c>
    </row>
    <row r="4" spans="1:12">
      <c r="A4" s="5" t="s">
        <v>11</v>
      </c>
      <c r="B4" s="45" t="s">
        <v>2243</v>
      </c>
      <c r="J4" s="16" t="str">
        <f>CONCATENATE("Logical: ",B4)</f>
        <v>Logical: CancerEpisodeI4rc</v>
      </c>
    </row>
    <row r="5" spans="1:12">
      <c r="A5" s="14" t="s">
        <v>16</v>
      </c>
      <c r="B5" s="46" t="s">
        <v>2244</v>
      </c>
      <c r="J5" s="16" t="str">
        <f>CONCATENATE("Id: ",B5)</f>
        <v>Id: CancerEpisode</v>
      </c>
    </row>
    <row r="6" spans="1:12">
      <c r="A6" s="14" t="s">
        <v>10</v>
      </c>
      <c r="B6" s="47" t="s">
        <v>2354</v>
      </c>
      <c r="J6" s="17" t="str">
        <f>CONCATENATE("Title: ##34#",B6,"##34#")</f>
        <v>Title: ##34#Cancer  Episode##34#</v>
      </c>
    </row>
    <row r="7" spans="1:12" ht="30.25" thickBot="1">
      <c r="A7" s="26" t="s">
        <v>2</v>
      </c>
      <c r="B7" s="48" t="s">
        <v>2245</v>
      </c>
      <c r="C7" s="9" t="s">
        <v>3</v>
      </c>
      <c r="D7" s="1" t="s">
        <v>4</v>
      </c>
      <c r="E7" s="3" t="s">
        <v>5</v>
      </c>
      <c r="F7" s="3" t="s">
        <v>6</v>
      </c>
      <c r="G7" s="3" t="s">
        <v>7</v>
      </c>
      <c r="H7" s="107" t="s">
        <v>1621</v>
      </c>
      <c r="J7" s="17" t="str">
        <f>CONCATENATE("Description: "," ##334#",B7,"##334#",)</f>
        <v>Description:  ##334#Cancer Episode
Maturity Level: 0 Draft##334#</v>
      </c>
    </row>
    <row r="8" spans="1:12" ht="44.25">
      <c r="A8" s="11">
        <v>0</v>
      </c>
      <c r="B8" s="112" t="s">
        <v>2260</v>
      </c>
      <c r="C8" s="12" t="s">
        <v>14</v>
      </c>
      <c r="D8" s="12" t="s">
        <v>2215</v>
      </c>
      <c r="E8" s="11">
        <v>1</v>
      </c>
      <c r="F8" s="11">
        <v>1</v>
      </c>
      <c r="G8" s="118" t="s">
        <v>2238</v>
      </c>
      <c r="H8" s="12" t="s">
        <v>2213</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14" t="s">
        <v>2261</v>
      </c>
      <c r="C9" s="12" t="s">
        <v>1483</v>
      </c>
      <c r="D9" s="12" t="s">
        <v>1486</v>
      </c>
      <c r="E9" s="11">
        <v>1</v>
      </c>
      <c r="F9" s="11">
        <v>1</v>
      </c>
      <c r="G9" s="113"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12" t="s">
        <v>2262</v>
      </c>
      <c r="C10" s="12" t="s">
        <v>1490</v>
      </c>
      <c r="D10" s="12" t="s">
        <v>2210</v>
      </c>
      <c r="E10" s="11">
        <v>1</v>
      </c>
      <c r="F10" s="11">
        <v>1</v>
      </c>
      <c r="G10" s="113" t="s">
        <v>2241</v>
      </c>
      <c r="H10" s="12" t="s">
        <v>2208</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12" t="s">
        <v>2263</v>
      </c>
      <c r="C11" s="12" t="s">
        <v>1494</v>
      </c>
      <c r="D11" s="12" t="s">
        <v>1495</v>
      </c>
      <c r="E11" s="11">
        <v>1</v>
      </c>
      <c r="F11" s="11">
        <v>1</v>
      </c>
      <c r="G11" s="113" t="s">
        <v>2239</v>
      </c>
      <c r="H11" s="12" t="s">
        <v>1499</v>
      </c>
      <c r="I11" s="25"/>
      <c r="J11" s="12" t="str">
        <f t="shared" si="0"/>
        <v>* ageAtDiagnosis 1..1 integer  ##34#Age at diagnosis##34# ##334#Age of the patient at the time of the diagnosis.##334#</v>
      </c>
      <c r="L11" s="12" t="str">
        <f t="shared" si="1"/>
        <v>* ageAtDiagnosis ^comment = ##334#Whole number greater than 0##334#</v>
      </c>
    </row>
    <row r="12" spans="1:12" ht="29.5">
      <c r="A12" s="11">
        <v>4</v>
      </c>
      <c r="B12" s="112" t="s">
        <v>2264</v>
      </c>
      <c r="C12" s="12" t="s">
        <v>2205</v>
      </c>
      <c r="D12" s="12" t="s">
        <v>2204</v>
      </c>
      <c r="E12" s="11">
        <v>0</v>
      </c>
      <c r="F12" s="11">
        <v>1</v>
      </c>
      <c r="G12" s="113" t="s">
        <v>2241</v>
      </c>
      <c r="H12" s="120" t="s">
        <v>2221</v>
      </c>
      <c r="I12" s="25"/>
      <c r="J12" s="12" t="str">
        <f t="shared" si="0"/>
        <v>* grading 0..1 CodeableConcept ##34#Grading##34# ##334#Grading of the cancer##334#</v>
      </c>
      <c r="L12" s="12" t="str">
        <f t="shared" si="1"/>
        <v>* grading ^comment = ##334#Check thisCheck this##334#</v>
      </c>
    </row>
    <row r="13" spans="1:12" s="2" customFormat="1" ht="339.25">
      <c r="A13" s="11">
        <v>5</v>
      </c>
      <c r="B13" s="114" t="s">
        <v>2265</v>
      </c>
      <c r="C13" s="12" t="s">
        <v>1500</v>
      </c>
      <c r="D13" s="12" t="s">
        <v>1502</v>
      </c>
      <c r="E13" s="11">
        <v>1</v>
      </c>
      <c r="F13" s="11">
        <v>1</v>
      </c>
      <c r="G13" s="113" t="s">
        <v>2241</v>
      </c>
      <c r="H13" s="12" t="s">
        <v>2222</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2266</v>
      </c>
      <c r="C14" s="4" t="s">
        <v>2240</v>
      </c>
      <c r="D14" s="4" t="s">
        <v>2240</v>
      </c>
      <c r="E14" s="6">
        <v>1</v>
      </c>
      <c r="F14" s="6">
        <v>1</v>
      </c>
      <c r="G14" s="4" t="s">
        <v>1</v>
      </c>
      <c r="H14" s="4"/>
      <c r="I14" s="121"/>
      <c r="J14" s="12" t="str">
        <f t="shared" si="0"/>
        <v>* histologySubGroup 1..1 BackboneElement ##34#Histology Subgroups##34# ##334#Histology Subgroups##334#</v>
      </c>
      <c r="K14" s="73"/>
      <c r="L14" s="12" t="str">
        <f t="shared" si="1"/>
        <v/>
      </c>
    </row>
    <row r="15" spans="1:12" s="2" customFormat="1" ht="409.5">
      <c r="A15" s="11">
        <v>6</v>
      </c>
      <c r="B15" s="114" t="s">
        <v>2267</v>
      </c>
      <c r="C15" s="12" t="s">
        <v>1510</v>
      </c>
      <c r="D15" s="12" t="s">
        <v>1511</v>
      </c>
      <c r="E15" s="122">
        <v>1</v>
      </c>
      <c r="F15" s="11">
        <v>1</v>
      </c>
      <c r="G15" s="119" t="s">
        <v>2241</v>
      </c>
      <c r="H15" s="12" t="s">
        <v>2223</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14" t="s">
        <v>2268</v>
      </c>
      <c r="C16" s="12" t="s">
        <v>1516</v>
      </c>
      <c r="D16" s="12" t="s">
        <v>1517</v>
      </c>
      <c r="E16" s="122">
        <v>1</v>
      </c>
      <c r="F16" s="11">
        <v>1</v>
      </c>
      <c r="G16" s="119" t="s">
        <v>2241</v>
      </c>
      <c r="H16" s="12" t="s">
        <v>2224</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14" t="s">
        <v>2269</v>
      </c>
      <c r="C17" s="12" t="s">
        <v>1522</v>
      </c>
      <c r="D17" s="12" t="s">
        <v>1523</v>
      </c>
      <c r="E17" s="122">
        <v>1</v>
      </c>
      <c r="F17" s="11">
        <v>1</v>
      </c>
      <c r="G17" s="119" t="s">
        <v>2241</v>
      </c>
      <c r="H17" s="12" t="s">
        <v>2225</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14" t="s">
        <v>2270</v>
      </c>
      <c r="C18" s="12" t="s">
        <v>1528</v>
      </c>
      <c r="D18" s="12" t="s">
        <v>1529</v>
      </c>
      <c r="E18" s="122">
        <v>1</v>
      </c>
      <c r="F18" s="11">
        <v>1</v>
      </c>
      <c r="G18" s="119" t="s">
        <v>2241</v>
      </c>
      <c r="H18" s="12" t="s">
        <v>2226</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14" t="s">
        <v>2271</v>
      </c>
      <c r="C19" s="12" t="s">
        <v>1534</v>
      </c>
      <c r="D19" s="12" t="s">
        <v>1535</v>
      </c>
      <c r="E19" s="122">
        <v>1</v>
      </c>
      <c r="F19" s="11">
        <v>1</v>
      </c>
      <c r="G19" s="119" t="s">
        <v>2241</v>
      </c>
      <c r="H19" s="12" t="s">
        <v>2227</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14" t="s">
        <v>2275</v>
      </c>
      <c r="C20" s="12" t="s">
        <v>1550</v>
      </c>
      <c r="D20" s="12" t="s">
        <v>1552</v>
      </c>
      <c r="E20" s="122">
        <v>1</v>
      </c>
      <c r="F20" s="11">
        <v>1</v>
      </c>
      <c r="G20" s="119" t="s">
        <v>2241</v>
      </c>
      <c r="H20" s="12" t="s">
        <v>2228</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14" t="s">
        <v>2276</v>
      </c>
      <c r="C21" s="12" t="s">
        <v>1556</v>
      </c>
      <c r="D21" s="12" t="s">
        <v>1557</v>
      </c>
      <c r="E21" s="122">
        <v>1</v>
      </c>
      <c r="F21" s="11">
        <v>1</v>
      </c>
      <c r="G21" s="119" t="s">
        <v>2241</v>
      </c>
      <c r="H21" s="12" t="s">
        <v>2229</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14" t="s">
        <v>2281</v>
      </c>
      <c r="C22" s="12" t="s">
        <v>1559</v>
      </c>
      <c r="D22" s="12" t="s">
        <v>1560</v>
      </c>
      <c r="E22" s="122">
        <v>1</v>
      </c>
      <c r="F22" s="11">
        <v>1</v>
      </c>
      <c r="G22" s="119" t="s">
        <v>2241</v>
      </c>
      <c r="H22" s="12" t="s">
        <v>2230</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14" t="s">
        <v>2277</v>
      </c>
      <c r="C23" s="12" t="s">
        <v>1562</v>
      </c>
      <c r="D23" s="12" t="s">
        <v>1563</v>
      </c>
      <c r="E23" s="122">
        <v>1</v>
      </c>
      <c r="F23" s="11">
        <v>1</v>
      </c>
      <c r="G23" s="119" t="s">
        <v>2241</v>
      </c>
      <c r="H23" s="12" t="s">
        <v>2231</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14" t="s">
        <v>2279</v>
      </c>
      <c r="C24" s="12" t="s">
        <v>1565</v>
      </c>
      <c r="D24" s="12" t="s">
        <v>1566</v>
      </c>
      <c r="E24" s="122">
        <v>1</v>
      </c>
      <c r="F24" s="11">
        <v>1</v>
      </c>
      <c r="G24" s="119" t="s">
        <v>2241</v>
      </c>
      <c r="H24" s="12" t="s">
        <v>2232</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14" t="s">
        <v>2278</v>
      </c>
      <c r="C25" s="12" t="s">
        <v>1568</v>
      </c>
      <c r="D25" s="12" t="s">
        <v>1569</v>
      </c>
      <c r="E25" s="122">
        <v>1</v>
      </c>
      <c r="F25" s="11">
        <v>1</v>
      </c>
      <c r="G25" s="119" t="s">
        <v>2241</v>
      </c>
      <c r="H25" s="12" t="s">
        <v>2233</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14" t="s">
        <v>2280</v>
      </c>
      <c r="C26" s="12" t="s">
        <v>1571</v>
      </c>
      <c r="D26" s="12" t="s">
        <v>1572</v>
      </c>
      <c r="E26" s="122">
        <v>1</v>
      </c>
      <c r="F26" s="11">
        <v>1</v>
      </c>
      <c r="G26" s="119" t="s">
        <v>2241</v>
      </c>
      <c r="H26" s="12" t="s">
        <v>2234</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12" t="s">
        <v>2272</v>
      </c>
      <c r="C27" s="12" t="s">
        <v>1574</v>
      </c>
      <c r="D27" s="12" t="s">
        <v>1575</v>
      </c>
      <c r="E27" s="11">
        <v>0</v>
      </c>
      <c r="F27" s="11">
        <v>1</v>
      </c>
      <c r="G27" s="119" t="s">
        <v>2241</v>
      </c>
      <c r="H27" s="12" t="s">
        <v>2235</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12" t="s">
        <v>2273</v>
      </c>
      <c r="C28" s="12" t="s">
        <v>1585</v>
      </c>
      <c r="D28" s="12" t="s">
        <v>1586</v>
      </c>
      <c r="E28" s="11">
        <v>0</v>
      </c>
      <c r="F28" s="11">
        <v>1</v>
      </c>
      <c r="G28" s="119" t="s">
        <v>2241</v>
      </c>
      <c r="H28" s="12" t="s">
        <v>2236</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14" t="s">
        <v>2274</v>
      </c>
      <c r="C29" s="12" t="s">
        <v>1611</v>
      </c>
      <c r="D29" s="12" t="s">
        <v>1612</v>
      </c>
      <c r="E29" s="11">
        <v>0</v>
      </c>
      <c r="F29" s="11">
        <v>1</v>
      </c>
      <c r="G29" s="119" t="s">
        <v>2241</v>
      </c>
      <c r="H29" s="12" t="s">
        <v>2237</v>
      </c>
      <c r="I29" s="25"/>
      <c r="J29" s="12" t="str">
        <f t="shared" si="0"/>
        <v>* crpCReactiveProteinTested 0..1 CodeableConcept ##34#CRP – C reactive protein tested ##34#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3E951-2DE6-4A1F-A806-AE710E3197CA}">
  <sheetPr codeName="Foglio52"/>
  <dimension ref="A1:O49"/>
  <sheetViews>
    <sheetView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CONCATENATE(CancerEpisode!B4,"2FHIR")</f>
        <v>CancerEpisodeI4rc2FHIR</v>
      </c>
      <c r="E4" s="19" t="str">
        <f>CONCATENATE("Mapping: ",C4)</f>
        <v>Mapping: CancerEpisodeI4rc2FHIR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2150</v>
      </c>
      <c r="E6" s="20" t="str">
        <f>CONCATENATE("Title: ##34#",C6,"##34#")</f>
        <v>Title: ##34#Hospital Discharge Report model to FHIR R4 Map##34#</v>
      </c>
      <c r="H6" s="7"/>
      <c r="I6" s="7"/>
      <c r="J6" s="7"/>
      <c r="K6" s="7"/>
      <c r="L6" s="7"/>
      <c r="M6" s="7"/>
      <c r="N6" s="7"/>
      <c r="O6" s="7"/>
    </row>
    <row r="7" spans="1:15" ht="15.5" thickBot="1">
      <c r="B7" s="10" t="s">
        <v>18</v>
      </c>
      <c r="C7" s="8" t="str">
        <f>B9</f>
        <v>CancerEpisode</v>
      </c>
      <c r="E7" s="20" t="str">
        <f>CONCATENATE("Source: ",C7)</f>
        <v>Source: CancerEpisode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CancerEpisode!B5</f>
        <v>CancerEpisode</v>
      </c>
      <c r="C9" s="6" t="s">
        <v>1620</v>
      </c>
      <c r="E9" s="27" t="str">
        <f>CONCATENATE("* -&gt; ##34#",C9,"##34#")</f>
        <v>* -&gt; ##34#TBD##34#</v>
      </c>
      <c r="H9" s="7"/>
      <c r="I9" s="7"/>
      <c r="J9" s="7"/>
      <c r="K9" s="7"/>
      <c r="L9" s="7"/>
      <c r="M9" s="7"/>
      <c r="N9" s="7"/>
      <c r="O9" s="7"/>
    </row>
    <row r="10" spans="1:15">
      <c r="A10" s="11"/>
      <c r="B10" s="11" t="str">
        <f>CancerEpisode!B8</f>
        <v>patient</v>
      </c>
      <c r="C10" s="11" t="s">
        <v>1620</v>
      </c>
      <c r="E10" s="12" t="str">
        <f t="shared" ref="E10:E49" si="0">IF(B10=0,"*  -&gt; ##34###34#",CONCATENATE("* ",B10," -&gt; ##34#",C10,"##34#"))</f>
        <v>* patient -&gt; ##34#TBD##34#</v>
      </c>
      <c r="H10" s="7"/>
      <c r="I10" s="7"/>
      <c r="J10" s="7"/>
      <c r="K10" s="7"/>
      <c r="L10" s="7"/>
      <c r="M10" s="7"/>
      <c r="N10" s="7"/>
      <c r="O10" s="7"/>
    </row>
    <row r="11" spans="1:15">
      <c r="A11" s="11"/>
      <c r="B11" s="11" t="str">
        <f>CancerEpisode!B9</f>
        <v>dateOfDiagnosis</v>
      </c>
      <c r="C11" s="11" t="s">
        <v>1620</v>
      </c>
      <c r="E11" s="12" t="str">
        <f t="shared" si="0"/>
        <v>* dateOfDiagnosis -&gt; ##34#TBD##34#</v>
      </c>
      <c r="H11" s="7"/>
      <c r="I11" s="7"/>
      <c r="J11" s="7"/>
      <c r="K11" s="7"/>
      <c r="L11" s="7"/>
      <c r="M11" s="7"/>
      <c r="N11" s="7"/>
      <c r="O11" s="7"/>
    </row>
    <row r="12" spans="1:15">
      <c r="A12" s="11"/>
      <c r="B12" s="11" t="str">
        <f>CancerEpisode!B10</f>
        <v>biopsyDoneBy</v>
      </c>
      <c r="C12" s="11" t="s">
        <v>1620</v>
      </c>
      <c r="E12" s="12" t="str">
        <f t="shared" si="0"/>
        <v>* biopsyDoneBy -&gt; ##34#TBD##34#</v>
      </c>
      <c r="H12" s="7"/>
      <c r="I12" s="7"/>
      <c r="J12" s="7"/>
      <c r="K12" s="7"/>
      <c r="L12" s="7"/>
      <c r="M12" s="7"/>
      <c r="N12" s="7"/>
      <c r="O12" s="7"/>
    </row>
    <row r="13" spans="1:15">
      <c r="A13" s="11"/>
      <c r="B13" s="11" t="str">
        <f>CancerEpisode!B11</f>
        <v>ageAtDiagnosis</v>
      </c>
      <c r="C13" s="11" t="s">
        <v>1620</v>
      </c>
      <c r="E13" s="12" t="str">
        <f t="shared" si="0"/>
        <v>* ageAtDiagnosis -&gt; ##34#TBD##34#</v>
      </c>
      <c r="H13" s="7"/>
      <c r="I13" s="7"/>
      <c r="J13" s="7"/>
      <c r="K13" s="7"/>
      <c r="L13" s="7"/>
      <c r="M13" s="7"/>
      <c r="N13" s="7"/>
      <c r="O13" s="7"/>
    </row>
    <row r="14" spans="1:15">
      <c r="A14" s="11"/>
      <c r="B14" s="11" t="str">
        <f>CancerEpisode!B12</f>
        <v>grading</v>
      </c>
      <c r="C14" s="11" t="s">
        <v>1620</v>
      </c>
      <c r="E14" s="12" t="str">
        <f t="shared" si="0"/>
        <v>* grading -&gt; ##34#TBD##34#</v>
      </c>
      <c r="H14" s="7"/>
      <c r="I14" s="7"/>
      <c r="J14" s="7"/>
      <c r="K14" s="7"/>
      <c r="L14" s="7"/>
      <c r="M14" s="7"/>
      <c r="N14" s="7"/>
      <c r="O14" s="7"/>
    </row>
    <row r="15" spans="1:15">
      <c r="A15" s="11"/>
      <c r="B15" s="11" t="str">
        <f>CancerEpisode!B13</f>
        <v>histologyGroup</v>
      </c>
      <c r="C15" s="11" t="s">
        <v>1620</v>
      </c>
      <c r="E15" s="12" t="str">
        <f t="shared" si="0"/>
        <v>* histologyGroup -&gt; ##34#TBD##34#</v>
      </c>
      <c r="H15" s="7"/>
      <c r="I15" s="7"/>
      <c r="J15" s="7"/>
      <c r="K15" s="7"/>
      <c r="L15" s="7"/>
      <c r="M15" s="7"/>
      <c r="N15" s="7"/>
      <c r="O15" s="7"/>
    </row>
    <row r="16" spans="1:15">
      <c r="A16" s="11"/>
      <c r="B16" s="11" t="str">
        <f>CancerEpisode!B15</f>
        <v>histologySubGroup.histologySquamous</v>
      </c>
      <c r="C16" s="11" t="s">
        <v>1620</v>
      </c>
      <c r="E16" s="12" t="str">
        <f t="shared" si="0"/>
        <v>* histologySubGroup.histologySquamous -&gt; ##34#TBD##34#</v>
      </c>
      <c r="H16" s="7"/>
      <c r="I16" s="7"/>
      <c r="J16" s="7"/>
      <c r="K16" s="7"/>
      <c r="L16" s="7"/>
      <c r="M16" s="7"/>
      <c r="N16" s="7"/>
      <c r="O16" s="7"/>
    </row>
    <row r="17" spans="1:5">
      <c r="A17" s="11"/>
      <c r="B17" s="11" t="str">
        <f>CancerEpisode!B16</f>
        <v>histologySubGroup.histologyAdenocarcinoma</v>
      </c>
      <c r="C17" s="11" t="s">
        <v>1620</v>
      </c>
      <c r="E17" s="12" t="str">
        <f t="shared" si="0"/>
        <v>* histologySubGroup.histologyAdenocarcinoma -&gt; ##34#TBD##34#</v>
      </c>
    </row>
    <row r="18" spans="1:5">
      <c r="A18" s="11"/>
      <c r="B18" s="11" t="str">
        <f>CancerEpisode!B17</f>
        <v>histologySubGroup.histologyNeuroendocrine</v>
      </c>
      <c r="C18" s="11" t="s">
        <v>1620</v>
      </c>
      <c r="E18" s="12" t="str">
        <f t="shared" si="0"/>
        <v>* histologySubGroup.histologyNeuroendocrine -&gt; ##34#TBD##34#</v>
      </c>
    </row>
    <row r="19" spans="1:5">
      <c r="A19" s="11"/>
      <c r="B19" s="11" t="str">
        <f>CancerEpisode!B18</f>
        <v>histologySubGroup.histologyOdontogenicCarcinoma</v>
      </c>
      <c r="C19" s="11" t="s">
        <v>1620</v>
      </c>
      <c r="E19" s="12" t="str">
        <f t="shared" si="0"/>
        <v>* histologySubGroup.histologyOdontogenicCarcinoma -&gt; ##34#TBD##34#</v>
      </c>
    </row>
    <row r="20" spans="1:5">
      <c r="A20" s="11"/>
      <c r="B20" s="11" t="str">
        <f>CancerEpisode!B19</f>
        <v>histologySubGroup.histologySNUC</v>
      </c>
      <c r="C20" s="11" t="s">
        <v>1620</v>
      </c>
      <c r="E20" s="12" t="str">
        <f t="shared" si="0"/>
        <v>* histologySubGroup.histologySNUC -&gt; ##34#TBD##34#</v>
      </c>
    </row>
    <row r="21" spans="1:5">
      <c r="B21" s="11" t="str">
        <f>CancerEpisode!B20</f>
        <v>histologySubGroup.nasalCavityAndParanasalSinusesSubsite</v>
      </c>
      <c r="C21" s="11" t="s">
        <v>1620</v>
      </c>
      <c r="E21" s="12" t="str">
        <f t="shared" si="0"/>
        <v>* histologySubGroup.nasalCavityAndParanasalSinusesSubsite -&gt; ##34#TBD##34#</v>
      </c>
    </row>
    <row r="22" spans="1:5">
      <c r="B22" s="11" t="str">
        <f>CancerEpisode!B21</f>
        <v>histologySubGroup.nasopharynxSubsite</v>
      </c>
      <c r="C22" s="11" t="s">
        <v>1620</v>
      </c>
      <c r="E22" s="12" t="str">
        <f t="shared" si="0"/>
        <v>* histologySubGroup.nasopharynxSubsite -&gt; ##34#TBD##34#</v>
      </c>
    </row>
    <row r="23" spans="1:5">
      <c r="B23" s="11" t="str">
        <f>CancerEpisode!B22</f>
        <v>histologySubGroup.hypopharynxSubsite</v>
      </c>
      <c r="C23" s="11" t="s">
        <v>1620</v>
      </c>
      <c r="E23" s="12" t="str">
        <f t="shared" si="0"/>
        <v>* histologySubGroup.hypopharynxSubsite -&gt; ##34#TBD##34#</v>
      </c>
    </row>
    <row r="24" spans="1:5">
      <c r="B24" s="11" t="str">
        <f>CancerEpisode!B23</f>
        <v>histologySubGroup.oropharynxSubsite</v>
      </c>
      <c r="C24" s="11" t="s">
        <v>1620</v>
      </c>
      <c r="E24" s="12" t="str">
        <f t="shared" si="0"/>
        <v>* histologySubGroup.oropharynxSubsite -&gt; ##34#TBD##34#</v>
      </c>
    </row>
    <row r="25" spans="1:5">
      <c r="B25" s="11" t="str">
        <f>CancerEpisode!B24</f>
        <v>histologySubGroup.larynxSubsite</v>
      </c>
      <c r="C25" s="11" t="s">
        <v>1620</v>
      </c>
      <c r="E25" s="12" t="str">
        <f t="shared" si="0"/>
        <v>* histologySubGroup.larynxSubsite -&gt; ##34#TBD##34#</v>
      </c>
    </row>
    <row r="26" spans="1:5">
      <c r="B26" s="11" t="str">
        <f>CancerEpisode!B25</f>
        <v>histologySubGroup.oralCavitySubsite</v>
      </c>
      <c r="C26" s="11" t="s">
        <v>1620</v>
      </c>
      <c r="E26" s="12" t="str">
        <f t="shared" si="0"/>
        <v>* histologySubGroup.oralCavitySubsite -&gt; ##34#TBD##34#</v>
      </c>
    </row>
    <row r="27" spans="1:5">
      <c r="B27" s="11" t="str">
        <f>CancerEpisode!B26</f>
        <v>histologySubGroup.lipSubsite</v>
      </c>
      <c r="C27" s="11" t="s">
        <v>1620</v>
      </c>
      <c r="E27" s="12" t="str">
        <f t="shared" si="0"/>
        <v>* histologySubGroup.lipSubsite -&gt; ##34#TBD##34#</v>
      </c>
    </row>
    <row r="28" spans="1:5">
      <c r="B28" s="11" t="str">
        <f>CancerEpisode!B27</f>
        <v>plasmaticEbvDnaAtBaseline</v>
      </c>
      <c r="C28" s="11" t="s">
        <v>1620</v>
      </c>
      <c r="E28" s="12" t="str">
        <f t="shared" si="0"/>
        <v>* plasmaticEbvDnaAtBaseline -&gt; ##34#TBD##34#</v>
      </c>
    </row>
    <row r="29" spans="1:5">
      <c r="B29" s="11" t="str">
        <f>CancerEpisode!B28</f>
        <v>hpvStatus</v>
      </c>
      <c r="C29" s="11" t="s">
        <v>1620</v>
      </c>
      <c r="E29" s="12" t="str">
        <f t="shared" si="0"/>
        <v>* hpvStatus -&gt; ##34#TBD##34#</v>
      </c>
    </row>
    <row r="30" spans="1:5">
      <c r="B30" s="11" t="str">
        <f>CancerEpisode!B29</f>
        <v>crpCReactiveProteinTested</v>
      </c>
      <c r="C30" s="11" t="s">
        <v>1620</v>
      </c>
      <c r="E30" s="12" t="str">
        <f t="shared" si="0"/>
        <v>* crpCReactiveProteinTested -&gt; ##34#TBD##34#</v>
      </c>
    </row>
    <row r="31" spans="1:5">
      <c r="B31" s="11">
        <f>CancerEpisode!B30</f>
        <v>0</v>
      </c>
      <c r="C31" s="11" t="s">
        <v>1620</v>
      </c>
      <c r="E31" s="12" t="str">
        <f t="shared" si="0"/>
        <v>*  -&gt; ##34###34#</v>
      </c>
    </row>
    <row r="32" spans="1:5">
      <c r="B32" s="11">
        <f>CancerEpisode!B31</f>
        <v>0</v>
      </c>
      <c r="C32" s="11" t="s">
        <v>1620</v>
      </c>
      <c r="E32" s="12" t="str">
        <f t="shared" si="0"/>
        <v>*  -&gt; ##34###34#</v>
      </c>
    </row>
    <row r="33" spans="2:5">
      <c r="B33" s="11">
        <f>CancerEpisode!B32</f>
        <v>0</v>
      </c>
      <c r="C33" s="11" t="s">
        <v>1620</v>
      </c>
      <c r="E33" s="12" t="str">
        <f t="shared" si="0"/>
        <v>*  -&gt; ##34###34#</v>
      </c>
    </row>
    <row r="34" spans="2:5">
      <c r="B34" s="11">
        <f>CancerEpisode!B33</f>
        <v>0</v>
      </c>
      <c r="C34" s="11" t="s">
        <v>1620</v>
      </c>
      <c r="E34" s="12" t="str">
        <f t="shared" si="0"/>
        <v>*  -&gt; ##34###34#</v>
      </c>
    </row>
    <row r="35" spans="2:5">
      <c r="B35" s="11">
        <f>CancerEpisode!B34</f>
        <v>0</v>
      </c>
      <c r="C35" s="11" t="s">
        <v>1620</v>
      </c>
      <c r="E35" s="12" t="str">
        <f t="shared" si="0"/>
        <v>*  -&gt; ##34###34#</v>
      </c>
    </row>
    <row r="36" spans="2:5">
      <c r="B36" s="11">
        <f>CancerEpisode!B35</f>
        <v>0</v>
      </c>
      <c r="C36" s="11" t="s">
        <v>1620</v>
      </c>
      <c r="E36" s="12" t="str">
        <f t="shared" si="0"/>
        <v>*  -&gt; ##34###34#</v>
      </c>
    </row>
    <row r="37" spans="2:5">
      <c r="B37" s="11">
        <f>CancerEpisode!B36</f>
        <v>0</v>
      </c>
      <c r="C37" s="11" t="s">
        <v>1620</v>
      </c>
      <c r="E37" s="12" t="str">
        <f t="shared" si="0"/>
        <v>*  -&gt; ##34###34#</v>
      </c>
    </row>
    <row r="38" spans="2:5">
      <c r="B38" s="11">
        <f>CancerEpisode!B37</f>
        <v>0</v>
      </c>
      <c r="C38" s="11" t="s">
        <v>1620</v>
      </c>
      <c r="E38" s="12" t="str">
        <f t="shared" si="0"/>
        <v>*  -&gt; ##34###34#</v>
      </c>
    </row>
    <row r="39" spans="2:5">
      <c r="B39" s="11">
        <f>CancerEpisode!B38</f>
        <v>0</v>
      </c>
      <c r="C39" s="11" t="s">
        <v>1620</v>
      </c>
      <c r="E39" s="12" t="str">
        <f t="shared" si="0"/>
        <v>*  -&gt; ##34###34#</v>
      </c>
    </row>
    <row r="40" spans="2:5">
      <c r="B40" s="11">
        <f>CancerEpisode!B39</f>
        <v>0</v>
      </c>
      <c r="C40" s="11" t="s">
        <v>1620</v>
      </c>
      <c r="E40" s="12" t="str">
        <f t="shared" si="0"/>
        <v>*  -&gt; ##34###34#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E11" sqref="E11"/>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2242</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 ##34#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1624</v>
      </c>
    </row>
    <row r="46" spans="3:3">
      <c r="C46" s="24" t="s">
        <v>2161</v>
      </c>
    </row>
    <row r="47" spans="3:3">
      <c r="C47" s="24" t="s">
        <v>1624</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2324</v>
      </c>
      <c r="D3" s="62" t="s">
        <v>2246</v>
      </c>
      <c r="E3" s="123" t="str">
        <f>$C$1&amp;CancerEpisode!B5</f>
        <v>http://hl7.eu/fhir/ig/idea4rc/StructureDefinition/CancerEpisode</v>
      </c>
    </row>
    <row r="4" spans="1:19">
      <c r="B4" s="62" t="s">
        <v>16</v>
      </c>
      <c r="C4" s="28" t="s">
        <v>2255</v>
      </c>
      <c r="D4" s="62" t="s">
        <v>2247</v>
      </c>
      <c r="E4" s="123" t="s">
        <v>2284</v>
      </c>
    </row>
    <row r="5" spans="1:19">
      <c r="B5" s="62" t="s">
        <v>10</v>
      </c>
      <c r="C5" s="7" t="s">
        <v>2256</v>
      </c>
      <c r="D5" s="62"/>
      <c r="E5" s="7"/>
    </row>
    <row r="6" spans="1:19">
      <c r="B6" s="62" t="s">
        <v>18</v>
      </c>
      <c r="C6" s="56"/>
      <c r="D6" s="62" t="s">
        <v>2248</v>
      </c>
      <c r="E6" s="162" t="str">
        <f>E3</f>
        <v>http://hl7.eu/fhir/ig/idea4rc/StructureDefinition/CancerEpisode</v>
      </c>
      <c r="F6" s="163"/>
      <c r="G6" s="163"/>
    </row>
    <row r="7" spans="1:19">
      <c r="B7" s="62" t="s">
        <v>15</v>
      </c>
      <c r="C7" s="124"/>
      <c r="D7" s="62" t="s">
        <v>2249</v>
      </c>
      <c r="E7" s="162" t="s">
        <v>2259</v>
      </c>
      <c r="F7" s="163"/>
      <c r="G7" s="163"/>
    </row>
    <row r="8" spans="1:19" ht="44.25">
      <c r="B8" s="62" t="s">
        <v>2250</v>
      </c>
      <c r="C8" s="125" t="s">
        <v>2256</v>
      </c>
      <c r="D8" s="62"/>
      <c r="E8" s="7"/>
      <c r="I8" s="12" t="s">
        <v>1402</v>
      </c>
      <c r="J8" s="12" t="s">
        <v>1403</v>
      </c>
      <c r="K8" s="12" t="s">
        <v>1404</v>
      </c>
      <c r="L8" s="12" t="s">
        <v>1405</v>
      </c>
      <c r="M8" s="11" t="s">
        <v>1406</v>
      </c>
      <c r="P8" s="49" t="s">
        <v>1441</v>
      </c>
      <c r="Q8" s="49">
        <v>6</v>
      </c>
    </row>
    <row r="9" spans="1:19" ht="29.5">
      <c r="B9" s="62" t="s">
        <v>2251</v>
      </c>
      <c r="C9" s="12" t="s">
        <v>2257</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CancerEpisode!B5</f>
        <v>CancerEpisode</v>
      </c>
      <c r="C14" s="11"/>
      <c r="D14" s="4" t="s">
        <v>2282</v>
      </c>
      <c r="E14" s="6"/>
      <c r="F14" s="64"/>
      <c r="G14" s="64"/>
      <c r="I14" s="12"/>
      <c r="J14" s="11"/>
      <c r="K14" s="11"/>
      <c r="L14" s="11"/>
      <c r="M14" s="63"/>
      <c r="N14" s="66"/>
    </row>
    <row r="15" spans="1:19" ht="44.25">
      <c r="A15" s="59"/>
      <c r="B15" s="11" t="str">
        <f>CancerEpisode!B8</f>
        <v>patient</v>
      </c>
      <c r="C15" s="11" t="str">
        <f>CancerEpisode!C8</f>
        <v>Patient</v>
      </c>
      <c r="D15" s="12" t="s">
        <v>2283</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2286</v>
      </c>
      <c r="E16" s="11"/>
      <c r="F16" s="64" t="s">
        <v>1407</v>
      </c>
      <c r="G16" s="126" t="s">
        <v>2252</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2287</v>
      </c>
      <c r="E17" s="11"/>
      <c r="F17" s="64" t="s">
        <v>1407</v>
      </c>
      <c r="G17" s="128" t="s">
        <v>2361</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2285</v>
      </c>
      <c r="E18" s="11"/>
      <c r="F18" s="64" t="s">
        <v>1430</v>
      </c>
      <c r="G18" s="129" t="s">
        <v>2288</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30" t="s">
        <v>2289</v>
      </c>
      <c r="E19" s="11"/>
      <c r="F19" s="64" t="s">
        <v>1407</v>
      </c>
      <c r="G19" s="64" t="s">
        <v>2252</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2322</v>
      </c>
      <c r="E20" s="11"/>
      <c r="F20" s="64" t="s">
        <v>1407</v>
      </c>
      <c r="G20" s="128" t="s">
        <v>2362</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2322</v>
      </c>
      <c r="E21" s="11"/>
      <c r="F21" s="64" t="s">
        <v>1407</v>
      </c>
      <c r="G21" s="147" t="s">
        <v>2323</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2322</v>
      </c>
      <c r="E22" s="11"/>
      <c r="F22" s="64" t="s">
        <v>1407</v>
      </c>
      <c r="G22" s="126" t="s">
        <v>2323</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2322</v>
      </c>
      <c r="E23" s="11"/>
      <c r="F23" s="64" t="s">
        <v>1407</v>
      </c>
      <c r="G23" s="126" t="s">
        <v>2323</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2322</v>
      </c>
      <c r="E24" s="11"/>
      <c r="F24" s="64" t="s">
        <v>1407</v>
      </c>
      <c r="G24" s="126" t="s">
        <v>2323</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2322</v>
      </c>
      <c r="E25" s="12"/>
      <c r="F25" s="64" t="s">
        <v>1407</v>
      </c>
      <c r="G25" s="126" t="s">
        <v>2323</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2322</v>
      </c>
      <c r="E26" s="12"/>
      <c r="F26" s="64" t="s">
        <v>1407</v>
      </c>
      <c r="G26" s="126" t="s">
        <v>2323</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2322</v>
      </c>
      <c r="E27" s="12"/>
      <c r="F27" s="64" t="s">
        <v>1407</v>
      </c>
      <c r="G27" s="126" t="s">
        <v>2323</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2322</v>
      </c>
      <c r="E28" s="12"/>
      <c r="F28" s="64" t="s">
        <v>1407</v>
      </c>
      <c r="G28" s="126" t="s">
        <v>2323</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2322</v>
      </c>
      <c r="E29" s="12"/>
      <c r="F29" s="64" t="s">
        <v>1407</v>
      </c>
      <c r="G29" s="126" t="s">
        <v>2323</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2322</v>
      </c>
      <c r="E30" s="12"/>
      <c r="F30" s="64" t="s">
        <v>1407</v>
      </c>
      <c r="G30" s="126" t="s">
        <v>2323</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2322</v>
      </c>
      <c r="E31" s="12"/>
      <c r="F31" s="64" t="s">
        <v>1407</v>
      </c>
      <c r="G31" s="126" t="s">
        <v>2323</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2322</v>
      </c>
      <c r="E32" s="12"/>
      <c r="F32" s="64" t="s">
        <v>1407</v>
      </c>
      <c r="G32" s="126" t="s">
        <v>2323</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2322</v>
      </c>
      <c r="E33" s="12"/>
      <c r="F33" s="64" t="s">
        <v>1407</v>
      </c>
      <c r="G33" s="126" t="s">
        <v>2323</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31" t="s">
        <v>2355</v>
      </c>
      <c r="E34" s="12"/>
      <c r="F34" s="64" t="s">
        <v>1407</v>
      </c>
      <c r="G34" s="146" t="s">
        <v>2358</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31" t="s">
        <v>2356</v>
      </c>
      <c r="E35" s="12"/>
      <c r="F35" s="64" t="s">
        <v>1407</v>
      </c>
      <c r="G35" s="146" t="s">
        <v>2359</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 xml:space="preserve">CRP – C reactive protein tested </v>
      </c>
      <c r="D36" s="131" t="s">
        <v>2357</v>
      </c>
      <c r="E36" s="12"/>
      <c r="F36" s="64" t="s">
        <v>1407</v>
      </c>
      <c r="G36" s="146" t="s">
        <v>2360</v>
      </c>
      <c r="H36" s="58"/>
      <c r="I36" s="12" t="str">
        <f t="shared" si="15"/>
        <v>* group[=].element[+].code = #CancerEpisode.crpCReactiveProteinTested</v>
      </c>
      <c r="J36" s="12" t="str">
        <f t="shared" si="16"/>
        <v>* group[=].element[=].display = ##34#CRP – C reactive protein tested ##34#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 ##34#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2">
    <mergeCell ref="E6:G6"/>
    <mergeCell ref="E7:G7"/>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xr:uid="{AF1386E1-A730-418F-996F-1727CDBF48DA}"/>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I18" sqref="I18:N4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3" t="s">
        <v>2258</v>
      </c>
    </row>
    <row r="2" spans="1:19" ht="15.5" thickBot="1"/>
    <row r="3" spans="1:19" ht="15.5" thickBot="1">
      <c r="B3" s="62" t="s">
        <v>17</v>
      </c>
      <c r="C3" s="28" t="s">
        <v>2324</v>
      </c>
      <c r="D3" s="62" t="s">
        <v>2246</v>
      </c>
      <c r="E3" s="123" t="str">
        <f>$C$1&amp;CancerEpisode!B5</f>
        <v>http://hl7.eu/fhir/ig/idea4rc/StructureDefinition/CancerEpisode</v>
      </c>
    </row>
    <row r="4" spans="1:19">
      <c r="B4" s="62" t="s">
        <v>16</v>
      </c>
      <c r="C4" s="28" t="s">
        <v>2255</v>
      </c>
      <c r="D4" s="62" t="s">
        <v>2247</v>
      </c>
      <c r="E4" s="123" t="s">
        <v>2284</v>
      </c>
    </row>
    <row r="5" spans="1:19">
      <c r="B5" s="62" t="s">
        <v>10</v>
      </c>
      <c r="C5" s="7" t="s">
        <v>2256</v>
      </c>
      <c r="D5" s="62"/>
      <c r="E5" s="7"/>
    </row>
    <row r="6" spans="1:19">
      <c r="B6" s="62" t="s">
        <v>18</v>
      </c>
      <c r="C6" s="56"/>
      <c r="D6" s="62" t="s">
        <v>2248</v>
      </c>
      <c r="E6" s="162" t="str">
        <f>E3</f>
        <v>http://hl7.eu/fhir/ig/idea4rc/StructureDefinition/CancerEpisode</v>
      </c>
      <c r="F6" s="163"/>
      <c r="G6" s="163"/>
    </row>
    <row r="7" spans="1:19">
      <c r="B7" s="62" t="s">
        <v>15</v>
      </c>
      <c r="C7" s="124"/>
      <c r="D7" s="62" t="s">
        <v>2249</v>
      </c>
      <c r="E7" s="162" t="s">
        <v>2349</v>
      </c>
      <c r="F7" s="163"/>
      <c r="G7" s="163"/>
    </row>
    <row r="8" spans="1:19" ht="44.25">
      <c r="B8" s="62" t="s">
        <v>2250</v>
      </c>
      <c r="C8" s="125" t="s">
        <v>2256</v>
      </c>
      <c r="D8" s="62"/>
      <c r="E8" s="7"/>
      <c r="I8" s="12" t="s">
        <v>1402</v>
      </c>
      <c r="J8" s="12" t="s">
        <v>1403</v>
      </c>
      <c r="K8" s="12" t="s">
        <v>1404</v>
      </c>
      <c r="L8" s="12" t="s">
        <v>1405</v>
      </c>
      <c r="M8" s="11" t="s">
        <v>1406</v>
      </c>
      <c r="P8" s="49" t="s">
        <v>1441</v>
      </c>
      <c r="Q8" s="49">
        <v>6</v>
      </c>
    </row>
    <row r="9" spans="1:19" ht="29.5">
      <c r="B9" s="62" t="s">
        <v>2251</v>
      </c>
      <c r="C9" s="12" t="s">
        <v>2257</v>
      </c>
      <c r="D9" s="62"/>
      <c r="E9" s="12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CancerEpisode!B5</f>
        <v>CancerEpisode</v>
      </c>
      <c r="C14" s="11"/>
      <c r="D14" s="4" t="s">
        <v>2282</v>
      </c>
      <c r="E14" s="6"/>
      <c r="F14" s="64"/>
      <c r="G14" s="64"/>
      <c r="I14" s="12"/>
      <c r="J14" s="11"/>
      <c r="K14" s="11"/>
      <c r="L14" s="11"/>
      <c r="M14" s="63"/>
      <c r="N14" s="66"/>
    </row>
    <row r="15" spans="1:19" ht="44.25">
      <c r="A15" s="59"/>
      <c r="B15" s="11" t="str">
        <f>CancerEpisode!B8</f>
        <v>patient</v>
      </c>
      <c r="C15" s="11" t="str">
        <f>CancerEpisode!C8</f>
        <v>Patient</v>
      </c>
      <c r="D15" s="12" t="s">
        <v>2283</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2351</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2350</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9"/>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9"/>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9"/>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9"/>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9"/>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9"/>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9"/>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9"/>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9"/>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9"/>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9"/>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9"/>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9"/>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9"/>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9"/>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9"/>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9"/>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9"/>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9"/>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9"/>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9"/>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9"/>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9"/>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9"/>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9"/>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9"/>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9"/>
      <c r="P44" s="11">
        <v>30</v>
      </c>
      <c r="Q44" s="11">
        <f t="shared" si="5"/>
        <v>4</v>
      </c>
      <c r="R44" s="11">
        <f t="shared" si="6"/>
        <v>6</v>
      </c>
      <c r="S44" s="12" cm="1">
        <f t="array" ref="S44">INDEX('CancerEpisode-ConceptMap-2'!$I$15:$N$123,Q44+1,R44)</f>
        <v>0</v>
      </c>
    </row>
    <row r="45" spans="1:19">
      <c r="A45" s="59"/>
      <c r="B45" s="11"/>
      <c r="C45" s="11"/>
      <c r="D45" s="12"/>
      <c r="E45" s="11"/>
      <c r="F45" s="64"/>
      <c r="G45" s="129"/>
      <c r="P45" s="11">
        <v>31</v>
      </c>
      <c r="Q45" s="11">
        <f t="shared" si="5"/>
        <v>5</v>
      </c>
      <c r="R45" s="11">
        <f t="shared" si="6"/>
        <v>1</v>
      </c>
      <c r="S45" s="12" cm="1">
        <f t="array" ref="S45">INDEX('CancerEpisode-ConceptMap-2'!$I$15:$N$123,Q45+1,R45)</f>
        <v>0</v>
      </c>
    </row>
    <row r="46" spans="1:19">
      <c r="A46" s="59"/>
      <c r="B46" s="11"/>
      <c r="C46" s="11"/>
      <c r="D46" s="12"/>
      <c r="E46" s="11"/>
      <c r="F46" s="64"/>
      <c r="G46" s="129"/>
      <c r="P46" s="11">
        <v>32</v>
      </c>
      <c r="Q46" s="11">
        <f t="shared" si="5"/>
        <v>5</v>
      </c>
      <c r="R46" s="11">
        <f t="shared" si="6"/>
        <v>2</v>
      </c>
      <c r="S46" s="12" cm="1">
        <f t="array" ref="S46">INDEX('CancerEpisode-ConceptMap-2'!$I$15:$N$123,Q46+1,R46)</f>
        <v>0</v>
      </c>
    </row>
    <row r="47" spans="1:19">
      <c r="A47" s="59"/>
      <c r="B47" s="11"/>
      <c r="C47" s="11"/>
      <c r="D47" s="12"/>
      <c r="E47" s="11"/>
      <c r="F47" s="64"/>
      <c r="G47" s="129"/>
      <c r="P47" s="11">
        <v>33</v>
      </c>
      <c r="Q47" s="11">
        <f t="shared" si="5"/>
        <v>5</v>
      </c>
      <c r="R47" s="11">
        <f t="shared" si="6"/>
        <v>3</v>
      </c>
      <c r="S47" s="12" cm="1">
        <f t="array" ref="S47">INDEX('CancerEpisode-ConceptMap-2'!$I$15:$N$123,Q47+1,R47)</f>
        <v>0</v>
      </c>
    </row>
    <row r="48" spans="1:19">
      <c r="A48" s="59"/>
      <c r="B48" s="11"/>
      <c r="C48" s="11"/>
      <c r="D48" s="12"/>
      <c r="E48" s="11"/>
      <c r="F48" s="64"/>
      <c r="G48" s="129"/>
      <c r="P48" s="11">
        <v>34</v>
      </c>
      <c r="Q48" s="11">
        <f t="shared" si="5"/>
        <v>5</v>
      </c>
      <c r="R48" s="11">
        <f t="shared" si="6"/>
        <v>4</v>
      </c>
      <c r="S48" s="12" cm="1">
        <f t="array" ref="S48">INDEX('CancerEpisode-ConceptMap-2'!$I$15:$N$123,Q48+1,R48)</f>
        <v>0</v>
      </c>
    </row>
    <row r="49" spans="1:19">
      <c r="A49" s="59"/>
      <c r="B49" s="11"/>
      <c r="C49" s="11"/>
      <c r="D49" s="12"/>
      <c r="E49" s="11"/>
      <c r="F49" s="64"/>
      <c r="G49" s="129"/>
      <c r="P49" s="11">
        <v>35</v>
      </c>
      <c r="Q49" s="11">
        <f t="shared" si="5"/>
        <v>5</v>
      </c>
      <c r="R49" s="11">
        <f t="shared" si="6"/>
        <v>5</v>
      </c>
      <c r="S49" s="12" cm="1">
        <f t="array" ref="S49">INDEX('CancerEpisode-ConceptMap-2'!$I$15:$N$123,Q49+1,R49)</f>
        <v>0</v>
      </c>
    </row>
    <row r="50" spans="1:19">
      <c r="A50" s="59"/>
      <c r="B50" s="11"/>
      <c r="C50" s="11"/>
      <c r="D50" s="12"/>
      <c r="E50" s="11"/>
      <c r="F50" s="64"/>
      <c r="G50" s="129"/>
      <c r="P50" s="11">
        <v>36</v>
      </c>
      <c r="Q50" s="11">
        <f t="shared" si="5"/>
        <v>5</v>
      </c>
      <c r="R50" s="11">
        <f t="shared" si="6"/>
        <v>6</v>
      </c>
      <c r="S50" s="12" cm="1">
        <f t="array" ref="S50">INDEX('CancerEpisode-ConceptMap-2'!$I$15:$N$123,Q50+1,R50)</f>
        <v>0</v>
      </c>
    </row>
    <row r="51" spans="1:19">
      <c r="A51" s="59"/>
      <c r="B51" s="11"/>
      <c r="C51" s="11"/>
      <c r="D51" s="12"/>
      <c r="E51" s="11"/>
      <c r="F51" s="64"/>
      <c r="G51" s="129"/>
      <c r="P51" s="11">
        <v>37</v>
      </c>
      <c r="Q51" s="11">
        <f t="shared" si="5"/>
        <v>6</v>
      </c>
      <c r="R51" s="11">
        <f t="shared" si="6"/>
        <v>1</v>
      </c>
      <c r="S51" s="12" cm="1">
        <f t="array" ref="S51">INDEX('CancerEpisode-ConceptMap-2'!$I$15:$N$123,Q51+1,R51)</f>
        <v>0</v>
      </c>
    </row>
    <row r="52" spans="1:19">
      <c r="A52" s="59"/>
      <c r="B52" s="11"/>
      <c r="C52" s="11"/>
      <c r="D52" s="12"/>
      <c r="E52" s="11"/>
      <c r="F52" s="64"/>
      <c r="G52" s="129"/>
      <c r="P52" s="11">
        <v>38</v>
      </c>
      <c r="Q52" s="11">
        <f t="shared" si="5"/>
        <v>6</v>
      </c>
      <c r="R52" s="11">
        <f t="shared" si="6"/>
        <v>2</v>
      </c>
      <c r="S52" s="12" cm="1">
        <f t="array" ref="S52">INDEX('CancerEpisode-ConceptMap-2'!$I$15:$N$123,Q52+1,R52)</f>
        <v>0</v>
      </c>
    </row>
    <row r="53" spans="1:19">
      <c r="A53" s="59"/>
      <c r="B53" s="11"/>
      <c r="C53" s="11"/>
      <c r="D53" s="12"/>
      <c r="E53" s="11"/>
      <c r="F53" s="64"/>
      <c r="G53" s="129"/>
      <c r="P53" s="11">
        <v>39</v>
      </c>
      <c r="Q53" s="11">
        <f t="shared" si="5"/>
        <v>6</v>
      </c>
      <c r="R53" s="11">
        <f t="shared" si="6"/>
        <v>3</v>
      </c>
      <c r="S53" s="12" cm="1">
        <f t="array" ref="S53">INDEX('CancerEpisode-ConceptMap-2'!$I$15:$N$123,Q53+1,R53)</f>
        <v>0</v>
      </c>
    </row>
    <row r="54" spans="1:19">
      <c r="A54" s="59"/>
      <c r="B54" s="11"/>
      <c r="C54" s="11"/>
      <c r="D54" s="12"/>
      <c r="E54" s="11"/>
      <c r="F54" s="64"/>
      <c r="G54" s="129"/>
      <c r="P54" s="11">
        <v>40</v>
      </c>
      <c r="Q54" s="11">
        <f t="shared" si="5"/>
        <v>6</v>
      </c>
      <c r="R54" s="11">
        <f t="shared" si="6"/>
        <v>4</v>
      </c>
      <c r="S54" s="12" cm="1">
        <f t="array" ref="S54">INDEX('CancerEpisode-ConceptMap-2'!$I$15:$N$123,Q54+1,R54)</f>
        <v>0</v>
      </c>
    </row>
    <row r="55" spans="1:19">
      <c r="A55" s="59"/>
      <c r="B55" s="11"/>
      <c r="C55" s="11"/>
      <c r="D55" s="12"/>
      <c r="E55" s="11"/>
      <c r="F55" s="64"/>
      <c r="G55" s="129"/>
      <c r="P55" s="11">
        <v>41</v>
      </c>
      <c r="Q55" s="11">
        <f t="shared" si="5"/>
        <v>6</v>
      </c>
      <c r="R55" s="11">
        <f t="shared" si="6"/>
        <v>5</v>
      </c>
      <c r="S55" s="12" cm="1">
        <f t="array" ref="S55">INDEX('CancerEpisode-ConceptMap-2'!$I$15:$N$123,Q55+1,R55)</f>
        <v>0</v>
      </c>
    </row>
    <row r="56" spans="1:19">
      <c r="A56" s="59"/>
      <c r="B56" s="11"/>
      <c r="C56" s="11"/>
      <c r="D56" s="12"/>
      <c r="E56" s="11"/>
      <c r="F56" s="64"/>
      <c r="G56" s="129"/>
      <c r="P56" s="11">
        <v>42</v>
      </c>
      <c r="Q56" s="11">
        <f t="shared" si="5"/>
        <v>6</v>
      </c>
      <c r="R56" s="11">
        <f t="shared" si="6"/>
        <v>6</v>
      </c>
      <c r="S56" s="12" cm="1">
        <f t="array" ref="S56">INDEX('CancerEpisode-ConceptMap-2'!$I$15:$N$123,Q56+1,R56)</f>
        <v>0</v>
      </c>
    </row>
    <row r="57" spans="1:19">
      <c r="A57" s="59"/>
      <c r="B57" s="11"/>
      <c r="C57" s="11"/>
      <c r="D57" s="12"/>
      <c r="E57" s="11"/>
      <c r="F57" s="64"/>
      <c r="G57" s="129"/>
      <c r="P57" s="11">
        <v>43</v>
      </c>
      <c r="Q57" s="11">
        <f t="shared" si="5"/>
        <v>7</v>
      </c>
      <c r="R57" s="11">
        <f t="shared" si="6"/>
        <v>1</v>
      </c>
      <c r="S57" s="12" cm="1">
        <f t="array" ref="S57">INDEX('CancerEpisode-ConceptMap-2'!$I$15:$N$123,Q57+1,R57)</f>
        <v>0</v>
      </c>
    </row>
    <row r="58" spans="1:19">
      <c r="A58" s="59"/>
      <c r="B58" s="11"/>
      <c r="C58" s="11"/>
      <c r="D58" s="12"/>
      <c r="E58" s="11"/>
      <c r="F58" s="64"/>
      <c r="G58" s="129"/>
      <c r="P58" s="11">
        <v>44</v>
      </c>
      <c r="Q58" s="11">
        <f t="shared" si="5"/>
        <v>7</v>
      </c>
      <c r="R58" s="11">
        <f t="shared" si="6"/>
        <v>2</v>
      </c>
      <c r="S58" s="12" cm="1">
        <f t="array" ref="S58">INDEX('CancerEpisode-ConceptMap-2'!$I$15:$N$123,Q58+1,R58)</f>
        <v>0</v>
      </c>
    </row>
    <row r="59" spans="1:19">
      <c r="A59" s="59"/>
      <c r="B59" s="11"/>
      <c r="C59" s="11"/>
      <c r="D59" s="12"/>
      <c r="E59" s="11"/>
      <c r="F59" s="64"/>
      <c r="G59" s="129"/>
      <c r="P59" s="11">
        <v>45</v>
      </c>
      <c r="Q59" s="11">
        <f t="shared" si="5"/>
        <v>7</v>
      </c>
      <c r="R59" s="11">
        <f t="shared" si="6"/>
        <v>3</v>
      </c>
      <c r="S59" s="12" cm="1">
        <f t="array" ref="S59">INDEX('CancerEpisode-ConceptMap-2'!$I$15:$N$123,Q59+1,R59)</f>
        <v>0</v>
      </c>
    </row>
    <row r="60" spans="1:19">
      <c r="A60" s="59"/>
      <c r="B60" s="11"/>
      <c r="C60" s="11"/>
      <c r="D60" s="12"/>
      <c r="E60" s="11"/>
      <c r="F60" s="64"/>
      <c r="G60" s="129"/>
      <c r="P60" s="11">
        <v>46</v>
      </c>
      <c r="Q60" s="11">
        <f t="shared" si="5"/>
        <v>7</v>
      </c>
      <c r="R60" s="11">
        <f t="shared" si="6"/>
        <v>4</v>
      </c>
      <c r="S60" s="12" cm="1">
        <f t="array" ref="S60">INDEX('CancerEpisode-ConceptMap-2'!$I$15:$N$123,Q60+1,R60)</f>
        <v>0</v>
      </c>
    </row>
    <row r="61" spans="1:19">
      <c r="A61" s="59"/>
      <c r="B61" s="11"/>
      <c r="C61" s="11"/>
      <c r="D61" s="12"/>
      <c r="E61" s="11"/>
      <c r="F61" s="64"/>
      <c r="G61" s="129"/>
      <c r="P61" s="11">
        <v>47</v>
      </c>
      <c r="Q61" s="11">
        <f t="shared" si="5"/>
        <v>7</v>
      </c>
      <c r="R61" s="11">
        <f t="shared" si="6"/>
        <v>5</v>
      </c>
      <c r="S61" s="12" cm="1">
        <f t="array" ref="S61">INDEX('CancerEpisode-ConceptMap-2'!$I$15:$N$123,Q61+1,R61)</f>
        <v>0</v>
      </c>
    </row>
    <row r="62" spans="1:19">
      <c r="A62" s="59"/>
      <c r="B62" s="11"/>
      <c r="C62" s="11"/>
      <c r="D62" s="12"/>
      <c r="E62" s="11"/>
      <c r="F62" s="64"/>
      <c r="G62" s="129"/>
      <c r="P62" s="11">
        <v>48</v>
      </c>
      <c r="Q62" s="11">
        <f t="shared" si="5"/>
        <v>7</v>
      </c>
      <c r="R62" s="11">
        <f t="shared" si="6"/>
        <v>6</v>
      </c>
      <c r="S62" s="12" cm="1">
        <f t="array" ref="S62">INDEX('CancerEpisode-ConceptMap-2'!$I$15:$N$123,Q62+1,R62)</f>
        <v>0</v>
      </c>
    </row>
    <row r="63" spans="1:19">
      <c r="A63" s="59"/>
      <c r="B63" s="11"/>
      <c r="C63" s="11"/>
      <c r="D63" s="12"/>
      <c r="E63" s="11"/>
      <c r="F63" s="64"/>
      <c r="G63" s="129"/>
      <c r="P63" s="11">
        <v>49</v>
      </c>
      <c r="Q63" s="11">
        <f t="shared" si="5"/>
        <v>8</v>
      </c>
      <c r="R63" s="11">
        <f t="shared" si="6"/>
        <v>1</v>
      </c>
      <c r="S63" s="12" cm="1">
        <f t="array" ref="S63">INDEX('CancerEpisode-ConceptMap-2'!$I$15:$N$123,Q63+1,R63)</f>
        <v>0</v>
      </c>
    </row>
    <row r="64" spans="1:19">
      <c r="A64" s="59"/>
      <c r="B64" s="11"/>
      <c r="C64" s="11"/>
      <c r="D64" s="12"/>
      <c r="E64" s="11"/>
      <c r="F64" s="64"/>
      <c r="G64" s="129"/>
      <c r="P64" s="11">
        <v>50</v>
      </c>
      <c r="Q64" s="11">
        <f t="shared" si="5"/>
        <v>8</v>
      </c>
      <c r="R64" s="11">
        <f t="shared" si="6"/>
        <v>2</v>
      </c>
      <c r="S64" s="12" cm="1">
        <f t="array" ref="S64">INDEX('CancerEpisode-ConceptMap-2'!$I$15:$N$123,Q64+1,R64)</f>
        <v>0</v>
      </c>
    </row>
    <row r="65" spans="1:19">
      <c r="A65" s="59"/>
      <c r="B65" s="11"/>
      <c r="C65" s="11"/>
      <c r="D65" s="12"/>
      <c r="E65" s="11"/>
      <c r="F65" s="64"/>
      <c r="G65" s="129"/>
      <c r="P65" s="11">
        <v>51</v>
      </c>
      <c r="Q65" s="11">
        <f t="shared" si="5"/>
        <v>8</v>
      </c>
      <c r="R65" s="11">
        <f t="shared" si="6"/>
        <v>3</v>
      </c>
      <c r="S65" s="12" cm="1">
        <f t="array" ref="S65">INDEX('CancerEpisode-ConceptMap-2'!$I$15:$N$123,Q65+1,R65)</f>
        <v>0</v>
      </c>
    </row>
    <row r="66" spans="1:19">
      <c r="A66" s="59"/>
      <c r="B66" s="11"/>
      <c r="C66" s="11"/>
      <c r="D66" s="12"/>
      <c r="E66" s="11"/>
      <c r="F66" s="64"/>
      <c r="G66" s="129"/>
      <c r="P66" s="11">
        <v>52</v>
      </c>
      <c r="Q66" s="11">
        <f t="shared" si="5"/>
        <v>8</v>
      </c>
      <c r="R66" s="11">
        <f t="shared" si="6"/>
        <v>4</v>
      </c>
      <c r="S66" s="12" cm="1">
        <f t="array" ref="S66">INDEX('CancerEpisode-ConceptMap-2'!$I$15:$N$123,Q66+1,R66)</f>
        <v>0</v>
      </c>
    </row>
    <row r="67" spans="1:19">
      <c r="A67" s="59"/>
      <c r="B67" s="11"/>
      <c r="C67" s="11"/>
      <c r="D67" s="12"/>
      <c r="E67" s="11"/>
      <c r="F67" s="64"/>
      <c r="G67" s="129"/>
      <c r="P67" s="11">
        <v>53</v>
      </c>
      <c r="Q67" s="11">
        <f t="shared" si="5"/>
        <v>8</v>
      </c>
      <c r="R67" s="11">
        <f t="shared" si="6"/>
        <v>5</v>
      </c>
      <c r="S67" s="12" cm="1">
        <f t="array" ref="S67">INDEX('CancerEpisode-ConceptMap-2'!$I$15:$N$123,Q67+1,R67)</f>
        <v>0</v>
      </c>
    </row>
    <row r="68" spans="1:19">
      <c r="A68" s="59"/>
      <c r="B68" s="11"/>
      <c r="C68" s="11"/>
      <c r="D68" s="12"/>
      <c r="E68" s="11"/>
      <c r="F68" s="64"/>
      <c r="G68" s="129"/>
      <c r="P68" s="11">
        <v>54</v>
      </c>
      <c r="Q68" s="11">
        <f t="shared" si="5"/>
        <v>8</v>
      </c>
      <c r="R68" s="11">
        <f t="shared" si="6"/>
        <v>6</v>
      </c>
      <c r="S68" s="12" cm="1">
        <f t="array" ref="S68">INDEX('CancerEpisode-ConceptMap-2'!$I$15:$N$123,Q68+1,R68)</f>
        <v>0</v>
      </c>
    </row>
    <row r="69" spans="1:19">
      <c r="A69" s="59"/>
      <c r="B69" s="11"/>
      <c r="C69" s="11"/>
      <c r="D69" s="12"/>
      <c r="E69" s="11"/>
      <c r="F69" s="64"/>
      <c r="G69" s="129"/>
      <c r="P69" s="11">
        <v>55</v>
      </c>
      <c r="Q69" s="11">
        <f t="shared" si="5"/>
        <v>9</v>
      </c>
      <c r="R69" s="11">
        <f t="shared" si="6"/>
        <v>1</v>
      </c>
      <c r="S69" s="12" cm="1">
        <f t="array" ref="S69">INDEX('CancerEpisode-ConceptMap-2'!$I$15:$N$123,Q69+1,R69)</f>
        <v>0</v>
      </c>
    </row>
    <row r="70" spans="1:19">
      <c r="A70" s="59"/>
      <c r="B70" s="11"/>
      <c r="C70" s="11"/>
      <c r="D70" s="12"/>
      <c r="E70" s="11"/>
      <c r="F70" s="64"/>
      <c r="G70" s="129"/>
      <c r="P70" s="11">
        <v>56</v>
      </c>
      <c r="Q70" s="11">
        <f t="shared" si="5"/>
        <v>9</v>
      </c>
      <c r="R70" s="11">
        <f t="shared" si="6"/>
        <v>2</v>
      </c>
      <c r="S70" s="12" cm="1">
        <f t="array" ref="S70">INDEX('CancerEpisode-ConceptMap-2'!$I$15:$N$123,Q70+1,R70)</f>
        <v>0</v>
      </c>
    </row>
    <row r="71" spans="1:19">
      <c r="A71" s="59"/>
      <c r="B71" s="11"/>
      <c r="C71" s="11"/>
      <c r="D71" s="12"/>
      <c r="E71" s="11"/>
      <c r="F71" s="64"/>
      <c r="G71" s="129"/>
      <c r="P71" s="11">
        <v>57</v>
      </c>
      <c r="Q71" s="11">
        <f t="shared" si="5"/>
        <v>9</v>
      </c>
      <c r="R71" s="11">
        <f t="shared" si="6"/>
        <v>3</v>
      </c>
      <c r="S71" s="12" cm="1">
        <f t="array" ref="S71">INDEX('CancerEpisode-ConceptMap-2'!$I$15:$N$123,Q71+1,R71)</f>
        <v>0</v>
      </c>
    </row>
    <row r="72" spans="1:19">
      <c r="A72" s="59"/>
      <c r="B72" s="11"/>
      <c r="C72" s="11"/>
      <c r="D72" s="12"/>
      <c r="E72" s="11"/>
      <c r="F72" s="64"/>
      <c r="G72" s="129"/>
      <c r="P72" s="11">
        <v>58</v>
      </c>
      <c r="Q72" s="11">
        <f t="shared" si="5"/>
        <v>9</v>
      </c>
      <c r="R72" s="11">
        <f t="shared" si="6"/>
        <v>4</v>
      </c>
      <c r="S72" s="12" cm="1">
        <f t="array" ref="S72">INDEX('CancerEpisode-ConceptMap-2'!$I$15:$N$123,Q72+1,R72)</f>
        <v>0</v>
      </c>
    </row>
    <row r="73" spans="1:19">
      <c r="A73" s="59"/>
      <c r="B73" s="11"/>
      <c r="C73" s="11"/>
      <c r="D73" s="12"/>
      <c r="E73" s="11"/>
      <c r="F73" s="64"/>
      <c r="G73" s="129"/>
      <c r="P73" s="11">
        <v>59</v>
      </c>
      <c r="Q73" s="11">
        <f t="shared" si="5"/>
        <v>9</v>
      </c>
      <c r="R73" s="11">
        <f t="shared" si="6"/>
        <v>5</v>
      </c>
      <c r="S73" s="12" cm="1">
        <f t="array" ref="S73">INDEX('CancerEpisode-ConceptMap-2'!$I$15:$N$123,Q73+1,R73)</f>
        <v>0</v>
      </c>
    </row>
    <row r="74" spans="1:19">
      <c r="A74" s="59"/>
      <c r="B74" s="11"/>
      <c r="C74" s="11"/>
      <c r="D74" s="12"/>
      <c r="E74" s="11"/>
      <c r="F74" s="64"/>
      <c r="G74" s="129"/>
      <c r="P74" s="11">
        <v>60</v>
      </c>
      <c r="Q74" s="11">
        <f t="shared" si="5"/>
        <v>9</v>
      </c>
      <c r="R74" s="11">
        <f t="shared" si="6"/>
        <v>6</v>
      </c>
      <c r="S74" s="12" cm="1">
        <f t="array" ref="S74">INDEX('CancerEpisode-ConceptMap-2'!$I$15:$N$123,Q74+1,R74)</f>
        <v>0</v>
      </c>
    </row>
    <row r="75" spans="1:19">
      <c r="A75" s="59"/>
      <c r="B75" s="11"/>
      <c r="C75" s="11"/>
      <c r="D75" s="12"/>
      <c r="E75" s="11"/>
      <c r="F75" s="64"/>
      <c r="G75" s="129"/>
      <c r="P75" s="11">
        <v>61</v>
      </c>
      <c r="Q75" s="11">
        <f t="shared" si="5"/>
        <v>10</v>
      </c>
      <c r="R75" s="11">
        <f t="shared" si="6"/>
        <v>1</v>
      </c>
      <c r="S75" s="12" cm="1">
        <f t="array" ref="S75">INDEX('CancerEpisode-ConceptMap-2'!$I$15:$N$123,Q75+1,R75)</f>
        <v>0</v>
      </c>
    </row>
    <row r="76" spans="1:19">
      <c r="A76" s="59"/>
      <c r="B76" s="11"/>
      <c r="C76" s="11"/>
      <c r="D76" s="12"/>
      <c r="E76" s="11"/>
      <c r="F76" s="64"/>
      <c r="G76" s="129"/>
      <c r="P76" s="11">
        <v>62</v>
      </c>
      <c r="Q76" s="11">
        <f t="shared" si="5"/>
        <v>10</v>
      </c>
      <c r="R76" s="11">
        <f t="shared" si="6"/>
        <v>2</v>
      </c>
      <c r="S76" s="12" cm="1">
        <f t="array" ref="S76">INDEX('CancerEpisode-ConceptMap-2'!$I$15:$N$123,Q76+1,R76)</f>
        <v>0</v>
      </c>
    </row>
    <row r="77" spans="1:19">
      <c r="A77" s="59"/>
      <c r="B77" s="11"/>
      <c r="C77" s="11"/>
      <c r="D77" s="12"/>
      <c r="E77" s="11"/>
      <c r="F77" s="64"/>
      <c r="G77" s="129"/>
      <c r="P77" s="11">
        <v>63</v>
      </c>
      <c r="Q77" s="11">
        <f t="shared" si="5"/>
        <v>10</v>
      </c>
      <c r="R77" s="11">
        <f t="shared" si="6"/>
        <v>3</v>
      </c>
      <c r="S77" s="12" cm="1">
        <f t="array" ref="S77">INDEX('CancerEpisode-ConceptMap-2'!$I$15:$N$123,Q77+1,R77)</f>
        <v>0</v>
      </c>
    </row>
    <row r="78" spans="1:19">
      <c r="A78" s="59"/>
      <c r="B78" s="11"/>
      <c r="C78" s="11"/>
      <c r="D78" s="12"/>
      <c r="E78" s="11"/>
      <c r="F78" s="64"/>
      <c r="G78" s="129"/>
      <c r="P78" s="11">
        <v>64</v>
      </c>
      <c r="Q78" s="11">
        <f t="shared" si="5"/>
        <v>10</v>
      </c>
      <c r="R78" s="11">
        <f t="shared" si="6"/>
        <v>4</v>
      </c>
      <c r="S78" s="12" cm="1">
        <f t="array" ref="S78">INDEX('CancerEpisode-ConceptMap-2'!$I$15:$N$123,Q78+1,R78)</f>
        <v>0</v>
      </c>
    </row>
    <row r="79" spans="1:19">
      <c r="A79" s="59"/>
      <c r="B79" s="11"/>
      <c r="C79" s="11"/>
      <c r="D79" s="12"/>
      <c r="E79" s="11"/>
      <c r="F79" s="64"/>
      <c r="G79" s="129"/>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9"/>
      <c r="P80" s="11">
        <v>66</v>
      </c>
      <c r="Q80" s="11">
        <f t="shared" si="8"/>
        <v>10</v>
      </c>
      <c r="R80" s="11">
        <f t="shared" si="9"/>
        <v>6</v>
      </c>
      <c r="S80" s="12" cm="1">
        <f t="array" ref="S80">INDEX('CancerEpisode-ConceptMap-2'!$I$15:$N$123,Q80+1,R80)</f>
        <v>0</v>
      </c>
    </row>
    <row r="81" spans="1:19">
      <c r="A81" s="59"/>
      <c r="B81" s="11"/>
      <c r="C81" s="11"/>
      <c r="D81" s="12"/>
      <c r="E81" s="11"/>
      <c r="F81" s="64"/>
      <c r="G81" s="129"/>
      <c r="P81" s="11">
        <v>67</v>
      </c>
      <c r="Q81" s="11">
        <f t="shared" si="8"/>
        <v>11</v>
      </c>
      <c r="R81" s="11">
        <f t="shared" si="9"/>
        <v>1</v>
      </c>
      <c r="S81" s="12" cm="1">
        <f t="array" ref="S81">INDEX('CancerEpisode-ConceptMap-2'!$I$15:$N$123,Q81+1,R81)</f>
        <v>0</v>
      </c>
    </row>
    <row r="82" spans="1:19">
      <c r="A82" s="59"/>
      <c r="B82" s="11"/>
      <c r="C82" s="11"/>
      <c r="D82" s="12"/>
      <c r="E82" s="11"/>
      <c r="F82" s="64"/>
      <c r="G82" s="129"/>
      <c r="P82" s="11">
        <v>68</v>
      </c>
      <c r="Q82" s="11">
        <f t="shared" si="8"/>
        <v>11</v>
      </c>
      <c r="R82" s="11">
        <f t="shared" si="9"/>
        <v>2</v>
      </c>
      <c r="S82" s="12" cm="1">
        <f t="array" ref="S82">INDEX('CancerEpisode-ConceptMap-2'!$I$15:$N$123,Q82+1,R82)</f>
        <v>0</v>
      </c>
    </row>
    <row r="83" spans="1:19">
      <c r="A83" s="59"/>
      <c r="B83" s="11"/>
      <c r="C83" s="11"/>
      <c r="D83" s="12"/>
      <c r="E83" s="11"/>
      <c r="F83" s="64"/>
      <c r="G83" s="129"/>
      <c r="P83" s="11">
        <v>69</v>
      </c>
      <c r="Q83" s="11">
        <f t="shared" si="8"/>
        <v>11</v>
      </c>
      <c r="R83" s="11">
        <f t="shared" si="9"/>
        <v>3</v>
      </c>
      <c r="S83" s="12" cm="1">
        <f t="array" ref="S83">INDEX('CancerEpisode-ConceptMap-2'!$I$15:$N$123,Q83+1,R83)</f>
        <v>0</v>
      </c>
    </row>
    <row r="84" spans="1:19">
      <c r="A84" s="59"/>
      <c r="B84" s="11"/>
      <c r="C84" s="11"/>
      <c r="D84" s="12"/>
      <c r="E84" s="11"/>
      <c r="F84" s="64"/>
      <c r="G84" s="129"/>
      <c r="P84" s="11">
        <v>70</v>
      </c>
      <c r="Q84" s="11">
        <f t="shared" si="8"/>
        <v>11</v>
      </c>
      <c r="R84" s="11">
        <f t="shared" si="9"/>
        <v>4</v>
      </c>
      <c r="S84" s="12" cm="1">
        <f t="array" ref="S84">INDEX('CancerEpisode-ConceptMap-2'!$I$15:$N$123,Q84+1,R84)</f>
        <v>0</v>
      </c>
    </row>
    <row r="85" spans="1:19">
      <c r="A85" s="59"/>
      <c r="B85" s="11"/>
      <c r="C85" s="11"/>
      <c r="D85" s="12"/>
      <c r="E85" s="11"/>
      <c r="F85" s="64"/>
      <c r="G85" s="129"/>
      <c r="P85" s="11">
        <v>71</v>
      </c>
      <c r="Q85" s="11">
        <f t="shared" si="8"/>
        <v>11</v>
      </c>
      <c r="R85" s="11">
        <f t="shared" si="9"/>
        <v>5</v>
      </c>
      <c r="S85" s="12" cm="1">
        <f t="array" ref="S85">INDEX('CancerEpisode-ConceptMap-2'!$I$15:$N$123,Q85+1,R85)</f>
        <v>0</v>
      </c>
    </row>
    <row r="86" spans="1:19">
      <c r="A86" s="59"/>
      <c r="B86" s="11"/>
      <c r="C86" s="11"/>
      <c r="D86" s="12"/>
      <c r="E86" s="11"/>
      <c r="F86" s="64"/>
      <c r="G86" s="129"/>
      <c r="P86" s="11">
        <v>72</v>
      </c>
      <c r="Q86" s="11">
        <f t="shared" si="8"/>
        <v>11</v>
      </c>
      <c r="R86" s="11">
        <f t="shared" si="9"/>
        <v>6</v>
      </c>
      <c r="S86" s="12" cm="1">
        <f t="array" ref="S86">INDEX('CancerEpisode-ConceptMap-2'!$I$15:$N$123,Q86+1,R86)</f>
        <v>0</v>
      </c>
    </row>
    <row r="87" spans="1:19">
      <c r="A87" s="59"/>
      <c r="B87" s="11"/>
      <c r="C87" s="11"/>
      <c r="D87" s="12"/>
      <c r="E87" s="11"/>
      <c r="F87" s="64"/>
      <c r="G87" s="129"/>
      <c r="P87" s="11">
        <v>73</v>
      </c>
      <c r="Q87" s="11">
        <f t="shared" si="8"/>
        <v>12</v>
      </c>
      <c r="R87" s="11">
        <f t="shared" si="9"/>
        <v>1</v>
      </c>
      <c r="S87" s="12" cm="1">
        <f t="array" ref="S87">INDEX('CancerEpisode-ConceptMap-2'!$I$15:$N$123,Q87+1,R87)</f>
        <v>0</v>
      </c>
    </row>
    <row r="88" spans="1:19">
      <c r="A88" s="59"/>
      <c r="B88" s="11"/>
      <c r="C88" s="11"/>
      <c r="D88" s="12"/>
      <c r="E88" s="11"/>
      <c r="F88" s="64"/>
      <c r="G88" s="129"/>
      <c r="P88" s="11">
        <v>74</v>
      </c>
      <c r="Q88" s="11">
        <f t="shared" si="8"/>
        <v>12</v>
      </c>
      <c r="R88" s="11">
        <f t="shared" si="9"/>
        <v>2</v>
      </c>
      <c r="S88" s="12" cm="1">
        <f t="array" ref="S88">INDEX('CancerEpisode-ConceptMap-2'!$I$15:$N$123,Q88+1,R88)</f>
        <v>0</v>
      </c>
    </row>
    <row r="89" spans="1:19">
      <c r="G89" s="129"/>
      <c r="P89" s="11">
        <v>75</v>
      </c>
      <c r="Q89" s="11">
        <f t="shared" si="8"/>
        <v>12</v>
      </c>
      <c r="R89" s="11">
        <f t="shared" si="9"/>
        <v>3</v>
      </c>
      <c r="S89" s="12" cm="1">
        <f t="array" ref="S89">INDEX('CancerEpisode-ConceptMap-2'!$I$15:$N$123,Q89+1,R89)</f>
        <v>0</v>
      </c>
    </row>
    <row r="90" spans="1:19">
      <c r="G90" s="129"/>
      <c r="P90" s="11">
        <v>76</v>
      </c>
      <c r="Q90" s="11">
        <f t="shared" si="8"/>
        <v>12</v>
      </c>
      <c r="R90" s="11">
        <f t="shared" si="9"/>
        <v>4</v>
      </c>
      <c r="S90" s="12" cm="1">
        <f t="array" ref="S90">INDEX('CancerEpisode-ConceptMap-2'!$I$15:$N$123,Q90+1,R90)</f>
        <v>0</v>
      </c>
    </row>
    <row r="91" spans="1:19">
      <c r="G91" s="129"/>
      <c r="P91" s="11">
        <v>77</v>
      </c>
      <c r="Q91" s="11">
        <f t="shared" si="8"/>
        <v>12</v>
      </c>
      <c r="R91" s="11">
        <f t="shared" si="9"/>
        <v>5</v>
      </c>
      <c r="S91" s="12" cm="1">
        <f t="array" ref="S91">INDEX('CancerEpisode-ConceptMap-2'!$I$15:$N$123,Q91+1,R91)</f>
        <v>0</v>
      </c>
    </row>
    <row r="92" spans="1:19">
      <c r="G92" s="129"/>
      <c r="P92" s="11">
        <v>78</v>
      </c>
      <c r="Q92" s="11">
        <f t="shared" si="8"/>
        <v>12</v>
      </c>
      <c r="R92" s="11">
        <f t="shared" si="9"/>
        <v>6</v>
      </c>
      <c r="S92" s="12" cm="1">
        <f t="array" ref="S92">INDEX('CancerEpisode-ConceptMap-2'!$I$15:$N$123,Q92+1,R92)</f>
        <v>0</v>
      </c>
    </row>
    <row r="93" spans="1:19">
      <c r="G93" s="129"/>
      <c r="P93" s="11">
        <v>79</v>
      </c>
      <c r="Q93" s="11">
        <f t="shared" si="8"/>
        <v>13</v>
      </c>
      <c r="R93" s="11">
        <f t="shared" si="9"/>
        <v>1</v>
      </c>
      <c r="S93" s="12" cm="1">
        <f t="array" ref="S93">INDEX('CancerEpisode-ConceptMap-2'!$I$15:$N$123,Q93+1,R93)</f>
        <v>0</v>
      </c>
    </row>
    <row r="94" spans="1:19">
      <c r="G94" s="129"/>
      <c r="P94" s="11">
        <v>80</v>
      </c>
      <c r="Q94" s="11">
        <f t="shared" si="8"/>
        <v>13</v>
      </c>
      <c r="R94" s="11">
        <f t="shared" si="9"/>
        <v>2</v>
      </c>
      <c r="S94" s="12" cm="1">
        <f t="array" ref="S94">INDEX('CancerEpisode-ConceptMap-2'!$I$15:$N$123,Q94+1,R94)</f>
        <v>0</v>
      </c>
    </row>
    <row r="95" spans="1:19">
      <c r="G95" s="129"/>
      <c r="P95" s="11">
        <v>81</v>
      </c>
      <c r="Q95" s="11">
        <f t="shared" si="8"/>
        <v>13</v>
      </c>
      <c r="R95" s="11">
        <f t="shared" si="9"/>
        <v>3</v>
      </c>
      <c r="S95" s="12" cm="1">
        <f t="array" ref="S95">INDEX('CancerEpisode-ConceptMap-2'!$I$15:$N$123,Q95+1,R95)</f>
        <v>0</v>
      </c>
    </row>
    <row r="96" spans="1:19">
      <c r="G96" s="129"/>
      <c r="P96" s="11">
        <v>82</v>
      </c>
      <c r="Q96" s="11">
        <f t="shared" si="8"/>
        <v>13</v>
      </c>
      <c r="R96" s="11">
        <f t="shared" si="9"/>
        <v>4</v>
      </c>
      <c r="S96" s="12" cm="1">
        <f t="array" ref="S96">INDEX('CancerEpisode-ConceptMap-2'!$I$15:$N$123,Q96+1,R96)</f>
        <v>0</v>
      </c>
    </row>
    <row r="97" spans="7:19">
      <c r="G97" s="129"/>
      <c r="P97" s="11">
        <v>83</v>
      </c>
      <c r="Q97" s="11">
        <f t="shared" si="8"/>
        <v>13</v>
      </c>
      <c r="R97" s="11">
        <f t="shared" si="9"/>
        <v>5</v>
      </c>
      <c r="S97" s="12" cm="1">
        <f t="array" ref="S97">INDEX('CancerEpisode-ConceptMap-2'!$I$15:$N$123,Q97+1,R97)</f>
        <v>0</v>
      </c>
    </row>
    <row r="98" spans="7:19">
      <c r="G98" s="129"/>
      <c r="P98" s="11">
        <v>84</v>
      </c>
      <c r="Q98" s="11">
        <f t="shared" si="8"/>
        <v>13</v>
      </c>
      <c r="R98" s="11">
        <f t="shared" si="9"/>
        <v>6</v>
      </c>
      <c r="S98" s="12" cm="1">
        <f t="array" ref="S98">INDEX('CancerEpisode-ConceptMap-2'!$I$15:$N$123,Q98+1,R98)</f>
        <v>0</v>
      </c>
    </row>
    <row r="99" spans="7:19">
      <c r="G99" s="129"/>
      <c r="P99" s="11">
        <v>85</v>
      </c>
      <c r="Q99" s="11">
        <f t="shared" si="8"/>
        <v>14</v>
      </c>
      <c r="R99" s="11">
        <f t="shared" si="9"/>
        <v>1</v>
      </c>
      <c r="S99" s="12" cm="1">
        <f t="array" ref="S99">INDEX('CancerEpisode-ConceptMap-2'!$I$15:$N$123,Q99+1,R99)</f>
        <v>0</v>
      </c>
    </row>
    <row r="100" spans="7:19">
      <c r="G100" s="129"/>
      <c r="P100" s="11">
        <v>86</v>
      </c>
      <c r="Q100" s="11">
        <f t="shared" si="8"/>
        <v>14</v>
      </c>
      <c r="R100" s="11">
        <f t="shared" si="9"/>
        <v>2</v>
      </c>
      <c r="S100" s="12" cm="1">
        <f t="array" ref="S100">INDEX('CancerEpisode-ConceptMap-2'!$I$15:$N$123,Q100+1,R100)</f>
        <v>0</v>
      </c>
    </row>
    <row r="101" spans="7:19">
      <c r="G101" s="129"/>
      <c r="P101" s="11">
        <v>87</v>
      </c>
      <c r="Q101" s="11">
        <f t="shared" si="8"/>
        <v>14</v>
      </c>
      <c r="R101" s="11">
        <f t="shared" si="9"/>
        <v>3</v>
      </c>
      <c r="S101" s="12" cm="1">
        <f t="array" ref="S101">INDEX('CancerEpisode-ConceptMap-2'!$I$15:$N$123,Q101+1,R101)</f>
        <v>0</v>
      </c>
    </row>
    <row r="102" spans="7:19">
      <c r="G102" s="129"/>
      <c r="P102" s="11">
        <v>88</v>
      </c>
      <c r="Q102" s="11">
        <f t="shared" si="8"/>
        <v>14</v>
      </c>
      <c r="R102" s="11">
        <f t="shared" si="9"/>
        <v>4</v>
      </c>
      <c r="S102" s="12" cm="1">
        <f t="array" ref="S102">INDEX('CancerEpisode-ConceptMap-2'!$I$15:$N$123,Q102+1,R102)</f>
        <v>0</v>
      </c>
    </row>
    <row r="103" spans="7:19">
      <c r="G103" s="129"/>
      <c r="P103" s="11">
        <v>89</v>
      </c>
      <c r="Q103" s="11">
        <f t="shared" si="8"/>
        <v>14</v>
      </c>
      <c r="R103" s="11">
        <f t="shared" si="9"/>
        <v>5</v>
      </c>
      <c r="S103" s="12" cm="1">
        <f t="array" ref="S103">INDEX('CancerEpisode-ConceptMap-2'!$I$15:$N$123,Q103+1,R103)</f>
        <v>0</v>
      </c>
    </row>
    <row r="104" spans="7:19">
      <c r="G104" s="129"/>
      <c r="P104" s="11">
        <v>90</v>
      </c>
      <c r="Q104" s="11">
        <f t="shared" si="8"/>
        <v>14</v>
      </c>
      <c r="R104" s="11">
        <f t="shared" si="9"/>
        <v>6</v>
      </c>
      <c r="S104" s="12" cm="1">
        <f t="array" ref="S104">INDEX('CancerEpisode-ConceptMap-2'!$I$15:$N$123,Q104+1,R104)</f>
        <v>0</v>
      </c>
    </row>
    <row r="105" spans="7:19">
      <c r="G105" s="129"/>
      <c r="P105" s="11">
        <v>91</v>
      </c>
      <c r="Q105" s="11">
        <f t="shared" si="8"/>
        <v>15</v>
      </c>
      <c r="R105" s="11">
        <f t="shared" si="9"/>
        <v>1</v>
      </c>
      <c r="S105" s="12" cm="1">
        <f t="array" ref="S105">INDEX('CancerEpisode-ConceptMap-2'!$I$15:$N$123,Q105+1,R105)</f>
        <v>0</v>
      </c>
    </row>
    <row r="106" spans="7:19">
      <c r="G106" s="129"/>
      <c r="P106" s="11">
        <v>92</v>
      </c>
      <c r="Q106" s="11">
        <f t="shared" si="8"/>
        <v>15</v>
      </c>
      <c r="R106" s="11">
        <f t="shared" si="9"/>
        <v>2</v>
      </c>
      <c r="S106" s="12" cm="1">
        <f t="array" ref="S106">INDEX('CancerEpisode-ConceptMap-2'!$I$15:$N$123,Q106+1,R106)</f>
        <v>0</v>
      </c>
    </row>
    <row r="107" spans="7:19">
      <c r="G107" s="129"/>
      <c r="P107" s="11">
        <v>93</v>
      </c>
      <c r="Q107" s="11">
        <f t="shared" si="8"/>
        <v>15</v>
      </c>
      <c r="R107" s="11">
        <f t="shared" si="9"/>
        <v>3</v>
      </c>
      <c r="S107" s="12" cm="1">
        <f t="array" ref="S107">INDEX('CancerEpisode-ConceptMap-2'!$I$15:$N$123,Q107+1,R107)</f>
        <v>0</v>
      </c>
    </row>
    <row r="108" spans="7:19">
      <c r="G108" s="129"/>
      <c r="P108" s="11">
        <v>94</v>
      </c>
      <c r="Q108" s="11">
        <f t="shared" si="8"/>
        <v>15</v>
      </c>
      <c r="R108" s="11">
        <f t="shared" si="9"/>
        <v>4</v>
      </c>
      <c r="S108" s="12" cm="1">
        <f t="array" ref="S108">INDEX('CancerEpisode-ConceptMap-2'!$I$15:$N$123,Q108+1,R108)</f>
        <v>0</v>
      </c>
    </row>
    <row r="109" spans="7:19">
      <c r="G109" s="129"/>
      <c r="P109" s="11">
        <v>95</v>
      </c>
      <c r="Q109" s="11">
        <f t="shared" si="8"/>
        <v>15</v>
      </c>
      <c r="R109" s="11">
        <f t="shared" si="9"/>
        <v>5</v>
      </c>
      <c r="S109" s="12" cm="1">
        <f t="array" ref="S109">INDEX('CancerEpisode-ConceptMap-2'!$I$15:$N$123,Q109+1,R109)</f>
        <v>0</v>
      </c>
    </row>
    <row r="110" spans="7:19">
      <c r="G110" s="129"/>
      <c r="P110" s="11">
        <v>96</v>
      </c>
      <c r="Q110" s="11">
        <f t="shared" si="8"/>
        <v>15</v>
      </c>
      <c r="R110" s="11">
        <f t="shared" si="9"/>
        <v>6</v>
      </c>
      <c r="S110" s="12" cm="1">
        <f t="array" ref="S110">INDEX('CancerEpisode-ConceptMap-2'!$I$15:$N$123,Q110+1,R110)</f>
        <v>0</v>
      </c>
    </row>
    <row r="111" spans="7:19">
      <c r="G111" s="129"/>
      <c r="P111" s="11">
        <v>97</v>
      </c>
      <c r="Q111" s="11">
        <f t="shared" si="8"/>
        <v>16</v>
      </c>
      <c r="R111" s="11">
        <f t="shared" si="9"/>
        <v>1</v>
      </c>
      <c r="S111" s="12" cm="1">
        <f t="array" ref="S111">INDEX('CancerEpisode-ConceptMap-2'!$I$15:$N$123,Q111+1,R111)</f>
        <v>0</v>
      </c>
    </row>
    <row r="112" spans="7:19">
      <c r="G112" s="129"/>
      <c r="P112" s="11">
        <v>98</v>
      </c>
      <c r="Q112" s="11">
        <f t="shared" si="8"/>
        <v>16</v>
      </c>
      <c r="R112" s="11">
        <f t="shared" si="9"/>
        <v>2</v>
      </c>
      <c r="S112" s="12" cm="1">
        <f t="array" ref="S112">INDEX('CancerEpisode-ConceptMap-2'!$I$15:$N$123,Q112+1,R112)</f>
        <v>0</v>
      </c>
    </row>
    <row r="113" spans="7:19">
      <c r="G113" s="129"/>
      <c r="P113" s="11">
        <v>99</v>
      </c>
      <c r="Q113" s="11">
        <f t="shared" si="8"/>
        <v>16</v>
      </c>
      <c r="R113" s="11">
        <f t="shared" si="9"/>
        <v>3</v>
      </c>
      <c r="S113" s="12" cm="1">
        <f t="array" ref="S113">INDEX('CancerEpisode-ConceptMap-2'!$I$15:$N$123,Q113+1,R113)</f>
        <v>0</v>
      </c>
    </row>
    <row r="114" spans="7:19">
      <c r="G114" s="129"/>
      <c r="P114" s="11">
        <v>100</v>
      </c>
      <c r="Q114" s="11">
        <f t="shared" si="8"/>
        <v>16</v>
      </c>
      <c r="R114" s="11">
        <f t="shared" si="9"/>
        <v>4</v>
      </c>
      <c r="S114" s="12" cm="1">
        <f t="array" ref="S114">INDEX('CancerEpisode-ConceptMap-2'!$I$15:$N$123,Q114+1,R114)</f>
        <v>0</v>
      </c>
    </row>
    <row r="115" spans="7:19">
      <c r="G115" s="129"/>
      <c r="P115" s="11">
        <v>101</v>
      </c>
      <c r="Q115" s="11">
        <f t="shared" si="8"/>
        <v>16</v>
      </c>
      <c r="R115" s="11">
        <f t="shared" si="9"/>
        <v>5</v>
      </c>
      <c r="S115" s="12" cm="1">
        <f t="array" ref="S115">INDEX('CancerEpisode-ConceptMap-2'!$I$15:$N$123,Q115+1,R115)</f>
        <v>0</v>
      </c>
    </row>
    <row r="116" spans="7:19">
      <c r="G116" s="129"/>
      <c r="P116" s="11">
        <v>102</v>
      </c>
      <c r="Q116" s="11">
        <f t="shared" si="8"/>
        <v>16</v>
      </c>
      <c r="R116" s="11">
        <f t="shared" si="9"/>
        <v>6</v>
      </c>
      <c r="S116" s="12" cm="1">
        <f t="array" ref="S116">INDEX('CancerEpisode-ConceptMap-2'!$I$15:$N$123,Q116+1,R116)</f>
        <v>0</v>
      </c>
    </row>
    <row r="117" spans="7:19">
      <c r="G117" s="129"/>
      <c r="P117" s="11">
        <v>103</v>
      </c>
      <c r="Q117" s="11">
        <f t="shared" si="8"/>
        <v>17</v>
      </c>
      <c r="R117" s="11">
        <f t="shared" si="9"/>
        <v>1</v>
      </c>
      <c r="S117" s="12" cm="1">
        <f t="array" ref="S117">INDEX('CancerEpisode-ConceptMap-2'!$I$15:$N$123,Q117+1,R117)</f>
        <v>0</v>
      </c>
    </row>
    <row r="118" spans="7:19">
      <c r="G118" s="129"/>
      <c r="P118" s="11">
        <v>104</v>
      </c>
      <c r="Q118" s="11">
        <f t="shared" si="8"/>
        <v>17</v>
      </c>
      <c r="R118" s="11">
        <f t="shared" si="9"/>
        <v>2</v>
      </c>
      <c r="S118" s="12" cm="1">
        <f t="array" ref="S118">INDEX('CancerEpisode-ConceptMap-2'!$I$15:$N$123,Q118+1,R118)</f>
        <v>0</v>
      </c>
    </row>
    <row r="119" spans="7:19">
      <c r="G119" s="129"/>
      <c r="P119" s="11">
        <v>105</v>
      </c>
      <c r="Q119" s="11">
        <f t="shared" si="8"/>
        <v>17</v>
      </c>
      <c r="R119" s="11">
        <f t="shared" si="9"/>
        <v>3</v>
      </c>
      <c r="S119" s="12" cm="1">
        <f t="array" ref="S119">INDEX('CancerEpisode-ConceptMap-2'!$I$15:$N$123,Q119+1,R119)</f>
        <v>0</v>
      </c>
    </row>
    <row r="120" spans="7:19">
      <c r="G120" s="129"/>
      <c r="P120" s="11">
        <v>106</v>
      </c>
      <c r="Q120" s="11">
        <f t="shared" si="8"/>
        <v>17</v>
      </c>
      <c r="R120" s="11">
        <f t="shared" si="9"/>
        <v>4</v>
      </c>
      <c r="S120" s="12" cm="1">
        <f t="array" ref="S120">INDEX('CancerEpisode-ConceptMap-2'!$I$15:$N$123,Q120+1,R120)</f>
        <v>0</v>
      </c>
    </row>
    <row r="121" spans="7:19">
      <c r="G121" s="129"/>
      <c r="P121" s="11">
        <v>107</v>
      </c>
      <c r="Q121" s="11">
        <f t="shared" si="8"/>
        <v>17</v>
      </c>
      <c r="R121" s="11">
        <f t="shared" si="9"/>
        <v>5</v>
      </c>
      <c r="S121" s="12" cm="1">
        <f t="array" ref="S121">INDEX('CancerEpisode-ConceptMap-2'!$I$15:$N$123,Q121+1,R121)</f>
        <v>0</v>
      </c>
    </row>
    <row r="122" spans="7:19">
      <c r="G122" s="129"/>
      <c r="P122" s="11">
        <v>108</v>
      </c>
      <c r="Q122" s="11">
        <f t="shared" si="8"/>
        <v>17</v>
      </c>
      <c r="R122" s="11">
        <f t="shared" si="9"/>
        <v>6</v>
      </c>
      <c r="S122" s="12" cm="1">
        <f t="array" ref="S122">INDEX('CancerEpisode-ConceptMap-2'!$I$15:$N$123,Q122+1,R122)</f>
        <v>0</v>
      </c>
    </row>
    <row r="123" spans="7:19">
      <c r="G123" s="129"/>
      <c r="P123" s="11">
        <v>109</v>
      </c>
      <c r="Q123" s="11">
        <f t="shared" si="8"/>
        <v>18</v>
      </c>
      <c r="R123" s="11">
        <f t="shared" si="9"/>
        <v>1</v>
      </c>
      <c r="S123" s="12" cm="1">
        <f t="array" ref="S123">INDEX('CancerEpisode-ConceptMap-2'!$I$15:$N$123,Q123+1,R123)</f>
        <v>0</v>
      </c>
    </row>
    <row r="124" spans="7:19">
      <c r="G124" s="129"/>
      <c r="P124" s="11">
        <v>110</v>
      </c>
      <c r="Q124" s="11">
        <f t="shared" si="8"/>
        <v>18</v>
      </c>
      <c r="R124" s="11">
        <f t="shared" si="9"/>
        <v>2</v>
      </c>
      <c r="S124" s="12" cm="1">
        <f t="array" ref="S124">INDEX('CancerEpisode-ConceptMap-2'!$I$15:$N$123,Q124+1,R124)</f>
        <v>0</v>
      </c>
    </row>
    <row r="125" spans="7:19">
      <c r="G125" s="129"/>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B160" sqref="B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2254</v>
      </c>
    </row>
    <row r="3" spans="2:7">
      <c r="B3" s="24" t="s">
        <v>20</v>
      </c>
    </row>
    <row r="4" spans="2:7">
      <c r="B4" s="65" t="str">
        <f>"Instance: "&amp;'CancerEpisode-ConceptMap-1'!C4</f>
        <v>Instance: cancerEpisode2FHIR</v>
      </c>
    </row>
    <row r="5" spans="2:7">
      <c r="B5" s="65" t="s">
        <v>1447</v>
      </c>
    </row>
    <row r="6" spans="2:7">
      <c r="B6" s="65" t="s">
        <v>1438</v>
      </c>
    </row>
    <row r="7" spans="2:7">
      <c r="B7" s="65" t="s">
        <v>2253</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##34#http://hl7.org/fhir##34#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7"/>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 ##34#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7"/>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7"/>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33" zoomScale="145" zoomScaleNormal="145" workbookViewId="0">
      <selection activeCell="B26" sqref="B26:C2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1623</v>
      </c>
      <c r="L1" s="23" t="s">
        <v>20</v>
      </c>
    </row>
    <row r="2" spans="1:12">
      <c r="J2" s="24" t="s">
        <v>19</v>
      </c>
      <c r="L2" s="24" t="s">
        <v>1622</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11" t="s">
        <v>155</v>
      </c>
      <c r="C7" s="9" t="s">
        <v>3</v>
      </c>
      <c r="D7" s="1" t="s">
        <v>4</v>
      </c>
      <c r="E7" s="3" t="s">
        <v>5</v>
      </c>
      <c r="F7" s="3" t="s">
        <v>6</v>
      </c>
      <c r="G7" s="3" t="s">
        <v>7</v>
      </c>
      <c r="H7" s="107" t="s">
        <v>1621</v>
      </c>
      <c r="J7" s="17" t="str">
        <f>CONCATENATE("Description: "," ##334#",B7,"##334#",)</f>
        <v>Description:  ##334#Subject of care 
Maturity Level: 0 Draft##334#</v>
      </c>
    </row>
    <row r="8" spans="1:12" ht="59">
      <c r="A8" s="11">
        <v>0</v>
      </c>
      <c r="B8" s="112" t="s">
        <v>2312</v>
      </c>
      <c r="C8" s="12" t="s">
        <v>52</v>
      </c>
      <c r="D8" s="12" t="s">
        <v>2353</v>
      </c>
      <c r="E8" s="11">
        <v>1</v>
      </c>
      <c r="F8" s="11">
        <v>1</v>
      </c>
      <c r="G8" s="113" t="s">
        <v>2241</v>
      </c>
      <c r="H8" s="113" t="s">
        <v>2151</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12" t="s">
        <v>2313</v>
      </c>
      <c r="C9" s="12" t="s">
        <v>58</v>
      </c>
      <c r="D9" s="12" t="s">
        <v>60</v>
      </c>
      <c r="E9" s="11">
        <v>1</v>
      </c>
      <c r="F9" s="11">
        <v>1</v>
      </c>
      <c r="G9" s="113" t="s">
        <v>2241</v>
      </c>
      <c r="H9" s="113" t="s">
        <v>2152</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12" t="s">
        <v>2314</v>
      </c>
      <c r="C10" s="12" t="s">
        <v>2130</v>
      </c>
      <c r="D10" s="12" t="s">
        <v>66</v>
      </c>
      <c r="E10" s="11">
        <v>1</v>
      </c>
      <c r="F10" s="11">
        <v>1</v>
      </c>
      <c r="G10" s="113" t="s">
        <v>2241</v>
      </c>
      <c r="H10" s="113" t="s">
        <v>2153</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12" t="s">
        <v>2315</v>
      </c>
      <c r="C11" s="12" t="s">
        <v>70</v>
      </c>
      <c r="D11" s="12" t="s">
        <v>72</v>
      </c>
      <c r="E11" s="11">
        <v>1</v>
      </c>
      <c r="F11" s="11">
        <v>1</v>
      </c>
      <c r="G11" s="113" t="s">
        <v>2241</v>
      </c>
      <c r="H11" s="113" t="s">
        <v>2154</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12" t="s">
        <v>2316</v>
      </c>
      <c r="C12" s="12" t="s">
        <v>76</v>
      </c>
      <c r="D12" s="12" t="s">
        <v>2131</v>
      </c>
      <c r="E12" s="11">
        <v>0</v>
      </c>
      <c r="F12" s="11">
        <v>1</v>
      </c>
      <c r="G12" s="113" t="s">
        <v>2241</v>
      </c>
      <c r="H12" s="113" t="s">
        <v>2155</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12" t="s">
        <v>2317</v>
      </c>
      <c r="C13" s="12" t="s">
        <v>79</v>
      </c>
      <c r="D13" s="12" t="s">
        <v>2132</v>
      </c>
      <c r="E13" s="11">
        <v>0</v>
      </c>
      <c r="F13" s="11">
        <v>1</v>
      </c>
      <c r="G13" s="113" t="s">
        <v>1619</v>
      </c>
      <c r="H13" s="113" t="s">
        <v>2156</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12" t="s">
        <v>2318</v>
      </c>
      <c r="C14" s="12" t="s">
        <v>83</v>
      </c>
      <c r="D14" s="12" t="s">
        <v>84</v>
      </c>
      <c r="E14" s="11">
        <v>0</v>
      </c>
      <c r="F14" s="11">
        <v>1</v>
      </c>
      <c r="G14" s="113" t="s">
        <v>1619</v>
      </c>
      <c r="H14" s="113" t="s">
        <v>2156</v>
      </c>
      <c r="I14" s="25"/>
      <c r="J14" s="12" t="str">
        <f t="shared" si="1"/>
        <v>* yearsAsSmoker 0..1 integer ##34#Number of years as a smoker##34# ##334#Number of years the person has smoked##334#</v>
      </c>
      <c r="L14" s="12" t="str">
        <f t="shared" si="2"/>
        <v>* yearsAsSmoker ^comment = ##334#numeric
##334#</v>
      </c>
    </row>
    <row r="15" spans="1:12" ht="44.25">
      <c r="A15" s="11">
        <v>7</v>
      </c>
      <c r="B15" s="112" t="s">
        <v>2319</v>
      </c>
      <c r="C15" s="12" t="s">
        <v>92</v>
      </c>
      <c r="D15" s="12" t="s">
        <v>94</v>
      </c>
      <c r="E15" s="11">
        <v>1</v>
      </c>
      <c r="F15" s="11">
        <v>1</v>
      </c>
      <c r="G15" s="113" t="s">
        <v>2241</v>
      </c>
      <c r="H15" s="113" t="s">
        <v>2157</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12" t="s">
        <v>2290</v>
      </c>
      <c r="C16" s="4" t="s">
        <v>2290</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2303</v>
      </c>
      <c r="C17" s="12" t="s">
        <v>2291</v>
      </c>
      <c r="D17" s="12" t="s">
        <v>116</v>
      </c>
      <c r="E17" s="11">
        <v>1</v>
      </c>
      <c r="F17" s="11">
        <v>1</v>
      </c>
      <c r="G17" s="113" t="s">
        <v>2241</v>
      </c>
      <c r="H17" s="113" t="s">
        <v>2158</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14" t="s">
        <v>2298</v>
      </c>
      <c r="C18" s="12" t="s">
        <v>119</v>
      </c>
      <c r="D18" s="116" t="s">
        <v>119</v>
      </c>
      <c r="E18" s="11">
        <v>0</v>
      </c>
      <c r="F18" s="11">
        <v>1</v>
      </c>
      <c r="G18" s="113" t="s">
        <v>157</v>
      </c>
      <c r="H18" s="113" t="s">
        <v>184</v>
      </c>
      <c r="I18" s="25"/>
      <c r="J18" s="12" t="str">
        <f t="shared" si="1"/>
        <v>* comorbidity.myocardialInfarction 0..1 boolean ##34#Myocardial infarction##34# ##334#Myocardial infarction##334#</v>
      </c>
      <c r="L18" s="12" t="str">
        <f t="shared" si="2"/>
        <v/>
      </c>
    </row>
    <row r="19" spans="1:12" ht="29.5">
      <c r="A19" s="11">
        <v>11</v>
      </c>
      <c r="B19" s="114" t="s">
        <v>2304</v>
      </c>
      <c r="C19" s="12" t="s">
        <v>2133</v>
      </c>
      <c r="D19" s="113" t="s">
        <v>2133</v>
      </c>
      <c r="E19" s="11">
        <v>0</v>
      </c>
      <c r="F19" s="11">
        <v>1</v>
      </c>
      <c r="G19" s="113" t="s">
        <v>157</v>
      </c>
      <c r="H19" s="113" t="s">
        <v>184</v>
      </c>
      <c r="I19" s="25"/>
      <c r="J19" s="12" t="str">
        <f t="shared" si="1"/>
        <v>* comorbidity.congestiveHeartFailure 0..1 boolean ##34#Congestive heart failure##34# ##334#Congestive heart failure##334#</v>
      </c>
      <c r="L19" s="12" t="str">
        <f t="shared" si="2"/>
        <v/>
      </c>
    </row>
    <row r="20" spans="1:12" ht="29.5">
      <c r="A20" s="11">
        <v>12</v>
      </c>
      <c r="B20" s="114" t="s">
        <v>2309</v>
      </c>
      <c r="C20" s="12" t="s">
        <v>2134</v>
      </c>
      <c r="D20" s="113" t="s">
        <v>2134</v>
      </c>
      <c r="E20" s="11">
        <v>0</v>
      </c>
      <c r="F20" s="11">
        <v>1</v>
      </c>
      <c r="G20" s="113" t="s">
        <v>157</v>
      </c>
      <c r="H20" s="113" t="s">
        <v>184</v>
      </c>
      <c r="I20" s="25"/>
      <c r="J20" s="12" t="str">
        <f t="shared" si="1"/>
        <v>* comorbidity.peripheralVascularDisease 0..1 boolean ##34#Peripheral vascular disease##34# ##334#Peripheral vascular disease##334#</v>
      </c>
      <c r="L20" s="12" t="str">
        <f t="shared" si="2"/>
        <v/>
      </c>
    </row>
    <row r="21" spans="1:12" ht="44.25">
      <c r="A21" s="11">
        <v>13</v>
      </c>
      <c r="B21" s="115" t="s">
        <v>2305</v>
      </c>
      <c r="C21" s="12" t="s">
        <v>2135</v>
      </c>
      <c r="D21" s="113" t="s">
        <v>2135</v>
      </c>
      <c r="E21" s="11">
        <v>0</v>
      </c>
      <c r="F21" s="11">
        <v>1</v>
      </c>
      <c r="G21" s="113" t="s">
        <v>157</v>
      </c>
      <c r="H21" s="113"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14" t="s">
        <v>2295</v>
      </c>
      <c r="C22" s="12" t="s">
        <v>2136</v>
      </c>
      <c r="D22" s="113" t="s">
        <v>2136</v>
      </c>
      <c r="E22" s="11">
        <v>0</v>
      </c>
      <c r="F22" s="11">
        <v>1</v>
      </c>
      <c r="G22" s="113" t="s">
        <v>157</v>
      </c>
      <c r="H22" s="113" t="s">
        <v>184</v>
      </c>
      <c r="I22" s="25"/>
      <c r="J22" s="12" t="str">
        <f t="shared" si="1"/>
        <v>* comorbidity.dementia 0..1 boolean ##34#Dementia##34# ##334#Dementia##334#</v>
      </c>
      <c r="L22" s="12" t="str">
        <f t="shared" si="2"/>
        <v/>
      </c>
    </row>
    <row r="23" spans="1:12" ht="29.5">
      <c r="A23" s="11">
        <v>15</v>
      </c>
      <c r="B23" s="114" t="s">
        <v>2306</v>
      </c>
      <c r="C23" s="12" t="s">
        <v>2137</v>
      </c>
      <c r="D23" s="113" t="s">
        <v>2137</v>
      </c>
      <c r="E23" s="11">
        <v>0</v>
      </c>
      <c r="F23" s="11">
        <v>1</v>
      </c>
      <c r="G23" s="113" t="s">
        <v>157</v>
      </c>
      <c r="H23" s="113" t="s">
        <v>184</v>
      </c>
      <c r="I23" s="25"/>
      <c r="J23" s="12" t="str">
        <f t="shared" si="1"/>
        <v>* comorbidity.chronicPulmonaryDisease 0..1 boolean ##34#Chronic pulmonary disease##34# ##334#Chronic pulmonary disease##334#</v>
      </c>
      <c r="L23" s="12" t="str">
        <f t="shared" si="2"/>
        <v/>
      </c>
    </row>
    <row r="24" spans="1:12" ht="29.5">
      <c r="A24" s="11">
        <v>16</v>
      </c>
      <c r="B24" s="114" t="s">
        <v>2307</v>
      </c>
      <c r="C24" s="12" t="s">
        <v>2138</v>
      </c>
      <c r="D24" s="113" t="s">
        <v>2138</v>
      </c>
      <c r="E24" s="11">
        <v>0</v>
      </c>
      <c r="F24" s="11">
        <v>1</v>
      </c>
      <c r="G24" s="113" t="s">
        <v>157</v>
      </c>
      <c r="H24" s="113" t="s">
        <v>184</v>
      </c>
      <c r="I24" s="25"/>
      <c r="J24" s="12" t="str">
        <f t="shared" si="1"/>
        <v>* comorbidity.connectiveTissueDisease 0..1 boolean ##34#Connective tissue disease##34# ##334#Connective tissue disease##334#</v>
      </c>
      <c r="L24" s="12" t="str">
        <f t="shared" si="2"/>
        <v/>
      </c>
    </row>
    <row r="25" spans="1:12">
      <c r="A25" s="11">
        <v>17</v>
      </c>
      <c r="B25" s="114" t="s">
        <v>2308</v>
      </c>
      <c r="C25" s="12" t="s">
        <v>2139</v>
      </c>
      <c r="D25" s="113" t="s">
        <v>2139</v>
      </c>
      <c r="E25" s="11">
        <v>0</v>
      </c>
      <c r="F25" s="11">
        <v>1</v>
      </c>
      <c r="G25" s="113" t="s">
        <v>157</v>
      </c>
      <c r="H25" s="113" t="s">
        <v>184</v>
      </c>
      <c r="I25" s="25"/>
      <c r="J25" s="12" t="str">
        <f t="shared" si="1"/>
        <v>* comorbidity.ulcer 0..1 boolean ##34#Ulcer##34# ##334#Ulcer##334#</v>
      </c>
      <c r="L25" s="12" t="str">
        <f t="shared" si="2"/>
        <v/>
      </c>
    </row>
    <row r="26" spans="1:12" ht="29.5">
      <c r="A26" s="11">
        <v>18</v>
      </c>
      <c r="B26" s="114" t="s">
        <v>2299</v>
      </c>
      <c r="C26" s="12" t="s">
        <v>2140</v>
      </c>
      <c r="D26" s="113" t="s">
        <v>2140</v>
      </c>
      <c r="E26" s="11">
        <v>0</v>
      </c>
      <c r="F26" s="11">
        <v>1</v>
      </c>
      <c r="G26" s="113" t="s">
        <v>157</v>
      </c>
      <c r="H26" s="113" t="s">
        <v>184</v>
      </c>
      <c r="I26" s="25"/>
      <c r="J26" s="12" t="str">
        <f t="shared" si="1"/>
        <v>* comorbidity.mildLiverDisease 0..1 boolean ##34#Mild liver disease##34# ##334#Mild liver disease##334#</v>
      </c>
      <c r="L26" s="12" t="str">
        <f t="shared" si="2"/>
        <v/>
      </c>
    </row>
    <row r="27" spans="1:12" ht="29.5">
      <c r="A27" s="11">
        <v>19</v>
      </c>
      <c r="B27" s="114" t="s">
        <v>2300</v>
      </c>
      <c r="C27" s="12" t="s">
        <v>2141</v>
      </c>
      <c r="D27" s="113" t="s">
        <v>2141</v>
      </c>
      <c r="E27" s="11">
        <v>0</v>
      </c>
      <c r="F27" s="11">
        <v>1</v>
      </c>
      <c r="G27" s="113" t="s">
        <v>157</v>
      </c>
      <c r="H27" s="113" t="s">
        <v>184</v>
      </c>
      <c r="I27" s="25"/>
      <c r="J27" s="12" t="str">
        <f t="shared" si="1"/>
        <v>* comorbidity.moderateToSevereLiverDisease 0..1 boolean ##34#Moderate to severe liver disease##34# ##334#Moderate to severe liver disease##334#</v>
      </c>
      <c r="L27" s="12" t="str">
        <f t="shared" si="2"/>
        <v/>
      </c>
    </row>
    <row r="28" spans="1:12" ht="29.5">
      <c r="A28" s="11">
        <v>20</v>
      </c>
      <c r="B28" s="115" t="s">
        <v>2296</v>
      </c>
      <c r="C28" s="12" t="s">
        <v>2142</v>
      </c>
      <c r="D28" s="113" t="s">
        <v>2142</v>
      </c>
      <c r="E28" s="11">
        <v>0</v>
      </c>
      <c r="F28" s="11">
        <v>1</v>
      </c>
      <c r="G28" s="113" t="s">
        <v>157</v>
      </c>
      <c r="H28" s="113" t="s">
        <v>184</v>
      </c>
      <c r="I28" s="25"/>
      <c r="J28" s="12" t="str">
        <f t="shared" si="1"/>
        <v>* comorbidity.diabetesWithoutComplications 0..1 boolean ##34#Diabetes (without complications)##34# ##334#Diabetes (without complications)##334#</v>
      </c>
      <c r="L28" s="12" t="str">
        <f t="shared" si="2"/>
        <v/>
      </c>
    </row>
    <row r="29" spans="1:12" ht="29.5">
      <c r="A29" s="11">
        <v>21</v>
      </c>
      <c r="B29" s="114" t="s">
        <v>2297</v>
      </c>
      <c r="C29" s="12" t="s">
        <v>2143</v>
      </c>
      <c r="D29" s="113" t="s">
        <v>2143</v>
      </c>
      <c r="E29" s="11">
        <v>0</v>
      </c>
      <c r="F29" s="11">
        <v>1</v>
      </c>
      <c r="G29" s="113" t="s">
        <v>157</v>
      </c>
      <c r="H29" s="113" t="s">
        <v>184</v>
      </c>
      <c r="I29" s="25"/>
      <c r="J29" s="12" t="str">
        <f t="shared" si="1"/>
        <v>* comorbidity.diabetesWithEndOrganDamage 0..1 boolean ##34#Diabetes with end organ damage##34# ##334#Diabetes with end organ damage##334#</v>
      </c>
      <c r="L29" s="12" t="str">
        <f t="shared" si="2"/>
        <v/>
      </c>
    </row>
    <row r="30" spans="1:12" ht="29.5">
      <c r="A30" s="11">
        <v>22</v>
      </c>
      <c r="B30" s="114" t="s">
        <v>2292</v>
      </c>
      <c r="C30" s="12" t="s">
        <v>2144</v>
      </c>
      <c r="D30" s="113" t="s">
        <v>2144</v>
      </c>
      <c r="E30" s="11">
        <v>0</v>
      </c>
      <c r="F30" s="11">
        <v>1</v>
      </c>
      <c r="G30" s="113" t="s">
        <v>157</v>
      </c>
      <c r="H30" s="113" t="s">
        <v>184</v>
      </c>
      <c r="I30" s="25"/>
      <c r="J30" s="12" t="str">
        <f t="shared" si="1"/>
        <v>* comorbidity.hemiplegia 0..1 boolean ##34#Hemiplegia##34# ##334#Hemiplegia##334#</v>
      </c>
      <c r="L30" s="12" t="str">
        <f t="shared" si="2"/>
        <v/>
      </c>
    </row>
    <row r="31" spans="1:12" ht="29.5">
      <c r="A31" s="11">
        <v>23</v>
      </c>
      <c r="B31" s="114" t="s">
        <v>2301</v>
      </c>
      <c r="C31" s="12" t="s">
        <v>2145</v>
      </c>
      <c r="D31" s="113" t="s">
        <v>2145</v>
      </c>
      <c r="E31" s="11">
        <v>0</v>
      </c>
      <c r="F31" s="11">
        <v>1</v>
      </c>
      <c r="G31" s="113" t="s">
        <v>157</v>
      </c>
      <c r="H31" s="113" t="s">
        <v>184</v>
      </c>
      <c r="I31" s="25"/>
      <c r="J31" s="12" t="str">
        <f t="shared" si="1"/>
        <v>* comorbidity.moderateToSevereRenalDisease 0..1 boolean ##34#Moderate to severe renal disease##34# ##334#Moderate to severe renal disease##334#</v>
      </c>
      <c r="L31" s="12" t="str">
        <f t="shared" si="2"/>
        <v/>
      </c>
    </row>
    <row r="32" spans="1:12" ht="29.5">
      <c r="A32" s="11">
        <v>24</v>
      </c>
      <c r="B32" s="115" t="s">
        <v>2310</v>
      </c>
      <c r="C32" s="12" t="s">
        <v>2146</v>
      </c>
      <c r="D32" s="113" t="s">
        <v>2146</v>
      </c>
      <c r="E32" s="11">
        <v>0</v>
      </c>
      <c r="F32" s="11">
        <v>1</v>
      </c>
      <c r="G32" s="113" t="s">
        <v>157</v>
      </c>
      <c r="H32" s="113" t="s">
        <v>184</v>
      </c>
      <c r="I32" s="25"/>
      <c r="J32" s="12" t="str">
        <f t="shared" si="1"/>
        <v>* comorbidity.solidTumorNonMetastatic 0..1 boolean ##34#Solid tumor (non metastatic)##34# ##334#Solid tumor (non metastatic)##334#</v>
      </c>
      <c r="L32" s="12" t="str">
        <f t="shared" si="2"/>
        <v/>
      </c>
    </row>
    <row r="33" spans="1:12" ht="29.5">
      <c r="A33" s="11">
        <v>25</v>
      </c>
      <c r="B33" s="114" t="s">
        <v>2302</v>
      </c>
      <c r="C33" s="12" t="s">
        <v>2147</v>
      </c>
      <c r="D33" s="113" t="s">
        <v>2147</v>
      </c>
      <c r="E33" s="11">
        <v>0</v>
      </c>
      <c r="F33" s="11">
        <v>1</v>
      </c>
      <c r="G33" s="113" t="s">
        <v>157</v>
      </c>
      <c r="H33" s="113" t="s">
        <v>184</v>
      </c>
      <c r="I33" s="25"/>
      <c r="J33" s="12" t="str">
        <f t="shared" si="1"/>
        <v>* comorbidity.metastaticSolidTumor 0..1 boolean ##34#Metastatic solid tumor##34# ##334#Metastatic solid tumor##334#</v>
      </c>
      <c r="L33" s="12" t="str">
        <f t="shared" si="2"/>
        <v/>
      </c>
    </row>
    <row r="34" spans="1:12" ht="29.5">
      <c r="A34" s="11">
        <v>26</v>
      </c>
      <c r="B34" s="114" t="s">
        <v>2293</v>
      </c>
      <c r="C34" s="12" t="s">
        <v>2148</v>
      </c>
      <c r="D34" s="113" t="s">
        <v>2148</v>
      </c>
      <c r="E34" s="11">
        <v>0</v>
      </c>
      <c r="F34" s="11">
        <v>1</v>
      </c>
      <c r="G34" s="113" t="s">
        <v>157</v>
      </c>
      <c r="H34" s="113" t="s">
        <v>184</v>
      </c>
      <c r="I34" s="25"/>
      <c r="J34" s="12" t="str">
        <f t="shared" si="1"/>
        <v>* comorbidity.leukemia 0..1 boolean ##34#Leukemia##34# ##334#Leukemia##334#</v>
      </c>
      <c r="L34" s="12" t="str">
        <f t="shared" si="2"/>
        <v/>
      </c>
    </row>
    <row r="35" spans="1:12" ht="29.5">
      <c r="A35" s="11">
        <v>27</v>
      </c>
      <c r="B35" s="115" t="s">
        <v>2294</v>
      </c>
      <c r="C35" s="12" t="s">
        <v>137</v>
      </c>
      <c r="D35" s="113" t="s">
        <v>137</v>
      </c>
      <c r="E35" s="11">
        <v>0</v>
      </c>
      <c r="F35" s="11">
        <v>1</v>
      </c>
      <c r="G35" s="113" t="s">
        <v>157</v>
      </c>
      <c r="H35" s="113" t="s">
        <v>184</v>
      </c>
      <c r="I35" s="25"/>
      <c r="J35" s="12" t="str">
        <f t="shared" si="1"/>
        <v>* comorbidity.lymphomaOrMultipleMyeloma 0..1 boolean ##34#Lymphoma, Multiple myeloma##34# ##334#Lymphoma, Multiple myeloma##334#</v>
      </c>
      <c r="L35" s="12" t="str">
        <f t="shared" si="2"/>
        <v/>
      </c>
    </row>
    <row r="36" spans="1:12">
      <c r="A36" s="11">
        <v>28</v>
      </c>
      <c r="B36" s="114" t="s">
        <v>2311</v>
      </c>
      <c r="C36" s="12" t="s">
        <v>2149</v>
      </c>
      <c r="D36" s="113" t="s">
        <v>2149</v>
      </c>
      <c r="E36" s="11">
        <v>0</v>
      </c>
      <c r="F36" s="11">
        <v>1</v>
      </c>
      <c r="G36" s="113" t="s">
        <v>157</v>
      </c>
      <c r="H36" s="113" t="s">
        <v>184</v>
      </c>
      <c r="I36" s="25"/>
      <c r="J36" s="12" t="str">
        <f t="shared" si="1"/>
        <v>* comorbidity.aids 0..1 boolean ##34#AIDS##34# ##334#AIDS##334#</v>
      </c>
      <c r="L36" s="12" t="str">
        <f t="shared" si="2"/>
        <v/>
      </c>
    </row>
    <row r="37" spans="1:12" ht="59">
      <c r="A37" s="11">
        <v>29</v>
      </c>
      <c r="B37" s="115" t="s">
        <v>2320</v>
      </c>
      <c r="C37" s="12" t="s">
        <v>143</v>
      </c>
      <c r="D37" s="12" t="s">
        <v>143</v>
      </c>
      <c r="E37" s="11">
        <v>0</v>
      </c>
      <c r="F37" s="11">
        <v>1</v>
      </c>
      <c r="G37" s="113" t="s">
        <v>2241</v>
      </c>
      <c r="H37" s="113" t="s">
        <v>2159</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12" t="s">
        <v>2321</v>
      </c>
      <c r="C38" s="12" t="s">
        <v>147</v>
      </c>
      <c r="D38" s="12" t="s">
        <v>147</v>
      </c>
      <c r="E38" s="11">
        <v>0</v>
      </c>
      <c r="F38" s="11">
        <v>1</v>
      </c>
      <c r="G38" s="113" t="s">
        <v>2241</v>
      </c>
      <c r="H38" s="113" t="s">
        <v>2160</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2150</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1620</v>
      </c>
      <c r="E9" s="27" t="str">
        <f>CONCATENATE("* -&gt; ##34#",C9,"##34#")</f>
        <v>* -&gt; ##34#TBD##34#</v>
      </c>
      <c r="H9" s="7"/>
      <c r="I9" s="7"/>
      <c r="J9" s="7"/>
      <c r="K9" s="7"/>
      <c r="L9" s="7"/>
      <c r="M9" s="7"/>
      <c r="N9" s="7"/>
      <c r="O9" s="7"/>
    </row>
    <row r="10" spans="1:15">
      <c r="A10" s="11"/>
      <c r="B10" s="11" t="str">
        <f>Subject!B8</f>
        <v>sex</v>
      </c>
      <c r="C10" s="11" t="s">
        <v>1620</v>
      </c>
      <c r="E10" s="12" t="str">
        <f t="shared" ref="E10:E49" si="0">IF(B10=0,"*  -&gt; ##34###34#",CONCATENATE("* ",B10," -&gt; ##34#",C10,"##34#"))</f>
        <v>* sex -&gt; ##34#TBD##34#</v>
      </c>
      <c r="H10" s="7"/>
      <c r="I10" s="7"/>
      <c r="J10" s="7"/>
      <c r="K10" s="7"/>
      <c r="L10" s="7"/>
      <c r="M10" s="7"/>
      <c r="N10" s="7"/>
      <c r="O10" s="7"/>
    </row>
    <row r="11" spans="1:15">
      <c r="A11" s="11"/>
      <c r="B11" s="11" t="str">
        <f>Subject!B9</f>
        <v>race</v>
      </c>
      <c r="C11" s="11" t="s">
        <v>1620</v>
      </c>
      <c r="E11" s="12" t="str">
        <f t="shared" si="0"/>
        <v>* race -&gt; ##34#TBD##34#</v>
      </c>
      <c r="H11" s="7"/>
      <c r="I11" s="7"/>
      <c r="J11" s="7"/>
      <c r="K11" s="7"/>
      <c r="L11" s="7"/>
      <c r="M11" s="7"/>
      <c r="N11" s="7"/>
      <c r="O11" s="7"/>
    </row>
    <row r="12" spans="1:15">
      <c r="A12" s="11"/>
      <c r="B12" s="11" t="str">
        <f>Subject!B10</f>
        <v>countryOfResidence</v>
      </c>
      <c r="C12" s="11" t="s">
        <v>1620</v>
      </c>
      <c r="E12" s="12" t="str">
        <f t="shared" si="0"/>
        <v>* countryOfResidence -&gt; ##34#TBD##34#</v>
      </c>
      <c r="H12" s="7"/>
      <c r="I12" s="7"/>
      <c r="J12" s="7"/>
      <c r="K12" s="7"/>
      <c r="L12" s="7"/>
      <c r="M12" s="7"/>
      <c r="N12" s="7"/>
      <c r="O12" s="7"/>
    </row>
    <row r="13" spans="1:15">
      <c r="A13" s="11"/>
      <c r="B13" s="11" t="str">
        <f>Subject!B11</f>
        <v>smoking</v>
      </c>
      <c r="C13" s="11" t="s">
        <v>1620</v>
      </c>
      <c r="E13" s="12" t="str">
        <f t="shared" si="0"/>
        <v>* smoking -&gt; ##34#TBD##34#</v>
      </c>
      <c r="H13" s="7"/>
      <c r="I13" s="7"/>
      <c r="J13" s="7"/>
      <c r="K13" s="7"/>
      <c r="L13" s="7"/>
      <c r="M13" s="7"/>
      <c r="N13" s="7"/>
      <c r="O13" s="7"/>
    </row>
    <row r="14" spans="1:15">
      <c r="A14" s="11"/>
      <c r="B14" s="11" t="str">
        <f>Subject!B12</f>
        <v>smokingType</v>
      </c>
      <c r="C14" s="11" t="s">
        <v>1620</v>
      </c>
      <c r="E14" s="12" t="str">
        <f t="shared" si="0"/>
        <v>* smokingType -&gt; ##34#TBD##34#</v>
      </c>
      <c r="H14" s="7"/>
      <c r="I14" s="7"/>
      <c r="J14" s="7"/>
      <c r="K14" s="7"/>
      <c r="L14" s="7"/>
      <c r="M14" s="7"/>
      <c r="N14" s="7"/>
      <c r="O14" s="7"/>
    </row>
    <row r="15" spans="1:15">
      <c r="A15" s="11"/>
      <c r="B15" s="11" t="str">
        <f>Subject!B13</f>
        <v>cigSmokedPerDay</v>
      </c>
      <c r="C15" s="11" t="s">
        <v>1620</v>
      </c>
      <c r="E15" s="12" t="str">
        <f t="shared" si="0"/>
        <v>* cigSmokedPerDay -&gt; ##34#TBD##34#</v>
      </c>
      <c r="H15" s="7"/>
      <c r="I15" s="7"/>
      <c r="J15" s="7"/>
      <c r="K15" s="7"/>
      <c r="L15" s="7"/>
      <c r="M15" s="7"/>
      <c r="N15" s="7"/>
      <c r="O15" s="7"/>
    </row>
    <row r="16" spans="1:15">
      <c r="A16" s="11"/>
      <c r="B16" s="11" t="str">
        <f>Subject!B14</f>
        <v>yearsAsSmoker</v>
      </c>
      <c r="C16" s="11" t="s">
        <v>1620</v>
      </c>
      <c r="E16" s="12" t="str">
        <f t="shared" si="0"/>
        <v>* yearsAsSmoker -&gt; ##34#TBD##34#</v>
      </c>
      <c r="H16" s="7"/>
      <c r="I16" s="7"/>
      <c r="J16" s="7"/>
      <c r="K16" s="7"/>
      <c r="L16" s="7"/>
      <c r="M16" s="7"/>
      <c r="N16" s="7"/>
      <c r="O16" s="7"/>
    </row>
    <row r="17" spans="1:5">
      <c r="A17" s="11"/>
      <c r="B17" s="11" t="str">
        <f>Subject!B15</f>
        <v>alcohol</v>
      </c>
      <c r="C17" s="11" t="s">
        <v>1620</v>
      </c>
      <c r="E17" s="12" t="str">
        <f t="shared" si="0"/>
        <v>* alcohol -&gt; ##34#TBD##34#</v>
      </c>
    </row>
    <row r="18" spans="1:5">
      <c r="A18" s="11"/>
      <c r="B18" s="11" t="str">
        <f>Subject!B16</f>
        <v>comorbidity</v>
      </c>
      <c r="C18" s="11" t="s">
        <v>1620</v>
      </c>
      <c r="E18" s="12" t="str">
        <f t="shared" si="0"/>
        <v>* comorbidity -&gt; ##34#TBD##34#</v>
      </c>
    </row>
    <row r="19" spans="1:5">
      <c r="A19" s="11"/>
      <c r="B19" s="11" t="str">
        <f>Subject!B17</f>
        <v>comorbidity.flag</v>
      </c>
      <c r="C19" s="11" t="s">
        <v>1620</v>
      </c>
      <c r="E19" s="12" t="str">
        <f t="shared" si="0"/>
        <v>* comorbidity.flag -&gt; ##34#TBD##34#</v>
      </c>
    </row>
    <row r="20" spans="1:5">
      <c r="A20" s="11"/>
      <c r="B20" s="11" t="str">
        <f>Subject!B18</f>
        <v>comorbidity.myocardialInfarction</v>
      </c>
      <c r="C20" s="11" t="s">
        <v>1620</v>
      </c>
      <c r="E20" s="12" t="str">
        <f t="shared" si="0"/>
        <v>* comorbidity.myocardialInfarction -&gt; ##34#TBD##34#</v>
      </c>
    </row>
    <row r="21" spans="1:5">
      <c r="B21" s="11" t="str">
        <f>Subject!B19</f>
        <v>comorbidity.congestiveHeartFailure</v>
      </c>
      <c r="C21" s="11" t="s">
        <v>1620</v>
      </c>
      <c r="E21" s="12" t="str">
        <f t="shared" si="0"/>
        <v>* comorbidity.congestiveHeartFailure -&gt; ##34#TBD##34#</v>
      </c>
    </row>
    <row r="22" spans="1:5">
      <c r="B22" s="11" t="str">
        <f>Subject!B20</f>
        <v>comorbidity.peripheralVascularDisease</v>
      </c>
      <c r="C22" s="11" t="s">
        <v>1620</v>
      </c>
      <c r="E22" s="12" t="str">
        <f t="shared" si="0"/>
        <v>* comorbidity.peripheralVascularDisease -&gt; ##34#TBD##34#</v>
      </c>
    </row>
    <row r="23" spans="1:5">
      <c r="B23" s="11" t="str">
        <f>Subject!B21</f>
        <v>comorbidity.cerebrovascularAccidentExceptHemiplegia</v>
      </c>
      <c r="C23" s="11" t="s">
        <v>1620</v>
      </c>
      <c r="E23" s="12" t="str">
        <f t="shared" si="0"/>
        <v>* comorbidity.cerebrovascularAccidentExceptHemiplegia -&gt; ##34#TBD##34#</v>
      </c>
    </row>
    <row r="24" spans="1:5">
      <c r="B24" s="11" t="str">
        <f>Subject!B22</f>
        <v>comorbidity.dementia</v>
      </c>
      <c r="C24" s="11" t="s">
        <v>1620</v>
      </c>
      <c r="E24" s="12" t="str">
        <f t="shared" si="0"/>
        <v>* comorbidity.dementia -&gt; ##34#TBD##34#</v>
      </c>
    </row>
    <row r="25" spans="1:5">
      <c r="B25" s="11" t="str">
        <f>Subject!B23</f>
        <v>comorbidity.chronicPulmonaryDisease</v>
      </c>
      <c r="C25" s="11" t="s">
        <v>1620</v>
      </c>
      <c r="E25" s="12" t="str">
        <f t="shared" si="0"/>
        <v>* comorbidity.chronicPulmonaryDisease -&gt; ##34#TBD##34#</v>
      </c>
    </row>
    <row r="26" spans="1:5">
      <c r="B26" s="11" t="str">
        <f>Subject!B24</f>
        <v>comorbidity.connectiveTissueDisease</v>
      </c>
      <c r="C26" s="11" t="s">
        <v>1620</v>
      </c>
      <c r="E26" s="12" t="str">
        <f t="shared" si="0"/>
        <v>* comorbidity.connectiveTissueDisease -&gt; ##34#TBD##34#</v>
      </c>
    </row>
    <row r="27" spans="1:5">
      <c r="B27" s="11" t="str">
        <f>Subject!B25</f>
        <v>comorbidity.ulcer</v>
      </c>
      <c r="C27" s="11" t="s">
        <v>1620</v>
      </c>
      <c r="E27" s="12" t="str">
        <f t="shared" si="0"/>
        <v>* comorbidity.ulcer -&gt; ##34#TBD##34#</v>
      </c>
    </row>
    <row r="28" spans="1:5">
      <c r="B28" s="11" t="str">
        <f>Subject!B26</f>
        <v>comorbidity.mildLiverDisease</v>
      </c>
      <c r="C28" s="11" t="s">
        <v>1620</v>
      </c>
      <c r="E28" s="12" t="str">
        <f t="shared" si="0"/>
        <v>* comorbidity.mildLiverDisease -&gt; ##34#TBD##34#</v>
      </c>
    </row>
    <row r="29" spans="1:5">
      <c r="B29" s="11" t="str">
        <f>Subject!B27</f>
        <v>comorbidity.moderateToSevereLiverDisease</v>
      </c>
      <c r="C29" s="11" t="s">
        <v>1620</v>
      </c>
      <c r="E29" s="12" t="str">
        <f t="shared" si="0"/>
        <v>* comorbidity.moderateToSevereLiverDisease -&gt; ##34#TBD##34#</v>
      </c>
    </row>
    <row r="30" spans="1:5">
      <c r="B30" s="11" t="str">
        <f>Subject!B28</f>
        <v>comorbidity.diabetesWithoutComplications</v>
      </c>
      <c r="C30" s="11" t="s">
        <v>1620</v>
      </c>
      <c r="E30" s="12" t="str">
        <f t="shared" si="0"/>
        <v>* comorbidity.diabetesWithoutComplications -&gt; ##34#TBD##34#</v>
      </c>
    </row>
    <row r="31" spans="1:5">
      <c r="B31" s="11" t="str">
        <f>Subject!B29</f>
        <v>comorbidity.diabetesWithEndOrganDamage</v>
      </c>
      <c r="C31" s="11" t="s">
        <v>1620</v>
      </c>
      <c r="E31" s="12" t="str">
        <f t="shared" si="0"/>
        <v>* comorbidity.diabetesWithEndOrganDamage -&gt; ##34#TBD##34#</v>
      </c>
    </row>
    <row r="32" spans="1:5">
      <c r="B32" s="11" t="str">
        <f>Subject!B30</f>
        <v>comorbidity.hemiplegia</v>
      </c>
      <c r="C32" s="11" t="s">
        <v>1620</v>
      </c>
      <c r="E32" s="12" t="str">
        <f t="shared" si="0"/>
        <v>* comorbidity.hemiplegia -&gt; ##34#TBD##34#</v>
      </c>
    </row>
    <row r="33" spans="2:5">
      <c r="B33" s="11" t="str">
        <f>Subject!B31</f>
        <v>comorbidity.moderateToSevereRenalDisease</v>
      </c>
      <c r="C33" s="11" t="s">
        <v>1620</v>
      </c>
      <c r="E33" s="12" t="str">
        <f t="shared" si="0"/>
        <v>* comorbidity.moderateToSevereRenalDisease -&gt; ##34#TBD##34#</v>
      </c>
    </row>
    <row r="34" spans="2:5">
      <c r="B34" s="11" t="str">
        <f>Subject!B32</f>
        <v>comorbidity.solidTumorNonMetastatic</v>
      </c>
      <c r="C34" s="11" t="s">
        <v>1620</v>
      </c>
      <c r="E34" s="12" t="str">
        <f t="shared" si="0"/>
        <v>* comorbidity.solidTumorNonMetastatic -&gt; ##34#TBD##34#</v>
      </c>
    </row>
    <row r="35" spans="2:5">
      <c r="B35" s="11" t="str">
        <f>Subject!B33</f>
        <v>comorbidity.metastaticSolidTumor</v>
      </c>
      <c r="C35" s="11" t="s">
        <v>1620</v>
      </c>
      <c r="E35" s="12" t="str">
        <f t="shared" si="0"/>
        <v>* comorbidity.metastaticSolidTumor -&gt; ##34#TBD##34#</v>
      </c>
    </row>
    <row r="36" spans="2:5">
      <c r="B36" s="11" t="str">
        <f>Subject!B34</f>
        <v>comorbidity.leukemia</v>
      </c>
      <c r="C36" s="11" t="s">
        <v>1620</v>
      </c>
      <c r="E36" s="12" t="str">
        <f t="shared" si="0"/>
        <v>* comorbidity.leukemia -&gt; ##34#TBD##34#</v>
      </c>
    </row>
    <row r="37" spans="2:5">
      <c r="B37" s="11" t="str">
        <f>Subject!B35</f>
        <v>comorbidity.lymphomaOrMultipleMyeloma</v>
      </c>
      <c r="C37" s="11" t="s">
        <v>1620</v>
      </c>
      <c r="E37" s="12" t="str">
        <f t="shared" si="0"/>
        <v>* comorbidity.lymphomaOrMultipleMyeloma -&gt; ##34#TBD##34#</v>
      </c>
    </row>
    <row r="38" spans="2:5">
      <c r="B38" s="11" t="str">
        <f>Subject!B36</f>
        <v>comorbidity.aids</v>
      </c>
      <c r="C38" s="11" t="s">
        <v>1620</v>
      </c>
      <c r="E38" s="12" t="str">
        <f t="shared" si="0"/>
        <v>* comorbidity.aids -&gt; ##34#TBD##34#</v>
      </c>
    </row>
    <row r="39" spans="2:5">
      <c r="B39" s="11" t="str">
        <f>Subject!B37</f>
        <v>ecogPsAtDiagnosis</v>
      </c>
      <c r="C39" s="11" t="s">
        <v>1620</v>
      </c>
      <c r="E39" s="12" t="str">
        <f t="shared" si="0"/>
        <v>* ecogPsAtDiagnosis -&gt; ##34#TBD##34#</v>
      </c>
    </row>
    <row r="40" spans="2:5">
      <c r="B40" s="11" t="str">
        <f>Subject!B38</f>
        <v>karnofsyIndexAtDiagnosis</v>
      </c>
      <c r="C40" s="11" t="s">
        <v>1620</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1624</v>
      </c>
    </row>
    <row r="46" spans="3:3">
      <c r="C46" s="24" t="s">
        <v>2161</v>
      </c>
    </row>
    <row r="47" spans="3:3">
      <c r="C47" s="24" t="s">
        <v>1624</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8" sqref="E8"/>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2" t="s">
        <v>2258</v>
      </c>
    </row>
    <row r="2" spans="1:19" ht="15.5" thickBot="1"/>
    <row r="3" spans="1:19" ht="15.5" thickBot="1">
      <c r="B3" s="62" t="s">
        <v>17</v>
      </c>
      <c r="C3" s="28" t="s">
        <v>2326</v>
      </c>
      <c r="D3" s="62" t="s">
        <v>2246</v>
      </c>
      <c r="E3" s="123" t="str">
        <f>$C$1&amp;Subject!B5</f>
        <v>http://hl7.eu/fhir/ig/idea4rc/StructureDefinition/Subject</v>
      </c>
    </row>
    <row r="4" spans="1:19">
      <c r="B4" s="62" t="s">
        <v>16</v>
      </c>
      <c r="C4" s="28" t="s">
        <v>2325</v>
      </c>
      <c r="D4" s="62" t="s">
        <v>2247</v>
      </c>
      <c r="E4" s="123" t="s">
        <v>2284</v>
      </c>
    </row>
    <row r="5" spans="1:19">
      <c r="B5" s="62" t="s">
        <v>10</v>
      </c>
      <c r="C5" s="133" t="s">
        <v>2327</v>
      </c>
      <c r="D5" s="62"/>
      <c r="E5" s="7"/>
    </row>
    <row r="6" spans="1:19">
      <c r="B6" s="62" t="s">
        <v>18</v>
      </c>
      <c r="C6" s="134"/>
      <c r="D6" s="62" t="s">
        <v>2248</v>
      </c>
      <c r="E6" s="162" t="str">
        <f>E3</f>
        <v>http://hl7.eu/fhir/ig/idea4rc/StructureDefinition/Subject</v>
      </c>
      <c r="F6" s="163"/>
      <c r="G6" s="163"/>
    </row>
    <row r="7" spans="1:19">
      <c r="B7" s="62" t="s">
        <v>15</v>
      </c>
      <c r="C7" s="135"/>
      <c r="D7" s="62" t="s">
        <v>2249</v>
      </c>
      <c r="E7" s="162" t="s">
        <v>2352</v>
      </c>
      <c r="F7" s="163"/>
      <c r="G7" s="163"/>
    </row>
    <row r="8" spans="1:19" ht="44.25">
      <c r="B8" s="62" t="s">
        <v>2250</v>
      </c>
      <c r="C8" s="105" t="s">
        <v>2327</v>
      </c>
      <c r="D8" s="62"/>
      <c r="E8"/>
      <c r="I8" s="12" t="s">
        <v>1402</v>
      </c>
      <c r="J8" s="12" t="s">
        <v>1403</v>
      </c>
      <c r="K8" s="12" t="s">
        <v>1404</v>
      </c>
      <c r="L8" s="12" t="s">
        <v>1405</v>
      </c>
      <c r="M8" s="11" t="s">
        <v>1406</v>
      </c>
      <c r="P8" s="49" t="s">
        <v>1441</v>
      </c>
      <c r="Q8" s="49">
        <v>6</v>
      </c>
    </row>
    <row r="9" spans="1:19">
      <c r="B9" s="62" t="s">
        <v>2251</v>
      </c>
      <c r="C9" s="12" t="s">
        <v>2328</v>
      </c>
      <c r="D9" s="62"/>
      <c r="E9" s="123"/>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2330</v>
      </c>
      <c r="E15" s="12"/>
      <c r="F15" s="64" t="s">
        <v>1429</v>
      </c>
      <c r="G15" s="129" t="s">
        <v>2329</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2331</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2332</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2">
    <mergeCell ref="E6:G6"/>
    <mergeCell ref="E7:G7"/>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4ADE5546-1C34-4F09-9302-B52BF3ADD379}"/>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2" t="s">
        <v>2258</v>
      </c>
    </row>
    <row r="2" spans="1:19" ht="15.5" thickBot="1"/>
    <row r="3" spans="1:19" ht="15.5" thickBot="1">
      <c r="B3" s="62" t="s">
        <v>17</v>
      </c>
      <c r="C3" s="28" t="s">
        <v>2326</v>
      </c>
      <c r="D3" s="62" t="s">
        <v>2246</v>
      </c>
      <c r="E3" s="123" t="str">
        <f>$C$1&amp;Subject!B5</f>
        <v>http://hl7.eu/fhir/ig/idea4rc/StructureDefinition/Subject</v>
      </c>
    </row>
    <row r="4" spans="1:19">
      <c r="B4" s="62" t="s">
        <v>16</v>
      </c>
      <c r="C4" s="28" t="s">
        <v>2325</v>
      </c>
      <c r="D4" s="62" t="s">
        <v>2247</v>
      </c>
      <c r="E4" s="123" t="s">
        <v>2284</v>
      </c>
    </row>
    <row r="5" spans="1:19">
      <c r="B5" s="62" t="s">
        <v>10</v>
      </c>
      <c r="C5" s="133" t="s">
        <v>2327</v>
      </c>
      <c r="D5" s="62"/>
      <c r="E5" s="7"/>
    </row>
    <row r="6" spans="1:19">
      <c r="B6" s="62" t="s">
        <v>18</v>
      </c>
      <c r="C6" s="134"/>
      <c r="D6" s="62" t="s">
        <v>2248</v>
      </c>
      <c r="E6" s="162" t="str">
        <f>E3</f>
        <v>http://hl7.eu/fhir/ig/idea4rc/StructureDefinition/Subject</v>
      </c>
      <c r="F6" s="163"/>
      <c r="G6" s="163"/>
    </row>
    <row r="7" spans="1:19">
      <c r="B7" s="62" t="s">
        <v>15</v>
      </c>
      <c r="C7" s="135"/>
      <c r="D7" s="62" t="s">
        <v>2249</v>
      </c>
      <c r="E7" s="162" t="s">
        <v>2333</v>
      </c>
      <c r="F7" s="163"/>
      <c r="G7" s="163"/>
    </row>
    <row r="8" spans="1:19" ht="44.25">
      <c r="B8" s="62" t="s">
        <v>2250</v>
      </c>
      <c r="C8" s="105" t="s">
        <v>2327</v>
      </c>
      <c r="D8" s="62"/>
      <c r="E8" s="7"/>
      <c r="I8" s="12" t="s">
        <v>1402</v>
      </c>
      <c r="J8" s="12" t="s">
        <v>1403</v>
      </c>
      <c r="K8" s="12" t="s">
        <v>1404</v>
      </c>
      <c r="L8" s="12" t="s">
        <v>1405</v>
      </c>
      <c r="M8" s="11" t="s">
        <v>1406</v>
      </c>
      <c r="P8" s="49" t="s">
        <v>1441</v>
      </c>
      <c r="Q8" s="49">
        <v>6</v>
      </c>
    </row>
    <row r="9" spans="1:19">
      <c r="B9" s="62" t="s">
        <v>2251</v>
      </c>
      <c r="C9" s="12" t="s">
        <v>2328</v>
      </c>
      <c r="D9" s="62"/>
      <c r="E9" s="123"/>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2334</v>
      </c>
      <c r="E14" s="6"/>
      <c r="F14" s="64"/>
      <c r="G14" s="64"/>
      <c r="I14" s="12"/>
      <c r="J14" s="11"/>
      <c r="K14" s="11"/>
      <c r="L14" s="11"/>
      <c r="M14" s="63"/>
      <c r="N14" s="66"/>
    </row>
    <row r="15" spans="1:19" ht="88.5">
      <c r="A15" s="59"/>
      <c r="B15" s="11" t="str">
        <f>Subject!B11</f>
        <v>smoking</v>
      </c>
      <c r="C15" s="11" t="str">
        <f>Subject!C11</f>
        <v>Smoking</v>
      </c>
      <c r="D15" s="12" t="s">
        <v>2336</v>
      </c>
      <c r="E15" s="12"/>
      <c r="F15" s="64" t="s">
        <v>1429</v>
      </c>
      <c r="G15" s="129"/>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2335</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2337</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2338</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2" t="s">
        <v>2258</v>
      </c>
    </row>
    <row r="2" spans="1:19" ht="15.5" thickBot="1"/>
    <row r="3" spans="1:19" ht="15.5" thickBot="1">
      <c r="B3" s="62" t="s">
        <v>17</v>
      </c>
      <c r="C3" s="28" t="s">
        <v>2326</v>
      </c>
      <c r="D3" s="62" t="s">
        <v>2246</v>
      </c>
      <c r="E3" s="123" t="str">
        <f>$C$1&amp;Subject!B5</f>
        <v>http://hl7.eu/fhir/ig/idea4rc/StructureDefinition/Subject</v>
      </c>
    </row>
    <row r="4" spans="1:19">
      <c r="B4" s="62" t="s">
        <v>16</v>
      </c>
      <c r="C4" s="28" t="s">
        <v>2325</v>
      </c>
      <c r="D4" s="62" t="s">
        <v>2247</v>
      </c>
      <c r="E4" s="123" t="s">
        <v>2284</v>
      </c>
    </row>
    <row r="5" spans="1:19">
      <c r="B5" s="62" t="s">
        <v>10</v>
      </c>
      <c r="C5" s="133" t="s">
        <v>2327</v>
      </c>
      <c r="D5" s="62"/>
      <c r="E5" s="7"/>
    </row>
    <row r="6" spans="1:19">
      <c r="B6" s="62" t="s">
        <v>18</v>
      </c>
      <c r="C6" s="134"/>
      <c r="D6" s="62" t="s">
        <v>2248</v>
      </c>
      <c r="E6" s="162" t="str">
        <f>E3</f>
        <v>http://hl7.eu/fhir/ig/idea4rc/StructureDefinition/Subject</v>
      </c>
      <c r="F6" s="163"/>
      <c r="G6" s="163"/>
    </row>
    <row r="7" spans="1:19">
      <c r="B7" s="62" t="s">
        <v>15</v>
      </c>
      <c r="C7" s="135"/>
      <c r="D7" s="62" t="s">
        <v>2249</v>
      </c>
      <c r="E7" s="162" t="s">
        <v>2339</v>
      </c>
      <c r="F7" s="163"/>
      <c r="G7" s="163"/>
    </row>
    <row r="8" spans="1:19" ht="44.25">
      <c r="B8" s="62" t="s">
        <v>2250</v>
      </c>
      <c r="C8" s="105" t="s">
        <v>2327</v>
      </c>
      <c r="D8" s="62"/>
      <c r="E8" s="7"/>
      <c r="I8" s="12" t="s">
        <v>1402</v>
      </c>
      <c r="J8" s="12" t="s">
        <v>1403</v>
      </c>
      <c r="K8" s="12" t="s">
        <v>1404</v>
      </c>
      <c r="L8" s="12" t="s">
        <v>1405</v>
      </c>
      <c r="M8" s="11" t="s">
        <v>1406</v>
      </c>
      <c r="P8" s="49" t="s">
        <v>1441</v>
      </c>
      <c r="Q8" s="49">
        <v>6</v>
      </c>
    </row>
    <row r="9" spans="1:19">
      <c r="B9" s="62" t="s">
        <v>2251</v>
      </c>
      <c r="C9" s="12" t="s">
        <v>2328</v>
      </c>
      <c r="D9" s="62"/>
      <c r="E9" s="123"/>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2334</v>
      </c>
      <c r="E14" s="6"/>
      <c r="F14" s="64"/>
      <c r="G14" s="64"/>
      <c r="I14" s="12"/>
      <c r="J14" s="11"/>
      <c r="K14" s="11"/>
      <c r="L14" s="11"/>
      <c r="M14" s="63"/>
      <c r="N14" s="66"/>
    </row>
    <row r="15" spans="1:19" ht="73.75">
      <c r="A15" s="59"/>
      <c r="B15" s="11" t="str">
        <f>Subject!B15</f>
        <v>alcohol</v>
      </c>
      <c r="C15" s="11" t="str">
        <f>Subject!C15</f>
        <v>Alcohol</v>
      </c>
      <c r="D15" s="12" t="s">
        <v>2340</v>
      </c>
      <c r="E15" s="12"/>
      <c r="F15" s="64" t="s">
        <v>1429</v>
      </c>
      <c r="G15" s="129"/>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2" t="s">
        <v>2258</v>
      </c>
    </row>
    <row r="2" spans="1:19" ht="15.5" thickBot="1"/>
    <row r="3" spans="1:19" ht="15.5" thickBot="1">
      <c r="B3" s="62" t="s">
        <v>17</v>
      </c>
      <c r="C3" s="28" t="s">
        <v>2326</v>
      </c>
      <c r="D3" s="62" t="s">
        <v>2246</v>
      </c>
      <c r="E3" s="123" t="str">
        <f>$C$1&amp;Subject!B5</f>
        <v>http://hl7.eu/fhir/ig/idea4rc/StructureDefinition/Subject</v>
      </c>
    </row>
    <row r="4" spans="1:19">
      <c r="B4" s="62" t="s">
        <v>16</v>
      </c>
      <c r="C4" s="28" t="s">
        <v>2325</v>
      </c>
      <c r="D4" s="62" t="s">
        <v>2247</v>
      </c>
      <c r="E4" s="123" t="s">
        <v>2284</v>
      </c>
    </row>
    <row r="5" spans="1:19">
      <c r="B5" s="62" t="s">
        <v>10</v>
      </c>
      <c r="C5" s="133" t="s">
        <v>2327</v>
      </c>
      <c r="D5" s="62"/>
      <c r="E5" s="7"/>
    </row>
    <row r="6" spans="1:19">
      <c r="B6" s="62" t="s">
        <v>18</v>
      </c>
      <c r="C6" s="134"/>
      <c r="D6" s="62" t="s">
        <v>2248</v>
      </c>
      <c r="E6" s="162" t="str">
        <f>E3</f>
        <v>http://hl7.eu/fhir/ig/idea4rc/StructureDefinition/Subject</v>
      </c>
      <c r="F6" s="163"/>
      <c r="G6" s="163"/>
    </row>
    <row r="7" spans="1:19">
      <c r="B7" s="62" t="s">
        <v>15</v>
      </c>
      <c r="C7" s="135"/>
      <c r="D7" s="62" t="s">
        <v>2249</v>
      </c>
      <c r="E7" s="162" t="s">
        <v>2341</v>
      </c>
      <c r="F7" s="163"/>
      <c r="G7" s="163"/>
    </row>
    <row r="8" spans="1:19" ht="44.25">
      <c r="B8" s="62" t="s">
        <v>2250</v>
      </c>
      <c r="C8" s="105" t="s">
        <v>2327</v>
      </c>
      <c r="D8" s="62"/>
      <c r="E8" s="7"/>
      <c r="I8" s="12" t="s">
        <v>1402</v>
      </c>
      <c r="J8" s="12" t="s">
        <v>1403</v>
      </c>
      <c r="K8" s="12" t="s">
        <v>1404</v>
      </c>
      <c r="L8" s="12" t="s">
        <v>1405</v>
      </c>
      <c r="M8" s="11" t="s">
        <v>1406</v>
      </c>
      <c r="P8" s="49" t="s">
        <v>1441</v>
      </c>
      <c r="Q8" s="49">
        <v>6</v>
      </c>
    </row>
    <row r="9" spans="1:19">
      <c r="B9" s="62" t="s">
        <v>2251</v>
      </c>
      <c r="C9" s="12" t="s">
        <v>2328</v>
      </c>
      <c r="D9" s="62"/>
      <c r="E9" s="123"/>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2334</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9"/>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2342</v>
      </c>
      <c r="E16" s="11"/>
      <c r="F16" s="64" t="s">
        <v>1407</v>
      </c>
      <c r="G16" s="129" t="s">
        <v>2344</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2342</v>
      </c>
      <c r="E17" s="11"/>
      <c r="F17" s="64" t="s">
        <v>1429</v>
      </c>
      <c r="G17" s="129" t="s">
        <v>2343</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2342</v>
      </c>
      <c r="E18" s="11"/>
      <c r="F18" s="64" t="s">
        <v>1429</v>
      </c>
      <c r="G18" s="129" t="s">
        <v>2343</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2342</v>
      </c>
      <c r="E19" s="11"/>
      <c r="F19" s="64" t="s">
        <v>1429</v>
      </c>
      <c r="G19" s="129" t="s">
        <v>2343</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2342</v>
      </c>
      <c r="E20" s="11"/>
      <c r="F20" s="64" t="s">
        <v>1429</v>
      </c>
      <c r="G20" s="129" t="s">
        <v>2343</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2342</v>
      </c>
      <c r="E21" s="11"/>
      <c r="F21" s="64" t="s">
        <v>1429</v>
      </c>
      <c r="G21" s="129" t="s">
        <v>2343</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2342</v>
      </c>
      <c r="E22" s="11"/>
      <c r="F22" s="64" t="s">
        <v>1429</v>
      </c>
      <c r="G22" s="129" t="s">
        <v>2343</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2342</v>
      </c>
      <c r="E23" s="11"/>
      <c r="F23" s="64" t="s">
        <v>1429</v>
      </c>
      <c r="G23" s="129" t="s">
        <v>2343</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2342</v>
      </c>
      <c r="E24" s="11"/>
      <c r="F24" s="64" t="s">
        <v>1429</v>
      </c>
      <c r="G24" s="129" t="s">
        <v>2343</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2342</v>
      </c>
      <c r="E25" s="12"/>
      <c r="F25" s="64" t="s">
        <v>1429</v>
      </c>
      <c r="G25" s="129" t="s">
        <v>2343</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2342</v>
      </c>
      <c r="E26" s="12"/>
      <c r="F26" s="64" t="s">
        <v>1429</v>
      </c>
      <c r="G26" s="129" t="s">
        <v>2343</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2342</v>
      </c>
      <c r="E27" s="12"/>
      <c r="F27" s="64" t="s">
        <v>1429</v>
      </c>
      <c r="G27" s="129" t="s">
        <v>2343</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2342</v>
      </c>
      <c r="E28" s="12"/>
      <c r="F28" s="64" t="s">
        <v>1429</v>
      </c>
      <c r="G28" s="129" t="s">
        <v>2343</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2342</v>
      </c>
      <c r="E29" s="12"/>
      <c r="F29" s="64" t="s">
        <v>1429</v>
      </c>
      <c r="G29" s="129" t="s">
        <v>2343</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2342</v>
      </c>
      <c r="E30" s="12"/>
      <c r="F30" s="64" t="s">
        <v>1429</v>
      </c>
      <c r="G30" s="129" t="s">
        <v>2343</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2342</v>
      </c>
      <c r="E31" s="12"/>
      <c r="F31" s="64" t="s">
        <v>1429</v>
      </c>
      <c r="G31" s="129" t="s">
        <v>2343</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2342</v>
      </c>
      <c r="E32" s="12"/>
      <c r="F32" s="64" t="s">
        <v>1429</v>
      </c>
      <c r="G32" s="129" t="s">
        <v>2343</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2342</v>
      </c>
      <c r="E33" s="12"/>
      <c r="F33" s="64" t="s">
        <v>1429</v>
      </c>
      <c r="G33" s="129" t="s">
        <v>2343</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2342</v>
      </c>
      <c r="E34" s="12"/>
      <c r="F34" s="64" t="s">
        <v>1429</v>
      </c>
      <c r="G34" s="129" t="s">
        <v>2343</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2342</v>
      </c>
      <c r="E35" s="12"/>
      <c r="F35" s="64" t="s">
        <v>1429</v>
      </c>
      <c r="G35" s="129" t="s">
        <v>2343</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2" t="s">
        <v>2258</v>
      </c>
    </row>
    <row r="2" spans="1:19" ht="15.5" thickBot="1"/>
    <row r="3" spans="1:19" ht="15.5" thickBot="1">
      <c r="B3" s="62" t="s">
        <v>17</v>
      </c>
      <c r="C3" s="28" t="s">
        <v>2326</v>
      </c>
      <c r="D3" s="62" t="s">
        <v>2246</v>
      </c>
      <c r="E3" s="123" t="str">
        <f>$C$1&amp;Subject!B5</f>
        <v>http://hl7.eu/fhir/ig/idea4rc/StructureDefinition/Subject</v>
      </c>
    </row>
    <row r="4" spans="1:19">
      <c r="B4" s="62" t="s">
        <v>16</v>
      </c>
      <c r="C4" s="28" t="s">
        <v>2325</v>
      </c>
      <c r="D4" s="62" t="s">
        <v>2247</v>
      </c>
      <c r="E4" s="123" t="s">
        <v>2284</v>
      </c>
    </row>
    <row r="5" spans="1:19">
      <c r="B5" s="62" t="s">
        <v>10</v>
      </c>
      <c r="C5" s="133" t="s">
        <v>2327</v>
      </c>
      <c r="D5" s="62"/>
      <c r="E5" s="7"/>
    </row>
    <row r="6" spans="1:19">
      <c r="B6" s="62" t="s">
        <v>18</v>
      </c>
      <c r="C6" s="134"/>
      <c r="D6" s="62" t="s">
        <v>2248</v>
      </c>
      <c r="E6" s="162" t="str">
        <f>E3</f>
        <v>http://hl7.eu/fhir/ig/idea4rc/StructureDefinition/Subject</v>
      </c>
      <c r="F6" s="163"/>
      <c r="G6" s="163"/>
    </row>
    <row r="7" spans="1:19">
      <c r="B7" s="62" t="s">
        <v>15</v>
      </c>
      <c r="C7" s="135"/>
      <c r="D7" s="62" t="s">
        <v>2249</v>
      </c>
      <c r="E7" s="162" t="s">
        <v>2345</v>
      </c>
      <c r="F7" s="163"/>
      <c r="G7" s="163"/>
    </row>
    <row r="8" spans="1:19" ht="44.25">
      <c r="B8" s="62" t="s">
        <v>2250</v>
      </c>
      <c r="C8" s="105" t="s">
        <v>2327</v>
      </c>
      <c r="D8" s="62"/>
      <c r="E8" s="7"/>
      <c r="I8" s="12" t="s">
        <v>1402</v>
      </c>
      <c r="J8" s="12" t="s">
        <v>1403</v>
      </c>
      <c r="K8" s="12" t="s">
        <v>1404</v>
      </c>
      <c r="L8" s="12" t="s">
        <v>1405</v>
      </c>
      <c r="M8" s="11" t="s">
        <v>1406</v>
      </c>
      <c r="P8" s="49" t="s">
        <v>1441</v>
      </c>
      <c r="Q8" s="49">
        <v>6</v>
      </c>
    </row>
    <row r="9" spans="1:19">
      <c r="B9" s="62" t="s">
        <v>2251</v>
      </c>
      <c r="C9" s="12" t="s">
        <v>2328</v>
      </c>
      <c r="D9" s="62"/>
      <c r="E9" s="123"/>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2334</v>
      </c>
      <c r="E14" s="6"/>
      <c r="F14" s="64"/>
      <c r="G14" s="64"/>
      <c r="I14" s="12"/>
      <c r="J14" s="11"/>
      <c r="K14" s="11"/>
      <c r="L14" s="11"/>
      <c r="M14" s="63"/>
      <c r="N14" s="66"/>
    </row>
    <row r="15" spans="1:19" ht="44.25">
      <c r="A15" s="59"/>
      <c r="B15" s="11" t="str">
        <f>Subject!B38</f>
        <v>karnofsyIndexAtDiagnosis</v>
      </c>
      <c r="C15" s="11" t="str">
        <f>Subject!C38</f>
        <v>Karnofsy index at diagnosis</v>
      </c>
      <c r="D15" s="12" t="s">
        <v>2346</v>
      </c>
      <c r="E15" s="12"/>
      <c r="F15" s="64" t="s">
        <v>1430</v>
      </c>
      <c r="G15" s="129"/>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9"/>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9"/>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9"/>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5"/>
      <c r="C19" s="115"/>
      <c r="D19" s="141" t="s">
        <v>2248</v>
      </c>
      <c r="E19" s="142" t="str">
        <f>E3</f>
        <v>http://hl7.eu/fhir/ig/idea4rc/StructureDefinition/Subject</v>
      </c>
      <c r="F19" s="143"/>
      <c r="G19" s="144"/>
      <c r="H19" s="58"/>
      <c r="I19" s="144"/>
      <c r="J19" s="144"/>
      <c r="K19" s="144"/>
      <c r="L19" s="144"/>
      <c r="M19" s="144"/>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5"/>
      <c r="C20" s="115"/>
      <c r="D20" s="141" t="s">
        <v>2249</v>
      </c>
      <c r="E20" s="142" t="s">
        <v>2347</v>
      </c>
      <c r="F20" s="143"/>
      <c r="G20" s="144"/>
      <c r="H20" s="58"/>
      <c r="I20" s="144"/>
      <c r="J20" s="144"/>
      <c r="K20" s="144"/>
      <c r="L20" s="144"/>
      <c r="M20" s="144"/>
      <c r="N20" s="12" t="str">
        <f t="shared" si="4"/>
        <v/>
      </c>
      <c r="P20" s="11">
        <v>6</v>
      </c>
      <c r="Q20" s="11">
        <f t="shared" si="5"/>
        <v>0</v>
      </c>
      <c r="R20" s="11">
        <f t="shared" si="6"/>
        <v>6</v>
      </c>
      <c r="S20" s="12" t="str" cm="1">
        <f t="array" ref="S20">INDEX('Subject-ConceptMap-5'!$I$15:$N$17,Q20+1,R20)</f>
        <v/>
      </c>
    </row>
    <row r="21" spans="1:19" ht="44.25" customHeight="1">
      <c r="A21" s="59"/>
      <c r="B21" s="115"/>
      <c r="C21" s="115"/>
      <c r="D21" s="141"/>
      <c r="E21" s="142"/>
      <c r="F21" s="143"/>
      <c r="G21" s="144"/>
      <c r="H21" s="58"/>
      <c r="I21" s="144"/>
      <c r="J21" s="144"/>
      <c r="K21" s="144"/>
      <c r="L21" s="144"/>
      <c r="M21" s="144"/>
      <c r="N21" s="12"/>
      <c r="P21" s="115"/>
      <c r="Q21" s="115"/>
      <c r="R21" s="115"/>
      <c r="S21" s="116"/>
    </row>
    <row r="22" spans="1:19" ht="88.5" customHeight="1">
      <c r="A22" s="59"/>
      <c r="B22" s="11" t="str">
        <f>Subject!B37</f>
        <v>ecogPsAtDiagnosis</v>
      </c>
      <c r="C22" s="12" t="str">
        <f>Subject!C37</f>
        <v>Eastern Cooperative Oncology Group performance status (ECOG PS)  at diagnosis</v>
      </c>
      <c r="D22" s="12" t="s">
        <v>2346</v>
      </c>
      <c r="E22" s="12"/>
      <c r="F22" s="64" t="s">
        <v>1430</v>
      </c>
      <c r="G22" s="129"/>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9"/>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9"/>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9"/>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9"/>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9"/>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9"/>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9"/>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9"/>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9"/>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9"/>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9"/>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9"/>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9"/>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9"/>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topLeftCell="A39" workbookViewId="0">
      <selection activeCell="A278" sqref="A278:XFD285"/>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2348</v>
      </c>
    </row>
    <row r="3" spans="2:7">
      <c r="B3" s="24" t="s">
        <v>20</v>
      </c>
    </row>
    <row r="4" spans="2:7">
      <c r="B4" s="65" t="str">
        <f>"Instance: "&amp;'Subject-ConceptMap-1'!C4</f>
        <v>Instance: subject2FHIR</v>
      </c>
    </row>
    <row r="5" spans="2:7">
      <c r="B5" s="65" t="s">
        <v>1447</v>
      </c>
    </row>
    <row r="6" spans="2:7">
      <c r="B6" s="65" t="s">
        <v>1438</v>
      </c>
    </row>
    <row r="7" spans="2:7">
      <c r="B7" s="65" t="s">
        <v>2253</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##34#http://hl7.org/fhir##34#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7"/>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6"/>
    </row>
    <row r="74" spans="2:2">
      <c r="B74" s="68" t="str">
        <f>"* group[+].source = ##34#"&amp;'Subject-ConceptMap-2'!E6&amp;"##34#"</f>
        <v>* group[+].source = ##34#http://hl7.eu/fhir/ig/idea4rc/StructureDefinition/Subject##34#</v>
      </c>
    </row>
    <row r="75" spans="2:2">
      <c r="B75" s="137" t="str">
        <f>"* group[=].target = ##34#"&amp;'Subject-ConceptMap-2'!E7&amp;"##34#"</f>
        <v>* group[=].target = ##34#http://hl7.eu/fhir/ig/idea4rc/StructureDefinition/observation-tobaccouse-eu-i4rc##34#</v>
      </c>
    </row>
    <row r="76" spans="2:2">
      <c r="B76" s="138"/>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6"/>
    </row>
    <row r="120" spans="2:3">
      <c r="B120" s="68" t="str">
        <f>"* group[+].source = ##34#"&amp;'Subject-ConceptMap-3'!E6&amp;"##34#"</f>
        <v>* group[+].source = ##34#http://hl7.eu/fhir/ig/idea4rc/StructureDefinition/Subject##34#</v>
      </c>
    </row>
    <row r="121" spans="2:3">
      <c r="B121" s="137" t="str">
        <f>"* group[=].target = ##34#"&amp;'Subject-ConceptMap-3'!E7&amp;"##34#"</f>
        <v>* group[=].target = ##34#http://hl7.eu/fhir/ig/idea4rc/StructureDefinition/observation-alcoholuse-eu-i4rc##34#</v>
      </c>
    </row>
    <row r="122" spans="2:3">
      <c r="B122" s="139"/>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40"/>
    </row>
    <row r="140" spans="2:3">
      <c r="B140" s="11"/>
      <c r="C140" s="140"/>
    </row>
    <row r="141" spans="2:3">
      <c r="B141" s="11"/>
      <c r="C141" s="140"/>
    </row>
    <row r="142" spans="2:3">
      <c r="B142" s="11"/>
    </row>
    <row r="143" spans="2:3">
      <c r="B143" s="136"/>
    </row>
    <row r="144" spans="2:3">
      <c r="B144" s="137" t="str">
        <f>"* group[+].source = ##34#"&amp;'Subject-ConceptMap-4'!E6&amp;"##34#"</f>
        <v>* group[+].source = ##34#http://hl7.eu/fhir/ig/idea4rc/StructureDefinition/Subject##34#</v>
      </c>
    </row>
    <row r="145" spans="2:2">
      <c r="B145" s="137" t="str">
        <f>"* group[=].target = ##34#"&amp;'Subject-ConceptMap-4'!E7&amp;"##34#"</f>
        <v>* group[=].target = ##34#http://hl7.eu/fhir/ig/idea4rc/StructureDefinition/observation-comorbidity-eu-i4rc##34#</v>
      </c>
    </row>
    <row r="146" spans="2:2">
      <c r="B146" s="138"/>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5"/>
    </row>
    <row r="279" spans="2:2" s="7" customFormat="1">
      <c r="B279" s="125"/>
    </row>
    <row r="280" spans="2:2" s="7" customFormat="1">
      <c r="B280" s="138"/>
    </row>
    <row r="281" spans="2:2" s="7" customFormat="1">
      <c r="B281" s="145" t="str">
        <f>"* group[+].source = ##34#"&amp;'Subject-ConceptMap-5'!E6&amp;"##34#"</f>
        <v>* group[+].source = ##34#http://hl7.eu/fhir/ig/idea4rc/StructureDefinition/Subject##34#</v>
      </c>
    </row>
    <row r="282" spans="2:2" s="7" customFormat="1">
      <c r="B282" s="145" t="str">
        <f>"* group[=].target = ##34#"&amp;'Subject-ConceptMap-5'!E7&amp;"##34#"</f>
        <v>* group[=].target = ##34#http://hl7.eu/fhir/ig/idea4rc/StructureDefinition/observation-karnofsky-performance-statuseu-i4rc##34#</v>
      </c>
    </row>
    <row r="283" spans="2:2" s="7" customFormat="1">
      <c r="B283" s="138"/>
    </row>
    <row r="284" spans="2:2" s="7" customFormat="1">
      <c r="B284" s="125" t="str">
        <f>IF('Subject-ConceptMap-5'!S15=0,"//---END",'Subject-ConceptMap-5'!S15)</f>
        <v>* group[=].element[+].code = #Subject.karnofsyIndexAtDiagnosis</v>
      </c>
    </row>
    <row r="285" spans="2:2" s="7" customFormat="1">
      <c r="B285" s="125"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6"/>
    </row>
    <row r="295" spans="2:2">
      <c r="B295" s="137" t="str">
        <f>"* group[+].source = ##34#"&amp;'Subject-ConceptMap-5'!E19&amp;"##34#"</f>
        <v>* group[+].source = ##34#http://hl7.eu/fhir/ig/idea4rc/StructureDefinition/Subject##34#</v>
      </c>
    </row>
    <row r="296" spans="2:2">
      <c r="B296" s="137" t="str">
        <f>"* group[=].target = ##34#"&amp;'Subject-ConceptMap-5'!E20&amp;"##34#"</f>
        <v>* group[=].target = ##34#http://hl7.eu/fhir/ig/idea4rc/StructureDefinition/observation-ecog-performance-status-eu-i4rc##34#</v>
      </c>
    </row>
    <row r="297" spans="2:2">
      <c r="B297" s="138"/>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2220</v>
      </c>
      <c r="B1" s="100" t="s">
        <v>2219</v>
      </c>
      <c r="C1" s="100" t="s">
        <v>2218</v>
      </c>
      <c r="D1" s="100" t="s">
        <v>4</v>
      </c>
      <c r="E1" s="100" t="s">
        <v>7</v>
      </c>
      <c r="F1" s="100" t="s">
        <v>1480</v>
      </c>
      <c r="G1" s="100" t="s">
        <v>2217</v>
      </c>
      <c r="H1" s="100" t="s">
        <v>5</v>
      </c>
      <c r="I1" s="100" t="s">
        <v>6</v>
      </c>
    </row>
    <row r="2" spans="1:9">
      <c r="A2">
        <v>0</v>
      </c>
      <c r="B2" t="s">
        <v>2474</v>
      </c>
      <c r="C2" t="s">
        <v>2475</v>
      </c>
      <c r="D2" t="s">
        <v>2476</v>
      </c>
      <c r="E2" t="s">
        <v>2214</v>
      </c>
      <c r="F2" t="s">
        <v>2244</v>
      </c>
      <c r="H2">
        <v>1</v>
      </c>
      <c r="I2">
        <v>1</v>
      </c>
    </row>
    <row r="3" spans="1:9">
      <c r="A3">
        <v>1</v>
      </c>
      <c r="B3" t="s">
        <v>2477</v>
      </c>
      <c r="C3" t="s">
        <v>2478</v>
      </c>
      <c r="D3" t="s">
        <v>2479</v>
      </c>
      <c r="E3" t="s">
        <v>2209</v>
      </c>
      <c r="F3" t="s">
        <v>2480</v>
      </c>
      <c r="G3" t="s">
        <v>2481</v>
      </c>
      <c r="H3">
        <v>1</v>
      </c>
      <c r="I3">
        <v>1</v>
      </c>
    </row>
    <row r="4" spans="1:9">
      <c r="A4">
        <v>2</v>
      </c>
      <c r="B4" t="s">
        <v>2482</v>
      </c>
      <c r="C4" t="s">
        <v>2483</v>
      </c>
      <c r="D4" t="s">
        <v>2484</v>
      </c>
      <c r="E4" t="s">
        <v>2209</v>
      </c>
      <c r="F4" t="s">
        <v>2485</v>
      </c>
      <c r="G4" t="s">
        <v>2434</v>
      </c>
      <c r="H4">
        <v>0</v>
      </c>
      <c r="I4">
        <v>1</v>
      </c>
    </row>
    <row r="5" spans="1:9">
      <c r="A5">
        <v>3</v>
      </c>
      <c r="B5" t="s">
        <v>2486</v>
      </c>
      <c r="C5" t="s">
        <v>2487</v>
      </c>
      <c r="D5" t="s">
        <v>2488</v>
      </c>
      <c r="E5" t="s">
        <v>209</v>
      </c>
      <c r="F5" t="s">
        <v>213</v>
      </c>
      <c r="H5">
        <v>0</v>
      </c>
      <c r="I5">
        <v>1</v>
      </c>
    </row>
    <row r="6" spans="1:9">
      <c r="A6">
        <v>4</v>
      </c>
      <c r="B6" t="s">
        <v>2489</v>
      </c>
      <c r="C6" t="s">
        <v>2490</v>
      </c>
      <c r="D6" t="s">
        <v>2491</v>
      </c>
      <c r="E6" t="s">
        <v>275</v>
      </c>
      <c r="F6" t="s">
        <v>2492</v>
      </c>
      <c r="G6" t="s">
        <v>2438</v>
      </c>
      <c r="H6">
        <v>0</v>
      </c>
      <c r="I6">
        <v>1</v>
      </c>
    </row>
    <row r="7" spans="1:9">
      <c r="A7">
        <v>5</v>
      </c>
      <c r="B7" t="s">
        <v>2493</v>
      </c>
      <c r="C7" t="s">
        <v>2494</v>
      </c>
      <c r="D7" t="s">
        <v>2495</v>
      </c>
      <c r="E7" t="s">
        <v>275</v>
      </c>
      <c r="F7" t="s">
        <v>2492</v>
      </c>
      <c r="G7" t="s">
        <v>2438</v>
      </c>
      <c r="H7">
        <v>0</v>
      </c>
      <c r="I7">
        <v>1</v>
      </c>
    </row>
    <row r="8" spans="1:9">
      <c r="A8">
        <v>6</v>
      </c>
      <c r="B8" t="s">
        <v>2496</v>
      </c>
      <c r="C8" t="s">
        <v>2497</v>
      </c>
      <c r="D8" t="s">
        <v>2498</v>
      </c>
      <c r="E8" t="s">
        <v>275</v>
      </c>
      <c r="F8" t="s">
        <v>2492</v>
      </c>
      <c r="G8" t="s">
        <v>2438</v>
      </c>
      <c r="H8">
        <v>0</v>
      </c>
      <c r="I8">
        <v>1</v>
      </c>
    </row>
    <row r="9" spans="1:9">
      <c r="A9">
        <v>7</v>
      </c>
      <c r="B9" t="s">
        <v>2499</v>
      </c>
      <c r="C9" t="s">
        <v>2500</v>
      </c>
      <c r="D9" t="s">
        <v>1641</v>
      </c>
      <c r="E9" t="s">
        <v>1617</v>
      </c>
      <c r="F9" t="s">
        <v>2387</v>
      </c>
      <c r="H9">
        <v>0</v>
      </c>
      <c r="I9">
        <v>1</v>
      </c>
    </row>
    <row r="10" spans="1:9">
      <c r="A10">
        <v>8</v>
      </c>
      <c r="B10" t="s">
        <v>2501</v>
      </c>
      <c r="C10" t="s">
        <v>2502</v>
      </c>
      <c r="D10" t="s">
        <v>1643</v>
      </c>
      <c r="E10" t="s">
        <v>1617</v>
      </c>
      <c r="F10" t="s">
        <v>2387</v>
      </c>
      <c r="H10">
        <v>0</v>
      </c>
      <c r="I10">
        <v>1</v>
      </c>
    </row>
    <row r="11" spans="1:9">
      <c r="A11">
        <v>9</v>
      </c>
      <c r="B11" t="s">
        <v>2503</v>
      </c>
      <c r="C11" t="s">
        <v>2504</v>
      </c>
      <c r="D11" t="s">
        <v>1645</v>
      </c>
      <c r="E11" t="s">
        <v>1617</v>
      </c>
      <c r="F11" t="s">
        <v>2387</v>
      </c>
      <c r="H11">
        <v>0</v>
      </c>
      <c r="I11">
        <v>1</v>
      </c>
    </row>
    <row r="12" spans="1:9">
      <c r="A12">
        <v>10</v>
      </c>
      <c r="B12" t="s">
        <v>2505</v>
      </c>
      <c r="C12" t="s">
        <v>2506</v>
      </c>
      <c r="D12" t="s">
        <v>1647</v>
      </c>
      <c r="E12" t="s">
        <v>1617</v>
      </c>
      <c r="F12" t="s">
        <v>2387</v>
      </c>
      <c r="H12">
        <v>0</v>
      </c>
      <c r="I12">
        <v>1</v>
      </c>
    </row>
    <row r="13" spans="1:9">
      <c r="A13">
        <v>11</v>
      </c>
      <c r="B13" t="s">
        <v>2507</v>
      </c>
      <c r="C13" t="s">
        <v>2508</v>
      </c>
      <c r="D13" t="s">
        <v>1649</v>
      </c>
      <c r="E13" t="s">
        <v>1617</v>
      </c>
      <c r="F13" t="s">
        <v>2387</v>
      </c>
      <c r="H13">
        <v>0</v>
      </c>
      <c r="I13">
        <v>1</v>
      </c>
    </row>
    <row r="14" spans="1:9">
      <c r="A14">
        <v>12</v>
      </c>
      <c r="B14" t="s">
        <v>2509</v>
      </c>
      <c r="C14" t="s">
        <v>2510</v>
      </c>
      <c r="D14" t="s">
        <v>1651</v>
      </c>
      <c r="E14" t="s">
        <v>1617</v>
      </c>
      <c r="F14" t="s">
        <v>2387</v>
      </c>
      <c r="H14">
        <v>0</v>
      </c>
      <c r="I14">
        <v>1</v>
      </c>
    </row>
    <row r="15" spans="1:9">
      <c r="A15">
        <v>13</v>
      </c>
      <c r="B15" t="s">
        <v>2511</v>
      </c>
      <c r="C15" t="s">
        <v>2512</v>
      </c>
      <c r="D15" t="s">
        <v>1653</v>
      </c>
      <c r="E15" t="s">
        <v>1617</v>
      </c>
      <c r="F15" t="s">
        <v>2387</v>
      </c>
      <c r="H15">
        <v>0</v>
      </c>
      <c r="I15">
        <v>1</v>
      </c>
    </row>
    <row r="16" spans="1:9">
      <c r="A16">
        <v>14</v>
      </c>
      <c r="B16" t="s">
        <v>2513</v>
      </c>
      <c r="C16" t="s">
        <v>2514</v>
      </c>
      <c r="D16" t="s">
        <v>1655</v>
      </c>
      <c r="E16" t="s">
        <v>1617</v>
      </c>
      <c r="F16" t="s">
        <v>2387</v>
      </c>
      <c r="H16">
        <v>0</v>
      </c>
      <c r="I16">
        <v>1</v>
      </c>
    </row>
    <row r="17" spans="1:9">
      <c r="A17">
        <v>15</v>
      </c>
      <c r="B17" t="s">
        <v>2515</v>
      </c>
      <c r="C17" t="s">
        <v>2516</v>
      </c>
      <c r="D17" t="s">
        <v>1657</v>
      </c>
      <c r="E17" t="s">
        <v>1617</v>
      </c>
      <c r="F17" t="s">
        <v>2387</v>
      </c>
      <c r="H17">
        <v>0</v>
      </c>
      <c r="I17">
        <v>1</v>
      </c>
    </row>
    <row r="18" spans="1:9">
      <c r="A18">
        <v>16</v>
      </c>
      <c r="B18" t="s">
        <v>2517</v>
      </c>
      <c r="C18" t="s">
        <v>2518</v>
      </c>
      <c r="D18" t="s">
        <v>1659</v>
      </c>
      <c r="E18" t="s">
        <v>1617</v>
      </c>
      <c r="F18" t="s">
        <v>2387</v>
      </c>
      <c r="H18">
        <v>0</v>
      </c>
      <c r="I18">
        <v>1</v>
      </c>
    </row>
    <row r="27" spans="1:9">
      <c r="B27" s="11"/>
      <c r="C27" s="151" t="s">
        <v>3</v>
      </c>
      <c r="D27" s="152" t="s">
        <v>4</v>
      </c>
      <c r="E27" s="11" t="s">
        <v>5</v>
      </c>
      <c r="F27" s="11" t="s">
        <v>6</v>
      </c>
      <c r="G27" s="11" t="s">
        <v>7</v>
      </c>
      <c r="H27" s="153" t="s">
        <v>1621</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topLeftCell="D1" zoomScaleNormal="100" workbookViewId="0">
      <selection activeCell="J15" sqref="J1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1623</v>
      </c>
      <c r="L1" s="23" t="s">
        <v>20</v>
      </c>
    </row>
    <row r="2" spans="1:12" ht="19.899999999999999" customHeight="1">
      <c r="J2" s="24" t="s">
        <v>19</v>
      </c>
      <c r="L2" s="24" t="s">
        <v>1622</v>
      </c>
    </row>
    <row r="3" spans="1:12" ht="19.899999999999999" customHeight="1" thickBot="1">
      <c r="J3" s="24" t="str">
        <f>J1</f>
        <v>//===================================================</v>
      </c>
      <c r="L3" s="24" t="str">
        <f>L1</f>
        <v>// -------------------------------------------------------------------------------</v>
      </c>
    </row>
    <row r="4" spans="1:12" ht="19.899999999999999" customHeight="1">
      <c r="A4" s="5" t="s">
        <v>11</v>
      </c>
      <c r="B4" s="45" t="s">
        <v>2522</v>
      </c>
      <c r="J4" s="16" t="str">
        <f>CONCATENATE("Logical: ",B4)</f>
        <v>Logical: EpisodeEvent</v>
      </c>
    </row>
    <row r="5" spans="1:12" ht="19.899999999999999" customHeight="1">
      <c r="A5" s="14" t="s">
        <v>16</v>
      </c>
      <c r="B5" s="46" t="s">
        <v>2522</v>
      </c>
      <c r="J5" s="16" t="str">
        <f>CONCATENATE("Id: ",B5)</f>
        <v>Id: EpisodeEvent</v>
      </c>
    </row>
    <row r="6" spans="1:12" ht="19.899999999999999" customHeight="1">
      <c r="A6" s="14" t="s">
        <v>10</v>
      </c>
      <c r="B6" s="47" t="s">
        <v>2407</v>
      </c>
      <c r="J6" s="17" t="str">
        <f>CONCATENATE("Title: ##34#",B6,"##34#")</f>
        <v>Title: ##34#Episode Event##34#</v>
      </c>
    </row>
    <row r="7" spans="1:12" ht="19.899999999999999" customHeight="1">
      <c r="A7" s="26" t="s">
        <v>2</v>
      </c>
      <c r="B7" s="47" t="s">
        <v>2407</v>
      </c>
      <c r="C7" s="9" t="s">
        <v>3</v>
      </c>
      <c r="D7" s="1" t="s">
        <v>4</v>
      </c>
      <c r="E7" s="3" t="s">
        <v>5</v>
      </c>
      <c r="F7" s="3" t="s">
        <v>6</v>
      </c>
      <c r="G7" s="3" t="s">
        <v>7</v>
      </c>
      <c r="H7" s="107" t="s">
        <v>1621</v>
      </c>
      <c r="J7" s="17" t="str">
        <f>CONCATENATE("Description: "," ##334#",B7,"##334#",)</f>
        <v>Description:  ##334#Episode Event##334#</v>
      </c>
    </row>
    <row r="8" spans="1:12" ht="20.25" customHeight="1">
      <c r="A8" s="100">
        <v>0</v>
      </c>
      <c r="B8" s="57" t="s">
        <v>2523</v>
      </c>
      <c r="C8" s="11" t="s">
        <v>2475</v>
      </c>
      <c r="D8" s="11" t="s">
        <v>2476</v>
      </c>
      <c r="E8" s="11">
        <v>1</v>
      </c>
      <c r="F8" s="11">
        <v>1</v>
      </c>
      <c r="G8" t="s">
        <v>2540</v>
      </c>
      <c r="H8" s="12" t="s">
        <v>2244</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19.899999999999999" customHeight="1">
      <c r="A9" s="100">
        <v>1</v>
      </c>
      <c r="B9" s="57" t="s">
        <v>2537</v>
      </c>
      <c r="C9" s="11" t="s">
        <v>2478</v>
      </c>
      <c r="D9" s="11" t="s">
        <v>2479</v>
      </c>
      <c r="E9" s="11">
        <v>1</v>
      </c>
      <c r="F9" s="11">
        <v>1</v>
      </c>
      <c r="G9" s="57" t="s">
        <v>2241</v>
      </c>
      <c r="H9" s="12" t="s">
        <v>2519</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19.899999999999999" customHeight="1">
      <c r="A10" s="100">
        <v>2</v>
      </c>
      <c r="B10" s="57" t="s">
        <v>2538</v>
      </c>
      <c r="C10" s="11" t="s">
        <v>2483</v>
      </c>
      <c r="D10" s="11" t="s">
        <v>2484</v>
      </c>
      <c r="E10" s="11">
        <v>0</v>
      </c>
      <c r="F10" s="11">
        <v>1</v>
      </c>
      <c r="G10" s="57" t="s">
        <v>2241</v>
      </c>
      <c r="H10" s="12" t="s">
        <v>2520</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2539</v>
      </c>
      <c r="C11" s="11" t="s">
        <v>2487</v>
      </c>
      <c r="D11" s="11" t="s">
        <v>2488</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2534</v>
      </c>
      <c r="C12" s="11" t="s">
        <v>2490</v>
      </c>
      <c r="D12" s="11" t="s">
        <v>2491</v>
      </c>
      <c r="E12" s="11">
        <v>0</v>
      </c>
      <c r="F12" s="11">
        <v>1</v>
      </c>
      <c r="G12" s="57" t="s">
        <v>2241</v>
      </c>
      <c r="H12" s="12" t="s">
        <v>2521</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2535</v>
      </c>
      <c r="C13" s="11" t="s">
        <v>2494</v>
      </c>
      <c r="D13" s="12" t="s">
        <v>2495</v>
      </c>
      <c r="E13" s="11">
        <v>0</v>
      </c>
      <c r="F13" s="11">
        <v>1</v>
      </c>
      <c r="G13" s="57" t="s">
        <v>2241</v>
      </c>
      <c r="H13" s="12" t="s">
        <v>2521</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2536</v>
      </c>
      <c r="C14" s="11" t="s">
        <v>2497</v>
      </c>
      <c r="D14" s="12" t="s">
        <v>2498</v>
      </c>
      <c r="E14" s="11">
        <v>0</v>
      </c>
      <c r="F14" s="11">
        <v>1</v>
      </c>
      <c r="G14" s="57" t="s">
        <v>2241</v>
      </c>
      <c r="H14" s="12" t="s">
        <v>2521</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2542</v>
      </c>
      <c r="C15" s="6" t="s">
        <v>2543</v>
      </c>
      <c r="D15" s="6" t="s">
        <v>2543</v>
      </c>
      <c r="E15" s="11">
        <v>0</v>
      </c>
      <c r="F15" s="11">
        <v>1</v>
      </c>
      <c r="G15" s="154" t="s">
        <v>1</v>
      </c>
      <c r="H15" s="4"/>
      <c r="I15" s="25"/>
      <c r="J15" s="12" t="str">
        <f t="shared" si="1"/>
        <v>* siteOfMetastasis 0..1 BackboneElement ##34#Site of metastasis##34# ##334#Site of metastasis##334#</v>
      </c>
      <c r="L15" s="12" t="str">
        <f t="shared" si="2"/>
        <v/>
      </c>
    </row>
    <row r="16" spans="1:12" ht="19.899999999999999" customHeight="1">
      <c r="A16" s="100">
        <v>7</v>
      </c>
      <c r="B16" s="57" t="s">
        <v>2524</v>
      </c>
      <c r="C16" s="11" t="s">
        <v>2500</v>
      </c>
      <c r="D16" s="12" t="s">
        <v>1641</v>
      </c>
      <c r="E16" s="11">
        <v>0</v>
      </c>
      <c r="F16" s="11">
        <v>1</v>
      </c>
      <c r="G16" s="57" t="s">
        <v>157</v>
      </c>
      <c r="H16" s="12" t="s">
        <v>2387</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00">
        <v>8</v>
      </c>
      <c r="B17" s="57" t="s">
        <v>2531</v>
      </c>
      <c r="C17" s="11" t="s">
        <v>2502</v>
      </c>
      <c r="D17" s="12" t="s">
        <v>1643</v>
      </c>
      <c r="E17" s="11">
        <v>0</v>
      </c>
      <c r="F17" s="11">
        <v>1</v>
      </c>
      <c r="G17" s="57" t="s">
        <v>157</v>
      </c>
      <c r="H17" s="12" t="s">
        <v>2387</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00">
        <v>9</v>
      </c>
      <c r="B18" s="57" t="s">
        <v>2527</v>
      </c>
      <c r="C18" s="11" t="s">
        <v>2504</v>
      </c>
      <c r="D18" s="12" t="s">
        <v>1645</v>
      </c>
      <c r="E18" s="11">
        <v>0</v>
      </c>
      <c r="F18" s="11">
        <v>1</v>
      </c>
      <c r="G18" s="57" t="s">
        <v>157</v>
      </c>
      <c r="H18" s="12" t="s">
        <v>2387</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00">
        <v>10</v>
      </c>
      <c r="B19" s="57" t="s">
        <v>2525</v>
      </c>
      <c r="C19" s="11" t="s">
        <v>2506</v>
      </c>
      <c r="D19" s="11" t="s">
        <v>1647</v>
      </c>
      <c r="E19" s="11">
        <v>0</v>
      </c>
      <c r="F19" s="11">
        <v>1</v>
      </c>
      <c r="G19" s="57" t="s">
        <v>157</v>
      </c>
      <c r="H19" s="12" t="s">
        <v>2387</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00">
        <v>11</v>
      </c>
      <c r="B20" s="57" t="s">
        <v>2528</v>
      </c>
      <c r="C20" s="11" t="s">
        <v>2508</v>
      </c>
      <c r="D20" s="11" t="s">
        <v>1649</v>
      </c>
      <c r="E20" s="11">
        <v>0</v>
      </c>
      <c r="F20" s="11">
        <v>1</v>
      </c>
      <c r="G20" s="57" t="s">
        <v>157</v>
      </c>
      <c r="H20" s="12" t="s">
        <v>2387</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00">
        <v>12</v>
      </c>
      <c r="B21" s="57" t="s">
        <v>2529</v>
      </c>
      <c r="C21" s="11" t="s">
        <v>2510</v>
      </c>
      <c r="D21" s="11" t="s">
        <v>1651</v>
      </c>
      <c r="E21" s="11">
        <v>0</v>
      </c>
      <c r="F21" s="11">
        <v>1</v>
      </c>
      <c r="G21" s="57" t="s">
        <v>157</v>
      </c>
      <c r="H21" s="12" t="s">
        <v>2387</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00">
        <v>13</v>
      </c>
      <c r="B22" s="57" t="s">
        <v>2530</v>
      </c>
      <c r="C22" s="11" t="s">
        <v>2512</v>
      </c>
      <c r="D22" s="11" t="s">
        <v>1653</v>
      </c>
      <c r="E22" s="11">
        <v>0</v>
      </c>
      <c r="F22" s="11">
        <v>1</v>
      </c>
      <c r="G22" s="57" t="s">
        <v>157</v>
      </c>
      <c r="H22" s="12" t="s">
        <v>2387</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00">
        <v>14</v>
      </c>
      <c r="B23" s="57" t="s">
        <v>2526</v>
      </c>
      <c r="C23" s="11" t="s">
        <v>2514</v>
      </c>
      <c r="D23" s="11" t="s">
        <v>1655</v>
      </c>
      <c r="E23" s="11">
        <v>0</v>
      </c>
      <c r="F23" s="11">
        <v>1</v>
      </c>
      <c r="G23" s="57" t="s">
        <v>157</v>
      </c>
      <c r="H23" s="12" t="s">
        <v>2387</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00">
        <v>15</v>
      </c>
      <c r="B24" s="57" t="s">
        <v>2532</v>
      </c>
      <c r="C24" s="11" t="s">
        <v>2516</v>
      </c>
      <c r="D24" s="12" t="s">
        <v>1657</v>
      </c>
      <c r="E24" s="11">
        <v>0</v>
      </c>
      <c r="F24" s="11">
        <v>1</v>
      </c>
      <c r="G24" s="57" t="s">
        <v>157</v>
      </c>
      <c r="H24" s="12" t="s">
        <v>2387</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00">
        <v>16</v>
      </c>
      <c r="B25" s="57" t="s">
        <v>2533</v>
      </c>
      <c r="C25" s="11" t="s">
        <v>2518</v>
      </c>
      <c r="D25" s="12" t="s">
        <v>1659</v>
      </c>
      <c r="E25" s="11">
        <v>0</v>
      </c>
      <c r="F25" s="11">
        <v>1</v>
      </c>
      <c r="G25" s="57" t="s">
        <v>157</v>
      </c>
      <c r="H25" s="12" t="s">
        <v>2387</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8">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1669</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1670</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1620</v>
      </c>
      <c r="E9" s="27" t="str">
        <f>CONCATENATE("* -&gt; ##34#",C9,"##34#")</f>
        <v>* -&gt; ##34#TBD##34#</v>
      </c>
      <c r="H9" s="7"/>
      <c r="I9" s="7"/>
      <c r="J9" s="7"/>
      <c r="K9" s="7"/>
      <c r="L9" s="7"/>
      <c r="M9" s="7"/>
      <c r="N9" s="7"/>
      <c r="O9" s="7"/>
    </row>
    <row r="10" spans="1:15">
      <c r="A10" s="11"/>
      <c r="B10" s="11" t="str">
        <f>EpisodeEvent!B8</f>
        <v>cancerEpisode</v>
      </c>
      <c r="C10" s="11" t="s">
        <v>1620</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1620</v>
      </c>
      <c r="E11" s="12" t="str">
        <f t="shared" si="0"/>
        <v>* eventType -&gt; ##34#TBD##34#</v>
      </c>
      <c r="H11" s="7"/>
      <c r="I11" s="7"/>
      <c r="J11" s="7"/>
      <c r="K11" s="7"/>
      <c r="L11" s="7"/>
      <c r="M11" s="7"/>
      <c r="N11" s="7"/>
      <c r="O11" s="7"/>
    </row>
    <row r="12" spans="1:15">
      <c r="A12" s="11"/>
      <c r="B12" s="11" t="str">
        <f>EpisodeEvent!B10</f>
        <v>definedAt</v>
      </c>
      <c r="C12" s="11" t="s">
        <v>1620</v>
      </c>
      <c r="E12" s="12" t="str">
        <f t="shared" si="0"/>
        <v>* definedAt -&gt; ##34#TBD##34#</v>
      </c>
      <c r="H12" s="7"/>
      <c r="I12" s="7"/>
      <c r="J12" s="7"/>
      <c r="K12" s="7"/>
      <c r="L12" s="7"/>
      <c r="M12" s="7"/>
      <c r="N12" s="7"/>
      <c r="O12" s="7"/>
    </row>
    <row r="13" spans="1:15">
      <c r="A13" s="11"/>
      <c r="B13" s="11" t="str">
        <f>EpisodeEvent!B11</f>
        <v>dateOfEpisode</v>
      </c>
      <c r="C13" s="11" t="s">
        <v>1620</v>
      </c>
      <c r="E13" s="12" t="str">
        <f t="shared" si="0"/>
        <v>* dateOfEpisode -&gt; ##34#TBD##34#</v>
      </c>
      <c r="H13" s="7"/>
      <c r="I13" s="7"/>
      <c r="J13" s="7"/>
      <c r="K13" s="7"/>
      <c r="L13" s="7"/>
      <c r="M13" s="7"/>
      <c r="N13" s="7"/>
      <c r="O13" s="7"/>
    </row>
    <row r="14" spans="1:15">
      <c r="A14" s="11"/>
      <c r="B14" s="11" t="str">
        <f>EpisodeEvent!B12</f>
        <v>isLocal</v>
      </c>
      <c r="C14" s="11" t="s">
        <v>1620</v>
      </c>
      <c r="E14" s="12" t="str">
        <f t="shared" si="0"/>
        <v>* isLocal -&gt; ##34#TBD##34#</v>
      </c>
      <c r="H14" s="7"/>
      <c r="I14" s="7"/>
      <c r="J14" s="7"/>
      <c r="K14" s="7"/>
      <c r="L14" s="7"/>
      <c r="M14" s="7"/>
      <c r="N14" s="7"/>
      <c r="O14" s="7"/>
    </row>
    <row r="15" spans="1:15">
      <c r="A15" s="11"/>
      <c r="B15" s="11" t="str">
        <f>EpisodeEvent!B13</f>
        <v>isRegional</v>
      </c>
      <c r="C15" s="11" t="s">
        <v>1620</v>
      </c>
      <c r="E15" s="12" t="str">
        <f t="shared" si="0"/>
        <v>* isRegional -&gt; ##34#TBD##34#</v>
      </c>
      <c r="H15" s="7"/>
      <c r="I15" s="7"/>
      <c r="J15" s="7"/>
      <c r="K15" s="7"/>
      <c r="L15" s="7"/>
      <c r="M15" s="7"/>
      <c r="N15" s="7"/>
      <c r="O15" s="7"/>
    </row>
    <row r="16" spans="1:15">
      <c r="A16" s="11"/>
      <c r="B16" s="11" t="str">
        <f>EpisodeEvent!B14</f>
        <v>isMetastatic</v>
      </c>
      <c r="C16" s="11" t="s">
        <v>1620</v>
      </c>
      <c r="E16" s="12" t="str">
        <f t="shared" si="0"/>
        <v>* isMetastatic -&gt; ##34#TBD##34#</v>
      </c>
      <c r="H16" s="7"/>
      <c r="I16" s="7"/>
      <c r="J16" s="7"/>
      <c r="K16" s="7"/>
      <c r="L16" s="7"/>
      <c r="M16" s="7"/>
      <c r="N16" s="7"/>
      <c r="O16" s="7"/>
    </row>
    <row r="17" spans="1:5">
      <c r="A17" s="11"/>
      <c r="B17" s="11" t="str">
        <f>EpisodeEvent!B16</f>
        <v>siteOfMetastasis.softTissue</v>
      </c>
      <c r="C17" s="11" t="s">
        <v>1620</v>
      </c>
      <c r="E17" s="12" t="str">
        <f t="shared" si="0"/>
        <v>* siteOfMetastasis.softTissue -&gt; ##34#TBD##34#</v>
      </c>
    </row>
    <row r="18" spans="1:5">
      <c r="A18" s="11"/>
      <c r="B18" s="11" t="str">
        <f>EpisodeEvent!B17</f>
        <v>siteOfMetastasis.distantLymphNodes</v>
      </c>
      <c r="C18" s="11" t="s">
        <v>1620</v>
      </c>
      <c r="E18" s="12" t="str">
        <f t="shared" si="0"/>
        <v>* siteOfMetastasis.distantLymphNodes -&gt; ##34#TBD##34#</v>
      </c>
    </row>
    <row r="19" spans="1:5">
      <c r="A19" s="11"/>
      <c r="B19" s="11" t="str">
        <f>EpisodeEvent!B18</f>
        <v>siteOfMetastasis.lung</v>
      </c>
      <c r="C19" s="11" t="s">
        <v>1620</v>
      </c>
      <c r="E19" s="12" t="str">
        <f t="shared" si="0"/>
        <v>* siteOfMetastasis.lung -&gt; ##34#TBD##34#</v>
      </c>
    </row>
    <row r="20" spans="1:5">
      <c r="A20" s="11"/>
      <c r="B20" s="11" t="str">
        <f>EpisodeEvent!B19</f>
        <v>siteOfMetastasis.bone</v>
      </c>
      <c r="C20" s="11" t="s">
        <v>1620</v>
      </c>
      <c r="E20" s="12" t="str">
        <f t="shared" si="0"/>
        <v>* siteOfMetastasis.bone -&gt; ##34#TBD##34#</v>
      </c>
    </row>
    <row r="21" spans="1:5">
      <c r="B21" s="11" t="str">
        <f>EpisodeEvent!B20</f>
        <v>siteOfMetastasis.liver</v>
      </c>
      <c r="C21" s="11" t="s">
        <v>1620</v>
      </c>
      <c r="E21" s="12" t="str">
        <f t="shared" si="0"/>
        <v>* siteOfMetastasis.liver -&gt; ##34#TBD##34#</v>
      </c>
    </row>
    <row r="22" spans="1:5">
      <c r="B22" s="11" t="str">
        <f>EpisodeEvent!B21</f>
        <v>siteOfMetastasis.pleura</v>
      </c>
      <c r="C22" s="11" t="s">
        <v>1620</v>
      </c>
      <c r="E22" s="12" t="str">
        <f t="shared" si="0"/>
        <v>* siteOfMetastasis.pleura -&gt; ##34#TBD##34#</v>
      </c>
    </row>
    <row r="23" spans="1:5">
      <c r="B23" s="11" t="str">
        <f>EpisodeEvent!B22</f>
        <v>siteOfMetastasis.peritoneum</v>
      </c>
      <c r="C23" s="11" t="s">
        <v>1620</v>
      </c>
      <c r="E23" s="12" t="str">
        <f t="shared" si="0"/>
        <v>* siteOfMetastasis.peritoneum -&gt; ##34#TBD##34#</v>
      </c>
    </row>
    <row r="24" spans="1:5">
      <c r="B24" s="11" t="str">
        <f>EpisodeEvent!B23</f>
        <v>siteOfMetastasis.brain</v>
      </c>
      <c r="C24" s="11" t="s">
        <v>1620</v>
      </c>
      <c r="E24" s="12" t="str">
        <f t="shared" si="0"/>
        <v>* siteOfMetastasis.brain -&gt; ##34#TBD##34#</v>
      </c>
    </row>
    <row r="25" spans="1:5">
      <c r="B25" s="11" t="str">
        <f>EpisodeEvent!B24</f>
        <v>siteOfMetastasis.otherViscera</v>
      </c>
      <c r="C25" s="11" t="s">
        <v>1620</v>
      </c>
      <c r="E25" s="12" t="str">
        <f t="shared" si="0"/>
        <v>* siteOfMetastasis.otherViscera -&gt; ##34#TBD##34#</v>
      </c>
    </row>
    <row r="26" spans="1:5">
      <c r="B26" s="11" t="str">
        <f>EpisodeEvent!B25</f>
        <v>siteOfMetastasis.unknown</v>
      </c>
      <c r="C26" s="11" t="s">
        <v>1620</v>
      </c>
      <c r="E26" s="12" t="str">
        <f t="shared" si="0"/>
        <v>* siteOfMetastasis.unknown -&gt; ##34#TBD##34#</v>
      </c>
    </row>
    <row r="27" spans="1:5">
      <c r="B27" s="11">
        <f>EpisodeEvent!B26</f>
        <v>0</v>
      </c>
      <c r="C27" s="11" t="s">
        <v>1620</v>
      </c>
      <c r="E27" s="12" t="str">
        <f t="shared" si="0"/>
        <v>*  -&gt; ##34###34#</v>
      </c>
    </row>
    <row r="28" spans="1:5">
      <c r="B28" s="11">
        <f>EpisodeEvent!B27</f>
        <v>0</v>
      </c>
      <c r="C28" s="11" t="s">
        <v>1620</v>
      </c>
      <c r="E28" s="12" t="str">
        <f t="shared" si="0"/>
        <v>*  -&gt; ##34###34#</v>
      </c>
    </row>
    <row r="29" spans="1:5">
      <c r="B29" s="11" t="e">
        <f>EpisodeEvent!#REF!</f>
        <v>#REF!</v>
      </c>
      <c r="C29" s="11" t="s">
        <v>1620</v>
      </c>
      <c r="E29" s="12" t="e">
        <f t="shared" si="0"/>
        <v>#REF!</v>
      </c>
    </row>
    <row r="30" spans="1:5">
      <c r="B30" s="11" t="e">
        <f>EpisodeEvent!#REF!</f>
        <v>#REF!</v>
      </c>
      <c r="C30" s="11" t="s">
        <v>1620</v>
      </c>
      <c r="E30" s="12" t="e">
        <f t="shared" si="0"/>
        <v>#REF!</v>
      </c>
    </row>
    <row r="31" spans="1:5">
      <c r="B31" s="11" t="e">
        <f>EpisodeEvent!#REF!</f>
        <v>#REF!</v>
      </c>
      <c r="C31" s="11" t="s">
        <v>1620</v>
      </c>
      <c r="E31" s="12" t="e">
        <f t="shared" si="0"/>
        <v>#REF!</v>
      </c>
    </row>
    <row r="32" spans="1:5">
      <c r="B32" s="11" t="e">
        <f>EpisodeEvent!#REF!</f>
        <v>#REF!</v>
      </c>
      <c r="C32" s="11" t="s">
        <v>1620</v>
      </c>
      <c r="E32" s="12" t="e">
        <f t="shared" si="0"/>
        <v>#REF!</v>
      </c>
    </row>
    <row r="33" spans="2:5">
      <c r="B33" s="11" t="e">
        <f>EpisodeEvent!#REF!</f>
        <v>#REF!</v>
      </c>
      <c r="C33" s="11" t="s">
        <v>1620</v>
      </c>
      <c r="E33" s="12" t="e">
        <f t="shared" si="0"/>
        <v>#REF!</v>
      </c>
    </row>
    <row r="34" spans="2:5">
      <c r="B34" s="11" t="e">
        <f>EpisodeEvent!#REF!</f>
        <v>#REF!</v>
      </c>
      <c r="C34" s="11" t="s">
        <v>1620</v>
      </c>
      <c r="E34" s="12" t="e">
        <f t="shared" si="0"/>
        <v>#REF!</v>
      </c>
    </row>
    <row r="35" spans="2:5">
      <c r="B35" s="11" t="e">
        <f>EpisodeEvent!#REF!</f>
        <v>#REF!</v>
      </c>
      <c r="C35" s="11" t="s">
        <v>1620</v>
      </c>
      <c r="E35" s="12" t="e">
        <f t="shared" si="0"/>
        <v>#REF!</v>
      </c>
    </row>
    <row r="36" spans="2:5">
      <c r="B36" s="11" t="e">
        <f>EpisodeEvent!#REF!</f>
        <v>#REF!</v>
      </c>
      <c r="C36" s="11" t="s">
        <v>1620</v>
      </c>
      <c r="E36" s="12" t="e">
        <f t="shared" si="0"/>
        <v>#REF!</v>
      </c>
    </row>
    <row r="37" spans="2:5">
      <c r="B37" s="11" t="e">
        <f>EpisodeEvent!#REF!</f>
        <v>#REF!</v>
      </c>
      <c r="C37" s="11" t="s">
        <v>1620</v>
      </c>
      <c r="E37" s="12" t="e">
        <f t="shared" si="0"/>
        <v>#REF!</v>
      </c>
    </row>
    <row r="38" spans="2:5">
      <c r="B38" s="11" t="e">
        <f>EpisodeEvent!#REF!</f>
        <v>#REF!</v>
      </c>
      <c r="C38" s="11" t="s">
        <v>1620</v>
      </c>
      <c r="E38" s="12" t="e">
        <f t="shared" si="0"/>
        <v>#REF!</v>
      </c>
    </row>
    <row r="39" spans="2:5">
      <c r="B39" s="11" t="e">
        <f>EpisodeEvent!#REF!</f>
        <v>#REF!</v>
      </c>
      <c r="C39" s="11" t="s">
        <v>1620</v>
      </c>
      <c r="E39" s="12" t="e">
        <f t="shared" si="0"/>
        <v>#REF!</v>
      </c>
    </row>
    <row r="40" spans="2:5">
      <c r="B40" s="11" t="e">
        <f>EpisodeEvent!#REF!</f>
        <v>#REF!</v>
      </c>
      <c r="C40" s="11" t="s">
        <v>1620</v>
      </c>
      <c r="E40" s="12" t="e">
        <f t="shared" si="0"/>
        <v>#REF!</v>
      </c>
    </row>
    <row r="41" spans="2:5">
      <c r="B41" s="11" t="e">
        <f>EpisodeEvent!#REF!</f>
        <v>#REF!</v>
      </c>
      <c r="C41" s="11" t="s">
        <v>1620</v>
      </c>
      <c r="E41" s="12" t="e">
        <f t="shared" si="0"/>
        <v>#REF!</v>
      </c>
    </row>
    <row r="42" spans="2:5">
      <c r="B42" s="11" t="e">
        <f>EpisodeEvent!#REF!</f>
        <v>#REF!</v>
      </c>
      <c r="C42" s="11" t="s">
        <v>1620</v>
      </c>
      <c r="E42" s="12" t="e">
        <f t="shared" si="0"/>
        <v>#REF!</v>
      </c>
    </row>
    <row r="43" spans="2:5">
      <c r="B43" s="11" t="e">
        <f>EpisodeEvent!#REF!</f>
        <v>#REF!</v>
      </c>
      <c r="C43" s="11" t="s">
        <v>1620</v>
      </c>
      <c r="E43" s="12" t="e">
        <f t="shared" si="0"/>
        <v>#REF!</v>
      </c>
    </row>
    <row r="44" spans="2:5">
      <c r="B44" s="11" t="e">
        <f>EpisodeEvent!#REF!</f>
        <v>#REF!</v>
      </c>
      <c r="C44" s="11" t="s">
        <v>1620</v>
      </c>
      <c r="E44" s="12" t="e">
        <f t="shared" si="0"/>
        <v>#REF!</v>
      </c>
    </row>
    <row r="45" spans="2:5">
      <c r="B45" s="11" t="e">
        <f>EpisodeEvent!#REF!</f>
        <v>#REF!</v>
      </c>
      <c r="C45" s="11" t="s">
        <v>1620</v>
      </c>
      <c r="E45" s="12" t="e">
        <f t="shared" si="0"/>
        <v>#REF!</v>
      </c>
    </row>
    <row r="46" spans="2:5">
      <c r="B46" s="11" t="e">
        <f>EpisodeEvent!#REF!</f>
        <v>#REF!</v>
      </c>
      <c r="C46" s="11" t="s">
        <v>1620</v>
      </c>
      <c r="E46" s="12" t="e">
        <f t="shared" si="0"/>
        <v>#REF!</v>
      </c>
    </row>
    <row r="47" spans="2:5">
      <c r="B47" s="11" t="e">
        <f>EpisodeEvent!#REF!</f>
        <v>#REF!</v>
      </c>
      <c r="C47" s="11" t="s">
        <v>1620</v>
      </c>
      <c r="E47" s="12" t="e">
        <f t="shared" si="0"/>
        <v>#REF!</v>
      </c>
    </row>
    <row r="48" spans="2:5">
      <c r="B48" s="11" t="e">
        <f>EpisodeEvent!#REF!</f>
        <v>#REF!</v>
      </c>
      <c r="C48" s="11" t="s">
        <v>1620</v>
      </c>
      <c r="E48" s="12" t="e">
        <f t="shared" si="0"/>
        <v>#REF!</v>
      </c>
    </row>
    <row r="49" spans="2:5">
      <c r="B49" s="11" t="e">
        <f>EpisodeEvent!#REF!</f>
        <v>#REF!</v>
      </c>
      <c r="C49" s="11" t="s">
        <v>1620</v>
      </c>
      <c r="E49" s="12" t="e">
        <f t="shared" si="0"/>
        <v>#REF!</v>
      </c>
    </row>
    <row r="50" spans="2:5">
      <c r="B50" s="11" t="e">
        <f>EpisodeEvent!#REF!</f>
        <v>#REF!</v>
      </c>
      <c r="C50" s="11" t="s">
        <v>1620</v>
      </c>
      <c r="E50" s="12" t="e">
        <f t="shared" si="0"/>
        <v>#REF!</v>
      </c>
    </row>
    <row r="51" spans="2:5">
      <c r="B51" s="11" t="e">
        <f>EpisodeEvent!#REF!</f>
        <v>#REF!</v>
      </c>
      <c r="C51" s="11" t="s">
        <v>1620</v>
      </c>
      <c r="E51" s="12" t="e">
        <f t="shared" si="0"/>
        <v>#REF!</v>
      </c>
    </row>
    <row r="52" spans="2:5">
      <c r="B52" s="11" t="e">
        <f>EpisodeEvent!#REF!</f>
        <v>#REF!</v>
      </c>
      <c r="C52" s="11" t="s">
        <v>1620</v>
      </c>
      <c r="E52" s="12" t="e">
        <f t="shared" si="0"/>
        <v>#REF!</v>
      </c>
    </row>
    <row r="53" spans="2:5">
      <c r="B53" s="11" t="e">
        <f>EpisodeEvent!#REF!</f>
        <v>#REF!</v>
      </c>
      <c r="C53" s="11" t="s">
        <v>1620</v>
      </c>
      <c r="E53" s="12" t="e">
        <f t="shared" si="0"/>
        <v>#REF!</v>
      </c>
    </row>
    <row r="54" spans="2:5">
      <c r="B54" s="11" t="e">
        <f>EpisodeEvent!#REF!</f>
        <v>#REF!</v>
      </c>
      <c r="C54" s="11" t="s">
        <v>1620</v>
      </c>
      <c r="E54" s="12" t="e">
        <f t="shared" si="0"/>
        <v>#REF!</v>
      </c>
    </row>
    <row r="55" spans="2:5">
      <c r="B55" s="11" t="e">
        <f>EpisodeEvent!#REF!</f>
        <v>#REF!</v>
      </c>
      <c r="C55" s="11" t="s">
        <v>1620</v>
      </c>
      <c r="E55" s="12" t="e">
        <f t="shared" si="0"/>
        <v>#REF!</v>
      </c>
    </row>
    <row r="56" spans="2:5">
      <c r="B56" s="11" t="e">
        <f>EpisodeEvent!#REF!</f>
        <v>#REF!</v>
      </c>
      <c r="C56" s="11" t="s">
        <v>1620</v>
      </c>
      <c r="E56" s="12" t="e">
        <f t="shared" si="0"/>
        <v>#REF!</v>
      </c>
    </row>
    <row r="57" spans="2:5">
      <c r="B57" s="11" t="e">
        <f>EpisodeEvent!#REF!</f>
        <v>#REF!</v>
      </c>
      <c r="C57" s="11" t="s">
        <v>1620</v>
      </c>
      <c r="E57" s="12" t="e">
        <f t="shared" si="0"/>
        <v>#REF!</v>
      </c>
    </row>
    <row r="58" spans="2:5">
      <c r="B58" s="11" t="e">
        <f>EpisodeEvent!#REF!</f>
        <v>#REF!</v>
      </c>
      <c r="C58" s="11" t="s">
        <v>1620</v>
      </c>
      <c r="E58" s="12" t="e">
        <f t="shared" si="0"/>
        <v>#REF!</v>
      </c>
    </row>
    <row r="59" spans="2:5">
      <c r="B59" s="11" t="e">
        <f>EpisodeEvent!#REF!</f>
        <v>#REF!</v>
      </c>
      <c r="C59" s="11" t="s">
        <v>1620</v>
      </c>
      <c r="E59" s="12" t="e">
        <f t="shared" si="0"/>
        <v>#REF!</v>
      </c>
    </row>
    <row r="60" spans="2:5">
      <c r="B60" s="11" t="e">
        <f>EpisodeEvent!#REF!</f>
        <v>#REF!</v>
      </c>
      <c r="C60" s="11" t="s">
        <v>1620</v>
      </c>
      <c r="E60" s="12" t="e">
        <f t="shared" si="0"/>
        <v>#REF!</v>
      </c>
    </row>
    <row r="61" spans="2:5">
      <c r="B61" s="11" t="e">
        <f>EpisodeEvent!#REF!</f>
        <v>#REF!</v>
      </c>
      <c r="C61" s="11" t="s">
        <v>1620</v>
      </c>
      <c r="E61" s="12" t="e">
        <f t="shared" si="0"/>
        <v>#REF!</v>
      </c>
    </row>
    <row r="62" spans="2:5">
      <c r="B62" s="11" t="e">
        <f>EpisodeEvent!#REF!</f>
        <v>#REF!</v>
      </c>
      <c r="C62" s="11" t="s">
        <v>1620</v>
      </c>
      <c r="E62" s="12" t="e">
        <f t="shared" si="0"/>
        <v>#REF!</v>
      </c>
    </row>
    <row r="63" spans="2:5">
      <c r="B63" s="11" t="e">
        <f>EpisodeEvent!#REF!</f>
        <v>#REF!</v>
      </c>
      <c r="C63" s="11" t="s">
        <v>1620</v>
      </c>
      <c r="E63" s="12" t="e">
        <f t="shared" si="0"/>
        <v>#REF!</v>
      </c>
    </row>
    <row r="64" spans="2:5">
      <c r="B64" s="11" t="e">
        <f>EpisodeEvent!#REF!</f>
        <v>#REF!</v>
      </c>
      <c r="C64" s="11" t="s">
        <v>1620</v>
      </c>
      <c r="E64" s="12" t="e">
        <f t="shared" si="0"/>
        <v>#REF!</v>
      </c>
    </row>
    <row r="65" spans="2:5">
      <c r="B65" s="11" t="e">
        <f>EpisodeEvent!#REF!</f>
        <v>#REF!</v>
      </c>
      <c r="C65" s="11" t="s">
        <v>1620</v>
      </c>
      <c r="E65" s="12" t="e">
        <f t="shared" si="0"/>
        <v>#REF!</v>
      </c>
    </row>
    <row r="66" spans="2:5">
      <c r="B66" s="11" t="e">
        <f>EpisodeEvent!#REF!</f>
        <v>#REF!</v>
      </c>
      <c r="C66" s="11" t="s">
        <v>1620</v>
      </c>
      <c r="E66" s="12" t="e">
        <f t="shared" si="0"/>
        <v>#REF!</v>
      </c>
    </row>
    <row r="67" spans="2:5">
      <c r="B67" s="11" t="e">
        <f>EpisodeEvent!#REF!</f>
        <v>#REF!</v>
      </c>
      <c r="C67" s="11" t="s">
        <v>1620</v>
      </c>
      <c r="E67" s="12" t="e">
        <f t="shared" si="0"/>
        <v>#REF!</v>
      </c>
    </row>
    <row r="68" spans="2:5">
      <c r="B68" s="11" t="e">
        <f>EpisodeEvent!#REF!</f>
        <v>#REF!</v>
      </c>
      <c r="C68" s="11" t="s">
        <v>1620</v>
      </c>
      <c r="E68" s="12" t="e">
        <f t="shared" si="0"/>
        <v>#REF!</v>
      </c>
    </row>
    <row r="69" spans="2:5">
      <c r="B69" s="11" t="e">
        <f>EpisodeEvent!#REF!</f>
        <v>#REF!</v>
      </c>
      <c r="C69" s="11" t="s">
        <v>1620</v>
      </c>
      <c r="E69" s="12" t="e">
        <f t="shared" si="0"/>
        <v>#REF!</v>
      </c>
    </row>
    <row r="70" spans="2:5">
      <c r="B70" s="11" t="e">
        <f>EpisodeEvent!#REF!</f>
        <v>#REF!</v>
      </c>
      <c r="C70" s="11" t="s">
        <v>1620</v>
      </c>
      <c r="E70" s="12" t="e">
        <f t="shared" si="0"/>
        <v>#REF!</v>
      </c>
    </row>
    <row r="71" spans="2:5">
      <c r="B71" s="11" t="e">
        <f>EpisodeEvent!#REF!</f>
        <v>#REF!</v>
      </c>
      <c r="C71" s="11" t="s">
        <v>1620</v>
      </c>
      <c r="E71" s="12" t="e">
        <f t="shared" si="0"/>
        <v>#REF!</v>
      </c>
    </row>
    <row r="72" spans="2:5">
      <c r="B72" s="11" t="e">
        <f>EpisodeEvent!#REF!</f>
        <v>#REF!</v>
      </c>
      <c r="C72" s="11" t="s">
        <v>1620</v>
      </c>
      <c r="E72" s="12" t="e">
        <f t="shared" si="0"/>
        <v>#REF!</v>
      </c>
    </row>
    <row r="73" spans="2:5">
      <c r="B73" s="11" t="e">
        <f>EpisodeEvent!#REF!</f>
        <v>#REF!</v>
      </c>
      <c r="C73" s="11" t="s">
        <v>1620</v>
      </c>
      <c r="E73" s="12" t="e">
        <f t="shared" si="0"/>
        <v>#REF!</v>
      </c>
    </row>
    <row r="74" spans="2:5">
      <c r="B74" s="11" t="e">
        <f>EpisodeEvent!#REF!</f>
        <v>#REF!</v>
      </c>
      <c r="C74" s="11" t="s">
        <v>1620</v>
      </c>
      <c r="E74" s="12" t="e">
        <f t="shared" ref="E74:E98" si="1">IF(B74=0,"*  -&gt; ##34###34#",CONCATENATE("* ",B74," -&gt; ##34#",C74,"##34#"))</f>
        <v>#REF!</v>
      </c>
    </row>
    <row r="75" spans="2:5">
      <c r="B75" s="11" t="e">
        <f>EpisodeEvent!#REF!</f>
        <v>#REF!</v>
      </c>
      <c r="C75" s="11" t="s">
        <v>1620</v>
      </c>
      <c r="E75" s="12" t="e">
        <f t="shared" si="1"/>
        <v>#REF!</v>
      </c>
    </row>
    <row r="76" spans="2:5">
      <c r="B76" s="11" t="e">
        <f>EpisodeEvent!#REF!</f>
        <v>#REF!</v>
      </c>
      <c r="C76" s="11" t="s">
        <v>1620</v>
      </c>
      <c r="E76" s="12" t="e">
        <f t="shared" si="1"/>
        <v>#REF!</v>
      </c>
    </row>
    <row r="77" spans="2:5">
      <c r="B77" s="11" t="e">
        <f>EpisodeEvent!#REF!</f>
        <v>#REF!</v>
      </c>
      <c r="C77" s="11" t="s">
        <v>1620</v>
      </c>
      <c r="E77" s="12" t="e">
        <f t="shared" si="1"/>
        <v>#REF!</v>
      </c>
    </row>
    <row r="78" spans="2:5">
      <c r="B78" s="11" t="e">
        <f>EpisodeEvent!#REF!</f>
        <v>#REF!</v>
      </c>
      <c r="C78" s="11" t="s">
        <v>1620</v>
      </c>
      <c r="E78" s="12" t="e">
        <f t="shared" si="1"/>
        <v>#REF!</v>
      </c>
    </row>
    <row r="79" spans="2:5">
      <c r="B79" s="11" t="e">
        <f>EpisodeEvent!#REF!</f>
        <v>#REF!</v>
      </c>
      <c r="C79" s="11" t="s">
        <v>1620</v>
      </c>
      <c r="E79" s="12" t="e">
        <f t="shared" si="1"/>
        <v>#REF!</v>
      </c>
    </row>
    <row r="80" spans="2:5">
      <c r="B80" s="11" t="e">
        <f>EpisodeEvent!#REF!</f>
        <v>#REF!</v>
      </c>
      <c r="C80" s="11" t="s">
        <v>1620</v>
      </c>
      <c r="E80" s="12" t="e">
        <f t="shared" si="1"/>
        <v>#REF!</v>
      </c>
    </row>
    <row r="81" spans="2:5">
      <c r="B81" s="11" t="e">
        <f>EpisodeEvent!#REF!</f>
        <v>#REF!</v>
      </c>
      <c r="C81" s="11" t="s">
        <v>1620</v>
      </c>
      <c r="E81" s="12" t="e">
        <f t="shared" si="1"/>
        <v>#REF!</v>
      </c>
    </row>
    <row r="82" spans="2:5">
      <c r="B82" s="11" t="e">
        <f>EpisodeEvent!#REF!</f>
        <v>#REF!</v>
      </c>
      <c r="C82" s="11" t="s">
        <v>1620</v>
      </c>
      <c r="E82" s="12" t="e">
        <f t="shared" si="1"/>
        <v>#REF!</v>
      </c>
    </row>
    <row r="83" spans="2:5">
      <c r="B83" s="11" t="e">
        <f>EpisodeEvent!#REF!</f>
        <v>#REF!</v>
      </c>
      <c r="C83" s="11" t="s">
        <v>1620</v>
      </c>
      <c r="E83" s="12" t="e">
        <f t="shared" si="1"/>
        <v>#REF!</v>
      </c>
    </row>
    <row r="84" spans="2:5">
      <c r="B84" s="11" t="e">
        <f>EpisodeEvent!#REF!</f>
        <v>#REF!</v>
      </c>
      <c r="C84" s="11" t="s">
        <v>1620</v>
      </c>
      <c r="E84" s="12" t="e">
        <f t="shared" si="1"/>
        <v>#REF!</v>
      </c>
    </row>
    <row r="85" spans="2:5">
      <c r="B85" s="11" t="e">
        <f>EpisodeEvent!#REF!</f>
        <v>#REF!</v>
      </c>
      <c r="C85" s="11" t="s">
        <v>1620</v>
      </c>
      <c r="E85" s="12" t="e">
        <f t="shared" si="1"/>
        <v>#REF!</v>
      </c>
    </row>
    <row r="86" spans="2:5">
      <c r="B86" s="11" t="e">
        <f>EpisodeEvent!#REF!</f>
        <v>#REF!</v>
      </c>
      <c r="C86" s="11" t="s">
        <v>1620</v>
      </c>
      <c r="E86" s="12" t="e">
        <f t="shared" si="1"/>
        <v>#REF!</v>
      </c>
    </row>
    <row r="87" spans="2:5">
      <c r="B87" s="11" t="e">
        <f>EpisodeEvent!#REF!</f>
        <v>#REF!</v>
      </c>
      <c r="C87" s="11" t="s">
        <v>1620</v>
      </c>
      <c r="E87" s="12" t="e">
        <f t="shared" si="1"/>
        <v>#REF!</v>
      </c>
    </row>
    <row r="88" spans="2:5">
      <c r="B88" s="11" t="e">
        <f>EpisodeEvent!#REF!</f>
        <v>#REF!</v>
      </c>
      <c r="C88" s="11" t="s">
        <v>1620</v>
      </c>
      <c r="E88" s="12" t="e">
        <f t="shared" si="1"/>
        <v>#REF!</v>
      </c>
    </row>
    <row r="89" spans="2:5">
      <c r="B89" s="11" t="e">
        <f>EpisodeEvent!#REF!</f>
        <v>#REF!</v>
      </c>
      <c r="C89" s="11" t="s">
        <v>1620</v>
      </c>
      <c r="E89" s="12" t="e">
        <f t="shared" si="1"/>
        <v>#REF!</v>
      </c>
    </row>
    <row r="90" spans="2:5">
      <c r="B90" s="11" t="e">
        <f>EpisodeEvent!#REF!</f>
        <v>#REF!</v>
      </c>
      <c r="C90" s="11" t="s">
        <v>1620</v>
      </c>
      <c r="E90" s="12" t="e">
        <f t="shared" si="1"/>
        <v>#REF!</v>
      </c>
    </row>
    <row r="91" spans="2:5">
      <c r="B91" s="11" t="e">
        <f>EpisodeEvent!#REF!</f>
        <v>#REF!</v>
      </c>
      <c r="C91" s="11" t="s">
        <v>1620</v>
      </c>
      <c r="E91" s="12" t="e">
        <f t="shared" si="1"/>
        <v>#REF!</v>
      </c>
    </row>
    <row r="92" spans="2:5">
      <c r="B92" s="11" t="e">
        <f>EpisodeEvent!#REF!</f>
        <v>#REF!</v>
      </c>
      <c r="C92" s="11" t="s">
        <v>1620</v>
      </c>
      <c r="E92" s="12" t="e">
        <f t="shared" si="1"/>
        <v>#REF!</v>
      </c>
    </row>
    <row r="93" spans="2:5">
      <c r="B93" s="11" t="e">
        <f>EpisodeEvent!#REF!</f>
        <v>#REF!</v>
      </c>
      <c r="C93" s="11" t="s">
        <v>1620</v>
      </c>
      <c r="E93" s="12" t="e">
        <f t="shared" si="1"/>
        <v>#REF!</v>
      </c>
    </row>
    <row r="94" spans="2:5">
      <c r="B94" s="11" t="e">
        <f>EpisodeEvent!#REF!</f>
        <v>#REF!</v>
      </c>
      <c r="C94" s="11" t="s">
        <v>1620</v>
      </c>
      <c r="E94" s="12" t="e">
        <f t="shared" si="1"/>
        <v>#REF!</v>
      </c>
    </row>
    <row r="95" spans="2:5">
      <c r="B95" s="11" t="e">
        <f>EpisodeEvent!#REF!</f>
        <v>#REF!</v>
      </c>
      <c r="C95" s="11" t="s">
        <v>1620</v>
      </c>
      <c r="E95" s="12" t="e">
        <f t="shared" si="1"/>
        <v>#REF!</v>
      </c>
    </row>
    <row r="96" spans="2:5">
      <c r="B96" s="11"/>
      <c r="C96" s="11" t="s">
        <v>1620</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2541</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1624</v>
      </c>
    </row>
    <row r="34" spans="3:3">
      <c r="C34" s="24" t="s">
        <v>2161</v>
      </c>
    </row>
    <row r="35" spans="3:3">
      <c r="C35" s="24" t="s">
        <v>1624</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5"/>
    </row>
    <row r="297" spans="3:3">
      <c r="C297" s="105"/>
    </row>
    <row r="298" spans="3:3">
      <c r="C298" s="105"/>
    </row>
    <row r="299" spans="3:3">
      <c r="C299" s="105"/>
    </row>
    <row r="300" spans="3:3">
      <c r="C300" s="105"/>
    </row>
    <row r="301" spans="3:3">
      <c r="C301" s="105"/>
    </row>
    <row r="302" spans="3:3">
      <c r="C302" s="105"/>
    </row>
    <row r="303" spans="3:3">
      <c r="C303" s="105"/>
    </row>
    <row r="304" spans="3:3">
      <c r="C304" s="105"/>
    </row>
    <row r="305" spans="3:3">
      <c r="C305" s="105"/>
    </row>
    <row r="306" spans="3:3">
      <c r="C306" s="105"/>
    </row>
    <row r="307" spans="3:3">
      <c r="C307" s="10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2220</v>
      </c>
      <c r="B1" s="100" t="s">
        <v>2219</v>
      </c>
      <c r="C1" s="100" t="s">
        <v>2218</v>
      </c>
      <c r="D1" s="100" t="s">
        <v>4</v>
      </c>
      <c r="E1" s="100" t="s">
        <v>7</v>
      </c>
      <c r="F1" s="100" t="s">
        <v>1480</v>
      </c>
      <c r="G1" s="100" t="s">
        <v>2217</v>
      </c>
      <c r="H1" s="100" t="s">
        <v>5</v>
      </c>
      <c r="I1" s="100" t="s">
        <v>6</v>
      </c>
    </row>
    <row r="2" spans="1:9">
      <c r="A2">
        <v>0</v>
      </c>
      <c r="B2" t="s">
        <v>2363</v>
      </c>
      <c r="C2" t="s">
        <v>2364</v>
      </c>
      <c r="D2" t="s">
        <v>2365</v>
      </c>
      <c r="E2" t="s">
        <v>2214</v>
      </c>
      <c r="H2">
        <v>1</v>
      </c>
      <c r="I2">
        <v>1</v>
      </c>
    </row>
    <row r="3" spans="1:9">
      <c r="A3">
        <v>1</v>
      </c>
      <c r="B3" t="s">
        <v>2366</v>
      </c>
      <c r="C3" t="s">
        <v>1630</v>
      </c>
      <c r="D3" t="s">
        <v>1631</v>
      </c>
      <c r="E3" t="s">
        <v>275</v>
      </c>
      <c r="F3" t="s">
        <v>2367</v>
      </c>
      <c r="G3" t="s">
        <v>2368</v>
      </c>
      <c r="H3">
        <v>1</v>
      </c>
      <c r="I3">
        <v>1</v>
      </c>
    </row>
    <row r="4" spans="1:9">
      <c r="A4">
        <v>2</v>
      </c>
      <c r="B4" t="s">
        <v>2369</v>
      </c>
      <c r="C4" t="s">
        <v>1632</v>
      </c>
      <c r="D4" t="s">
        <v>1633</v>
      </c>
      <c r="E4" t="s">
        <v>275</v>
      </c>
      <c r="F4" t="s">
        <v>2370</v>
      </c>
      <c r="G4" t="s">
        <v>2371</v>
      </c>
      <c r="H4">
        <v>1</v>
      </c>
      <c r="I4">
        <v>1</v>
      </c>
    </row>
    <row r="5" spans="1:9">
      <c r="A5">
        <v>3</v>
      </c>
      <c r="B5" t="s">
        <v>2372</v>
      </c>
      <c r="C5" t="s">
        <v>2373</v>
      </c>
      <c r="D5" t="s">
        <v>2374</v>
      </c>
      <c r="E5" t="s">
        <v>2209</v>
      </c>
      <c r="F5" t="s">
        <v>2375</v>
      </c>
      <c r="G5" t="s">
        <v>2376</v>
      </c>
      <c r="H5">
        <v>1</v>
      </c>
      <c r="I5">
        <v>1</v>
      </c>
    </row>
    <row r="6" spans="1:9">
      <c r="A6">
        <v>4</v>
      </c>
      <c r="B6" t="s">
        <v>2377</v>
      </c>
      <c r="C6" t="s">
        <v>1634</v>
      </c>
      <c r="D6" t="s">
        <v>1635</v>
      </c>
      <c r="E6" t="s">
        <v>275</v>
      </c>
      <c r="F6" t="s">
        <v>2378</v>
      </c>
      <c r="G6" t="s">
        <v>2379</v>
      </c>
      <c r="H6">
        <v>1</v>
      </c>
      <c r="I6">
        <v>1</v>
      </c>
    </row>
    <row r="7" spans="1:9">
      <c r="A7">
        <v>5</v>
      </c>
      <c r="B7" t="s">
        <v>2380</v>
      </c>
      <c r="C7" t="s">
        <v>1636</v>
      </c>
      <c r="D7" t="s">
        <v>1637</v>
      </c>
      <c r="E7" t="s">
        <v>275</v>
      </c>
      <c r="F7" t="s">
        <v>2381</v>
      </c>
      <c r="G7" t="s">
        <v>2382</v>
      </c>
      <c r="H7">
        <v>1</v>
      </c>
      <c r="I7">
        <v>1</v>
      </c>
    </row>
    <row r="8" spans="1:9">
      <c r="A8">
        <v>6</v>
      </c>
      <c r="B8" t="s">
        <v>2383</v>
      </c>
      <c r="C8" t="s">
        <v>1638</v>
      </c>
      <c r="D8" t="s">
        <v>1639</v>
      </c>
      <c r="E8" t="s">
        <v>275</v>
      </c>
      <c r="F8" t="s">
        <v>2384</v>
      </c>
      <c r="G8" t="s">
        <v>2385</v>
      </c>
      <c r="H8">
        <v>1</v>
      </c>
      <c r="I8">
        <v>1</v>
      </c>
    </row>
    <row r="9" spans="1:9">
      <c r="A9">
        <v>7</v>
      </c>
      <c r="B9" t="s">
        <v>2386</v>
      </c>
      <c r="C9" t="s">
        <v>1640</v>
      </c>
      <c r="D9" t="s">
        <v>1641</v>
      </c>
      <c r="E9" t="s">
        <v>1617</v>
      </c>
      <c r="F9" t="s">
        <v>2387</v>
      </c>
      <c r="H9">
        <v>0</v>
      </c>
      <c r="I9">
        <v>1</v>
      </c>
    </row>
    <row r="10" spans="1:9">
      <c r="A10">
        <v>8</v>
      </c>
      <c r="B10" t="s">
        <v>2388</v>
      </c>
      <c r="C10" t="s">
        <v>1642</v>
      </c>
      <c r="D10" t="s">
        <v>1643</v>
      </c>
      <c r="E10" t="s">
        <v>1617</v>
      </c>
      <c r="F10" t="s">
        <v>2387</v>
      </c>
      <c r="H10">
        <v>0</v>
      </c>
      <c r="I10">
        <v>1</v>
      </c>
    </row>
    <row r="11" spans="1:9">
      <c r="A11">
        <v>9</v>
      </c>
      <c r="B11" t="s">
        <v>2389</v>
      </c>
      <c r="C11" t="s">
        <v>1644</v>
      </c>
      <c r="D11" t="s">
        <v>1645</v>
      </c>
      <c r="E11" t="s">
        <v>1617</v>
      </c>
      <c r="F11" t="s">
        <v>2387</v>
      </c>
      <c r="H11">
        <v>0</v>
      </c>
      <c r="I11">
        <v>1</v>
      </c>
    </row>
    <row r="12" spans="1:9">
      <c r="A12">
        <v>10</v>
      </c>
      <c r="B12" t="s">
        <v>2390</v>
      </c>
      <c r="C12" t="s">
        <v>1646</v>
      </c>
      <c r="D12" t="s">
        <v>1647</v>
      </c>
      <c r="E12" t="s">
        <v>1617</v>
      </c>
      <c r="F12" t="s">
        <v>2387</v>
      </c>
      <c r="H12">
        <v>0</v>
      </c>
      <c r="I12">
        <v>1</v>
      </c>
    </row>
    <row r="13" spans="1:9">
      <c r="A13">
        <v>11</v>
      </c>
      <c r="B13" t="s">
        <v>2391</v>
      </c>
      <c r="C13" t="s">
        <v>1648</v>
      </c>
      <c r="D13" t="s">
        <v>1649</v>
      </c>
      <c r="E13" t="s">
        <v>1617</v>
      </c>
      <c r="F13" t="s">
        <v>2387</v>
      </c>
      <c r="H13">
        <v>0</v>
      </c>
      <c r="I13">
        <v>1</v>
      </c>
    </row>
    <row r="14" spans="1:9">
      <c r="A14">
        <v>12</v>
      </c>
      <c r="B14" t="s">
        <v>2392</v>
      </c>
      <c r="C14" t="s">
        <v>1650</v>
      </c>
      <c r="D14" t="s">
        <v>1651</v>
      </c>
      <c r="E14" t="s">
        <v>1617</v>
      </c>
      <c r="F14" t="s">
        <v>2387</v>
      </c>
      <c r="H14">
        <v>0</v>
      </c>
      <c r="I14">
        <v>1</v>
      </c>
    </row>
    <row r="15" spans="1:9">
      <c r="A15">
        <v>13</v>
      </c>
      <c r="B15" t="s">
        <v>2393</v>
      </c>
      <c r="C15" t="s">
        <v>1652</v>
      </c>
      <c r="D15" t="s">
        <v>1653</v>
      </c>
      <c r="E15" t="s">
        <v>1617</v>
      </c>
      <c r="F15" t="s">
        <v>2387</v>
      </c>
      <c r="H15">
        <v>0</v>
      </c>
      <c r="I15">
        <v>1</v>
      </c>
    </row>
    <row r="16" spans="1:9">
      <c r="A16">
        <v>14</v>
      </c>
      <c r="B16" t="s">
        <v>2394</v>
      </c>
      <c r="C16" t="s">
        <v>1654</v>
      </c>
      <c r="D16" t="s">
        <v>1655</v>
      </c>
      <c r="E16" t="s">
        <v>1617</v>
      </c>
      <c r="F16" t="s">
        <v>2387</v>
      </c>
      <c r="H16">
        <v>0</v>
      </c>
      <c r="I16">
        <v>1</v>
      </c>
    </row>
    <row r="17" spans="1:9">
      <c r="A17">
        <v>15</v>
      </c>
      <c r="B17" t="s">
        <v>2395</v>
      </c>
      <c r="C17" t="s">
        <v>1656</v>
      </c>
      <c r="D17" t="s">
        <v>1657</v>
      </c>
      <c r="E17" t="s">
        <v>1617</v>
      </c>
      <c r="F17" t="s">
        <v>2387</v>
      </c>
      <c r="H17">
        <v>0</v>
      </c>
      <c r="I17">
        <v>1</v>
      </c>
    </row>
    <row r="18" spans="1:9">
      <c r="A18">
        <v>16</v>
      </c>
      <c r="B18" t="s">
        <v>2396</v>
      </c>
      <c r="C18" t="s">
        <v>1658</v>
      </c>
      <c r="D18" t="s">
        <v>1659</v>
      </c>
      <c r="E18" t="s">
        <v>1617</v>
      </c>
      <c r="F18" t="s">
        <v>2387</v>
      </c>
      <c r="H18">
        <v>0</v>
      </c>
      <c r="I18">
        <v>1</v>
      </c>
    </row>
    <row r="27" spans="1:9">
      <c r="C27" s="9" t="s">
        <v>3</v>
      </c>
      <c r="D27" s="1" t="s">
        <v>4</v>
      </c>
      <c r="E27" s="3" t="s">
        <v>5</v>
      </c>
      <c r="F27" s="3" t="s">
        <v>6</v>
      </c>
      <c r="G27" s="3" t="s">
        <v>7</v>
      </c>
      <c r="H27" s="107" t="s">
        <v>1621</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8"/>
  <sheetViews>
    <sheetView zoomScaleNormal="100" workbookViewId="0">
      <selection activeCell="G8" sqref="G8"/>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1623</v>
      </c>
      <c r="L1" s="23" t="s">
        <v>20</v>
      </c>
    </row>
    <row r="2" spans="1:12" ht="19.899999999999999" customHeight="1">
      <c r="J2" s="24" t="s">
        <v>19</v>
      </c>
      <c r="L2" s="24" t="s">
        <v>1622</v>
      </c>
    </row>
    <row r="3" spans="1:12" ht="19.899999999999999" customHeight="1" thickBot="1">
      <c r="J3" s="24" t="str">
        <f>J1</f>
        <v>//===================================================</v>
      </c>
      <c r="L3" s="24" t="str">
        <f>L1</f>
        <v>// -------------------------------------------------------------------------------</v>
      </c>
    </row>
    <row r="4" spans="1:12" ht="19.899999999999999" customHeight="1">
      <c r="A4" s="5" t="s">
        <v>11</v>
      </c>
      <c r="B4" s="45" t="s">
        <v>2403</v>
      </c>
      <c r="J4" s="16" t="str">
        <f>CONCATENATE("Logical: ",B4)</f>
        <v>Logical: ClinicalStage</v>
      </c>
    </row>
    <row r="5" spans="1:12" ht="19.899999999999999" customHeight="1">
      <c r="A5" s="14" t="s">
        <v>16</v>
      </c>
      <c r="B5" s="46" t="s">
        <v>2403</v>
      </c>
      <c r="J5" s="16" t="str">
        <f>CONCATENATE("Id: ",B5)</f>
        <v>Id: ClinicalStage</v>
      </c>
    </row>
    <row r="6" spans="1:12" ht="19.899999999999999" customHeight="1">
      <c r="A6" s="14" t="s">
        <v>10</v>
      </c>
      <c r="B6" s="47" t="s">
        <v>2404</v>
      </c>
      <c r="J6" s="17" t="str">
        <f>CONCATENATE("Title: ##34#",B6,"##34#")</f>
        <v>Title: ##34#Clinical Stage##34#</v>
      </c>
    </row>
    <row r="7" spans="1:12" ht="19.899999999999999" customHeight="1">
      <c r="A7" s="26" t="s">
        <v>2</v>
      </c>
      <c r="B7" s="106" t="s">
        <v>2404</v>
      </c>
      <c r="C7" s="9" t="s">
        <v>3</v>
      </c>
      <c r="D7" s="1" t="s">
        <v>4</v>
      </c>
      <c r="E7" s="3" t="s">
        <v>5</v>
      </c>
      <c r="F7" s="3" t="s">
        <v>6</v>
      </c>
      <c r="G7" s="3" t="s">
        <v>7</v>
      </c>
      <c r="H7" s="107" t="s">
        <v>1621</v>
      </c>
      <c r="J7" s="17" t="str">
        <f>CONCATENATE("Description: "," ##334#",B7,"##334#",)</f>
        <v>Description:  ##334#Clinical Stage##334#</v>
      </c>
    </row>
    <row r="8" spans="1:12" ht="20.25" customHeight="1">
      <c r="A8" s="100">
        <v>0</v>
      </c>
      <c r="B8" s="57" t="s">
        <v>2406</v>
      </c>
      <c r="C8" s="11" t="s">
        <v>2407</v>
      </c>
      <c r="D8" s="11" t="s">
        <v>2365</v>
      </c>
      <c r="E8" s="11">
        <v>1</v>
      </c>
      <c r="F8" s="11">
        <v>1</v>
      </c>
      <c r="G8" t="s">
        <v>2544</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9.899999999999999" customHeight="1">
      <c r="A9" s="100">
        <v>1</v>
      </c>
      <c r="B9" s="57" t="s">
        <v>1630</v>
      </c>
      <c r="C9" s="11" t="s">
        <v>1630</v>
      </c>
      <c r="D9" s="11" t="s">
        <v>1631</v>
      </c>
      <c r="E9" s="11">
        <v>1</v>
      </c>
      <c r="F9" s="11">
        <v>1</v>
      </c>
      <c r="G9" s="57" t="s">
        <v>2241</v>
      </c>
      <c r="H9" s="12" t="s">
        <v>2397</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9.899999999999999" customHeight="1">
      <c r="A10" s="100">
        <v>2</v>
      </c>
      <c r="B10" s="57" t="s">
        <v>1632</v>
      </c>
      <c r="C10" s="11" t="s">
        <v>1632</v>
      </c>
      <c r="D10" s="11" t="s">
        <v>1633</v>
      </c>
      <c r="E10" s="11">
        <v>1</v>
      </c>
      <c r="F10" s="11">
        <v>1</v>
      </c>
      <c r="G10" s="57" t="s">
        <v>2241</v>
      </c>
      <c r="H10" s="12" t="s">
        <v>2398</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19.899999999999999" customHeight="1">
      <c r="A11" s="100">
        <v>3</v>
      </c>
      <c r="B11" s="150" t="s">
        <v>2472</v>
      </c>
      <c r="C11" s="11" t="s">
        <v>2373</v>
      </c>
      <c r="D11" s="11" t="s">
        <v>2374</v>
      </c>
      <c r="E11" s="11">
        <v>1</v>
      </c>
      <c r="F11" s="11">
        <v>1</v>
      </c>
      <c r="G11" s="57" t="s">
        <v>2241</v>
      </c>
      <c r="H11" s="12" t="s">
        <v>2399</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19.899999999999999" customHeight="1">
      <c r="A12" s="100">
        <v>4</v>
      </c>
      <c r="B12" s="57" t="s">
        <v>1634</v>
      </c>
      <c r="C12" s="11" t="s">
        <v>1634</v>
      </c>
      <c r="D12" s="11" t="s">
        <v>1635</v>
      </c>
      <c r="E12" s="11">
        <v>1</v>
      </c>
      <c r="F12" s="11">
        <v>1</v>
      </c>
      <c r="G12" s="57" t="s">
        <v>2241</v>
      </c>
      <c r="H12" s="12" t="s">
        <v>2400</v>
      </c>
      <c r="I12" s="25"/>
      <c r="J12" s="12" t="str">
        <f t="shared" si="0"/>
        <v>* cM 1..1 CodeableConcept ##34#cM##34# ##334#Specifies the clinical M##334#</v>
      </c>
      <c r="L12" s="12" t="str">
        <f t="shared" si="1"/>
        <v>* cM ^comment = ##334#M0; M1;M0 -  4149726
M1 - 4205430##334#</v>
      </c>
    </row>
    <row r="13" spans="1:12" ht="19.899999999999999" customHeight="1">
      <c r="A13" s="100">
        <v>5</v>
      </c>
      <c r="B13" s="57" t="s">
        <v>2405</v>
      </c>
      <c r="C13" s="11" t="s">
        <v>1636</v>
      </c>
      <c r="D13" s="12" t="s">
        <v>1637</v>
      </c>
      <c r="E13" s="11">
        <v>1</v>
      </c>
      <c r="F13" s="11">
        <v>1</v>
      </c>
      <c r="G13" s="57" t="s">
        <v>2241</v>
      </c>
      <c r="H13" s="12" t="s">
        <v>2401</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19.899999999999999" customHeight="1">
      <c r="A14" s="100">
        <v>6</v>
      </c>
      <c r="B14" s="57" t="s">
        <v>1664</v>
      </c>
      <c r="C14" s="11" t="s">
        <v>1638</v>
      </c>
      <c r="D14" s="12" t="s">
        <v>1639</v>
      </c>
      <c r="E14" s="11">
        <v>1</v>
      </c>
      <c r="F14" s="11">
        <v>1</v>
      </c>
      <c r="G14" s="57" t="s">
        <v>2241</v>
      </c>
      <c r="H14" s="12" t="s">
        <v>2402</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00">
        <v>7</v>
      </c>
      <c r="B15" s="57" t="s">
        <v>1665</v>
      </c>
      <c r="C15" s="11" t="s">
        <v>1640</v>
      </c>
      <c r="D15" s="12" t="s">
        <v>1641</v>
      </c>
      <c r="E15" s="11">
        <v>0</v>
      </c>
      <c r="F15" s="11">
        <v>1</v>
      </c>
      <c r="G15" s="57" t="s">
        <v>157</v>
      </c>
      <c r="H15" s="12" t="s">
        <v>2387</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00">
        <v>8</v>
      </c>
      <c r="B16" s="57" t="s">
        <v>1666</v>
      </c>
      <c r="C16" s="11" t="s">
        <v>1642</v>
      </c>
      <c r="D16" s="12" t="s">
        <v>1643</v>
      </c>
      <c r="E16" s="11">
        <v>0</v>
      </c>
      <c r="F16" s="11">
        <v>1</v>
      </c>
      <c r="G16" s="57" t="s">
        <v>157</v>
      </c>
      <c r="H16" s="12" t="s">
        <v>2387</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00">
        <v>9</v>
      </c>
      <c r="B17" s="57" t="s">
        <v>1644</v>
      </c>
      <c r="C17" s="11" t="s">
        <v>1644</v>
      </c>
      <c r="D17" s="12" t="s">
        <v>1645</v>
      </c>
      <c r="E17" s="11">
        <v>0</v>
      </c>
      <c r="F17" s="11">
        <v>1</v>
      </c>
      <c r="G17" s="57" t="s">
        <v>157</v>
      </c>
      <c r="H17" s="12" t="s">
        <v>2387</v>
      </c>
      <c r="I17" s="25"/>
      <c r="J17" s="12" t="str">
        <f t="shared" si="0"/>
        <v>* lung 0..1 boolean ##34#lung##34# ##334#Describes if site of metastasic disease  is lung##334#</v>
      </c>
      <c r="L17" s="12" t="str">
        <f t="shared" si="1"/>
        <v>* lung ^comment = ##334#True; False##334#</v>
      </c>
    </row>
    <row r="18" spans="1:13" ht="19.899999999999999" customHeight="1">
      <c r="A18" s="100">
        <v>10</v>
      </c>
      <c r="B18" s="57" t="s">
        <v>1646</v>
      </c>
      <c r="C18" s="11" t="s">
        <v>1646</v>
      </c>
      <c r="D18" s="11" t="s">
        <v>1647</v>
      </c>
      <c r="E18" s="11">
        <v>0</v>
      </c>
      <c r="F18" s="11">
        <v>1</v>
      </c>
      <c r="G18" s="57" t="s">
        <v>157</v>
      </c>
      <c r="H18" s="12" t="s">
        <v>2387</v>
      </c>
      <c r="J18" s="12" t="str">
        <f t="shared" si="0"/>
        <v>* bone 0..1 boolean ##34#bone##34# ##334#Describes if site of metastasic disease  is bone##334#</v>
      </c>
      <c r="L18" s="12" t="str">
        <f t="shared" si="1"/>
        <v>* bone ^comment = ##334#True; False##334#</v>
      </c>
    </row>
    <row r="19" spans="1:13" ht="19.899999999999999" customHeight="1">
      <c r="A19" s="100">
        <v>11</v>
      </c>
      <c r="B19" s="57" t="s">
        <v>1648</v>
      </c>
      <c r="C19" s="11" t="s">
        <v>1648</v>
      </c>
      <c r="D19" s="11" t="s">
        <v>1649</v>
      </c>
      <c r="E19" s="11">
        <v>0</v>
      </c>
      <c r="F19" s="11">
        <v>1</v>
      </c>
      <c r="G19" s="57" t="s">
        <v>157</v>
      </c>
      <c r="H19" s="12" t="s">
        <v>2387</v>
      </c>
      <c r="J19" s="12" t="str">
        <f t="shared" si="0"/>
        <v>* liver 0..1 boolean ##34#liver##34# ##334#Describes if site of metastasic disease  is liver##334#</v>
      </c>
      <c r="L19" s="12" t="str">
        <f t="shared" si="1"/>
        <v>* liver ^comment = ##334#True; False##334#</v>
      </c>
    </row>
    <row r="20" spans="1:13" ht="19.899999999999999" customHeight="1">
      <c r="A20" s="100">
        <v>12</v>
      </c>
      <c r="B20" s="57" t="s">
        <v>1650</v>
      </c>
      <c r="C20" s="11" t="s">
        <v>1650</v>
      </c>
      <c r="D20" s="11" t="s">
        <v>1651</v>
      </c>
      <c r="E20" s="11">
        <v>0</v>
      </c>
      <c r="F20" s="11">
        <v>1</v>
      </c>
      <c r="G20" s="57" t="s">
        <v>157</v>
      </c>
      <c r="H20" s="12" t="s">
        <v>2387</v>
      </c>
      <c r="J20" s="12" t="str">
        <f t="shared" si="0"/>
        <v>* pleura 0..1 boolean ##34#pleura##34# ##334#Describes if site of metastasic disease  is pleura##334#</v>
      </c>
      <c r="L20" s="12" t="str">
        <f t="shared" si="1"/>
        <v>* pleura ^comment = ##334#True; False##334#</v>
      </c>
    </row>
    <row r="21" spans="1:13" ht="19.899999999999999" customHeight="1">
      <c r="A21" s="100">
        <v>13</v>
      </c>
      <c r="B21" s="57" t="s">
        <v>1652</v>
      </c>
      <c r="C21" s="11" t="s">
        <v>1652</v>
      </c>
      <c r="D21" s="11" t="s">
        <v>1653</v>
      </c>
      <c r="E21" s="11">
        <v>0</v>
      </c>
      <c r="F21" s="11">
        <v>1</v>
      </c>
      <c r="G21" s="57" t="s">
        <v>157</v>
      </c>
      <c r="H21" s="12" t="s">
        <v>2387</v>
      </c>
      <c r="J21" s="12" t="str">
        <f t="shared" si="0"/>
        <v>* peritoneum 0..1 boolean ##34#peritoneum##34# ##334#Describes if site of metastasic disease  is peritoneum##334#</v>
      </c>
      <c r="L21" s="12" t="str">
        <f t="shared" si="1"/>
        <v>* peritoneum ^comment = ##334#True; False##334#</v>
      </c>
      <c r="M21"/>
    </row>
    <row r="22" spans="1:13" ht="19.899999999999999" customHeight="1">
      <c r="A22" s="100">
        <v>14</v>
      </c>
      <c r="B22" s="57" t="s">
        <v>1654</v>
      </c>
      <c r="C22" s="11" t="s">
        <v>1654</v>
      </c>
      <c r="D22" s="11" t="s">
        <v>1655</v>
      </c>
      <c r="E22" s="11">
        <v>0</v>
      </c>
      <c r="F22" s="11">
        <v>1</v>
      </c>
      <c r="G22" s="57" t="s">
        <v>157</v>
      </c>
      <c r="H22" s="12" t="s">
        <v>2387</v>
      </c>
      <c r="J22" s="12" t="str">
        <f t="shared" si="0"/>
        <v>* brain 0..1 boolean ##34#brain##34# ##334#Describes if site of metastasic disease  is brain##334#</v>
      </c>
      <c r="L22" s="12" t="str">
        <f t="shared" si="1"/>
        <v>* brain ^comment = ##334#True; False##334#</v>
      </c>
      <c r="M22"/>
    </row>
    <row r="23" spans="1:13" ht="19.899999999999999" customHeight="1">
      <c r="A23" s="100">
        <v>15</v>
      </c>
      <c r="B23" s="57" t="s">
        <v>1667</v>
      </c>
      <c r="C23" s="11" t="s">
        <v>1656</v>
      </c>
      <c r="D23" s="12" t="s">
        <v>1657</v>
      </c>
      <c r="E23" s="11">
        <v>0</v>
      </c>
      <c r="F23" s="11">
        <v>1</v>
      </c>
      <c r="G23" s="57" t="s">
        <v>157</v>
      </c>
      <c r="H23" s="12" t="s">
        <v>2387</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00">
        <v>16</v>
      </c>
      <c r="B24" s="57" t="s">
        <v>1658</v>
      </c>
      <c r="C24" s="11" t="s">
        <v>1658</v>
      </c>
      <c r="D24" s="12" t="s">
        <v>1659</v>
      </c>
      <c r="E24" s="11">
        <v>0</v>
      </c>
      <c r="F24" s="11">
        <v>1</v>
      </c>
      <c r="G24" s="57" t="s">
        <v>157</v>
      </c>
      <c r="H24" s="12" t="s">
        <v>2387</v>
      </c>
      <c r="J24" s="12" t="str">
        <f t="shared" si="0"/>
        <v>* unknown 0..1 boolean ##34#unknown##34# ##334#Describes if site of metastasic disease  is unknown##334#</v>
      </c>
      <c r="L24" s="12" t="str">
        <f t="shared" si="1"/>
        <v>* unknown ^comment = ##334#True; False##334#</v>
      </c>
      <c r="M24"/>
    </row>
    <row r="25" spans="1:13" ht="19.899999999999999" customHeight="1">
      <c r="A25" s="148">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c r="J28" s="12" t="str">
        <f t="shared" si="0"/>
        <v>*  ..  ##34###34# ##334###334#</v>
      </c>
      <c r="L28" s="12" t="str">
        <f t="shared" si="1"/>
        <v>*  ..  ##34###34# ##334###334#</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1669</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1670</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1620</v>
      </c>
      <c r="E9" s="27" t="str">
        <f>CONCATENATE("* -&gt; ##34#",C9,"##34#")</f>
        <v>* -&gt; ##34#TBD##34#</v>
      </c>
      <c r="H9" s="7"/>
      <c r="I9" s="7"/>
      <c r="J9" s="7"/>
      <c r="K9" s="7"/>
      <c r="L9" s="7"/>
      <c r="M9" s="7"/>
      <c r="N9" s="7"/>
      <c r="O9" s="7"/>
    </row>
    <row r="10" spans="1:15">
      <c r="A10" s="11"/>
      <c r="B10" s="11" t="str">
        <f>ClinicalStage!B8</f>
        <v>episodeEvent</v>
      </c>
      <c r="C10" s="11" t="s">
        <v>1620</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1620</v>
      </c>
      <c r="E11" s="12" t="str">
        <f t="shared" si="0"/>
        <v>* cT -&gt; ##34#TBD##34#</v>
      </c>
      <c r="H11" s="7"/>
      <c r="I11" s="7"/>
      <c r="J11" s="7"/>
      <c r="K11" s="7"/>
      <c r="L11" s="7"/>
      <c r="M11" s="7"/>
      <c r="N11" s="7"/>
      <c r="O11" s="7"/>
    </row>
    <row r="12" spans="1:15">
      <c r="A12" s="11"/>
      <c r="B12" s="11" t="str">
        <f>ClinicalStage!B10</f>
        <v>cN</v>
      </c>
      <c r="C12" s="11" t="s">
        <v>1620</v>
      </c>
      <c r="E12" s="12" t="str">
        <f t="shared" si="0"/>
        <v>* cN -&gt; ##34#TBD##34#</v>
      </c>
      <c r="H12" s="7"/>
      <c r="I12" s="7"/>
      <c r="J12" s="7"/>
      <c r="K12" s="7"/>
      <c r="L12" s="7"/>
      <c r="M12" s="7"/>
      <c r="N12" s="7"/>
      <c r="O12" s="7"/>
    </row>
    <row r="13" spans="1:15">
      <c r="A13" s="11"/>
      <c r="B13" s="11" t="str">
        <f>ClinicalStage!B11</f>
        <v>radiologicalExtraNodalExtension</v>
      </c>
      <c r="C13" s="11" t="s">
        <v>1620</v>
      </c>
      <c r="E13" s="12" t="str">
        <f t="shared" si="0"/>
        <v>* radiologicalExtraNodalExtension -&gt; ##34#TBD##34#</v>
      </c>
      <c r="H13" s="7"/>
      <c r="I13" s="7"/>
      <c r="J13" s="7"/>
      <c r="K13" s="7"/>
      <c r="L13" s="7"/>
      <c r="M13" s="7"/>
      <c r="N13" s="7"/>
      <c r="O13" s="7"/>
    </row>
    <row r="14" spans="1:15">
      <c r="A14" s="11"/>
      <c r="B14" s="11" t="str">
        <f>ClinicalStage!B12</f>
        <v>cM</v>
      </c>
      <c r="C14" s="11" t="s">
        <v>1620</v>
      </c>
      <c r="E14" s="12" t="str">
        <f t="shared" si="0"/>
        <v>* cM -&gt; ##34#TBD##34#</v>
      </c>
      <c r="H14" s="7"/>
      <c r="I14" s="7"/>
      <c r="J14" s="7"/>
      <c r="K14" s="7"/>
      <c r="L14" s="7"/>
      <c r="M14" s="7"/>
      <c r="N14" s="7"/>
      <c r="O14" s="7"/>
    </row>
    <row r="15" spans="1:15">
      <c r="A15" s="11"/>
      <c r="B15" s="11" t="str">
        <f>ClinicalStage!B13</f>
        <v>clinicalStaging</v>
      </c>
      <c r="C15" s="11" t="s">
        <v>1620</v>
      </c>
      <c r="E15" s="12" t="str">
        <f t="shared" si="0"/>
        <v>* clinicalStaging -&gt; ##34#TBD##34#</v>
      </c>
      <c r="H15" s="7"/>
      <c r="I15" s="7"/>
      <c r="J15" s="7"/>
      <c r="K15" s="7"/>
      <c r="L15" s="7"/>
      <c r="M15" s="7"/>
      <c r="N15" s="7"/>
      <c r="O15" s="7"/>
    </row>
    <row r="16" spans="1:15">
      <c r="A16" s="11"/>
      <c r="B16" s="11" t="str">
        <f>ClinicalStage!B14</f>
        <v>ajccEdition</v>
      </c>
      <c r="C16" s="11" t="s">
        <v>1620</v>
      </c>
      <c r="E16" s="12" t="str">
        <f t="shared" si="0"/>
        <v>* ajccEdition -&gt; ##34#TBD##34#</v>
      </c>
      <c r="H16" s="7"/>
      <c r="I16" s="7"/>
      <c r="J16" s="7"/>
      <c r="K16" s="7"/>
      <c r="L16" s="7"/>
      <c r="M16" s="7"/>
      <c r="N16" s="7"/>
      <c r="O16" s="7"/>
    </row>
    <row r="17" spans="1:5">
      <c r="A17" s="11"/>
      <c r="B17" s="11" t="str">
        <f>ClinicalStage!B15</f>
        <v>softTissue</v>
      </c>
      <c r="C17" s="11" t="s">
        <v>1620</v>
      </c>
      <c r="E17" s="12" t="str">
        <f t="shared" si="0"/>
        <v>* softTissue -&gt; ##34#TBD##34#</v>
      </c>
    </row>
    <row r="18" spans="1:5">
      <c r="A18" s="11"/>
      <c r="B18" s="11" t="str">
        <f>ClinicalStage!B16</f>
        <v>distantLymphNode</v>
      </c>
      <c r="C18" s="11" t="s">
        <v>1620</v>
      </c>
      <c r="E18" s="12" t="str">
        <f t="shared" si="0"/>
        <v>* distantLymphNode -&gt; ##34#TBD##34#</v>
      </c>
    </row>
    <row r="19" spans="1:5">
      <c r="A19" s="11"/>
      <c r="B19" s="11" t="str">
        <f>ClinicalStage!B17</f>
        <v>lung</v>
      </c>
      <c r="C19" s="11" t="s">
        <v>1620</v>
      </c>
      <c r="E19" s="12" t="str">
        <f t="shared" si="0"/>
        <v>* lung -&gt; ##34#TBD##34#</v>
      </c>
    </row>
    <row r="20" spans="1:5">
      <c r="A20" s="11"/>
      <c r="B20" s="11" t="str">
        <f>ClinicalStage!B18</f>
        <v>bone</v>
      </c>
      <c r="C20" s="11" t="s">
        <v>1620</v>
      </c>
      <c r="E20" s="12" t="str">
        <f t="shared" si="0"/>
        <v>* bone -&gt; ##34#TBD##34#</v>
      </c>
    </row>
    <row r="21" spans="1:5">
      <c r="B21" s="11" t="str">
        <f>ClinicalStage!B19</f>
        <v>liver</v>
      </c>
      <c r="C21" s="11" t="s">
        <v>1620</v>
      </c>
      <c r="E21" s="12" t="str">
        <f t="shared" si="0"/>
        <v>* liver -&gt; ##34#TBD##34#</v>
      </c>
    </row>
    <row r="22" spans="1:5">
      <c r="B22" s="11" t="str">
        <f>ClinicalStage!B20</f>
        <v>pleura</v>
      </c>
      <c r="C22" s="11" t="s">
        <v>1620</v>
      </c>
      <c r="E22" s="12" t="str">
        <f t="shared" si="0"/>
        <v>* pleura -&gt; ##34#TBD##34#</v>
      </c>
    </row>
    <row r="23" spans="1:5">
      <c r="B23" s="11" t="str">
        <f>ClinicalStage!B21</f>
        <v>peritoneum</v>
      </c>
      <c r="C23" s="11" t="s">
        <v>1620</v>
      </c>
      <c r="E23" s="12" t="str">
        <f t="shared" si="0"/>
        <v>* peritoneum -&gt; ##34#TBD##34#</v>
      </c>
    </row>
    <row r="24" spans="1:5">
      <c r="B24" s="11" t="str">
        <f>ClinicalStage!B22</f>
        <v>brain</v>
      </c>
      <c r="C24" s="11" t="s">
        <v>1620</v>
      </c>
      <c r="E24" s="12" t="str">
        <f t="shared" si="0"/>
        <v>* brain -&gt; ##34#TBD##34#</v>
      </c>
    </row>
    <row r="25" spans="1:5">
      <c r="B25" s="11" t="str">
        <f>ClinicalStage!B23</f>
        <v>otherViscera</v>
      </c>
      <c r="C25" s="11" t="s">
        <v>1620</v>
      </c>
      <c r="E25" s="12" t="str">
        <f t="shared" si="0"/>
        <v>* otherViscera -&gt; ##34#TBD##34#</v>
      </c>
    </row>
    <row r="26" spans="1:5">
      <c r="B26" s="11" t="str">
        <f>ClinicalStage!B24</f>
        <v>unknown</v>
      </c>
      <c r="C26" s="11" t="s">
        <v>1620</v>
      </c>
      <c r="E26" s="12" t="str">
        <f t="shared" si="0"/>
        <v>* unknown -&gt; ##34#TBD##34#</v>
      </c>
    </row>
    <row r="27" spans="1:5">
      <c r="B27" s="11">
        <f>ClinicalStage!B25</f>
        <v>0</v>
      </c>
      <c r="C27" s="11" t="s">
        <v>1620</v>
      </c>
      <c r="E27" s="12" t="str">
        <f t="shared" si="0"/>
        <v>*  -&gt; ##34###34#</v>
      </c>
    </row>
    <row r="28" spans="1:5">
      <c r="B28" s="11">
        <f>ClinicalStage!B26</f>
        <v>0</v>
      </c>
      <c r="C28" s="11" t="s">
        <v>1620</v>
      </c>
      <c r="E28" s="12" t="str">
        <f t="shared" si="0"/>
        <v>*  -&gt; ##34###34#</v>
      </c>
    </row>
    <row r="29" spans="1:5">
      <c r="B29" s="11" t="e">
        <f>ClinicalStage!#REF!</f>
        <v>#REF!</v>
      </c>
      <c r="C29" s="11" t="s">
        <v>1620</v>
      </c>
      <c r="E29" s="12" t="e">
        <f t="shared" si="0"/>
        <v>#REF!</v>
      </c>
    </row>
    <row r="30" spans="1:5">
      <c r="B30" s="11" t="e">
        <f>ClinicalStage!#REF!</f>
        <v>#REF!</v>
      </c>
      <c r="C30" s="11" t="s">
        <v>1620</v>
      </c>
      <c r="E30" s="12" t="e">
        <f t="shared" si="0"/>
        <v>#REF!</v>
      </c>
    </row>
    <row r="31" spans="1:5">
      <c r="B31" s="11" t="e">
        <f>ClinicalStage!#REF!</f>
        <v>#REF!</v>
      </c>
      <c r="C31" s="11" t="s">
        <v>1620</v>
      </c>
      <c r="E31" s="12" t="e">
        <f t="shared" si="0"/>
        <v>#REF!</v>
      </c>
    </row>
    <row r="32" spans="1:5">
      <c r="B32" s="11" t="e">
        <f>ClinicalStage!#REF!</f>
        <v>#REF!</v>
      </c>
      <c r="C32" s="11" t="s">
        <v>1620</v>
      </c>
      <c r="E32" s="12" t="e">
        <f t="shared" si="0"/>
        <v>#REF!</v>
      </c>
    </row>
    <row r="33" spans="2:5">
      <c r="B33" s="11" t="e">
        <f>ClinicalStage!#REF!</f>
        <v>#REF!</v>
      </c>
      <c r="C33" s="11" t="s">
        <v>1620</v>
      </c>
      <c r="E33" s="12" t="e">
        <f t="shared" si="0"/>
        <v>#REF!</v>
      </c>
    </row>
    <row r="34" spans="2:5">
      <c r="B34" s="11" t="e">
        <f>ClinicalStage!#REF!</f>
        <v>#REF!</v>
      </c>
      <c r="C34" s="11" t="s">
        <v>1620</v>
      </c>
      <c r="E34" s="12" t="e">
        <f t="shared" si="0"/>
        <v>#REF!</v>
      </c>
    </row>
    <row r="35" spans="2:5">
      <c r="B35" s="11" t="e">
        <f>ClinicalStage!#REF!</f>
        <v>#REF!</v>
      </c>
      <c r="C35" s="11" t="s">
        <v>1620</v>
      </c>
      <c r="E35" s="12" t="e">
        <f t="shared" si="0"/>
        <v>#REF!</v>
      </c>
    </row>
    <row r="36" spans="2:5">
      <c r="B36" s="11" t="e">
        <f>ClinicalStage!#REF!</f>
        <v>#REF!</v>
      </c>
      <c r="C36" s="11" t="s">
        <v>1620</v>
      </c>
      <c r="E36" s="12" t="e">
        <f t="shared" si="0"/>
        <v>#REF!</v>
      </c>
    </row>
    <row r="37" spans="2:5">
      <c r="B37" s="11" t="e">
        <f>ClinicalStage!#REF!</f>
        <v>#REF!</v>
      </c>
      <c r="C37" s="11" t="s">
        <v>1620</v>
      </c>
      <c r="E37" s="12" t="e">
        <f t="shared" si="0"/>
        <v>#REF!</v>
      </c>
    </row>
    <row r="38" spans="2:5">
      <c r="B38" s="11" t="e">
        <f>ClinicalStage!#REF!</f>
        <v>#REF!</v>
      </c>
      <c r="C38" s="11" t="s">
        <v>1620</v>
      </c>
      <c r="E38" s="12" t="e">
        <f t="shared" si="0"/>
        <v>#REF!</v>
      </c>
    </row>
    <row r="39" spans="2:5">
      <c r="B39" s="11" t="e">
        <f>ClinicalStage!#REF!</f>
        <v>#REF!</v>
      </c>
      <c r="C39" s="11" t="s">
        <v>1620</v>
      </c>
      <c r="E39" s="12" t="e">
        <f t="shared" si="0"/>
        <v>#REF!</v>
      </c>
    </row>
    <row r="40" spans="2:5">
      <c r="B40" s="11" t="e">
        <f>ClinicalStage!#REF!</f>
        <v>#REF!</v>
      </c>
      <c r="C40" s="11" t="s">
        <v>1620</v>
      </c>
      <c r="E40" s="12" t="e">
        <f t="shared" si="0"/>
        <v>#REF!</v>
      </c>
    </row>
    <row r="41" spans="2:5">
      <c r="B41" s="11" t="e">
        <f>ClinicalStage!#REF!</f>
        <v>#REF!</v>
      </c>
      <c r="C41" s="11" t="s">
        <v>1620</v>
      </c>
      <c r="E41" s="12" t="e">
        <f t="shared" si="0"/>
        <v>#REF!</v>
      </c>
    </row>
    <row r="42" spans="2:5">
      <c r="B42" s="11" t="e">
        <f>ClinicalStage!#REF!</f>
        <v>#REF!</v>
      </c>
      <c r="C42" s="11" t="s">
        <v>1620</v>
      </c>
      <c r="E42" s="12" t="e">
        <f t="shared" si="0"/>
        <v>#REF!</v>
      </c>
    </row>
    <row r="43" spans="2:5">
      <c r="B43" s="11" t="e">
        <f>ClinicalStage!#REF!</f>
        <v>#REF!</v>
      </c>
      <c r="C43" s="11" t="s">
        <v>1620</v>
      </c>
      <c r="E43" s="12" t="e">
        <f t="shared" si="0"/>
        <v>#REF!</v>
      </c>
    </row>
    <row r="44" spans="2:5">
      <c r="B44" s="11" t="e">
        <f>ClinicalStage!#REF!</f>
        <v>#REF!</v>
      </c>
      <c r="C44" s="11" t="s">
        <v>1620</v>
      </c>
      <c r="E44" s="12" t="e">
        <f t="shared" si="0"/>
        <v>#REF!</v>
      </c>
    </row>
    <row r="45" spans="2:5">
      <c r="B45" s="11" t="e">
        <f>ClinicalStage!#REF!</f>
        <v>#REF!</v>
      </c>
      <c r="C45" s="11" t="s">
        <v>1620</v>
      </c>
      <c r="E45" s="12" t="e">
        <f t="shared" si="0"/>
        <v>#REF!</v>
      </c>
    </row>
    <row r="46" spans="2:5">
      <c r="B46" s="11" t="e">
        <f>ClinicalStage!#REF!</f>
        <v>#REF!</v>
      </c>
      <c r="C46" s="11" t="s">
        <v>1620</v>
      </c>
      <c r="E46" s="12" t="e">
        <f t="shared" si="0"/>
        <v>#REF!</v>
      </c>
    </row>
    <row r="47" spans="2:5">
      <c r="B47" s="11" t="e">
        <f>ClinicalStage!#REF!</f>
        <v>#REF!</v>
      </c>
      <c r="C47" s="11" t="s">
        <v>1620</v>
      </c>
      <c r="E47" s="12" t="e">
        <f t="shared" si="0"/>
        <v>#REF!</v>
      </c>
    </row>
    <row r="48" spans="2:5">
      <c r="B48" s="11" t="e">
        <f>ClinicalStage!#REF!</f>
        <v>#REF!</v>
      </c>
      <c r="C48" s="11" t="s">
        <v>1620</v>
      </c>
      <c r="E48" s="12" t="e">
        <f t="shared" si="0"/>
        <v>#REF!</v>
      </c>
    </row>
    <row r="49" spans="2:5">
      <c r="B49" s="11" t="e">
        <f>ClinicalStage!#REF!</f>
        <v>#REF!</v>
      </c>
      <c r="C49" s="11" t="s">
        <v>1620</v>
      </c>
      <c r="E49" s="12" t="e">
        <f t="shared" si="0"/>
        <v>#REF!</v>
      </c>
    </row>
    <row r="50" spans="2:5">
      <c r="B50" s="11" t="e">
        <f>ClinicalStage!#REF!</f>
        <v>#REF!</v>
      </c>
      <c r="C50" s="11" t="s">
        <v>1620</v>
      </c>
      <c r="E50" s="12" t="e">
        <f t="shared" si="0"/>
        <v>#REF!</v>
      </c>
    </row>
    <row r="51" spans="2:5">
      <c r="B51" s="11" t="e">
        <f>ClinicalStage!#REF!</f>
        <v>#REF!</v>
      </c>
      <c r="C51" s="11" t="s">
        <v>1620</v>
      </c>
      <c r="E51" s="12" t="e">
        <f t="shared" si="0"/>
        <v>#REF!</v>
      </c>
    </row>
    <row r="52" spans="2:5">
      <c r="B52" s="11" t="e">
        <f>ClinicalStage!#REF!</f>
        <v>#REF!</v>
      </c>
      <c r="C52" s="11" t="s">
        <v>1620</v>
      </c>
      <c r="E52" s="12" t="e">
        <f t="shared" si="0"/>
        <v>#REF!</v>
      </c>
    </row>
    <row r="53" spans="2:5">
      <c r="B53" s="11" t="e">
        <f>ClinicalStage!#REF!</f>
        <v>#REF!</v>
      </c>
      <c r="C53" s="11" t="s">
        <v>1620</v>
      </c>
      <c r="E53" s="12" t="e">
        <f t="shared" si="0"/>
        <v>#REF!</v>
      </c>
    </row>
    <row r="54" spans="2:5">
      <c r="B54" s="11" t="e">
        <f>ClinicalStage!#REF!</f>
        <v>#REF!</v>
      </c>
      <c r="C54" s="11" t="s">
        <v>1620</v>
      </c>
      <c r="E54" s="12" t="e">
        <f t="shared" si="0"/>
        <v>#REF!</v>
      </c>
    </row>
    <row r="55" spans="2:5">
      <c r="B55" s="11" t="e">
        <f>ClinicalStage!#REF!</f>
        <v>#REF!</v>
      </c>
      <c r="C55" s="11" t="s">
        <v>1620</v>
      </c>
      <c r="E55" s="12" t="e">
        <f t="shared" si="0"/>
        <v>#REF!</v>
      </c>
    </row>
    <row r="56" spans="2:5">
      <c r="B56" s="11" t="e">
        <f>ClinicalStage!#REF!</f>
        <v>#REF!</v>
      </c>
      <c r="C56" s="11" t="s">
        <v>1620</v>
      </c>
      <c r="E56" s="12" t="e">
        <f t="shared" si="0"/>
        <v>#REF!</v>
      </c>
    </row>
    <row r="57" spans="2:5">
      <c r="B57" s="11" t="e">
        <f>ClinicalStage!#REF!</f>
        <v>#REF!</v>
      </c>
      <c r="C57" s="11" t="s">
        <v>1620</v>
      </c>
      <c r="E57" s="12" t="e">
        <f t="shared" si="0"/>
        <v>#REF!</v>
      </c>
    </row>
    <row r="58" spans="2:5">
      <c r="B58" s="11" t="e">
        <f>ClinicalStage!#REF!</f>
        <v>#REF!</v>
      </c>
      <c r="C58" s="11" t="s">
        <v>1620</v>
      </c>
      <c r="E58" s="12" t="e">
        <f t="shared" si="0"/>
        <v>#REF!</v>
      </c>
    </row>
    <row r="59" spans="2:5">
      <c r="B59" s="11" t="e">
        <f>ClinicalStage!#REF!</f>
        <v>#REF!</v>
      </c>
      <c r="C59" s="11" t="s">
        <v>1620</v>
      </c>
      <c r="E59" s="12" t="e">
        <f t="shared" si="0"/>
        <v>#REF!</v>
      </c>
    </row>
    <row r="60" spans="2:5">
      <c r="B60" s="11" t="e">
        <f>ClinicalStage!#REF!</f>
        <v>#REF!</v>
      </c>
      <c r="C60" s="11" t="s">
        <v>1620</v>
      </c>
      <c r="E60" s="12" t="e">
        <f t="shared" si="0"/>
        <v>#REF!</v>
      </c>
    </row>
    <row r="61" spans="2:5">
      <c r="B61" s="11" t="e">
        <f>ClinicalStage!#REF!</f>
        <v>#REF!</v>
      </c>
      <c r="C61" s="11" t="s">
        <v>1620</v>
      </c>
      <c r="E61" s="12" t="e">
        <f t="shared" si="0"/>
        <v>#REF!</v>
      </c>
    </row>
    <row r="62" spans="2:5">
      <c r="B62" s="11" t="e">
        <f>ClinicalStage!#REF!</f>
        <v>#REF!</v>
      </c>
      <c r="C62" s="11" t="s">
        <v>1620</v>
      </c>
      <c r="E62" s="12" t="e">
        <f t="shared" si="0"/>
        <v>#REF!</v>
      </c>
    </row>
    <row r="63" spans="2:5">
      <c r="B63" s="11" t="e">
        <f>ClinicalStage!#REF!</f>
        <v>#REF!</v>
      </c>
      <c r="C63" s="11" t="s">
        <v>1620</v>
      </c>
      <c r="E63" s="12" t="e">
        <f t="shared" si="0"/>
        <v>#REF!</v>
      </c>
    </row>
    <row r="64" spans="2:5">
      <c r="B64" s="11" t="e">
        <f>ClinicalStage!#REF!</f>
        <v>#REF!</v>
      </c>
      <c r="C64" s="11" t="s">
        <v>1620</v>
      </c>
      <c r="E64" s="12" t="e">
        <f t="shared" si="0"/>
        <v>#REF!</v>
      </c>
    </row>
    <row r="65" spans="2:5">
      <c r="B65" s="11" t="e">
        <f>ClinicalStage!#REF!</f>
        <v>#REF!</v>
      </c>
      <c r="C65" s="11" t="s">
        <v>1620</v>
      </c>
      <c r="E65" s="12" t="e">
        <f t="shared" si="0"/>
        <v>#REF!</v>
      </c>
    </row>
    <row r="66" spans="2:5">
      <c r="B66" s="11" t="e">
        <f>ClinicalStage!#REF!</f>
        <v>#REF!</v>
      </c>
      <c r="C66" s="11" t="s">
        <v>1620</v>
      </c>
      <c r="E66" s="12" t="e">
        <f t="shared" si="0"/>
        <v>#REF!</v>
      </c>
    </row>
    <row r="67" spans="2:5">
      <c r="B67" s="11" t="e">
        <f>ClinicalStage!#REF!</f>
        <v>#REF!</v>
      </c>
      <c r="C67" s="11" t="s">
        <v>1620</v>
      </c>
      <c r="E67" s="12" t="e">
        <f t="shared" si="0"/>
        <v>#REF!</v>
      </c>
    </row>
    <row r="68" spans="2:5">
      <c r="B68" s="11" t="e">
        <f>ClinicalStage!#REF!</f>
        <v>#REF!</v>
      </c>
      <c r="C68" s="11" t="s">
        <v>1620</v>
      </c>
      <c r="E68" s="12" t="e">
        <f t="shared" si="0"/>
        <v>#REF!</v>
      </c>
    </row>
    <row r="69" spans="2:5">
      <c r="B69" s="11" t="e">
        <f>ClinicalStage!#REF!</f>
        <v>#REF!</v>
      </c>
      <c r="C69" s="11" t="s">
        <v>1620</v>
      </c>
      <c r="E69" s="12" t="e">
        <f t="shared" si="0"/>
        <v>#REF!</v>
      </c>
    </row>
    <row r="70" spans="2:5">
      <c r="B70" s="11" t="e">
        <f>ClinicalStage!#REF!</f>
        <v>#REF!</v>
      </c>
      <c r="C70" s="11" t="s">
        <v>1620</v>
      </c>
      <c r="E70" s="12" t="e">
        <f t="shared" si="0"/>
        <v>#REF!</v>
      </c>
    </row>
    <row r="71" spans="2:5">
      <c r="B71" s="11" t="e">
        <f>ClinicalStage!#REF!</f>
        <v>#REF!</v>
      </c>
      <c r="C71" s="11" t="s">
        <v>1620</v>
      </c>
      <c r="E71" s="12" t="e">
        <f t="shared" si="0"/>
        <v>#REF!</v>
      </c>
    </row>
    <row r="72" spans="2:5">
      <c r="B72" s="11" t="e">
        <f>ClinicalStage!#REF!</f>
        <v>#REF!</v>
      </c>
      <c r="C72" s="11" t="s">
        <v>1620</v>
      </c>
      <c r="E72" s="12" t="e">
        <f t="shared" si="0"/>
        <v>#REF!</v>
      </c>
    </row>
    <row r="73" spans="2:5">
      <c r="B73" s="11" t="e">
        <f>ClinicalStage!#REF!</f>
        <v>#REF!</v>
      </c>
      <c r="C73" s="11" t="s">
        <v>1620</v>
      </c>
      <c r="E73" s="12" t="e">
        <f t="shared" si="0"/>
        <v>#REF!</v>
      </c>
    </row>
    <row r="74" spans="2:5">
      <c r="B74" s="11" t="e">
        <f>ClinicalStage!#REF!</f>
        <v>#REF!</v>
      </c>
      <c r="C74" s="11" t="s">
        <v>1620</v>
      </c>
      <c r="E74" s="12" t="e">
        <f t="shared" ref="E74:E98" si="1">IF(B74=0,"*  -&gt; ##34###34#",CONCATENATE("* ",B74," -&gt; ##34#",C74,"##34#"))</f>
        <v>#REF!</v>
      </c>
    </row>
    <row r="75" spans="2:5">
      <c r="B75" s="11" t="e">
        <f>ClinicalStage!#REF!</f>
        <v>#REF!</v>
      </c>
      <c r="C75" s="11" t="s">
        <v>1620</v>
      </c>
      <c r="E75" s="12" t="e">
        <f t="shared" si="1"/>
        <v>#REF!</v>
      </c>
    </row>
    <row r="76" spans="2:5">
      <c r="B76" s="11" t="e">
        <f>ClinicalStage!#REF!</f>
        <v>#REF!</v>
      </c>
      <c r="C76" s="11" t="s">
        <v>1620</v>
      </c>
      <c r="E76" s="12" t="e">
        <f t="shared" si="1"/>
        <v>#REF!</v>
      </c>
    </row>
    <row r="77" spans="2:5">
      <c r="B77" s="11" t="e">
        <f>ClinicalStage!#REF!</f>
        <v>#REF!</v>
      </c>
      <c r="C77" s="11" t="s">
        <v>1620</v>
      </c>
      <c r="E77" s="12" t="e">
        <f t="shared" si="1"/>
        <v>#REF!</v>
      </c>
    </row>
    <row r="78" spans="2:5">
      <c r="B78" s="11" t="e">
        <f>ClinicalStage!#REF!</f>
        <v>#REF!</v>
      </c>
      <c r="C78" s="11" t="s">
        <v>1620</v>
      </c>
      <c r="E78" s="12" t="e">
        <f t="shared" si="1"/>
        <v>#REF!</v>
      </c>
    </row>
    <row r="79" spans="2:5">
      <c r="B79" s="11" t="e">
        <f>ClinicalStage!#REF!</f>
        <v>#REF!</v>
      </c>
      <c r="C79" s="11" t="s">
        <v>1620</v>
      </c>
      <c r="E79" s="12" t="e">
        <f t="shared" si="1"/>
        <v>#REF!</v>
      </c>
    </row>
    <row r="80" spans="2:5">
      <c r="B80" s="11" t="e">
        <f>ClinicalStage!#REF!</f>
        <v>#REF!</v>
      </c>
      <c r="C80" s="11" t="s">
        <v>1620</v>
      </c>
      <c r="E80" s="12" t="e">
        <f t="shared" si="1"/>
        <v>#REF!</v>
      </c>
    </row>
    <row r="81" spans="2:5">
      <c r="B81" s="11" t="e">
        <f>ClinicalStage!#REF!</f>
        <v>#REF!</v>
      </c>
      <c r="C81" s="11" t="s">
        <v>1620</v>
      </c>
      <c r="E81" s="12" t="e">
        <f t="shared" si="1"/>
        <v>#REF!</v>
      </c>
    </row>
    <row r="82" spans="2:5">
      <c r="B82" s="11" t="e">
        <f>ClinicalStage!#REF!</f>
        <v>#REF!</v>
      </c>
      <c r="C82" s="11" t="s">
        <v>1620</v>
      </c>
      <c r="E82" s="12" t="e">
        <f t="shared" si="1"/>
        <v>#REF!</v>
      </c>
    </row>
    <row r="83" spans="2:5">
      <c r="B83" s="11" t="e">
        <f>ClinicalStage!#REF!</f>
        <v>#REF!</v>
      </c>
      <c r="C83" s="11" t="s">
        <v>1620</v>
      </c>
      <c r="E83" s="12" t="e">
        <f t="shared" si="1"/>
        <v>#REF!</v>
      </c>
    </row>
    <row r="84" spans="2:5">
      <c r="B84" s="11" t="e">
        <f>ClinicalStage!#REF!</f>
        <v>#REF!</v>
      </c>
      <c r="C84" s="11" t="s">
        <v>1620</v>
      </c>
      <c r="E84" s="12" t="e">
        <f t="shared" si="1"/>
        <v>#REF!</v>
      </c>
    </row>
    <row r="85" spans="2:5">
      <c r="B85" s="11" t="e">
        <f>ClinicalStage!#REF!</f>
        <v>#REF!</v>
      </c>
      <c r="C85" s="11" t="s">
        <v>1620</v>
      </c>
      <c r="E85" s="12" t="e">
        <f t="shared" si="1"/>
        <v>#REF!</v>
      </c>
    </row>
    <row r="86" spans="2:5">
      <c r="B86" s="11" t="e">
        <f>ClinicalStage!#REF!</f>
        <v>#REF!</v>
      </c>
      <c r="C86" s="11" t="s">
        <v>1620</v>
      </c>
      <c r="E86" s="12" t="e">
        <f t="shared" si="1"/>
        <v>#REF!</v>
      </c>
    </row>
    <row r="87" spans="2:5">
      <c r="B87" s="11" t="e">
        <f>ClinicalStage!#REF!</f>
        <v>#REF!</v>
      </c>
      <c r="C87" s="11" t="s">
        <v>1620</v>
      </c>
      <c r="E87" s="12" t="e">
        <f t="shared" si="1"/>
        <v>#REF!</v>
      </c>
    </row>
    <row r="88" spans="2:5">
      <c r="B88" s="11" t="e">
        <f>ClinicalStage!#REF!</f>
        <v>#REF!</v>
      </c>
      <c r="C88" s="11" t="s">
        <v>1620</v>
      </c>
      <c r="E88" s="12" t="e">
        <f t="shared" si="1"/>
        <v>#REF!</v>
      </c>
    </row>
    <row r="89" spans="2:5">
      <c r="B89" s="11" t="e">
        <f>ClinicalStage!#REF!</f>
        <v>#REF!</v>
      </c>
      <c r="C89" s="11" t="s">
        <v>1620</v>
      </c>
      <c r="E89" s="12" t="e">
        <f t="shared" si="1"/>
        <v>#REF!</v>
      </c>
    </row>
    <row r="90" spans="2:5">
      <c r="B90" s="11" t="e">
        <f>ClinicalStage!#REF!</f>
        <v>#REF!</v>
      </c>
      <c r="C90" s="11" t="s">
        <v>1620</v>
      </c>
      <c r="E90" s="12" t="e">
        <f t="shared" si="1"/>
        <v>#REF!</v>
      </c>
    </row>
    <row r="91" spans="2:5">
      <c r="B91" s="11" t="e">
        <f>ClinicalStage!#REF!</f>
        <v>#REF!</v>
      </c>
      <c r="C91" s="11" t="s">
        <v>1620</v>
      </c>
      <c r="E91" s="12" t="e">
        <f t="shared" si="1"/>
        <v>#REF!</v>
      </c>
    </row>
    <row r="92" spans="2:5">
      <c r="B92" s="11" t="e">
        <f>ClinicalStage!#REF!</f>
        <v>#REF!</v>
      </c>
      <c r="C92" s="11" t="s">
        <v>1620</v>
      </c>
      <c r="E92" s="12" t="e">
        <f t="shared" si="1"/>
        <v>#REF!</v>
      </c>
    </row>
    <row r="93" spans="2:5">
      <c r="B93" s="11" t="e">
        <f>ClinicalStage!#REF!</f>
        <v>#REF!</v>
      </c>
      <c r="C93" s="11" t="s">
        <v>1620</v>
      </c>
      <c r="E93" s="12" t="e">
        <f t="shared" si="1"/>
        <v>#REF!</v>
      </c>
    </row>
    <row r="94" spans="2:5">
      <c r="B94" s="11" t="e">
        <f>ClinicalStage!#REF!</f>
        <v>#REF!</v>
      </c>
      <c r="C94" s="11" t="s">
        <v>1620</v>
      </c>
      <c r="E94" s="12" t="e">
        <f t="shared" si="1"/>
        <v>#REF!</v>
      </c>
    </row>
    <row r="95" spans="2:5">
      <c r="B95" s="11" t="e">
        <f>ClinicalStage!#REF!</f>
        <v>#REF!</v>
      </c>
      <c r="C95" s="11" t="s">
        <v>1620</v>
      </c>
      <c r="E95" s="12" t="e">
        <f t="shared" si="1"/>
        <v>#REF!</v>
      </c>
    </row>
    <row r="96" spans="2:5">
      <c r="B96" s="11"/>
      <c r="C96" s="11" t="s">
        <v>1620</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tabSelected="1"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2408</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1624</v>
      </c>
    </row>
    <row r="34" spans="3:3">
      <c r="C34" s="24" t="s">
        <v>2161</v>
      </c>
    </row>
    <row r="35" spans="3:3">
      <c r="C35" s="24" t="s">
        <v>1624</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5"/>
    </row>
    <row r="297" spans="3:3">
      <c r="C297" s="105"/>
    </row>
    <row r="298" spans="3:3">
      <c r="C298" s="105"/>
    </row>
    <row r="299" spans="3:3">
      <c r="C299" s="105"/>
    </row>
    <row r="300" spans="3:3">
      <c r="C300" s="105"/>
    </row>
    <row r="301" spans="3:3">
      <c r="C301" s="105"/>
    </row>
    <row r="302" spans="3:3">
      <c r="C302" s="105"/>
    </row>
    <row r="303" spans="3:3">
      <c r="C303" s="105"/>
    </row>
    <row r="304" spans="3:3">
      <c r="C304" s="105"/>
    </row>
    <row r="305" spans="3:3">
      <c r="C305" s="105"/>
    </row>
    <row r="306" spans="3:3">
      <c r="C306" s="105"/>
    </row>
    <row r="307" spans="3:3">
      <c r="C307" s="10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9C29-88B0-4A4C-BB6C-56B39FA540CF}">
  <sheetPr codeName="Foglio48">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c r="E4" s="54"/>
      <c r="H4" s="12"/>
      <c r="I4" s="11"/>
      <c r="J4" s="11"/>
      <c r="K4" s="11"/>
      <c r="L4" s="11"/>
    </row>
    <row r="5" spans="1:17" ht="15.5" thickBot="1">
      <c r="B5" s="10" t="s">
        <v>16</v>
      </c>
      <c r="C5" s="13"/>
      <c r="E5" s="55"/>
      <c r="H5" s="12"/>
      <c r="I5" s="11"/>
      <c r="J5" s="11"/>
      <c r="K5" s="11"/>
      <c r="L5" s="11"/>
    </row>
    <row r="6" spans="1:17" ht="15.5" thickBot="1">
      <c r="B6" s="10" t="s">
        <v>10</v>
      </c>
      <c r="C6" s="7"/>
      <c r="E6" s="7"/>
      <c r="H6" s="16" t="s">
        <v>1444</v>
      </c>
      <c r="I6" s="67" t="s">
        <v>1445</v>
      </c>
      <c r="J6" s="16" t="s">
        <v>1442</v>
      </c>
      <c r="K6" s="67" t="s">
        <v>1443</v>
      </c>
      <c r="L6" s="63" t="s">
        <v>1437</v>
      </c>
    </row>
    <row r="7" spans="1:17">
      <c r="B7" s="60" t="s">
        <v>18</v>
      </c>
      <c r="C7" s="56"/>
      <c r="E7" s="56"/>
      <c r="H7" s="12"/>
      <c r="I7" s="11"/>
      <c r="J7" s="11"/>
      <c r="K7" s="11"/>
      <c r="L7" s="11"/>
    </row>
    <row r="8" spans="1:17">
      <c r="B8" s="62" t="s">
        <v>15</v>
      </c>
      <c r="C8" s="11"/>
      <c r="D8" s="12"/>
      <c r="E8" s="11"/>
      <c r="F8" s="63" t="s">
        <v>1437</v>
      </c>
      <c r="G8" s="66"/>
      <c r="H8" s="12"/>
      <c r="I8" s="11"/>
      <c r="J8" s="63"/>
      <c r="K8" s="63"/>
      <c r="L8" s="63"/>
    </row>
    <row r="9" spans="1:17">
      <c r="A9" s="59"/>
      <c r="B9" s="6"/>
      <c r="C9" s="11"/>
      <c r="D9" s="6" t="s">
        <v>1396</v>
      </c>
      <c r="E9" s="6"/>
      <c r="F9" s="11"/>
      <c r="H9" s="12"/>
      <c r="I9" s="11"/>
      <c r="J9" s="11"/>
      <c r="K9" s="11"/>
      <c r="L9" s="63"/>
    </row>
    <row r="10" spans="1:17" ht="44.25">
      <c r="A10" s="59"/>
      <c r="B10" s="6" t="str">
        <f>ClinicalStage!B5</f>
        <v>ClinicalStage</v>
      </c>
      <c r="C10" s="6" t="str">
        <f>ClinicalStage!B6</f>
        <v>Clinical Stage</v>
      </c>
      <c r="D10" s="57" t="str">
        <f>ConvertOsiris!I2</f>
        <v>Patient</v>
      </c>
      <c r="E10" s="57" t="str">
        <f>ConvertOsiris!J2</f>
        <v>Patient</v>
      </c>
      <c r="F10" s="64" t="s">
        <v>1429</v>
      </c>
      <c r="G10" s="58"/>
      <c r="H10" s="12" t="str">
        <f>"* group[=].element[+].code = #"&amp;B10</f>
        <v>* group[=].element[+].code = #ClinicalStage</v>
      </c>
      <c r="I10" s="12" t="str">
        <f>"* group[=].element[=].display = ##34#"&amp;C10&amp;"##34#"</f>
        <v>* group[=].element[=].display = ##34#Clinical Stage##34#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INDEX('ClinicalStage-ConceptMap'!$H$10:$L$264,O10+1,P10)</f>
        <v>* group[=].element[+].code = #ClinicalStage</v>
      </c>
    </row>
    <row r="11" spans="1:17" ht="44.25">
      <c r="A11" s="59"/>
      <c r="B11" s="11" t="str">
        <f>$B$10&amp;"."&amp;ClinicalStage!B8</f>
        <v>ClinicalStage.episodeEvent</v>
      </c>
      <c r="C11" s="11" t="str">
        <f>ClinicalStage!C8</f>
        <v>Episode Event</v>
      </c>
      <c r="D11" s="11" t="str">
        <f>ConvertOsiris!I6</f>
        <v>Patient.BirthDate</v>
      </c>
      <c r="E11" s="11" t="str">
        <f>ConvertOsiris!J6</f>
        <v>Birth Date [C4]</v>
      </c>
      <c r="F11" s="64" t="s">
        <v>1407</v>
      </c>
      <c r="G11" s="58"/>
      <c r="H11" s="12" t="str">
        <f t="shared" ref="H11:H17" si="0">"* group[=].element[+].code = #"&amp;B11</f>
        <v>* group[=].element[+].code = #ClinicalStage.episodeEvent</v>
      </c>
      <c r="I11" s="12" t="str">
        <f t="shared" ref="I11:I17" si="1">"* group[=].element[=].display = ##34#"&amp;C11&amp;"##34#"</f>
        <v>* group[=].element[=].display = ##34#Episode Event##34#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INDEX('ClinicalStage-ConceptMap'!$H$10:$L$264,O11+1,P11)</f>
        <v>* group[=].element[=].display = ##34#Clinical Stage##34#</v>
      </c>
    </row>
    <row r="12" spans="1:17" ht="44.25">
      <c r="A12" s="59"/>
      <c r="B12" s="11" t="str">
        <f>$B$10&amp;"."&amp;ClinicalStage!B9</f>
        <v>ClinicalStage.cT</v>
      </c>
      <c r="C12" s="11" t="str">
        <f>ClinicalStage!C9</f>
        <v>cT</v>
      </c>
      <c r="D12" s="11" t="str">
        <f>ConvertOsiris!I6</f>
        <v>Patient.BirthDate</v>
      </c>
      <c r="E12" s="11" t="str">
        <f>ConvertOsiris!J6</f>
        <v>Birth Date [C4]</v>
      </c>
      <c r="F12" s="64" t="s">
        <v>1429</v>
      </c>
      <c r="G12" s="58"/>
      <c r="H12" s="12" t="str">
        <f t="shared" si="0"/>
        <v>* group[=].element[+].code = #ClinicalStage.cT</v>
      </c>
      <c r="I12" s="12" t="str">
        <f t="shared" si="1"/>
        <v>* group[=].element[=].display = ##34#cT##34#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INDEX('ClinicalStage-ConceptMap'!$H$10:$L$264,O12+1,P12)</f>
        <v>* group[=].element[=].target.code = #Osiris.Patient</v>
      </c>
    </row>
    <row r="13" spans="1:17" ht="44.25">
      <c r="A13" s="59"/>
      <c r="B13" s="11" t="str">
        <f>$B$10&amp;"."&amp;ClinicalStage!B11</f>
        <v>ClinicalStage.radiologicalExtraNodalExtension</v>
      </c>
      <c r="C13" s="11" t="str">
        <f>ClinicalStage!C11</f>
        <v>Radiological Extra-nodal extension (rENE)</v>
      </c>
      <c r="D13" s="11"/>
      <c r="E13" s="11"/>
      <c r="F13" s="64" t="s">
        <v>1424</v>
      </c>
      <c r="G13" s="58"/>
      <c r="H13" s="12" t="str">
        <f t="shared" si="0"/>
        <v>* group[=].element[+].code = #ClinicalStage.radiologicalExtraNodalExtension</v>
      </c>
      <c r="I13" s="12" t="str">
        <f t="shared" si="1"/>
        <v>* group[=].element[=].display = ##34#Radiological Extra-nodal extension (rENE)##34#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INDEX('ClinicalStage-ConceptMap'!$H$10:$L$264,O13+1,P13)</f>
        <v>* group[=].element[=].target.display = ##34#Patient##34#</v>
      </c>
    </row>
    <row r="14" spans="1:17" ht="44.25">
      <c r="A14" s="59"/>
      <c r="B14" s="11" t="str">
        <f>$B$10&amp;"."&amp;ClinicalStage!B12</f>
        <v>ClinicalStage.cM</v>
      </c>
      <c r="C14" s="11" t="str">
        <f>ClinicalStage!C12</f>
        <v>cM</v>
      </c>
      <c r="D14" s="11"/>
      <c r="E14" s="11"/>
      <c r="F14" s="64" t="s">
        <v>1424</v>
      </c>
      <c r="G14" s="58"/>
      <c r="H14" s="12" t="str">
        <f t="shared" si="0"/>
        <v>* group[=].element[+].code = #ClinicalStage.cM</v>
      </c>
      <c r="I14" s="12" t="str">
        <f t="shared" si="1"/>
        <v>* group[=].element[=].display = ##34#cM##34#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INDEX('ClinicalStage-ConceptMap'!$H$10:$L$264,O14+1,P14)</f>
        <v>* group[=].element[=].target.equivalence = #equivalent</v>
      </c>
    </row>
    <row r="15" spans="1:17" ht="44.25">
      <c r="A15" s="59"/>
      <c r="B15" s="11" t="str">
        <f>$B$10&amp;"."&amp;ClinicalStage!B13</f>
        <v>ClinicalStage.clinicalStaging</v>
      </c>
      <c r="C15" s="11" t="str">
        <f>ClinicalStage!C13</f>
        <v>Clinical staging</v>
      </c>
      <c r="D15" s="11" t="str">
        <f>ConvertOsiris!I4</f>
        <v>Patient.Gender</v>
      </c>
      <c r="E15" s="11" t="str">
        <f>ConvertOsiris!J4</f>
        <v>Gender [C2]</v>
      </c>
      <c r="F15" s="64" t="s">
        <v>1433</v>
      </c>
      <c r="G15" s="58"/>
      <c r="H15" s="12" t="str">
        <f t="shared" si="0"/>
        <v>* group[=].element[+].code = #ClinicalStage.clinicalStaging</v>
      </c>
      <c r="I15" s="12" t="str">
        <f t="shared" si="1"/>
        <v>* group[=].element[=].display = ##34#Clinical staging##34#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INDEX('ClinicalStage-ConceptMap'!$H$10:$L$264,O15+1,P15)</f>
        <v>* group[=].element[+].code = #ClinicalStage.episodeEvent</v>
      </c>
    </row>
    <row r="16" spans="1:17" ht="44.25">
      <c r="A16" s="59"/>
      <c r="B16" s="11" t="str">
        <f>$B$10&amp;"."&amp;ClinicalStage!B14</f>
        <v>ClinicalStage.ajccEdition</v>
      </c>
      <c r="C16" s="11" t="str">
        <f>ClinicalStage!C14</f>
        <v>Ajcc edition</v>
      </c>
      <c r="D16" s="11" t="str">
        <f>ConvertOsiris!I5</f>
        <v>Patient.Ethnicity</v>
      </c>
      <c r="E16" s="11" t="str">
        <f>ConvertOsiris!J5</f>
        <v>Ethnicity [C3]</v>
      </c>
      <c r="F16" s="64" t="s">
        <v>1431</v>
      </c>
      <c r="G16" s="58"/>
      <c r="H16" s="12" t="str">
        <f t="shared" si="0"/>
        <v>* group[=].element[+].code = #ClinicalStage.ajccEdition</v>
      </c>
      <c r="I16" s="12" t="str">
        <f t="shared" si="1"/>
        <v>* group[=].element[=].display = ##34#Ajcc edition##34#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INDEX('ClinicalStage-ConceptMap'!$H$10:$L$264,O16+1,P16)</f>
        <v>* group[=].element[=].display = ##34#Episode Event##34#</v>
      </c>
    </row>
    <row r="17" spans="1:17" ht="44.25">
      <c r="A17" s="59"/>
      <c r="B17" s="11" t="str">
        <f>$B$10&amp;"."&amp;ClinicalStage!B15</f>
        <v>ClinicalStage.softTissue</v>
      </c>
      <c r="C17" s="11" t="str">
        <f>ClinicalStage!C15</f>
        <v>Soft tissue</v>
      </c>
      <c r="D17" s="11"/>
      <c r="E17" s="12"/>
      <c r="F17" s="64" t="s">
        <v>1424</v>
      </c>
      <c r="G17" s="58"/>
      <c r="H17" s="12" t="str">
        <f t="shared" si="0"/>
        <v>* group[=].element[+].code = #ClinicalStage.softTissue</v>
      </c>
      <c r="I17" s="12" t="str">
        <f t="shared" si="1"/>
        <v>* group[=].element[=].display = ##34#Soft tissue##34#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INDEX('ClinicalStage-ConceptMap'!$H$10:$L$264,O17+1,P17)</f>
        <v>* group[=].element[=].target.code = #Osiris.Patient.BirthDate</v>
      </c>
    </row>
    <row r="18" spans="1:17">
      <c r="A18" s="59"/>
      <c r="B18" s="11"/>
      <c r="C18" s="11"/>
      <c r="D18" s="11"/>
      <c r="E18" s="12"/>
      <c r="F18" s="64"/>
      <c r="G18" s="58"/>
      <c r="H18" s="12"/>
      <c r="I18" s="12"/>
      <c r="J18" s="12"/>
      <c r="K18" s="12"/>
      <c r="L18" s="12"/>
      <c r="N18" s="11">
        <v>9</v>
      </c>
      <c r="O18" s="11">
        <f t="shared" si="5"/>
        <v>1</v>
      </c>
      <c r="P18" s="11">
        <f t="shared" si="6"/>
        <v>4</v>
      </c>
      <c r="Q18" s="12" t="str" cm="1">
        <f t="array" ref="Q18">INDEX('ClinicalStage-ConceptMap'!$H$10:$L$264,O18+1,P18)</f>
        <v>* group[=].element[=].target.display = ##34#Birth Date [C4]##34#</v>
      </c>
    </row>
    <row r="19" spans="1:17">
      <c r="B19" s="11"/>
      <c r="C19" s="11"/>
      <c r="D19" s="11"/>
      <c r="E19" s="12"/>
      <c r="F19" s="64"/>
      <c r="G19" s="58"/>
      <c r="H19" s="12"/>
      <c r="I19" s="12"/>
      <c r="J19" s="12"/>
      <c r="K19" s="12"/>
      <c r="L19" s="12"/>
      <c r="N19" s="11">
        <v>10</v>
      </c>
      <c r="O19" s="11">
        <f t="shared" si="5"/>
        <v>1</v>
      </c>
      <c r="P19" s="11">
        <f t="shared" si="6"/>
        <v>5</v>
      </c>
      <c r="Q19" s="12" t="str" cm="1">
        <f t="array" ref="Q19">INDEX('ClinicalStage-ConceptMap'!$H$10:$L$264,O19+1,P19)</f>
        <v>* group[=].element[=].target.equivalence = #relatedto</v>
      </c>
    </row>
    <row r="20" spans="1:17">
      <c r="B20" s="11"/>
      <c r="C20" s="11"/>
      <c r="D20" s="11"/>
      <c r="E20" s="12"/>
      <c r="F20" s="64"/>
      <c r="G20" s="58"/>
      <c r="H20" s="12"/>
      <c r="I20" s="12"/>
      <c r="J20" s="12"/>
      <c r="K20" s="12"/>
      <c r="L20" s="12"/>
      <c r="N20" s="11">
        <v>11</v>
      </c>
      <c r="O20" s="11">
        <f t="shared" si="5"/>
        <v>2</v>
      </c>
      <c r="P20" s="11">
        <f t="shared" si="6"/>
        <v>1</v>
      </c>
      <c r="Q20" s="12" t="str" cm="1">
        <f t="array" ref="Q20">INDEX('ClinicalStage-ConceptMap'!$H$10:$L$264,O20+1,P20)</f>
        <v>* group[=].element[+].code = #ClinicalStage.cT</v>
      </c>
    </row>
    <row r="21" spans="1:17">
      <c r="B21" s="11"/>
      <c r="C21" s="11"/>
      <c r="D21" s="11"/>
      <c r="E21" s="12"/>
      <c r="F21" s="64"/>
      <c r="G21" s="58"/>
      <c r="J21" s="58"/>
      <c r="K21" s="58"/>
      <c r="L21" s="66"/>
      <c r="N21" s="11">
        <v>12</v>
      </c>
      <c r="O21" s="11">
        <f t="shared" si="5"/>
        <v>2</v>
      </c>
      <c r="P21" s="11">
        <f t="shared" si="6"/>
        <v>2</v>
      </c>
      <c r="Q21" s="12" t="str" cm="1">
        <f t="array" ref="Q21">INDEX('ClinicalStage-ConceptMap'!$H$10:$L$264,O21+1,P21)</f>
        <v>* group[=].element[=].display = ##34#cT##34#</v>
      </c>
    </row>
    <row r="22" spans="1:17">
      <c r="B22" s="11"/>
      <c r="C22" s="11"/>
      <c r="D22" s="11"/>
      <c r="E22" s="12"/>
      <c r="F22" s="64"/>
      <c r="G22" s="58"/>
      <c r="J22" s="58"/>
      <c r="K22" s="58"/>
      <c r="L22" s="66"/>
      <c r="N22" s="11">
        <v>13</v>
      </c>
      <c r="O22" s="11">
        <f t="shared" si="5"/>
        <v>2</v>
      </c>
      <c r="P22" s="11">
        <f t="shared" si="6"/>
        <v>3</v>
      </c>
      <c r="Q22" s="12" t="str" cm="1">
        <f t="array" ref="Q22">INDEX('ClinicalStage-ConceptMap'!$H$10:$L$264,O22+1,P22)</f>
        <v>* group[=].element[=].target.code = #Osiris.Patient.BirthDate</v>
      </c>
    </row>
    <row r="23" spans="1:17">
      <c r="B23" s="11"/>
      <c r="C23" s="11"/>
      <c r="D23" s="11"/>
      <c r="E23" s="12"/>
      <c r="F23" s="64"/>
      <c r="G23" s="58"/>
      <c r="J23" s="58"/>
      <c r="K23" s="58"/>
      <c r="L23" s="66"/>
      <c r="N23" s="11">
        <v>14</v>
      </c>
      <c r="O23" s="11">
        <f t="shared" si="5"/>
        <v>2</v>
      </c>
      <c r="P23" s="11">
        <f t="shared" si="6"/>
        <v>4</v>
      </c>
      <c r="Q23" s="12" t="str" cm="1">
        <f t="array" ref="Q23">INDEX('ClinicalStage-ConceptMap'!$H$10:$L$264,O23+1,P23)</f>
        <v>* group[=].element[=].target.display = ##34#Birth Date [C4]##34#</v>
      </c>
    </row>
    <row r="24" spans="1:17">
      <c r="B24" s="11"/>
      <c r="C24" s="11"/>
      <c r="D24" s="11"/>
      <c r="E24" s="12"/>
      <c r="F24" s="64"/>
      <c r="G24" s="58"/>
      <c r="J24" s="58"/>
      <c r="K24" s="58"/>
      <c r="L24" s="66"/>
      <c r="N24" s="11">
        <v>15</v>
      </c>
      <c r="O24" s="11">
        <f t="shared" si="5"/>
        <v>2</v>
      </c>
      <c r="P24" s="11">
        <f t="shared" si="6"/>
        <v>5</v>
      </c>
      <c r="Q24" s="12" t="str" cm="1">
        <f t="array" ref="Q24">INDEX('ClinicalStage-ConceptMap'!$H$10:$L$264,O24+1,P24)</f>
        <v>* group[=].element[=].target.equivalence = #equivalent</v>
      </c>
    </row>
    <row r="25" spans="1:17">
      <c r="B25" s="11"/>
      <c r="C25" s="11"/>
      <c r="D25" s="11"/>
      <c r="E25" s="12"/>
      <c r="F25" s="64"/>
      <c r="G25" s="58"/>
      <c r="J25" s="58"/>
      <c r="K25" s="58"/>
      <c r="L25" s="66"/>
      <c r="N25" s="11">
        <v>16</v>
      </c>
      <c r="O25" s="11">
        <f t="shared" si="5"/>
        <v>3</v>
      </c>
      <c r="P25" s="11">
        <f t="shared" si="6"/>
        <v>1</v>
      </c>
      <c r="Q25" s="12" t="str" cm="1">
        <f t="array" ref="Q25">INDEX('ClinicalStage-ConceptMap'!$H$10:$L$264,O25+1,P25)</f>
        <v>* group[=].element[+].code = #ClinicalStage.radiologicalExtraNodalExtension</v>
      </c>
    </row>
    <row r="26" spans="1:17">
      <c r="B26" s="11"/>
      <c r="C26" s="11"/>
      <c r="D26" s="11"/>
      <c r="E26" s="12"/>
      <c r="F26" s="64"/>
      <c r="G26" s="58"/>
      <c r="J26" s="58"/>
      <c r="K26" s="58"/>
      <c r="L26" s="66"/>
      <c r="N26" s="11">
        <v>17</v>
      </c>
      <c r="O26" s="11">
        <f t="shared" si="5"/>
        <v>3</v>
      </c>
      <c r="P26" s="11">
        <f t="shared" si="6"/>
        <v>2</v>
      </c>
      <c r="Q26" s="12" t="str" cm="1">
        <f t="array" ref="Q26">INDEX('ClinicalStage-ConceptMap'!$H$10:$L$264,O26+1,P26)</f>
        <v>* group[=].element[=].display = ##34#Radiological Extra-nodal extension (rENE)##34#</v>
      </c>
    </row>
    <row r="27" spans="1:17">
      <c r="B27" s="11"/>
      <c r="C27" s="11"/>
      <c r="D27" s="11"/>
      <c r="E27" s="12"/>
      <c r="F27" s="64"/>
      <c r="G27" s="58"/>
      <c r="J27" s="58"/>
      <c r="K27" s="58"/>
      <c r="L27" s="66"/>
      <c r="N27" s="11">
        <v>18</v>
      </c>
      <c r="O27" s="11">
        <f t="shared" si="5"/>
        <v>3</v>
      </c>
      <c r="P27" s="11">
        <f t="shared" si="6"/>
        <v>3</v>
      </c>
      <c r="Q27" s="12" t="str" cm="1">
        <f t="array" ref="Q27">INDEX('ClinicalStage-ConceptMap'!$H$10:$L$264,O27+1,P27)</f>
        <v>//-- unmatched</v>
      </c>
    </row>
    <row r="28" spans="1:17">
      <c r="B28" s="11"/>
      <c r="C28" s="11"/>
      <c r="D28" s="11"/>
      <c r="E28" s="12"/>
      <c r="F28" s="64"/>
      <c r="G28" s="58"/>
      <c r="J28" s="58"/>
      <c r="K28" s="58"/>
      <c r="L28" s="66"/>
      <c r="N28" s="11">
        <v>19</v>
      </c>
      <c r="O28" s="11">
        <f t="shared" si="5"/>
        <v>3</v>
      </c>
      <c r="P28" s="11">
        <f t="shared" si="6"/>
        <v>4</v>
      </c>
      <c r="Q28" s="12" t="str" cm="1">
        <f t="array" ref="Q28">INDEX('ClinicalStage-ConceptMap'!$H$10:$L$264,O28+1,P28)</f>
        <v>//-- unmatched</v>
      </c>
    </row>
    <row r="29" spans="1:17">
      <c r="B29" s="11"/>
      <c r="C29" s="11"/>
      <c r="D29" s="11"/>
      <c r="E29" s="12"/>
      <c r="F29" s="64"/>
      <c r="G29" s="58"/>
      <c r="J29" s="58"/>
      <c r="K29" s="58"/>
      <c r="L29" s="66"/>
      <c r="N29" s="11">
        <v>20</v>
      </c>
      <c r="O29" s="11">
        <f t="shared" si="5"/>
        <v>3</v>
      </c>
      <c r="P29" s="11">
        <f t="shared" si="6"/>
        <v>5</v>
      </c>
      <c r="Q29" s="12" t="str" cm="1">
        <f t="array" ref="Q29">INDEX('ClinicalStage-ConceptMap'!$H$10:$L$264,O29+1,P29)</f>
        <v>* group[=].element[=].target.equivalence = #unmatched</v>
      </c>
    </row>
    <row r="30" spans="1:17">
      <c r="B30" s="11"/>
      <c r="C30" s="11"/>
      <c r="D30" s="11"/>
      <c r="E30" s="12"/>
      <c r="F30" s="64"/>
      <c r="G30" s="58"/>
      <c r="J30" s="58"/>
      <c r="K30" s="58"/>
      <c r="L30" s="66"/>
      <c r="N30" s="11">
        <v>21</v>
      </c>
      <c r="O30" s="11">
        <f t="shared" si="5"/>
        <v>4</v>
      </c>
      <c r="P30" s="11">
        <f t="shared" si="6"/>
        <v>1</v>
      </c>
      <c r="Q30" s="12" t="str" cm="1">
        <f t="array" ref="Q30">INDEX('ClinicalStage-ConceptMap'!$H$10:$L$264,O30+1,P30)</f>
        <v>* group[=].element[+].code = #ClinicalStage.cM</v>
      </c>
    </row>
    <row r="31" spans="1:17" s="2" customFormat="1">
      <c r="A31"/>
      <c r="B31" s="11"/>
      <c r="C31" s="11"/>
      <c r="D31" s="11"/>
      <c r="E31" s="12"/>
      <c r="F31" s="64"/>
      <c r="G31" s="58"/>
      <c r="I31"/>
      <c r="J31" s="58"/>
      <c r="K31" s="58"/>
      <c r="L31" s="66"/>
      <c r="N31" s="11">
        <v>22</v>
      </c>
      <c r="O31" s="11">
        <f t="shared" si="5"/>
        <v>4</v>
      </c>
      <c r="P31" s="11">
        <f t="shared" si="6"/>
        <v>2</v>
      </c>
      <c r="Q31" s="12" t="str" cm="1">
        <f t="array" ref="Q31">INDEX('ClinicalStage-ConceptMap'!$H$10:$L$264,O31+1,P31)</f>
        <v>* group[=].element[=].display = ##34#cM##34#</v>
      </c>
    </row>
    <row r="32" spans="1:17" s="2" customFormat="1">
      <c r="A32"/>
      <c r="B32" s="61"/>
      <c r="C32" s="61"/>
      <c r="D32" s="61"/>
      <c r="F32" s="58"/>
      <c r="G32" s="58"/>
      <c r="I32"/>
      <c r="J32" s="58"/>
      <c r="K32" s="58"/>
      <c r="L32" s="66"/>
      <c r="N32" s="11">
        <v>23</v>
      </c>
      <c r="O32" s="11">
        <f t="shared" si="5"/>
        <v>4</v>
      </c>
      <c r="P32" s="11">
        <f t="shared" si="6"/>
        <v>3</v>
      </c>
      <c r="Q32" s="12" t="str" cm="1">
        <f t="array" ref="Q32">INDEX('ClinicalStage-ConceptMap'!$H$10:$L$264,O32+1,P32)</f>
        <v>//-- unmatched</v>
      </c>
    </row>
    <row r="33" spans="1:17" s="2" customFormat="1">
      <c r="A33"/>
      <c r="B33" s="11"/>
      <c r="C33" s="11"/>
      <c r="F33" s="58"/>
      <c r="G33" s="58"/>
      <c r="I33"/>
      <c r="J33" s="58"/>
      <c r="K33" s="58"/>
      <c r="L33" s="66"/>
      <c r="N33" s="11">
        <v>24</v>
      </c>
      <c r="O33" s="11">
        <f t="shared" si="5"/>
        <v>4</v>
      </c>
      <c r="P33" s="11">
        <f t="shared" si="6"/>
        <v>4</v>
      </c>
      <c r="Q33" s="12" t="str" cm="1">
        <f t="array" ref="Q33">INDEX('ClinicalStage-ConceptMap'!$H$10:$L$264,O33+1,P33)</f>
        <v>//-- unmatched</v>
      </c>
    </row>
    <row r="34" spans="1:17" s="2" customFormat="1">
      <c r="A34"/>
      <c r="B34" s="11"/>
      <c r="C34"/>
      <c r="F34" s="58"/>
      <c r="G34" s="58"/>
      <c r="I34" s="58"/>
      <c r="J34" s="58"/>
      <c r="K34" s="58"/>
      <c r="L34" s="66"/>
      <c r="N34" s="11">
        <v>25</v>
      </c>
      <c r="O34" s="11">
        <f t="shared" si="5"/>
        <v>4</v>
      </c>
      <c r="P34" s="11">
        <f t="shared" si="6"/>
        <v>5</v>
      </c>
      <c r="Q34" s="12" t="str" cm="1">
        <f t="array" ref="Q34">INDEX('ClinicalStage-ConceptMap'!$H$10:$L$264,O34+1,P34)</f>
        <v>* group[=].element[=].target.equivalence = #unmatched</v>
      </c>
    </row>
    <row r="35" spans="1:17" s="2" customFormat="1">
      <c r="A35"/>
      <c r="B35" s="11"/>
      <c r="C35"/>
      <c r="F35" s="58"/>
      <c r="G35" s="58"/>
      <c r="I35" s="58"/>
      <c r="J35" s="58"/>
      <c r="K35" s="58"/>
      <c r="L35" s="66"/>
      <c r="N35" s="11">
        <v>26</v>
      </c>
      <c r="O35" s="11">
        <f t="shared" si="5"/>
        <v>5</v>
      </c>
      <c r="P35" s="11">
        <f t="shared" si="6"/>
        <v>1</v>
      </c>
      <c r="Q35" s="12" t="str" cm="1">
        <f t="array" ref="Q35">INDEX('ClinicalStage-ConceptMap'!$H$10:$L$264,O35+1,P35)</f>
        <v>* group[=].element[+].code = #ClinicalStage.clinicalStaging</v>
      </c>
    </row>
    <row r="36" spans="1:17" s="2" customFormat="1">
      <c r="A36"/>
      <c r="B36" s="11"/>
      <c r="C36"/>
      <c r="F36" s="58"/>
      <c r="G36" s="58"/>
      <c r="I36" s="58"/>
      <c r="J36" s="58"/>
      <c r="K36" s="58"/>
      <c r="L36" s="66"/>
      <c r="N36" s="11">
        <v>27</v>
      </c>
      <c r="O36" s="11">
        <f t="shared" si="5"/>
        <v>5</v>
      </c>
      <c r="P36" s="11">
        <f t="shared" si="6"/>
        <v>2</v>
      </c>
      <c r="Q36" s="12" t="str" cm="1">
        <f t="array" ref="Q36">INDEX('ClinicalStage-ConceptMap'!$H$10:$L$264,O36+1,P36)</f>
        <v>* group[=].element[=].display = ##34#Clinical staging##34#</v>
      </c>
    </row>
    <row r="37" spans="1:17" s="2" customFormat="1">
      <c r="A37"/>
      <c r="B37" s="11"/>
      <c r="C37"/>
      <c r="F37" s="58"/>
      <c r="G37" s="58"/>
      <c r="I37" s="58"/>
      <c r="J37" s="58"/>
      <c r="K37" s="58"/>
      <c r="L37" s="58"/>
      <c r="N37" s="11">
        <v>28</v>
      </c>
      <c r="O37" s="11">
        <f t="shared" si="5"/>
        <v>5</v>
      </c>
      <c r="P37" s="11">
        <f t="shared" si="6"/>
        <v>3</v>
      </c>
      <c r="Q37" s="12" t="str" cm="1">
        <f t="array" ref="Q37">INDEX('ClinicalStage-ConceptMap'!$H$10:$L$264,O37+1,P37)</f>
        <v>* group[=].element[=].target.code = #Osiris.Patient.Gender</v>
      </c>
    </row>
    <row r="38" spans="1:17" s="2" customFormat="1">
      <c r="A38"/>
      <c r="B38" s="11"/>
      <c r="C38"/>
      <c r="F38" s="58"/>
      <c r="G38" s="58"/>
      <c r="I38" s="58"/>
      <c r="J38" s="58"/>
      <c r="K38" s="58"/>
      <c r="L38" s="58"/>
      <c r="N38" s="11">
        <v>29</v>
      </c>
      <c r="O38" s="11">
        <f t="shared" si="5"/>
        <v>5</v>
      </c>
      <c r="P38" s="11">
        <f t="shared" si="6"/>
        <v>4</v>
      </c>
      <c r="Q38" s="12" t="str" cm="1">
        <f t="array" ref="Q38">INDEX('ClinicalStage-ConceptMap'!$H$10:$L$264,O38+1,P38)</f>
        <v>* group[=].element[=].target.display = ##34#Gender [C2]##34#</v>
      </c>
    </row>
    <row r="39" spans="1:17" s="2" customFormat="1">
      <c r="A39"/>
      <c r="B39" s="11"/>
      <c r="C39"/>
      <c r="F39" s="58"/>
      <c r="G39" s="58"/>
      <c r="I39" s="58"/>
      <c r="J39" s="58"/>
      <c r="K39" s="58"/>
      <c r="L39" s="58"/>
      <c r="N39" s="11">
        <v>30</v>
      </c>
      <c r="O39" s="11">
        <f t="shared" si="5"/>
        <v>5</v>
      </c>
      <c r="P39" s="11">
        <f t="shared" si="6"/>
        <v>5</v>
      </c>
      <c r="Q39" s="12" t="str" cm="1">
        <f t="array" ref="Q39">INDEX('ClinicalStage-ConceptMap'!$H$10:$L$264,O39+1,P39)</f>
        <v>* group[=].element[=].target.equivalence = #narrower</v>
      </c>
    </row>
    <row r="40" spans="1:17" s="2" customFormat="1">
      <c r="A40"/>
      <c r="B40" s="11"/>
      <c r="C40"/>
      <c r="F40" s="58"/>
      <c r="G40" s="58"/>
      <c r="I40" s="58"/>
      <c r="J40" s="58"/>
      <c r="K40" s="58"/>
      <c r="L40" s="58"/>
      <c r="N40" s="11">
        <v>31</v>
      </c>
      <c r="O40" s="11">
        <f t="shared" si="5"/>
        <v>6</v>
      </c>
      <c r="P40" s="11">
        <f t="shared" si="6"/>
        <v>1</v>
      </c>
      <c r="Q40" s="12" t="str" cm="1">
        <f t="array" ref="Q40">INDEX('ClinicalStage-ConceptMap'!$H$10:$L$264,O40+1,P40)</f>
        <v>* group[=].element[+].code = #ClinicalStage.ajccEdition</v>
      </c>
    </row>
    <row r="41" spans="1:17" s="2" customFormat="1">
      <c r="A41"/>
      <c r="B41" s="11"/>
      <c r="C41"/>
      <c r="F41" s="58"/>
      <c r="G41" s="58"/>
      <c r="I41" s="58"/>
      <c r="J41" s="58"/>
      <c r="K41" s="58"/>
      <c r="L41" s="58"/>
      <c r="N41" s="11">
        <v>32</v>
      </c>
      <c r="O41" s="11">
        <f t="shared" si="5"/>
        <v>6</v>
      </c>
      <c r="P41" s="11">
        <f t="shared" si="6"/>
        <v>2</v>
      </c>
      <c r="Q41" s="12" t="str" cm="1">
        <f t="array" ref="Q41">INDEX('ClinicalStage-ConceptMap'!$H$10:$L$264,O41+1,P41)</f>
        <v>* group[=].element[=].display = ##34#Ajcc edition##34#</v>
      </c>
    </row>
    <row r="42" spans="1:17" s="2" customFormat="1">
      <c r="A42"/>
      <c r="B42" s="11"/>
      <c r="C42"/>
      <c r="F42" s="58"/>
      <c r="G42" s="58"/>
      <c r="I42" s="58"/>
      <c r="J42" s="58"/>
      <c r="K42" s="58"/>
      <c r="L42" s="58"/>
      <c r="N42" s="11">
        <v>33</v>
      </c>
      <c r="O42" s="11">
        <f t="shared" si="5"/>
        <v>6</v>
      </c>
      <c r="P42" s="11">
        <f t="shared" si="6"/>
        <v>3</v>
      </c>
      <c r="Q42" s="12" t="str" cm="1">
        <f t="array" ref="Q42">INDEX('ClinicalStage-ConceptMap'!$H$10:$L$264,O42+1,P42)</f>
        <v>* group[=].element[=].target.code = #Osiris.Patient.Ethnicity</v>
      </c>
    </row>
    <row r="43" spans="1:17">
      <c r="F43" s="58"/>
      <c r="G43" s="58"/>
      <c r="I43" s="58"/>
      <c r="J43" s="58"/>
      <c r="K43" s="58"/>
      <c r="L43" s="58"/>
      <c r="N43" s="11">
        <v>34</v>
      </c>
      <c r="O43" s="11">
        <f t="shared" si="5"/>
        <v>6</v>
      </c>
      <c r="P43" s="11">
        <f t="shared" si="6"/>
        <v>4</v>
      </c>
      <c r="Q43" s="12" t="str" cm="1">
        <f t="array" ref="Q43">INDEX('ClinicalStage-ConceptMap'!$H$10:$L$264,O43+1,P43)</f>
        <v>* group[=].element[=].target.display = ##34#Ethnicity [C3]##34#</v>
      </c>
    </row>
    <row r="44" spans="1:17">
      <c r="F44" s="58"/>
      <c r="G44" s="58"/>
      <c r="I44" s="58"/>
      <c r="J44" s="58"/>
      <c r="K44" s="58"/>
      <c r="L44" s="58"/>
      <c r="N44" s="11">
        <v>35</v>
      </c>
      <c r="O44" s="11">
        <f t="shared" si="5"/>
        <v>6</v>
      </c>
      <c r="P44" s="11">
        <f t="shared" si="6"/>
        <v>5</v>
      </c>
      <c r="Q44" s="12" t="str" cm="1">
        <f t="array" ref="Q44">INDEX('ClinicalStage-ConceptMap'!$H$10:$L$264,O44+1,P44)</f>
        <v>* group[=].element[=].target.equivalence = #wider</v>
      </c>
    </row>
    <row r="45" spans="1:17">
      <c r="F45" s="58"/>
      <c r="G45" s="58"/>
      <c r="I45" s="58"/>
      <c r="J45" s="58"/>
      <c r="K45" s="58"/>
      <c r="L45" s="58"/>
      <c r="N45" s="11">
        <v>36</v>
      </c>
      <c r="O45" s="11">
        <f t="shared" si="5"/>
        <v>7</v>
      </c>
      <c r="P45" s="11">
        <f t="shared" si="6"/>
        <v>1</v>
      </c>
      <c r="Q45" s="12" t="str" cm="1">
        <f t="array" ref="Q45">INDEX('ClinicalStage-ConceptMap'!$H$10:$L$264,O45+1,P45)</f>
        <v>* group[=].element[+].code = #ClinicalStage.softTissue</v>
      </c>
    </row>
    <row r="46" spans="1:17">
      <c r="F46" s="58"/>
      <c r="G46" s="58"/>
      <c r="I46" s="58"/>
      <c r="J46" s="58"/>
      <c r="K46" s="58"/>
      <c r="L46" s="58"/>
      <c r="N46" s="11">
        <v>37</v>
      </c>
      <c r="O46" s="11">
        <f t="shared" si="5"/>
        <v>7</v>
      </c>
      <c r="P46" s="11">
        <f t="shared" si="6"/>
        <v>2</v>
      </c>
      <c r="Q46" s="12" t="str" cm="1">
        <f t="array" ref="Q46">INDEX('ClinicalStage-ConceptMap'!$H$10:$L$264,O46+1,P46)</f>
        <v>* group[=].element[=].display = ##34#Soft tissue##34#</v>
      </c>
    </row>
    <row r="47" spans="1:17">
      <c r="B47" t="s">
        <v>1402</v>
      </c>
      <c r="C47" t="s">
        <v>1403</v>
      </c>
      <c r="D47" t="s">
        <v>1404</v>
      </c>
      <c r="E47" t="s">
        <v>1405</v>
      </c>
      <c r="N47" s="11">
        <v>38</v>
      </c>
      <c r="O47" s="11">
        <f t="shared" si="5"/>
        <v>7</v>
      </c>
      <c r="P47" s="11">
        <f t="shared" si="6"/>
        <v>3</v>
      </c>
      <c r="Q47" s="12" t="str" cm="1">
        <f t="array" ref="Q47">INDEX('ClinicalStage-ConceptMap'!$H$10:$L$264,O47+1,P47)</f>
        <v>//-- unmatched</v>
      </c>
    </row>
    <row r="48" spans="1:17">
      <c r="N48" s="11">
        <v>39</v>
      </c>
      <c r="O48" s="11">
        <f t="shared" si="5"/>
        <v>7</v>
      </c>
      <c r="P48" s="11">
        <f t="shared" si="6"/>
        <v>4</v>
      </c>
      <c r="Q48" s="12" t="str" cm="1">
        <f t="array" ref="Q48">INDEX('ClinicalStage-ConceptMap'!$H$10:$L$264,O48+1,P48)</f>
        <v>//-- unmatched</v>
      </c>
    </row>
    <row r="49" spans="14:17">
      <c r="N49" s="11">
        <v>40</v>
      </c>
      <c r="O49" s="11">
        <f t="shared" si="5"/>
        <v>7</v>
      </c>
      <c r="P49" s="11">
        <f t="shared" si="6"/>
        <v>5</v>
      </c>
      <c r="Q49" s="12" t="str" cm="1">
        <f t="array" ref="Q49">INDEX('ClinicalStage-ConceptMap'!$H$10:$L$264,O49+1,P49)</f>
        <v>* group[=].element[=].target.equivalence = #unmatched</v>
      </c>
    </row>
    <row r="50" spans="14:17">
      <c r="N50" s="11">
        <v>41</v>
      </c>
      <c r="O50" s="11">
        <f t="shared" si="5"/>
        <v>8</v>
      </c>
      <c r="P50" s="11">
        <f t="shared" si="6"/>
        <v>1</v>
      </c>
      <c r="Q50" s="12" cm="1">
        <f t="array" ref="Q50">INDEX('ClinicalStage-ConceptMap'!$H$10:$L$264,O50+1,P50)</f>
        <v>0</v>
      </c>
    </row>
    <row r="51" spans="14:17">
      <c r="N51" s="11">
        <v>42</v>
      </c>
      <c r="O51" s="11">
        <f t="shared" si="5"/>
        <v>8</v>
      </c>
      <c r="P51" s="11">
        <f t="shared" si="6"/>
        <v>2</v>
      </c>
      <c r="Q51" s="12" cm="1">
        <f t="array" ref="Q51">INDEX('ClinicalStage-ConceptMap'!$H$10:$L$264,O51+1,P51)</f>
        <v>0</v>
      </c>
    </row>
    <row r="52" spans="14:17">
      <c r="N52" s="11">
        <v>43</v>
      </c>
      <c r="O52" s="11">
        <f t="shared" si="5"/>
        <v>8</v>
      </c>
      <c r="P52" s="11">
        <f t="shared" si="6"/>
        <v>3</v>
      </c>
      <c r="Q52" s="12" cm="1">
        <f t="array" ref="Q52">INDEX('ClinicalStage-ConceptMap'!$H$10:$L$264,O52+1,P52)</f>
        <v>0</v>
      </c>
    </row>
    <row r="53" spans="14:17">
      <c r="N53" s="11">
        <v>44</v>
      </c>
      <c r="O53" s="11">
        <f t="shared" si="5"/>
        <v>8</v>
      </c>
      <c r="P53" s="11">
        <f t="shared" si="6"/>
        <v>4</v>
      </c>
      <c r="Q53" s="12" cm="1">
        <f t="array" ref="Q53">INDEX('ClinicalStage-ConceptMap'!$H$10:$L$264,O53+1,P53)</f>
        <v>0</v>
      </c>
    </row>
    <row r="54" spans="14:17">
      <c r="N54" s="11">
        <v>45</v>
      </c>
      <c r="O54" s="11">
        <f t="shared" si="5"/>
        <v>8</v>
      </c>
      <c r="P54" s="11">
        <f t="shared" si="6"/>
        <v>5</v>
      </c>
      <c r="Q54" s="12" cm="1">
        <f t="array" ref="Q54">INDEX('ClinicalStage-ConceptMap'!$H$10:$L$264,O54+1,P54)</f>
        <v>0</v>
      </c>
    </row>
    <row r="55" spans="14:17">
      <c r="N55" s="11">
        <v>46</v>
      </c>
      <c r="O55" s="11">
        <f t="shared" si="5"/>
        <v>9</v>
      </c>
      <c r="P55" s="11">
        <f t="shared" si="6"/>
        <v>1</v>
      </c>
      <c r="Q55" s="12" cm="1">
        <f t="array" ref="Q55">INDEX('ClinicalStage-ConceptMap'!$H$10:$L$264,O55+1,P55)</f>
        <v>0</v>
      </c>
    </row>
    <row r="56" spans="14:17">
      <c r="N56" s="11">
        <v>47</v>
      </c>
      <c r="O56" s="11">
        <f t="shared" si="5"/>
        <v>9</v>
      </c>
      <c r="P56" s="11">
        <f t="shared" si="6"/>
        <v>2</v>
      </c>
      <c r="Q56" s="12" cm="1">
        <f t="array" ref="Q56">INDEX('ClinicalStage-ConceptMap'!$H$10:$L$264,O56+1,P56)</f>
        <v>0</v>
      </c>
    </row>
    <row r="57" spans="14:17">
      <c r="N57" s="11">
        <v>48</v>
      </c>
      <c r="O57" s="11">
        <f t="shared" si="5"/>
        <v>9</v>
      </c>
      <c r="P57" s="11">
        <f t="shared" si="6"/>
        <v>3</v>
      </c>
      <c r="Q57" s="12" cm="1">
        <f t="array" ref="Q57">INDEX('ClinicalStage-ConceptMap'!$H$10:$L$264,O57+1,P57)</f>
        <v>0</v>
      </c>
    </row>
    <row r="58" spans="14:17">
      <c r="N58" s="11">
        <v>49</v>
      </c>
      <c r="O58" s="11">
        <f t="shared" si="5"/>
        <v>9</v>
      </c>
      <c r="P58" s="11">
        <f t="shared" si="6"/>
        <v>4</v>
      </c>
      <c r="Q58" s="12" cm="1">
        <f t="array" ref="Q58">INDEX('ClinicalStage-ConceptMap'!$H$10:$L$264,O58+1,P58)</f>
        <v>0</v>
      </c>
    </row>
    <row r="59" spans="14:17">
      <c r="N59" s="11">
        <v>50</v>
      </c>
      <c r="O59" s="11">
        <f t="shared" si="5"/>
        <v>9</v>
      </c>
      <c r="P59" s="11">
        <f t="shared" si="6"/>
        <v>5</v>
      </c>
      <c r="Q59" s="12" cm="1">
        <f t="array" ref="Q59">INDEX('ClinicalStage-ConceptMap'!$H$10:$L$264,O59+1,P59)</f>
        <v>0</v>
      </c>
    </row>
    <row r="60" spans="14:17">
      <c r="N60" s="11">
        <v>51</v>
      </c>
      <c r="O60" s="11">
        <f t="shared" si="5"/>
        <v>10</v>
      </c>
      <c r="P60" s="11">
        <f t="shared" si="6"/>
        <v>1</v>
      </c>
      <c r="Q60" s="12" cm="1">
        <f t="array" ref="Q60">INDEX('ClinicalStage-ConceptMap'!$H$10:$L$264,O60+1,P60)</f>
        <v>0</v>
      </c>
    </row>
    <row r="61" spans="14:17">
      <c r="N61" s="11">
        <v>52</v>
      </c>
      <c r="O61" s="11">
        <f t="shared" si="5"/>
        <v>10</v>
      </c>
      <c r="P61" s="11">
        <f t="shared" si="6"/>
        <v>2</v>
      </c>
      <c r="Q61" s="12" cm="1">
        <f t="array" ref="Q61">INDEX('ClinicalStage-ConceptMap'!$H$10:$L$264,O61+1,P61)</f>
        <v>0</v>
      </c>
    </row>
    <row r="62" spans="14:17">
      <c r="N62" s="11">
        <v>53</v>
      </c>
      <c r="O62" s="11">
        <f t="shared" si="5"/>
        <v>10</v>
      </c>
      <c r="P62" s="11">
        <f t="shared" si="6"/>
        <v>3</v>
      </c>
      <c r="Q62" s="12" cm="1">
        <f t="array" ref="Q62">INDEX('ClinicalStage-ConceptMap'!$H$10:$L$264,O62+1,P62)</f>
        <v>0</v>
      </c>
    </row>
    <row r="63" spans="14:17">
      <c r="N63" s="11">
        <v>54</v>
      </c>
      <c r="O63" s="11">
        <f t="shared" si="5"/>
        <v>10</v>
      </c>
      <c r="P63" s="11">
        <f t="shared" si="6"/>
        <v>4</v>
      </c>
      <c r="Q63" s="12" cm="1">
        <f t="array" ref="Q63">INDEX('ClinicalStage-ConceptMap'!$H$10:$L$264,O63+1,P63)</f>
        <v>0</v>
      </c>
    </row>
    <row r="64" spans="14:17">
      <c r="N64" s="11">
        <v>55</v>
      </c>
      <c r="O64" s="11">
        <f t="shared" si="5"/>
        <v>10</v>
      </c>
      <c r="P64" s="11">
        <f t="shared" si="6"/>
        <v>5</v>
      </c>
      <c r="Q64" s="12" cm="1">
        <f t="array" ref="Q64">INDEX('ClinicalStage-ConceptMap'!$H$10:$L$264,O64+1,P64)</f>
        <v>0</v>
      </c>
    </row>
    <row r="65" spans="14:17">
      <c r="N65" s="11">
        <v>56</v>
      </c>
      <c r="O65" s="11">
        <f t="shared" si="5"/>
        <v>11</v>
      </c>
      <c r="P65" s="11">
        <f t="shared" si="6"/>
        <v>1</v>
      </c>
      <c r="Q65" s="12" cm="1">
        <f t="array" ref="Q65">INDEX('ClinicalStage-ConceptMap'!$H$10:$L$264,O65+1,P65)</f>
        <v>0</v>
      </c>
    </row>
    <row r="66" spans="14:17">
      <c r="N66" s="11">
        <v>57</v>
      </c>
      <c r="O66" s="11">
        <f t="shared" si="5"/>
        <v>11</v>
      </c>
      <c r="P66" s="11">
        <f t="shared" si="6"/>
        <v>2</v>
      </c>
      <c r="Q66" s="12" cm="1">
        <f t="array" ref="Q66">INDEX('ClinicalStage-ConceptMap'!$H$10:$L$264,O66+1,P66)</f>
        <v>0</v>
      </c>
    </row>
    <row r="67" spans="14:17">
      <c r="N67" s="11">
        <v>58</v>
      </c>
      <c r="O67" s="11">
        <f t="shared" si="5"/>
        <v>11</v>
      </c>
      <c r="P67" s="11">
        <f t="shared" si="6"/>
        <v>3</v>
      </c>
      <c r="Q67" s="12" cm="1">
        <f t="array" ref="Q67">INDEX('ClinicalStage-ConceptMap'!$H$10:$L$264,O67+1,P67)</f>
        <v>0</v>
      </c>
    </row>
    <row r="68" spans="14:17">
      <c r="N68" s="11">
        <v>59</v>
      </c>
      <c r="O68" s="11">
        <f t="shared" si="5"/>
        <v>11</v>
      </c>
      <c r="P68" s="11">
        <f t="shared" si="6"/>
        <v>4</v>
      </c>
      <c r="Q68" s="12" cm="1">
        <f t="array" ref="Q68">INDEX('ClinicalStage-ConceptMap'!$H$10:$L$264,O68+1,P68)</f>
        <v>0</v>
      </c>
    </row>
    <row r="69" spans="14:17">
      <c r="N69" s="11">
        <v>60</v>
      </c>
      <c r="O69" s="11">
        <f t="shared" si="5"/>
        <v>11</v>
      </c>
      <c r="P69" s="11">
        <f t="shared" si="6"/>
        <v>5</v>
      </c>
      <c r="Q69" s="12" cm="1">
        <f t="array" ref="Q69">INDEX('ClinicalStage-ConceptMap'!$H$10:$L$264,O69+1,P69)</f>
        <v>0</v>
      </c>
    </row>
    <row r="70" spans="14:17">
      <c r="N70" s="11">
        <v>61</v>
      </c>
      <c r="O70" s="11">
        <f t="shared" si="5"/>
        <v>12</v>
      </c>
      <c r="P70" s="11">
        <f t="shared" si="6"/>
        <v>1</v>
      </c>
      <c r="Q70" s="12" cm="1">
        <f t="array" ref="Q70">INDEX('ClinicalStage-ConceptMap'!$H$10:$L$264,O70+1,P70)</f>
        <v>0</v>
      </c>
    </row>
    <row r="71" spans="14:17">
      <c r="N71" s="11">
        <v>62</v>
      </c>
      <c r="O71" s="11">
        <f t="shared" si="5"/>
        <v>12</v>
      </c>
      <c r="P71" s="11">
        <f t="shared" si="6"/>
        <v>2</v>
      </c>
      <c r="Q71" s="12" cm="1">
        <f t="array" ref="Q71">INDEX('ClinicalStage-ConceptMap'!$H$10:$L$264,O71+1,P71)</f>
        <v>0</v>
      </c>
    </row>
    <row r="72" spans="14:17">
      <c r="N72" s="11">
        <v>63</v>
      </c>
      <c r="O72" s="11">
        <f t="shared" si="5"/>
        <v>12</v>
      </c>
      <c r="P72" s="11">
        <f t="shared" si="6"/>
        <v>3</v>
      </c>
      <c r="Q72" s="12" cm="1">
        <f t="array" ref="Q72">INDEX('ClinicalStage-ConceptMap'!$H$10:$L$264,O72+1,P72)</f>
        <v>0</v>
      </c>
    </row>
    <row r="73" spans="14:17">
      <c r="N73" s="11">
        <v>64</v>
      </c>
      <c r="O73" s="11">
        <f t="shared" si="5"/>
        <v>12</v>
      </c>
      <c r="P73" s="11">
        <f t="shared" si="6"/>
        <v>4</v>
      </c>
      <c r="Q73" s="12" cm="1">
        <f t="array" ref="Q73">INDEX('ClinicalStage-ConceptMap'!$H$10:$L$264,O73+1,P73)</f>
        <v>0</v>
      </c>
    </row>
    <row r="74" spans="14:17">
      <c r="N74" s="11">
        <v>65</v>
      </c>
      <c r="O74" s="11">
        <f t="shared" si="5"/>
        <v>12</v>
      </c>
      <c r="P74" s="11">
        <f t="shared" si="6"/>
        <v>5</v>
      </c>
      <c r="Q74" s="12" cm="1">
        <f t="array" ref="Q74">INDEX('ClinicalStage-ConceptMap'!$H$10:$L$264,O74+1,P74)</f>
        <v>0</v>
      </c>
    </row>
    <row r="75" spans="14:17">
      <c r="N75" s="11">
        <v>66</v>
      </c>
      <c r="O75" s="11">
        <f t="shared" ref="O75:O138" si="7">IF(MOD(N75,$O$3)=0,N75/$O$3-1,INT(N75/$O$3))</f>
        <v>13</v>
      </c>
      <c r="P75" s="11">
        <f t="shared" ref="P75:P138" si="8">IF(MOD(N75,$O$3)=0,$O$3,MOD(N75,$O$3))</f>
        <v>1</v>
      </c>
      <c r="Q75" s="12" cm="1">
        <f t="array" ref="Q75">INDEX('ClinicalStage-ConceptMap'!$H$10:$L$264,O75+1,P75)</f>
        <v>0</v>
      </c>
    </row>
    <row r="76" spans="14:17">
      <c r="N76" s="11">
        <v>67</v>
      </c>
      <c r="O76" s="11">
        <f t="shared" si="7"/>
        <v>13</v>
      </c>
      <c r="P76" s="11">
        <f t="shared" si="8"/>
        <v>2</v>
      </c>
      <c r="Q76" s="12" cm="1">
        <f t="array" ref="Q76">INDEX('ClinicalStage-ConceptMap'!$H$10:$L$264,O76+1,P76)</f>
        <v>0</v>
      </c>
    </row>
    <row r="77" spans="14:17">
      <c r="N77" s="11">
        <v>68</v>
      </c>
      <c r="O77" s="11">
        <f t="shared" si="7"/>
        <v>13</v>
      </c>
      <c r="P77" s="11">
        <f t="shared" si="8"/>
        <v>3</v>
      </c>
      <c r="Q77" s="12" cm="1">
        <f t="array" ref="Q77">INDEX('ClinicalStage-ConceptMap'!$H$10:$L$264,O77+1,P77)</f>
        <v>0</v>
      </c>
    </row>
    <row r="78" spans="14:17">
      <c r="N78" s="11">
        <v>69</v>
      </c>
      <c r="O78" s="11">
        <f t="shared" si="7"/>
        <v>13</v>
      </c>
      <c r="P78" s="11">
        <f t="shared" si="8"/>
        <v>4</v>
      </c>
      <c r="Q78" s="12" cm="1">
        <f t="array" ref="Q78">INDEX('ClinicalStage-ConceptMap'!$H$10:$L$264,O78+1,P78)</f>
        <v>0</v>
      </c>
    </row>
    <row r="79" spans="14:17">
      <c r="N79" s="11">
        <v>70</v>
      </c>
      <c r="O79" s="11">
        <f t="shared" si="7"/>
        <v>13</v>
      </c>
      <c r="P79" s="11">
        <f t="shared" si="8"/>
        <v>5</v>
      </c>
      <c r="Q79" s="12" cm="1">
        <f t="array" ref="Q79">INDEX('ClinicalStage-ConceptMap'!$H$10:$L$264,O79+1,P79)</f>
        <v>0</v>
      </c>
    </row>
    <row r="80" spans="14:17">
      <c r="N80" s="11">
        <v>71</v>
      </c>
      <c r="O80" s="11">
        <f t="shared" si="7"/>
        <v>14</v>
      </c>
      <c r="P80" s="11">
        <f t="shared" si="8"/>
        <v>1</v>
      </c>
      <c r="Q80" s="12" cm="1">
        <f t="array" ref="Q80">INDEX('ClinicalStage-ConceptMap'!$H$10:$L$264,O80+1,P80)</f>
        <v>0</v>
      </c>
    </row>
    <row r="81" spans="14:17">
      <c r="N81" s="11">
        <v>72</v>
      </c>
      <c r="O81" s="11">
        <f t="shared" si="7"/>
        <v>14</v>
      </c>
      <c r="P81" s="11">
        <f t="shared" si="8"/>
        <v>2</v>
      </c>
      <c r="Q81" s="12" cm="1">
        <f t="array" ref="Q81">INDEX('ClinicalStage-ConceptMap'!$H$10:$L$264,O81+1,P81)</f>
        <v>0</v>
      </c>
    </row>
    <row r="82" spans="14:17">
      <c r="N82" s="11">
        <v>73</v>
      </c>
      <c r="O82" s="11">
        <f t="shared" si="7"/>
        <v>14</v>
      </c>
      <c r="P82" s="11">
        <f t="shared" si="8"/>
        <v>3</v>
      </c>
      <c r="Q82" s="12" cm="1">
        <f t="array" ref="Q82">INDEX('ClinicalStage-ConceptMap'!$H$10:$L$264,O82+1,P82)</f>
        <v>0</v>
      </c>
    </row>
    <row r="83" spans="14:17">
      <c r="N83" s="11">
        <v>74</v>
      </c>
      <c r="O83" s="11">
        <f t="shared" si="7"/>
        <v>14</v>
      </c>
      <c r="P83" s="11">
        <f t="shared" si="8"/>
        <v>4</v>
      </c>
      <c r="Q83" s="12" cm="1">
        <f t="array" ref="Q83">INDEX('ClinicalStage-ConceptMap'!$H$10:$L$264,O83+1,P83)</f>
        <v>0</v>
      </c>
    </row>
    <row r="84" spans="14:17">
      <c r="N84" s="11">
        <v>75</v>
      </c>
      <c r="O84" s="11">
        <f t="shared" si="7"/>
        <v>14</v>
      </c>
      <c r="P84" s="11">
        <f t="shared" si="8"/>
        <v>5</v>
      </c>
      <c r="Q84" s="12" cm="1">
        <f t="array" ref="Q84">INDEX('ClinicalStage-ConceptMap'!$H$10:$L$264,O84+1,P84)</f>
        <v>0</v>
      </c>
    </row>
    <row r="85" spans="14:17">
      <c r="N85" s="11">
        <v>76</v>
      </c>
      <c r="O85" s="11">
        <f t="shared" si="7"/>
        <v>15</v>
      </c>
      <c r="P85" s="11">
        <f t="shared" si="8"/>
        <v>1</v>
      </c>
      <c r="Q85" s="12" cm="1">
        <f t="array" ref="Q85">INDEX('ClinicalStage-ConceptMap'!$H$10:$L$264,O85+1,P85)</f>
        <v>0</v>
      </c>
    </row>
    <row r="86" spans="14:17">
      <c r="N86" s="11">
        <v>77</v>
      </c>
      <c r="O86" s="11">
        <f t="shared" si="7"/>
        <v>15</v>
      </c>
      <c r="P86" s="11">
        <f t="shared" si="8"/>
        <v>2</v>
      </c>
      <c r="Q86" s="12" cm="1">
        <f t="array" ref="Q86">INDEX('ClinicalStage-ConceptMap'!$H$10:$L$264,O86+1,P86)</f>
        <v>0</v>
      </c>
    </row>
    <row r="87" spans="14:17">
      <c r="N87" s="11">
        <v>78</v>
      </c>
      <c r="O87" s="11">
        <f t="shared" si="7"/>
        <v>15</v>
      </c>
      <c r="P87" s="11">
        <f t="shared" si="8"/>
        <v>3</v>
      </c>
      <c r="Q87" s="12" cm="1">
        <f t="array" ref="Q87">INDEX('ClinicalStage-ConceptMap'!$H$10:$L$264,O87+1,P87)</f>
        <v>0</v>
      </c>
    </row>
    <row r="88" spans="14:17">
      <c r="N88" s="11">
        <v>79</v>
      </c>
      <c r="O88" s="11">
        <f t="shared" si="7"/>
        <v>15</v>
      </c>
      <c r="P88" s="11">
        <f t="shared" si="8"/>
        <v>4</v>
      </c>
      <c r="Q88" s="12" cm="1">
        <f t="array" ref="Q88">INDEX('ClinicalStage-ConceptMap'!$H$10:$L$264,O88+1,P88)</f>
        <v>0</v>
      </c>
    </row>
    <row r="89" spans="14:17">
      <c r="N89" s="11">
        <v>80</v>
      </c>
      <c r="O89" s="11">
        <f t="shared" si="7"/>
        <v>15</v>
      </c>
      <c r="P89" s="11">
        <f t="shared" si="8"/>
        <v>5</v>
      </c>
      <c r="Q89" s="12" cm="1">
        <f t="array" ref="Q89">INDEX('ClinicalStage-ConceptMap'!$H$10:$L$264,O89+1,P89)</f>
        <v>0</v>
      </c>
    </row>
    <row r="90" spans="14:17">
      <c r="N90" s="11">
        <v>81</v>
      </c>
      <c r="O90" s="11">
        <f t="shared" si="7"/>
        <v>16</v>
      </c>
      <c r="P90" s="11">
        <f t="shared" si="8"/>
        <v>1</v>
      </c>
      <c r="Q90" s="12" cm="1">
        <f t="array" ref="Q90">INDEX('ClinicalStage-ConceptMap'!$H$10:$L$264,O90+1,P90)</f>
        <v>0</v>
      </c>
    </row>
    <row r="91" spans="14:17">
      <c r="N91" s="11">
        <v>82</v>
      </c>
      <c r="O91" s="11">
        <f t="shared" si="7"/>
        <v>16</v>
      </c>
      <c r="P91" s="11">
        <f t="shared" si="8"/>
        <v>2</v>
      </c>
      <c r="Q91" s="12" cm="1">
        <f t="array" ref="Q91">INDEX('ClinicalStage-ConceptMap'!$H$10:$L$264,O91+1,P91)</f>
        <v>0</v>
      </c>
    </row>
    <row r="92" spans="14:17">
      <c r="N92" s="11">
        <v>83</v>
      </c>
      <c r="O92" s="11">
        <f t="shared" si="7"/>
        <v>16</v>
      </c>
      <c r="P92" s="11">
        <f t="shared" si="8"/>
        <v>3</v>
      </c>
      <c r="Q92" s="12" cm="1">
        <f t="array" ref="Q92">INDEX('ClinicalStage-ConceptMap'!$H$10:$L$264,O92+1,P92)</f>
        <v>0</v>
      </c>
    </row>
    <row r="93" spans="14:17">
      <c r="N93" s="11">
        <v>84</v>
      </c>
      <c r="O93" s="11">
        <f t="shared" si="7"/>
        <v>16</v>
      </c>
      <c r="P93" s="11">
        <f t="shared" si="8"/>
        <v>4</v>
      </c>
      <c r="Q93" s="12" cm="1">
        <f t="array" ref="Q93">INDEX('ClinicalStage-ConceptMap'!$H$10:$L$264,O93+1,P93)</f>
        <v>0</v>
      </c>
    </row>
    <row r="94" spans="14:17">
      <c r="N94" s="11">
        <v>85</v>
      </c>
      <c r="O94" s="11">
        <f t="shared" si="7"/>
        <v>16</v>
      </c>
      <c r="P94" s="11">
        <f t="shared" si="8"/>
        <v>5</v>
      </c>
      <c r="Q94" s="12" cm="1">
        <f t="array" ref="Q94">INDEX('ClinicalStage-ConceptMap'!$H$10:$L$264,O94+1,P94)</f>
        <v>0</v>
      </c>
    </row>
    <row r="95" spans="14:17">
      <c r="N95" s="11">
        <v>86</v>
      </c>
      <c r="O95" s="11">
        <f t="shared" si="7"/>
        <v>17</v>
      </c>
      <c r="P95" s="11">
        <f t="shared" si="8"/>
        <v>1</v>
      </c>
      <c r="Q95" s="12" cm="1">
        <f t="array" ref="Q95">INDEX('ClinicalStage-ConceptMap'!$H$10:$L$264,O95+1,P95)</f>
        <v>0</v>
      </c>
    </row>
    <row r="96" spans="14:17">
      <c r="N96" s="11">
        <v>87</v>
      </c>
      <c r="O96" s="11">
        <f t="shared" si="7"/>
        <v>17</v>
      </c>
      <c r="P96" s="11">
        <f t="shared" si="8"/>
        <v>2</v>
      </c>
      <c r="Q96" s="12" cm="1">
        <f t="array" ref="Q96">INDEX('ClinicalStage-ConceptMap'!$H$10:$L$264,O96+1,P96)</f>
        <v>0</v>
      </c>
    </row>
    <row r="97" spans="14:17">
      <c r="N97" s="11">
        <v>88</v>
      </c>
      <c r="O97" s="11">
        <f t="shared" si="7"/>
        <v>17</v>
      </c>
      <c r="P97" s="11">
        <f t="shared" si="8"/>
        <v>3</v>
      </c>
      <c r="Q97" s="12" cm="1">
        <f t="array" ref="Q97">INDEX('ClinicalStage-ConceptMap'!$H$10:$L$264,O97+1,P97)</f>
        <v>0</v>
      </c>
    </row>
    <row r="98" spans="14:17">
      <c r="N98" s="11">
        <v>89</v>
      </c>
      <c r="O98" s="11">
        <f t="shared" si="7"/>
        <v>17</v>
      </c>
      <c r="P98" s="11">
        <f t="shared" si="8"/>
        <v>4</v>
      </c>
      <c r="Q98" s="12" cm="1">
        <f t="array" ref="Q98">INDEX('ClinicalStage-ConceptMap'!$H$10:$L$264,O98+1,P98)</f>
        <v>0</v>
      </c>
    </row>
    <row r="99" spans="14:17">
      <c r="N99" s="11">
        <v>90</v>
      </c>
      <c r="O99" s="11">
        <f t="shared" si="7"/>
        <v>17</v>
      </c>
      <c r="P99" s="11">
        <f t="shared" si="8"/>
        <v>5</v>
      </c>
      <c r="Q99" s="12" cm="1">
        <f t="array" ref="Q99">INDEX('ClinicalStage-ConceptMap'!$H$10:$L$264,O99+1,P99)</f>
        <v>0</v>
      </c>
    </row>
    <row r="100" spans="14:17">
      <c r="N100" s="11">
        <v>91</v>
      </c>
      <c r="O100" s="11">
        <f t="shared" si="7"/>
        <v>18</v>
      </c>
      <c r="P100" s="11">
        <f t="shared" si="8"/>
        <v>1</v>
      </c>
      <c r="Q100" s="12" cm="1">
        <f t="array" ref="Q100">INDEX('ClinicalStage-ConceptMap'!$H$10:$L$264,O100+1,P100)</f>
        <v>0</v>
      </c>
    </row>
    <row r="101" spans="14:17">
      <c r="N101" s="11">
        <v>92</v>
      </c>
      <c r="O101" s="11">
        <f t="shared" si="7"/>
        <v>18</v>
      </c>
      <c r="P101" s="11">
        <f t="shared" si="8"/>
        <v>2</v>
      </c>
      <c r="Q101" s="12" cm="1">
        <f t="array" ref="Q101">INDEX('ClinicalStage-ConceptMap'!U85:Y339,1+O101,P101)</f>
        <v>0</v>
      </c>
    </row>
    <row r="102" spans="14:17">
      <c r="N102" s="11">
        <v>93</v>
      </c>
      <c r="O102" s="11">
        <f t="shared" si="7"/>
        <v>18</v>
      </c>
      <c r="P102" s="11">
        <f t="shared" si="8"/>
        <v>3</v>
      </c>
      <c r="Q102" s="12" cm="1">
        <f t="array" ref="Q102">INDEX('ClinicalStage-ConceptMap'!U86:Y340,1+O102,P102)</f>
        <v>0</v>
      </c>
    </row>
    <row r="103" spans="14:17">
      <c r="N103" s="11">
        <v>94</v>
      </c>
      <c r="O103" s="11">
        <f t="shared" si="7"/>
        <v>18</v>
      </c>
      <c r="P103" s="11">
        <f t="shared" si="8"/>
        <v>4</v>
      </c>
      <c r="Q103" s="12" cm="1">
        <f t="array" ref="Q103">INDEX('ClinicalStage-ConceptMap'!U87:Y341,1+O103,P103)</f>
        <v>0</v>
      </c>
    </row>
    <row r="104" spans="14:17">
      <c r="N104" s="11">
        <v>95</v>
      </c>
      <c r="O104" s="11">
        <f t="shared" si="7"/>
        <v>18</v>
      </c>
      <c r="P104" s="11">
        <f t="shared" si="8"/>
        <v>5</v>
      </c>
      <c r="Q104" s="12" cm="1">
        <f t="array" ref="Q104">INDEX('ClinicalStage-ConceptMap'!U88:Y342,1+O104,P104)</f>
        <v>0</v>
      </c>
    </row>
    <row r="105" spans="14:17">
      <c r="N105" s="11">
        <v>96</v>
      </c>
      <c r="O105" s="11">
        <f t="shared" si="7"/>
        <v>19</v>
      </c>
      <c r="P105" s="11">
        <f t="shared" si="8"/>
        <v>1</v>
      </c>
      <c r="Q105" s="12" cm="1">
        <f t="array" ref="Q105">INDEX('ClinicalStage-ConceptMap'!U89:Y343,1+O105,P105)</f>
        <v>0</v>
      </c>
    </row>
    <row r="106" spans="14:17">
      <c r="N106" s="11">
        <v>97</v>
      </c>
      <c r="O106" s="11">
        <f t="shared" si="7"/>
        <v>19</v>
      </c>
      <c r="P106" s="11">
        <f t="shared" si="8"/>
        <v>2</v>
      </c>
      <c r="Q106" s="12" cm="1">
        <f t="array" ref="Q106">INDEX('ClinicalStage-ConceptMap'!U90:Y344,1+O106,P106)</f>
        <v>0</v>
      </c>
    </row>
    <row r="107" spans="14:17">
      <c r="N107" s="11">
        <v>98</v>
      </c>
      <c r="O107" s="11">
        <f t="shared" si="7"/>
        <v>19</v>
      </c>
      <c r="P107" s="11">
        <f t="shared" si="8"/>
        <v>3</v>
      </c>
      <c r="Q107" s="12" cm="1">
        <f t="array" ref="Q107">INDEX('ClinicalStage-ConceptMap'!U91:Y345,1+O107,P107)</f>
        <v>0</v>
      </c>
    </row>
    <row r="108" spans="14:17">
      <c r="N108" s="11">
        <v>99</v>
      </c>
      <c r="O108" s="11">
        <f t="shared" si="7"/>
        <v>19</v>
      </c>
      <c r="P108" s="11">
        <f t="shared" si="8"/>
        <v>4</v>
      </c>
      <c r="Q108" s="12" cm="1">
        <f t="array" ref="Q108">INDEX('ClinicalStage-ConceptMap'!U92:Y346,1+O108,P108)</f>
        <v>0</v>
      </c>
    </row>
    <row r="109" spans="14:17">
      <c r="N109" s="11">
        <v>100</v>
      </c>
      <c r="O109" s="11">
        <f t="shared" si="7"/>
        <v>19</v>
      </c>
      <c r="P109" s="11">
        <f t="shared" si="8"/>
        <v>5</v>
      </c>
      <c r="Q109" s="12" cm="1">
        <f t="array" ref="Q109">INDEX('ClinicalStage-ConceptMap'!U93:Y347,1+O109,P109)</f>
        <v>0</v>
      </c>
    </row>
    <row r="110" spans="14:17">
      <c r="N110" s="11">
        <v>101</v>
      </c>
      <c r="O110" s="11">
        <f t="shared" si="7"/>
        <v>20</v>
      </c>
      <c r="P110" s="11">
        <f t="shared" si="8"/>
        <v>1</v>
      </c>
      <c r="Q110" s="12" cm="1">
        <f t="array" ref="Q110">INDEX('ClinicalStage-ConceptMap'!U94:Y348,1+O110,P110)</f>
        <v>0</v>
      </c>
    </row>
    <row r="111" spans="14:17">
      <c r="N111" s="11">
        <v>102</v>
      </c>
      <c r="O111" s="11">
        <f t="shared" si="7"/>
        <v>20</v>
      </c>
      <c r="P111" s="11">
        <f t="shared" si="8"/>
        <v>2</v>
      </c>
      <c r="Q111" s="12" cm="1">
        <f t="array" ref="Q111">INDEX('ClinicalStage-ConceptMap'!U95:Y349,1+O111,P111)</f>
        <v>0</v>
      </c>
    </row>
    <row r="112" spans="14:17">
      <c r="N112" s="11">
        <v>103</v>
      </c>
      <c r="O112" s="11">
        <f t="shared" si="7"/>
        <v>20</v>
      </c>
      <c r="P112" s="11">
        <f t="shared" si="8"/>
        <v>3</v>
      </c>
      <c r="Q112" s="12" cm="1">
        <f t="array" ref="Q112">INDEX('ClinicalStage-ConceptMap'!U96:Y350,1+O112,P112)</f>
        <v>0</v>
      </c>
    </row>
    <row r="113" spans="14:17">
      <c r="N113" s="11">
        <v>104</v>
      </c>
      <c r="O113" s="11">
        <f t="shared" si="7"/>
        <v>20</v>
      </c>
      <c r="P113" s="11">
        <f t="shared" si="8"/>
        <v>4</v>
      </c>
      <c r="Q113" s="12" cm="1">
        <f t="array" ref="Q113">INDEX('ClinicalStage-ConceptMap'!U97:Y351,1+O113,P113)</f>
        <v>0</v>
      </c>
    </row>
    <row r="114" spans="14:17">
      <c r="N114" s="11">
        <v>105</v>
      </c>
      <c r="O114" s="11">
        <f t="shared" si="7"/>
        <v>20</v>
      </c>
      <c r="P114" s="11">
        <f t="shared" si="8"/>
        <v>5</v>
      </c>
      <c r="Q114" s="12" cm="1">
        <f t="array" ref="Q114">INDEX('ClinicalStage-ConceptMap'!U98:Y352,1+O114,P114)</f>
        <v>0</v>
      </c>
    </row>
    <row r="115" spans="14:17">
      <c r="N115" s="11">
        <v>106</v>
      </c>
      <c r="O115" s="11">
        <f t="shared" si="7"/>
        <v>21</v>
      </c>
      <c r="P115" s="11">
        <f t="shared" si="8"/>
        <v>1</v>
      </c>
      <c r="Q115" s="12" cm="1">
        <f t="array" ref="Q115">INDEX('ClinicalStage-ConceptMap'!U99:Y353,1+O115,P115)</f>
        <v>0</v>
      </c>
    </row>
    <row r="116" spans="14:17">
      <c r="N116" s="11">
        <v>107</v>
      </c>
      <c r="O116" s="11">
        <f t="shared" si="7"/>
        <v>21</v>
      </c>
      <c r="P116" s="11">
        <f t="shared" si="8"/>
        <v>2</v>
      </c>
      <c r="Q116" s="12" cm="1">
        <f t="array" ref="Q116">INDEX('ClinicalStage-ConceptMap'!U100:Y354,1+O116,P116)</f>
        <v>0</v>
      </c>
    </row>
    <row r="117" spans="14:17">
      <c r="N117" s="11">
        <v>108</v>
      </c>
      <c r="O117" s="11">
        <f t="shared" si="7"/>
        <v>21</v>
      </c>
      <c r="P117" s="11">
        <f t="shared" si="8"/>
        <v>3</v>
      </c>
      <c r="Q117" s="12" cm="1">
        <f t="array" ref="Q117">INDEX('ClinicalStage-ConceptMap'!U101:Y355,1+O117,P117)</f>
        <v>0</v>
      </c>
    </row>
    <row r="118" spans="14:17">
      <c r="N118" s="11">
        <v>109</v>
      </c>
      <c r="O118" s="11">
        <f t="shared" si="7"/>
        <v>21</v>
      </c>
      <c r="P118" s="11">
        <f t="shared" si="8"/>
        <v>4</v>
      </c>
      <c r="Q118" s="12" cm="1">
        <f t="array" ref="Q118">INDEX('ClinicalStage-ConceptMap'!U102:Y356,1+O118,P118)</f>
        <v>0</v>
      </c>
    </row>
    <row r="119" spans="14:17">
      <c r="N119" s="11">
        <v>110</v>
      </c>
      <c r="O119" s="11">
        <f t="shared" si="7"/>
        <v>21</v>
      </c>
      <c r="P119" s="11">
        <f t="shared" si="8"/>
        <v>5</v>
      </c>
      <c r="Q119" s="12" cm="1">
        <f t="array" ref="Q119">INDEX('ClinicalStage-ConceptMap'!U103:Y357,1+O119,P119)</f>
        <v>0</v>
      </c>
    </row>
    <row r="120" spans="14:17">
      <c r="N120" s="11">
        <v>111</v>
      </c>
      <c r="O120" s="11">
        <f t="shared" si="7"/>
        <v>22</v>
      </c>
      <c r="P120" s="11">
        <f t="shared" si="8"/>
        <v>1</v>
      </c>
      <c r="Q120" s="12" cm="1">
        <f t="array" ref="Q120">INDEX('ClinicalStage-ConceptMap'!U104:Y358,1+O120,P120)</f>
        <v>0</v>
      </c>
    </row>
    <row r="121" spans="14:17">
      <c r="N121" s="11">
        <v>112</v>
      </c>
      <c r="O121" s="11">
        <f t="shared" si="7"/>
        <v>22</v>
      </c>
      <c r="P121" s="11">
        <f t="shared" si="8"/>
        <v>2</v>
      </c>
      <c r="Q121" s="12" cm="1">
        <f t="array" ref="Q121">INDEX('ClinicalStage-ConceptMap'!U105:Y359,1+O121,P121)</f>
        <v>0</v>
      </c>
    </row>
    <row r="122" spans="14:17">
      <c r="N122" s="11">
        <v>113</v>
      </c>
      <c r="O122" s="11">
        <f t="shared" si="7"/>
        <v>22</v>
      </c>
      <c r="P122" s="11">
        <f t="shared" si="8"/>
        <v>3</v>
      </c>
      <c r="Q122" s="12" cm="1">
        <f t="array" ref="Q122">INDEX('ClinicalStage-ConceptMap'!U106:Y360,1+O122,P122)</f>
        <v>0</v>
      </c>
    </row>
    <row r="123" spans="14:17">
      <c r="N123" s="11">
        <v>114</v>
      </c>
      <c r="O123" s="11">
        <f t="shared" si="7"/>
        <v>22</v>
      </c>
      <c r="P123" s="11">
        <f t="shared" si="8"/>
        <v>4</v>
      </c>
      <c r="Q123" s="12" cm="1">
        <f t="array" ref="Q123">INDEX('ClinicalStage-ConceptMap'!U107:Y361,1+O123,P123)</f>
        <v>0</v>
      </c>
    </row>
    <row r="124" spans="14:17">
      <c r="N124" s="11">
        <v>115</v>
      </c>
      <c r="O124" s="11">
        <f t="shared" si="7"/>
        <v>22</v>
      </c>
      <c r="P124" s="11">
        <f t="shared" si="8"/>
        <v>5</v>
      </c>
      <c r="Q124" s="12" cm="1">
        <f t="array" ref="Q124">INDEX('ClinicalStage-ConceptMap'!U108:Y362,1+O124,P124)</f>
        <v>0</v>
      </c>
    </row>
    <row r="125" spans="14:17">
      <c r="N125" s="11">
        <v>116</v>
      </c>
      <c r="O125" s="11">
        <f t="shared" si="7"/>
        <v>23</v>
      </c>
      <c r="P125" s="11">
        <f t="shared" si="8"/>
        <v>1</v>
      </c>
      <c r="Q125" s="12" cm="1">
        <f t="array" ref="Q125">INDEX('ClinicalStage-ConceptMap'!U109:Y363,1+O125,P125)</f>
        <v>0</v>
      </c>
    </row>
    <row r="126" spans="14:17">
      <c r="N126" s="11">
        <v>117</v>
      </c>
      <c r="O126" s="11">
        <f t="shared" si="7"/>
        <v>23</v>
      </c>
      <c r="P126" s="11">
        <f t="shared" si="8"/>
        <v>2</v>
      </c>
      <c r="Q126" s="12" cm="1">
        <f t="array" ref="Q126">INDEX('ClinicalStage-ConceptMap'!U110:Y364,1+O126,P126)</f>
        <v>0</v>
      </c>
    </row>
    <row r="127" spans="14:17">
      <c r="N127" s="11">
        <v>118</v>
      </c>
      <c r="O127" s="11">
        <f t="shared" si="7"/>
        <v>23</v>
      </c>
      <c r="P127" s="11">
        <f t="shared" si="8"/>
        <v>3</v>
      </c>
      <c r="Q127" s="12" cm="1">
        <f t="array" ref="Q127">INDEX('ClinicalStage-ConceptMap'!U111:Y365,1+O127,P127)</f>
        <v>0</v>
      </c>
    </row>
    <row r="128" spans="14:17">
      <c r="N128" s="11">
        <v>119</v>
      </c>
      <c r="O128" s="11">
        <f t="shared" si="7"/>
        <v>23</v>
      </c>
      <c r="P128" s="11">
        <f t="shared" si="8"/>
        <v>4</v>
      </c>
      <c r="Q128" s="12" cm="1">
        <f t="array" ref="Q128">INDEX('ClinicalStage-ConceptMap'!U112:Y366,1+O128,P128)</f>
        <v>0</v>
      </c>
    </row>
    <row r="129" spans="14:17">
      <c r="N129" s="11">
        <v>120</v>
      </c>
      <c r="O129" s="11">
        <f t="shared" si="7"/>
        <v>23</v>
      </c>
      <c r="P129" s="11">
        <f t="shared" si="8"/>
        <v>5</v>
      </c>
      <c r="Q129" s="12" cm="1">
        <f t="array" ref="Q129">INDEX('ClinicalStage-ConceptMap'!U113:Y367,1+O129,P129)</f>
        <v>0</v>
      </c>
    </row>
    <row r="130" spans="14:17">
      <c r="N130" s="11">
        <v>121</v>
      </c>
      <c r="O130" s="11">
        <f t="shared" si="7"/>
        <v>24</v>
      </c>
      <c r="P130" s="11">
        <f t="shared" si="8"/>
        <v>1</v>
      </c>
      <c r="Q130" s="12" cm="1">
        <f t="array" ref="Q130">INDEX('ClinicalStage-ConceptMap'!U114:Y368,1+O130,P130)</f>
        <v>0</v>
      </c>
    </row>
    <row r="131" spans="14:17">
      <c r="N131" s="11">
        <v>122</v>
      </c>
      <c r="O131" s="11">
        <f t="shared" si="7"/>
        <v>24</v>
      </c>
      <c r="P131" s="11">
        <f t="shared" si="8"/>
        <v>2</v>
      </c>
      <c r="Q131" s="12" cm="1">
        <f t="array" ref="Q131">INDEX('ClinicalStage-ConceptMap'!U115:Y369,1+O131,P131)</f>
        <v>0</v>
      </c>
    </row>
    <row r="132" spans="14:17">
      <c r="N132" s="11">
        <v>123</v>
      </c>
      <c r="O132" s="11">
        <f t="shared" si="7"/>
        <v>24</v>
      </c>
      <c r="P132" s="11">
        <f t="shared" si="8"/>
        <v>3</v>
      </c>
      <c r="Q132" s="12" cm="1">
        <f t="array" ref="Q132">INDEX('ClinicalStage-ConceptMap'!U116:Y370,1+O132,P132)</f>
        <v>0</v>
      </c>
    </row>
    <row r="133" spans="14:17">
      <c r="N133" s="11">
        <v>124</v>
      </c>
      <c r="O133" s="11">
        <f t="shared" si="7"/>
        <v>24</v>
      </c>
      <c r="P133" s="11">
        <f t="shared" si="8"/>
        <v>4</v>
      </c>
      <c r="Q133" s="12" cm="1">
        <f t="array" ref="Q133">INDEX('ClinicalStage-ConceptMap'!U117:Y371,1+O133,P133)</f>
        <v>0</v>
      </c>
    </row>
    <row r="134" spans="14:17">
      <c r="N134" s="11">
        <v>125</v>
      </c>
      <c r="O134" s="11">
        <f t="shared" si="7"/>
        <v>24</v>
      </c>
      <c r="P134" s="11">
        <f t="shared" si="8"/>
        <v>5</v>
      </c>
      <c r="Q134" s="12" cm="1">
        <f t="array" ref="Q134">INDEX('ClinicalStage-ConceptMap'!U118:Y372,1+O134,P134)</f>
        <v>0</v>
      </c>
    </row>
    <row r="135" spans="14:17">
      <c r="N135" s="11">
        <v>126</v>
      </c>
      <c r="O135" s="11">
        <f t="shared" si="7"/>
        <v>25</v>
      </c>
      <c r="P135" s="11">
        <f t="shared" si="8"/>
        <v>1</v>
      </c>
      <c r="Q135" s="12" cm="1">
        <f t="array" ref="Q135">INDEX('ClinicalStage-ConceptMap'!U119:Y373,1+O135,P135)</f>
        <v>0</v>
      </c>
    </row>
    <row r="136" spans="14:17">
      <c r="N136" s="11">
        <v>127</v>
      </c>
      <c r="O136" s="11">
        <f t="shared" si="7"/>
        <v>25</v>
      </c>
      <c r="P136" s="11">
        <f t="shared" si="8"/>
        <v>2</v>
      </c>
      <c r="Q136" s="12" cm="1">
        <f t="array" ref="Q136">INDEX('ClinicalStage-ConceptMap'!U120:Y374,1+O136,P136)</f>
        <v>0</v>
      </c>
    </row>
    <row r="137" spans="14:17">
      <c r="N137" s="11">
        <v>128</v>
      </c>
      <c r="O137" s="11">
        <f t="shared" si="7"/>
        <v>25</v>
      </c>
      <c r="P137" s="11">
        <f t="shared" si="8"/>
        <v>3</v>
      </c>
      <c r="Q137" s="12" cm="1">
        <f t="array" ref="Q137">INDEX('ClinicalStage-ConceptMap'!U121:Y375,1+O137,P137)</f>
        <v>0</v>
      </c>
    </row>
    <row r="138" spans="14:17">
      <c r="N138" s="11">
        <v>129</v>
      </c>
      <c r="O138" s="11">
        <f t="shared" si="7"/>
        <v>25</v>
      </c>
      <c r="P138" s="11">
        <f t="shared" si="8"/>
        <v>4</v>
      </c>
      <c r="Q138" s="12" cm="1">
        <f t="array" ref="Q138">INDEX('ClinicalStage-ConceptMap'!U122:Y376,1+O138,P138)</f>
        <v>0</v>
      </c>
    </row>
    <row r="139" spans="14:17">
      <c r="N139" s="11">
        <v>130</v>
      </c>
      <c r="O139" s="11">
        <f t="shared" ref="O139:O184" si="9">IF(MOD(N139,$O$3)=0,N139/$O$3-1,INT(N139/$O$3))</f>
        <v>25</v>
      </c>
      <c r="P139" s="11">
        <f t="shared" ref="P139:P184" si="10">IF(MOD(N139,$O$3)=0,$O$3,MOD(N139,$O$3))</f>
        <v>5</v>
      </c>
      <c r="Q139" s="12" cm="1">
        <f t="array" ref="Q139">INDEX('ClinicalStage-ConceptMap'!U123:Y377,1+O139,P139)</f>
        <v>0</v>
      </c>
    </row>
    <row r="140" spans="14:17">
      <c r="N140" s="11">
        <v>131</v>
      </c>
      <c r="O140" s="11">
        <f t="shared" si="9"/>
        <v>26</v>
      </c>
      <c r="P140" s="11">
        <f t="shared" si="10"/>
        <v>1</v>
      </c>
      <c r="Q140" s="12" cm="1">
        <f t="array" ref="Q140">INDEX('ClinicalStage-ConceptMap'!U124:Y378,1+O140,P140)</f>
        <v>0</v>
      </c>
    </row>
    <row r="141" spans="14:17">
      <c r="N141" s="11">
        <v>132</v>
      </c>
      <c r="O141" s="11">
        <f t="shared" si="9"/>
        <v>26</v>
      </c>
      <c r="P141" s="11">
        <f t="shared" si="10"/>
        <v>2</v>
      </c>
      <c r="Q141" s="12" cm="1">
        <f t="array" ref="Q141">INDEX('ClinicalStage-ConceptMap'!U125:Y379,1+O141,P141)</f>
        <v>0</v>
      </c>
    </row>
    <row r="142" spans="14:17">
      <c r="N142" s="11">
        <v>133</v>
      </c>
      <c r="O142" s="11">
        <f t="shared" si="9"/>
        <v>26</v>
      </c>
      <c r="P142" s="11">
        <f t="shared" si="10"/>
        <v>3</v>
      </c>
      <c r="Q142" s="12" cm="1">
        <f t="array" ref="Q142">INDEX('ClinicalStage-ConceptMap'!U126:Y380,1+O142,P142)</f>
        <v>0</v>
      </c>
    </row>
    <row r="143" spans="14:17">
      <c r="N143" s="11">
        <v>134</v>
      </c>
      <c r="O143" s="11">
        <f t="shared" si="9"/>
        <v>26</v>
      </c>
      <c r="P143" s="11">
        <f t="shared" si="10"/>
        <v>4</v>
      </c>
      <c r="Q143" s="12" cm="1">
        <f t="array" ref="Q143">INDEX('ClinicalStage-ConceptMap'!U127:Y381,1+O143,P143)</f>
        <v>0</v>
      </c>
    </row>
    <row r="144" spans="14:17">
      <c r="N144" s="11">
        <v>135</v>
      </c>
      <c r="O144" s="11">
        <f t="shared" si="9"/>
        <v>26</v>
      </c>
      <c r="P144" s="11">
        <f t="shared" si="10"/>
        <v>5</v>
      </c>
      <c r="Q144" s="12" cm="1">
        <f t="array" ref="Q144">INDEX('ClinicalStage-ConceptMap'!U128:Y382,1+O144,P144)</f>
        <v>0</v>
      </c>
    </row>
    <row r="145" spans="14:17">
      <c r="N145" s="11">
        <v>136</v>
      </c>
      <c r="O145" s="11">
        <f t="shared" si="9"/>
        <v>27</v>
      </c>
      <c r="P145" s="11">
        <f t="shared" si="10"/>
        <v>1</v>
      </c>
      <c r="Q145" s="12" cm="1">
        <f t="array" ref="Q145">INDEX('ClinicalStage-ConceptMap'!U129:Y383,1+O145,P145)</f>
        <v>0</v>
      </c>
    </row>
    <row r="146" spans="14:17">
      <c r="N146" s="11">
        <v>137</v>
      </c>
      <c r="O146" s="11">
        <f t="shared" si="9"/>
        <v>27</v>
      </c>
      <c r="P146" s="11">
        <f t="shared" si="10"/>
        <v>2</v>
      </c>
      <c r="Q146" s="12" cm="1">
        <f t="array" ref="Q146">INDEX('ClinicalStage-ConceptMap'!U130:Y384,1+O146,P146)</f>
        <v>0</v>
      </c>
    </row>
    <row r="147" spans="14:17">
      <c r="N147" s="11">
        <v>138</v>
      </c>
      <c r="O147" s="11">
        <f t="shared" si="9"/>
        <v>27</v>
      </c>
      <c r="P147" s="11">
        <f t="shared" si="10"/>
        <v>3</v>
      </c>
      <c r="Q147" s="12" cm="1">
        <f t="array" ref="Q147">INDEX('ClinicalStage-ConceptMap'!U131:Y385,1+O147,P147)</f>
        <v>0</v>
      </c>
    </row>
    <row r="148" spans="14:17">
      <c r="N148" s="11">
        <v>139</v>
      </c>
      <c r="O148" s="11">
        <f t="shared" si="9"/>
        <v>27</v>
      </c>
      <c r="P148" s="11">
        <f t="shared" si="10"/>
        <v>4</v>
      </c>
      <c r="Q148" s="12" cm="1">
        <f t="array" ref="Q148">INDEX('ClinicalStage-ConceptMap'!U132:Y386,1+O148,P148)</f>
        <v>0</v>
      </c>
    </row>
    <row r="149" spans="14:17">
      <c r="N149" s="11">
        <v>140</v>
      </c>
      <c r="O149" s="11">
        <f t="shared" si="9"/>
        <v>27</v>
      </c>
      <c r="P149" s="11">
        <f t="shared" si="10"/>
        <v>5</v>
      </c>
      <c r="Q149" s="12" cm="1">
        <f t="array" ref="Q149">INDEX('ClinicalStage-ConceptMap'!U133:Y387,1+O149,P149)</f>
        <v>0</v>
      </c>
    </row>
    <row r="150" spans="14:17">
      <c r="N150" s="11">
        <v>141</v>
      </c>
      <c r="O150" s="11">
        <f t="shared" si="9"/>
        <v>28</v>
      </c>
      <c r="P150" s="11">
        <f t="shared" si="10"/>
        <v>1</v>
      </c>
      <c r="Q150" s="12" cm="1">
        <f t="array" ref="Q150">INDEX('ClinicalStage-ConceptMap'!U134:Y388,1+O150,P150)</f>
        <v>0</v>
      </c>
    </row>
    <row r="151" spans="14:17">
      <c r="N151" s="11">
        <v>142</v>
      </c>
      <c r="O151" s="11">
        <f t="shared" si="9"/>
        <v>28</v>
      </c>
      <c r="P151" s="11">
        <f t="shared" si="10"/>
        <v>2</v>
      </c>
      <c r="Q151" s="12" cm="1">
        <f t="array" ref="Q151">INDEX('ClinicalStage-ConceptMap'!U135:Y389,1+O151,P151)</f>
        <v>0</v>
      </c>
    </row>
    <row r="152" spans="14:17">
      <c r="N152" s="11">
        <v>143</v>
      </c>
      <c r="O152" s="11">
        <f t="shared" si="9"/>
        <v>28</v>
      </c>
      <c r="P152" s="11">
        <f t="shared" si="10"/>
        <v>3</v>
      </c>
      <c r="Q152" s="12" cm="1">
        <f t="array" ref="Q152">INDEX('ClinicalStage-ConceptMap'!U136:Y390,1+O152,P152)</f>
        <v>0</v>
      </c>
    </row>
    <row r="153" spans="14:17">
      <c r="N153" s="11">
        <v>144</v>
      </c>
      <c r="O153" s="11">
        <f t="shared" si="9"/>
        <v>28</v>
      </c>
      <c r="P153" s="11">
        <f t="shared" si="10"/>
        <v>4</v>
      </c>
      <c r="Q153" s="12" cm="1">
        <f t="array" ref="Q153">INDEX('ClinicalStage-ConceptMap'!U137:Y391,1+O153,P153)</f>
        <v>0</v>
      </c>
    </row>
    <row r="154" spans="14:17">
      <c r="N154" s="11">
        <v>145</v>
      </c>
      <c r="O154" s="11">
        <f t="shared" si="9"/>
        <v>28</v>
      </c>
      <c r="P154" s="11">
        <f t="shared" si="10"/>
        <v>5</v>
      </c>
      <c r="Q154" s="12" cm="1">
        <f t="array" ref="Q154">INDEX('ClinicalStage-ConceptMap'!U138:Y392,1+O154,P154)</f>
        <v>0</v>
      </c>
    </row>
    <row r="155" spans="14:17">
      <c r="N155" s="11">
        <v>146</v>
      </c>
      <c r="O155" s="11">
        <f t="shared" si="9"/>
        <v>29</v>
      </c>
      <c r="P155" s="11">
        <f t="shared" si="10"/>
        <v>1</v>
      </c>
      <c r="Q155" s="12" cm="1">
        <f t="array" ref="Q155">INDEX('ClinicalStage-ConceptMap'!U139:Y393,1+O155,P155)</f>
        <v>0</v>
      </c>
    </row>
    <row r="156" spans="14:17">
      <c r="N156" s="11">
        <v>147</v>
      </c>
      <c r="O156" s="11">
        <f t="shared" si="9"/>
        <v>29</v>
      </c>
      <c r="P156" s="11">
        <f t="shared" si="10"/>
        <v>2</v>
      </c>
      <c r="Q156" s="12" cm="1">
        <f t="array" ref="Q156">INDEX('ClinicalStage-ConceptMap'!U140:Y394,1+O156,P156)</f>
        <v>0</v>
      </c>
    </row>
    <row r="157" spans="14:17">
      <c r="N157" s="11">
        <v>148</v>
      </c>
      <c r="O157" s="11">
        <f t="shared" si="9"/>
        <v>29</v>
      </c>
      <c r="P157" s="11">
        <f t="shared" si="10"/>
        <v>3</v>
      </c>
      <c r="Q157" s="12" cm="1">
        <f t="array" ref="Q157">INDEX('ClinicalStage-ConceptMap'!U141:Y395,1+O157,P157)</f>
        <v>0</v>
      </c>
    </row>
    <row r="158" spans="14:17">
      <c r="N158" s="11">
        <v>149</v>
      </c>
      <c r="O158" s="11">
        <f t="shared" si="9"/>
        <v>29</v>
      </c>
      <c r="P158" s="11">
        <f t="shared" si="10"/>
        <v>4</v>
      </c>
      <c r="Q158" s="12" cm="1">
        <f t="array" ref="Q158">INDEX('ClinicalStage-ConceptMap'!U142:Y396,1+O158,P158)</f>
        <v>0</v>
      </c>
    </row>
    <row r="159" spans="14:17">
      <c r="N159" s="11">
        <v>150</v>
      </c>
      <c r="O159" s="11">
        <f t="shared" si="9"/>
        <v>29</v>
      </c>
      <c r="P159" s="11">
        <f t="shared" si="10"/>
        <v>5</v>
      </c>
      <c r="Q159" s="12" cm="1">
        <f t="array" ref="Q159">INDEX('ClinicalStage-ConceptMap'!U143:Y397,1+O159,P159)</f>
        <v>0</v>
      </c>
    </row>
    <row r="160" spans="14:17">
      <c r="N160" s="11">
        <v>151</v>
      </c>
      <c r="O160" s="11">
        <f t="shared" si="9"/>
        <v>30</v>
      </c>
      <c r="P160" s="11">
        <f t="shared" si="10"/>
        <v>1</v>
      </c>
      <c r="Q160" s="12" cm="1">
        <f t="array" ref="Q160">INDEX('ClinicalStage-ConceptMap'!U144:Y398,1+O160,P160)</f>
        <v>0</v>
      </c>
    </row>
    <row r="161" spans="14:17">
      <c r="N161" s="11">
        <v>152</v>
      </c>
      <c r="O161" s="11">
        <f t="shared" si="9"/>
        <v>30</v>
      </c>
      <c r="P161" s="11">
        <f t="shared" si="10"/>
        <v>2</v>
      </c>
      <c r="Q161" s="12" cm="1">
        <f t="array" ref="Q161">INDEX('ClinicalStage-ConceptMap'!U145:Y399,1+O161,P161)</f>
        <v>0</v>
      </c>
    </row>
    <row r="162" spans="14:17">
      <c r="N162" s="11">
        <v>153</v>
      </c>
      <c r="O162" s="11">
        <f t="shared" si="9"/>
        <v>30</v>
      </c>
      <c r="P162" s="11">
        <f t="shared" si="10"/>
        <v>3</v>
      </c>
      <c r="Q162" s="12" cm="1">
        <f t="array" ref="Q162">INDEX('ClinicalStage-ConceptMap'!U146:Y400,1+O162,P162)</f>
        <v>0</v>
      </c>
    </row>
    <row r="163" spans="14:17">
      <c r="N163" s="11">
        <v>154</v>
      </c>
      <c r="O163" s="11">
        <f t="shared" si="9"/>
        <v>30</v>
      </c>
      <c r="P163" s="11">
        <f t="shared" si="10"/>
        <v>4</v>
      </c>
      <c r="Q163" s="12" cm="1">
        <f t="array" ref="Q163">INDEX('ClinicalStage-ConceptMap'!U147:Y401,1+O163,P163)</f>
        <v>0</v>
      </c>
    </row>
    <row r="164" spans="14:17">
      <c r="N164" s="11">
        <v>155</v>
      </c>
      <c r="O164" s="11">
        <f t="shared" si="9"/>
        <v>30</v>
      </c>
      <c r="P164" s="11">
        <f t="shared" si="10"/>
        <v>5</v>
      </c>
      <c r="Q164" s="12" cm="1">
        <f t="array" ref="Q164">INDEX('ClinicalStage-ConceptMap'!U148:Y402,1+O164,P164)</f>
        <v>0</v>
      </c>
    </row>
    <row r="165" spans="14:17">
      <c r="N165" s="11">
        <v>156</v>
      </c>
      <c r="O165" s="11">
        <f t="shared" si="9"/>
        <v>31</v>
      </c>
      <c r="P165" s="11">
        <f t="shared" si="10"/>
        <v>1</v>
      </c>
      <c r="Q165" s="12" cm="1">
        <f t="array" ref="Q165">INDEX('ClinicalStage-ConceptMap'!U149:Y403,1+O165,P165)</f>
        <v>0</v>
      </c>
    </row>
    <row r="166" spans="14:17">
      <c r="N166" s="11">
        <v>157</v>
      </c>
      <c r="O166" s="11">
        <f t="shared" si="9"/>
        <v>31</v>
      </c>
      <c r="P166" s="11">
        <f t="shared" si="10"/>
        <v>2</v>
      </c>
      <c r="Q166" s="12" cm="1">
        <f t="array" ref="Q166">INDEX('ClinicalStage-ConceptMap'!U150:Y404,1+O166,P166)</f>
        <v>0</v>
      </c>
    </row>
    <row r="167" spans="14:17">
      <c r="N167" s="11">
        <v>158</v>
      </c>
      <c r="O167" s="11">
        <f t="shared" si="9"/>
        <v>31</v>
      </c>
      <c r="P167" s="11">
        <f t="shared" si="10"/>
        <v>3</v>
      </c>
      <c r="Q167" s="12" cm="1">
        <f t="array" ref="Q167">INDEX('ClinicalStage-ConceptMap'!U151:Y405,1+O167,P167)</f>
        <v>0</v>
      </c>
    </row>
    <row r="168" spans="14:17">
      <c r="N168" s="11">
        <v>159</v>
      </c>
      <c r="O168" s="11">
        <f t="shared" si="9"/>
        <v>31</v>
      </c>
      <c r="P168" s="11">
        <f t="shared" si="10"/>
        <v>4</v>
      </c>
      <c r="Q168" s="12" cm="1">
        <f t="array" ref="Q168">INDEX('ClinicalStage-ConceptMap'!U152:Y406,1+O168,P168)</f>
        <v>0</v>
      </c>
    </row>
    <row r="169" spans="14:17">
      <c r="N169" s="11">
        <v>160</v>
      </c>
      <c r="O169" s="11">
        <f t="shared" si="9"/>
        <v>31</v>
      </c>
      <c r="P169" s="11">
        <f t="shared" si="10"/>
        <v>5</v>
      </c>
      <c r="Q169" s="12" cm="1">
        <f t="array" ref="Q169">INDEX('ClinicalStage-ConceptMap'!U153:Y407,1+O169,P169)</f>
        <v>0</v>
      </c>
    </row>
    <row r="170" spans="14:17">
      <c r="N170" s="11">
        <v>161</v>
      </c>
      <c r="O170" s="11">
        <f t="shared" si="9"/>
        <v>32</v>
      </c>
      <c r="P170" s="11">
        <f t="shared" si="10"/>
        <v>1</v>
      </c>
      <c r="Q170" s="12" cm="1">
        <f t="array" ref="Q170">INDEX('ClinicalStage-ConceptMap'!U154:Y408,1+O170,P170)</f>
        <v>0</v>
      </c>
    </row>
    <row r="171" spans="14:17">
      <c r="N171" s="11">
        <v>162</v>
      </c>
      <c r="O171" s="11">
        <f t="shared" si="9"/>
        <v>32</v>
      </c>
      <c r="P171" s="11">
        <f t="shared" si="10"/>
        <v>2</v>
      </c>
      <c r="Q171" s="12" cm="1">
        <f t="array" ref="Q171">INDEX('ClinicalStage-ConceptMap'!U155:Y409,1+O171,P171)</f>
        <v>0</v>
      </c>
    </row>
    <row r="172" spans="14:17">
      <c r="N172" s="11">
        <v>163</v>
      </c>
      <c r="O172" s="11">
        <f t="shared" si="9"/>
        <v>32</v>
      </c>
      <c r="P172" s="11">
        <f t="shared" si="10"/>
        <v>3</v>
      </c>
      <c r="Q172" s="12" cm="1">
        <f t="array" ref="Q172">INDEX('ClinicalStage-ConceptMap'!U156:Y410,1+O172,P172)</f>
        <v>0</v>
      </c>
    </row>
    <row r="173" spans="14:17">
      <c r="N173" s="11">
        <v>164</v>
      </c>
      <c r="O173" s="11">
        <f t="shared" si="9"/>
        <v>32</v>
      </c>
      <c r="P173" s="11">
        <f t="shared" si="10"/>
        <v>4</v>
      </c>
      <c r="Q173" s="12" cm="1">
        <f t="array" ref="Q173">INDEX('ClinicalStage-ConceptMap'!U157:Y411,1+O173,P173)</f>
        <v>0</v>
      </c>
    </row>
    <row r="174" spans="14:17">
      <c r="N174" s="11">
        <v>165</v>
      </c>
      <c r="O174" s="11">
        <f t="shared" si="9"/>
        <v>32</v>
      </c>
      <c r="P174" s="11">
        <f t="shared" si="10"/>
        <v>5</v>
      </c>
      <c r="Q174" s="12" cm="1">
        <f t="array" ref="Q174">INDEX('ClinicalStage-ConceptMap'!U158:Y412,1+O174,P174)</f>
        <v>0</v>
      </c>
    </row>
    <row r="175" spans="14:17">
      <c r="N175" s="11">
        <v>166</v>
      </c>
      <c r="O175" s="11">
        <f t="shared" si="9"/>
        <v>33</v>
      </c>
      <c r="P175" s="11">
        <f t="shared" si="10"/>
        <v>1</v>
      </c>
      <c r="Q175" s="12" cm="1">
        <f t="array" ref="Q175">INDEX('ClinicalStage-ConceptMap'!U159:Y413,1+O175,P175)</f>
        <v>0</v>
      </c>
    </row>
    <row r="176" spans="14:17">
      <c r="N176" s="11">
        <v>167</v>
      </c>
      <c r="O176" s="11">
        <f t="shared" si="9"/>
        <v>33</v>
      </c>
      <c r="P176" s="11">
        <f t="shared" si="10"/>
        <v>2</v>
      </c>
      <c r="Q176" s="12" cm="1">
        <f t="array" ref="Q176">INDEX('ClinicalStage-ConceptMap'!U160:Y414,1+O176,P176)</f>
        <v>0</v>
      </c>
    </row>
    <row r="177" spans="14:17">
      <c r="N177" s="11">
        <v>168</v>
      </c>
      <c r="O177" s="11">
        <f t="shared" si="9"/>
        <v>33</v>
      </c>
      <c r="P177" s="11">
        <f t="shared" si="10"/>
        <v>3</v>
      </c>
      <c r="Q177" s="12" cm="1">
        <f t="array" ref="Q177">INDEX('ClinicalStage-ConceptMap'!U161:Y415,1+O177,P177)</f>
        <v>0</v>
      </c>
    </row>
    <row r="178" spans="14:17">
      <c r="N178" s="11">
        <v>169</v>
      </c>
      <c r="O178" s="11">
        <f t="shared" si="9"/>
        <v>33</v>
      </c>
      <c r="P178" s="11">
        <f t="shared" si="10"/>
        <v>4</v>
      </c>
      <c r="Q178" s="12" cm="1">
        <f t="array" ref="Q178">INDEX('ClinicalStage-ConceptMap'!U162:Y416,1+O178,P178)</f>
        <v>0</v>
      </c>
    </row>
    <row r="179" spans="14:17">
      <c r="N179" s="11">
        <v>170</v>
      </c>
      <c r="O179" s="11">
        <f t="shared" si="9"/>
        <v>33</v>
      </c>
      <c r="P179" s="11">
        <f t="shared" si="10"/>
        <v>5</v>
      </c>
      <c r="Q179" s="12" cm="1">
        <f t="array" ref="Q179">INDEX('ClinicalStage-ConceptMap'!U163:Y417,1+O179,P179)</f>
        <v>0</v>
      </c>
    </row>
    <row r="180" spans="14:17">
      <c r="N180" s="11">
        <v>171</v>
      </c>
      <c r="O180" s="11">
        <f t="shared" si="9"/>
        <v>34</v>
      </c>
      <c r="P180" s="11">
        <f t="shared" si="10"/>
        <v>1</v>
      </c>
      <c r="Q180" s="12" cm="1">
        <f t="array" ref="Q180">INDEX('ClinicalStage-ConceptMap'!U164:Y418,1+O180,P180)</f>
        <v>0</v>
      </c>
    </row>
    <row r="181" spans="14:17">
      <c r="N181" s="11">
        <v>172</v>
      </c>
      <c r="O181" s="11">
        <f t="shared" si="9"/>
        <v>34</v>
      </c>
      <c r="P181" s="11">
        <f t="shared" si="10"/>
        <v>2</v>
      </c>
      <c r="Q181" s="12" cm="1">
        <f t="array" ref="Q181">INDEX('ClinicalStage-ConceptMap'!U165:Y419,1+O181,P181)</f>
        <v>0</v>
      </c>
    </row>
    <row r="182" spans="14:17">
      <c r="N182" s="11">
        <v>173</v>
      </c>
      <c r="O182" s="11">
        <f t="shared" si="9"/>
        <v>34</v>
      </c>
      <c r="P182" s="11">
        <f t="shared" si="10"/>
        <v>3</v>
      </c>
      <c r="Q182" s="12" cm="1">
        <f t="array" ref="Q182">INDEX('ClinicalStage-ConceptMap'!U166:Y420,1+O182,P182)</f>
        <v>0</v>
      </c>
    </row>
    <row r="183" spans="14:17">
      <c r="N183" s="11">
        <v>174</v>
      </c>
      <c r="O183" s="11">
        <f t="shared" si="9"/>
        <v>34</v>
      </c>
      <c r="P183" s="11">
        <f t="shared" si="10"/>
        <v>4</v>
      </c>
      <c r="Q183" s="12" cm="1">
        <f t="array" ref="Q183">INDEX('ClinicalStage-ConceptMap'!U167:Y421,1+O183,P183)</f>
        <v>0</v>
      </c>
    </row>
    <row r="184" spans="14:17">
      <c r="N184" s="11">
        <v>175</v>
      </c>
      <c r="O184" s="11">
        <f t="shared" si="9"/>
        <v>34</v>
      </c>
      <c r="P184" s="11">
        <f t="shared" si="10"/>
        <v>5</v>
      </c>
      <c r="Q184" s="12" cm="1">
        <f t="array" ref="Q184">INDEX('ClinicalStage-ConceptMap'!U168:Y422,1+O184,P184)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A24418C-9093-40FD-BA24-60ADAC9F22EE}">
          <x14:formula1>
            <xm:f>Foglio2!$D$6:$D$15</xm:f>
          </x14:formula1>
          <xm:sqref>L37:L46 I34:I46 J21:K46 F10:G46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257B-3EF1-4F1B-91F9-A562CCE9D79D}">
  <sheetPr codeName="Foglio14">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1466</v>
      </c>
    </row>
    <row r="3" spans="2:7">
      <c r="B3" s="24" t="s">
        <v>20</v>
      </c>
    </row>
    <row r="4" spans="2:7">
      <c r="B4" s="65" t="s">
        <v>1467</v>
      </c>
    </row>
    <row r="5" spans="2:7">
      <c r="B5" s="65" t="s">
        <v>1447</v>
      </c>
    </row>
    <row r="6" spans="2:7">
      <c r="B6" s="65" t="s">
        <v>1438</v>
      </c>
    </row>
    <row r="7" spans="2:7">
      <c r="B7" s="65" t="s">
        <v>1468</v>
      </c>
    </row>
    <row r="8" spans="2:7">
      <c r="B8" s="65" t="s">
        <v>1469</v>
      </c>
    </row>
    <row r="9" spans="2:7">
      <c r="B9" s="65" t="s">
        <v>1470</v>
      </c>
    </row>
    <row r="10" spans="2:7">
      <c r="B10" s="65" t="s">
        <v>1439</v>
      </c>
    </row>
    <row r="11" spans="2:7">
      <c r="B11" s="65" t="s">
        <v>1440</v>
      </c>
    </row>
    <row r="12" spans="2:7">
      <c r="B12" s="65" t="s">
        <v>1471</v>
      </c>
    </row>
    <row r="13" spans="2:7">
      <c r="B13" s="65" t="s">
        <v>1472</v>
      </c>
    </row>
    <row r="14" spans="2:7">
      <c r="B14" s="69" t="s">
        <v>1462</v>
      </c>
    </row>
    <row r="15" spans="2:7">
      <c r="B15" s="69" t="s">
        <v>1463</v>
      </c>
    </row>
    <row r="16" spans="2:7">
      <c r="B16" s="65"/>
    </row>
    <row r="17" spans="2:7">
      <c r="B17" s="68" t="s">
        <v>1464</v>
      </c>
    </row>
    <row r="18" spans="2:7">
      <c r="B18" s="68" t="s">
        <v>1465</v>
      </c>
    </row>
    <row r="19" spans="2:7">
      <c r="B19" s="70"/>
    </row>
    <row r="20" spans="2:7">
      <c r="B20" s="12" t="str">
        <f>IF('ClinicalStage-ConceptMap'!Q10=0,"//---END",'ClinicalStage-ConceptMap'!Q10)</f>
        <v>* group[=].element[+].code = #ClinicalStage</v>
      </c>
    </row>
    <row r="21" spans="2:7">
      <c r="B21" s="12" t="str">
        <f>IF('ClinicalStage-ConceptMap'!Q11=0,"//---END",'ClinicalStage-ConceptMap'!Q11)</f>
        <v>* group[=].element[=].display = ##34#Clinical Stage##34#</v>
      </c>
    </row>
    <row r="22" spans="2:7">
      <c r="B22" s="12" t="str">
        <f>IF('ClinicalStage-ConceptMap'!Q12=0,"//---END",'ClinicalStage-ConceptMap'!Q12)</f>
        <v>* group[=].element[=].target.code = #Osiris.Patient</v>
      </c>
    </row>
    <row r="23" spans="2:7">
      <c r="B23" s="12" t="str">
        <f>IF('ClinicalStage-ConceptMap'!Q13=0,"//---END",'ClinicalStage-ConceptMap'!Q13)</f>
        <v>* group[=].element[=].target.display = ##34#Patient##34#</v>
      </c>
    </row>
    <row r="24" spans="2:7">
      <c r="B24" s="12" t="str">
        <f>IF('ClinicalStage-ConceptMap'!Q14=0,"//---END",'ClinicalStage-ConceptMap'!Q14)</f>
        <v>* group[=].element[=].target.equivalence = #equivalent</v>
      </c>
    </row>
    <row r="25" spans="2:7">
      <c r="B25" s="12" t="str">
        <f>IF('ClinicalStage-ConceptMap'!Q15=0,"//---END",'ClinicalStage-ConceptMap'!Q15)</f>
        <v>* group[=].element[+].code = #ClinicalStage.episodeEvent</v>
      </c>
      <c r="G25" s="7"/>
    </row>
    <row r="26" spans="2:7">
      <c r="B26" s="12" t="str">
        <f>IF('ClinicalStage-ConceptMap'!Q16=0,"//---END",'ClinicalStage-ConceptMap'!Q16)</f>
        <v>* group[=].element[=].display = ##34#Episode Event##34#</v>
      </c>
    </row>
    <row r="27" spans="2:7">
      <c r="B27" s="12" t="str">
        <f>IF('ClinicalStage-ConceptMap'!Q17=0,"//---END",'ClinicalStage-ConceptMap'!Q17)</f>
        <v>* group[=].element[=].target.code = #Osiris.Patient.BirthDate</v>
      </c>
    </row>
    <row r="28" spans="2:7">
      <c r="B28" s="12" t="str">
        <f>IF('ClinicalStage-ConceptMap'!Q18=0,"//---END",'ClinicalStage-ConceptMap'!Q18)</f>
        <v>* group[=].element[=].target.display = ##34#Birth Date [C4]##34#</v>
      </c>
    </row>
    <row r="29" spans="2:7">
      <c r="B29" s="12" t="str">
        <f>IF('ClinicalStage-ConceptMap'!Q19=0,"//---END",'ClinicalStage-ConceptMap'!Q19)</f>
        <v>* group[=].element[=].target.equivalence = #relatedto</v>
      </c>
    </row>
    <row r="30" spans="2:7">
      <c r="B30" s="12" t="str">
        <f>IF('ClinicalStage-ConceptMap'!Q20=0,"//---END",'ClinicalStage-ConceptMap'!Q20)</f>
        <v>* group[=].element[+].code = #ClinicalStage.cT</v>
      </c>
    </row>
    <row r="31" spans="2:7">
      <c r="B31" s="12" t="str">
        <f>IF('ClinicalStage-ConceptMap'!Q21=0,"//---END",'ClinicalStage-ConceptMap'!Q21)</f>
        <v>* group[=].element[=].display = ##34#cT##34#</v>
      </c>
    </row>
    <row r="32" spans="2:7">
      <c r="B32" s="12" t="str">
        <f>IF('ClinicalStage-ConceptMap'!Q22=0,"//---END",'ClinicalStage-ConceptMap'!Q22)</f>
        <v>* group[=].element[=].target.code = #Osiris.Patient.BirthDate</v>
      </c>
    </row>
    <row r="33" spans="2:2">
      <c r="B33" s="12" t="str">
        <f>IF('ClinicalStage-ConceptMap'!Q23=0,"//---END",'ClinicalStage-ConceptMap'!Q23)</f>
        <v>* group[=].element[=].target.display = ##34#Birth Date [C4]##34#</v>
      </c>
    </row>
    <row r="34" spans="2:2">
      <c r="B34" s="12" t="str">
        <f>IF('ClinicalStage-ConceptMap'!Q24=0,"//---END",'ClinicalStage-ConceptMap'!Q24)</f>
        <v>* group[=].element[=].target.equivalence = #equivalent</v>
      </c>
    </row>
    <row r="35" spans="2:2">
      <c r="B35" s="12" t="str">
        <f>IF('ClinicalStage-ConceptMap'!Q25=0,"//---END",'ClinicalStage-ConceptMap'!Q25)</f>
        <v>* group[=].element[+].code = #ClinicalStage.radiologicalExtraNodalExtension</v>
      </c>
    </row>
    <row r="36" spans="2:2">
      <c r="B36" s="12" t="str">
        <f>IF('ClinicalStage-ConceptMap'!Q26=0,"//---END",'ClinicalStage-ConceptMap'!Q26)</f>
        <v>* group[=].element[=].display = ##34#Radiological Extra-nodal extension (rENE)##34#</v>
      </c>
    </row>
    <row r="37" spans="2:2">
      <c r="B37" s="12" t="str">
        <f>IF('ClinicalStage-ConceptMap'!Q27=0,"//---END",'ClinicalStage-ConceptMap'!Q27)</f>
        <v>//-- unmatched</v>
      </c>
    </row>
    <row r="38" spans="2:2">
      <c r="B38" s="12" t="str">
        <f>IF('ClinicalStage-ConceptMap'!Q28=0,"//---END",'ClinicalStage-ConceptMap'!Q28)</f>
        <v>//-- unmatched</v>
      </c>
    </row>
    <row r="39" spans="2:2">
      <c r="B39" s="12" t="str">
        <f>IF('ClinicalStage-ConceptMap'!Q29=0,"//---END",'ClinicalStage-ConceptMap'!Q29)</f>
        <v>* group[=].element[=].target.equivalence = #unmatched</v>
      </c>
    </row>
    <row r="40" spans="2:2">
      <c r="B40" s="12" t="str">
        <f>IF('ClinicalStage-ConceptMap'!Q30=0,"//---END",'ClinicalStage-ConceptMap'!Q30)</f>
        <v>* group[=].element[+].code = #ClinicalStage.cM</v>
      </c>
    </row>
    <row r="41" spans="2:2">
      <c r="B41" s="12" t="str">
        <f>IF('ClinicalStage-ConceptMap'!Q31=0,"//---END",'ClinicalStage-ConceptMap'!Q31)</f>
        <v>* group[=].element[=].display = ##34#cM##34#</v>
      </c>
    </row>
    <row r="42" spans="2:2">
      <c r="B42" s="12" t="str">
        <f>IF('ClinicalStage-ConceptMap'!Q32=0,"//---END",'ClinicalStage-ConceptMap'!Q32)</f>
        <v>//-- unmatched</v>
      </c>
    </row>
    <row r="43" spans="2:2">
      <c r="B43" s="12" t="str">
        <f>IF('ClinicalStage-ConceptMap'!Q33=0,"//---END",'ClinicalStage-ConceptMap'!Q33)</f>
        <v>//-- unmatched</v>
      </c>
    </row>
    <row r="44" spans="2:2">
      <c r="B44" s="12" t="str">
        <f>IF('ClinicalStage-ConceptMap'!Q34=0,"//---END",'ClinicalStage-ConceptMap'!Q34)</f>
        <v>* group[=].element[=].target.equivalence = #unmatched</v>
      </c>
    </row>
    <row r="45" spans="2:2">
      <c r="B45" s="12" t="str">
        <f>IF('ClinicalStage-ConceptMap'!Q35=0,"//---END",'ClinicalStage-ConceptMap'!Q35)</f>
        <v>* group[=].element[+].code = #ClinicalStage.clinicalStaging</v>
      </c>
    </row>
    <row r="46" spans="2:2">
      <c r="B46" s="12" t="str">
        <f>IF('ClinicalStage-ConceptMap'!Q36=0,"//---END",'ClinicalStage-ConceptMap'!Q36)</f>
        <v>* group[=].element[=].display = ##34#Clinical staging##34#</v>
      </c>
    </row>
    <row r="47" spans="2:2">
      <c r="B47" s="12" t="str">
        <f>IF('ClinicalStage-ConceptMap'!Q37=0,"//---END",'ClinicalStage-ConceptMap'!Q37)</f>
        <v>* group[=].element[=].target.code = #Osiris.Patient.Gender</v>
      </c>
    </row>
    <row r="48" spans="2:2">
      <c r="B48" s="12" t="str">
        <f>IF('ClinicalStage-ConceptMap'!Q38=0,"//---END",'ClinicalStage-ConceptMap'!Q38)</f>
        <v>* group[=].element[=].target.display = ##34#Gender [C2]##34#</v>
      </c>
    </row>
    <row r="49" spans="2:2">
      <c r="B49" s="12" t="str">
        <f>IF('ClinicalStage-ConceptMap'!Q39=0,"//---END",'ClinicalStage-ConceptMap'!Q39)</f>
        <v>* group[=].element[=].target.equivalence = #narrower</v>
      </c>
    </row>
    <row r="50" spans="2:2">
      <c r="B50" s="12" t="str">
        <f>IF('ClinicalStage-ConceptMap'!Q40=0,"//---END",'ClinicalStage-ConceptMap'!Q40)</f>
        <v>* group[=].element[+].code = #ClinicalStage.ajccEdition</v>
      </c>
    </row>
    <row r="51" spans="2:2">
      <c r="B51" s="12" t="str">
        <f>IF('ClinicalStage-ConceptMap'!Q41=0,"//---END",'ClinicalStage-ConceptMap'!Q41)</f>
        <v>* group[=].element[=].display = ##34#Ajcc edition##34#</v>
      </c>
    </row>
    <row r="52" spans="2:2">
      <c r="B52" s="12" t="str">
        <f>IF('ClinicalStage-ConceptMap'!Q42=0,"//---END",'ClinicalStage-ConceptMap'!Q42)</f>
        <v>* group[=].element[=].target.code = #Osiris.Patient.Ethnicity</v>
      </c>
    </row>
    <row r="53" spans="2:2">
      <c r="B53" s="12" t="str">
        <f>IF('ClinicalStage-ConceptMap'!Q43=0,"//---END",'ClinicalStage-ConceptMap'!Q43)</f>
        <v>* group[=].element[=].target.display = ##34#Ethnicity [C3]##34#</v>
      </c>
    </row>
    <row r="54" spans="2:2">
      <c r="B54" s="12" t="str">
        <f>IF('ClinicalStage-ConceptMap'!Q44=0,"//---END",'ClinicalStage-ConceptMap'!Q44)</f>
        <v>* group[=].element[=].target.equivalence = #wider</v>
      </c>
    </row>
    <row r="55" spans="2:2">
      <c r="B55" s="12" t="str">
        <f>IF('ClinicalStage-ConceptMap'!Q45=0,"//---END",'ClinicalStage-ConceptMap'!Q45)</f>
        <v>* group[=].element[+].code = #ClinicalStage.softTissue</v>
      </c>
    </row>
    <row r="56" spans="2:2">
      <c r="B56" s="12" t="str">
        <f>IF('ClinicalStage-ConceptMap'!Q46=0,"//---END",'ClinicalStage-ConceptMap'!Q46)</f>
        <v>* group[=].element[=].display = ##34#Soft tissue##34#</v>
      </c>
    </row>
    <row r="57" spans="2:2">
      <c r="B57" s="12" t="str">
        <f>IF('ClinicalStage-ConceptMap'!Q47=0,"//---END",'ClinicalStage-ConceptMap'!Q47)</f>
        <v>//-- unmatched</v>
      </c>
    </row>
    <row r="58" spans="2:2">
      <c r="B58" s="12" t="str">
        <f>IF('ClinicalStage-ConceptMap'!Q48=0,"//---END",'ClinicalStage-ConceptMap'!Q48)</f>
        <v>//-- unmatched</v>
      </c>
    </row>
    <row r="59" spans="2:2">
      <c r="B59" s="12" t="str">
        <f>IF('ClinicalStage-ConceptMap'!Q49=0,"//---END",'ClinicalStage-ConceptMap'!Q49)</f>
        <v>* group[=].element[=].target.equivalence = #unmatched</v>
      </c>
    </row>
    <row r="60" spans="2:2">
      <c r="B60" s="12" t="str">
        <f>IF('ClinicalStage-ConceptMap'!Q50=0,"//---END",'ClinicalStage-ConceptMap'!Q50)</f>
        <v>//---END</v>
      </c>
    </row>
    <row r="61" spans="2:2">
      <c r="B61" s="12" t="str">
        <f>IF('ClinicalStage-ConceptMap'!Q51=0,"//---END",'ClinicalStage-ConceptMap'!Q51)</f>
        <v>//---END</v>
      </c>
    </row>
    <row r="62" spans="2:2">
      <c r="B62" s="12" t="str">
        <f>IF('ClinicalStage-ConceptMap'!Q52=0,"//---END",'ClinicalStage-ConceptMap'!Q52)</f>
        <v>//---END</v>
      </c>
    </row>
    <row r="63" spans="2:2">
      <c r="B63" s="12"/>
    </row>
    <row r="64" spans="2:2">
      <c r="B64" s="12"/>
    </row>
    <row r="65" spans="2:4">
      <c r="B65" s="12"/>
    </row>
    <row r="66" spans="2:4">
      <c r="B66" s="12"/>
    </row>
    <row r="67" spans="2:4">
      <c r="B67" s="12"/>
    </row>
    <row r="68" spans="2:4">
      <c r="B68" s="12"/>
    </row>
    <row r="69" spans="2:4">
      <c r="B69" s="12"/>
    </row>
    <row r="70" spans="2:4">
      <c r="B70" s="12"/>
      <c r="D70" s="58"/>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18"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2220</v>
      </c>
      <c r="B1" s="100" t="s">
        <v>2219</v>
      </c>
      <c r="C1" s="100" t="s">
        <v>2218</v>
      </c>
      <c r="D1" s="149" t="s">
        <v>4</v>
      </c>
      <c r="E1" s="100" t="s">
        <v>7</v>
      </c>
      <c r="F1" s="100" t="s">
        <v>1480</v>
      </c>
      <c r="G1" s="100" t="s">
        <v>2217</v>
      </c>
      <c r="H1" s="100" t="s">
        <v>5</v>
      </c>
      <c r="I1" s="100" t="s">
        <v>6</v>
      </c>
    </row>
    <row r="2" spans="1:9">
      <c r="A2">
        <v>0</v>
      </c>
      <c r="B2" t="s">
        <v>2409</v>
      </c>
      <c r="C2" t="s">
        <v>2364</v>
      </c>
      <c r="D2" s="2" t="s">
        <v>2365</v>
      </c>
      <c r="E2" t="s">
        <v>2214</v>
      </c>
      <c r="H2">
        <v>1</v>
      </c>
      <c r="I2">
        <v>1</v>
      </c>
    </row>
    <row r="3" spans="1:9">
      <c r="A3">
        <v>1</v>
      </c>
      <c r="B3" t="s">
        <v>2410</v>
      </c>
      <c r="C3" t="s">
        <v>2411</v>
      </c>
      <c r="D3" s="2" t="s">
        <v>2412</v>
      </c>
      <c r="E3" t="s">
        <v>275</v>
      </c>
      <c r="F3" t="s">
        <v>2413</v>
      </c>
      <c r="G3" t="s">
        <v>2414</v>
      </c>
      <c r="H3">
        <v>0</v>
      </c>
      <c r="I3">
        <v>1</v>
      </c>
    </row>
    <row r="4" spans="1:9">
      <c r="A4">
        <v>2</v>
      </c>
      <c r="B4" t="s">
        <v>2415</v>
      </c>
      <c r="C4" t="s">
        <v>2416</v>
      </c>
      <c r="D4" s="2" t="s">
        <v>2417</v>
      </c>
      <c r="E4" t="s">
        <v>275</v>
      </c>
      <c r="F4" t="s">
        <v>2418</v>
      </c>
      <c r="G4" t="s">
        <v>2419</v>
      </c>
      <c r="H4">
        <v>0</v>
      </c>
      <c r="I4">
        <v>1</v>
      </c>
    </row>
    <row r="5" spans="1:9">
      <c r="A5">
        <v>3</v>
      </c>
      <c r="B5" t="s">
        <v>2420</v>
      </c>
      <c r="C5" t="s">
        <v>2421</v>
      </c>
      <c r="D5" s="2" t="s">
        <v>2422</v>
      </c>
      <c r="E5" t="s">
        <v>275</v>
      </c>
      <c r="F5" t="s">
        <v>2423</v>
      </c>
      <c r="G5" t="s">
        <v>2424</v>
      </c>
      <c r="H5">
        <v>0</v>
      </c>
      <c r="I5">
        <v>1</v>
      </c>
    </row>
    <row r="6" spans="1:9" ht="29.5">
      <c r="A6">
        <v>4</v>
      </c>
      <c r="B6" t="s">
        <v>2425</v>
      </c>
      <c r="C6" t="s">
        <v>2426</v>
      </c>
      <c r="D6" s="2" t="s">
        <v>2427</v>
      </c>
      <c r="E6" t="s">
        <v>2209</v>
      </c>
      <c r="F6" t="s">
        <v>2428</v>
      </c>
      <c r="G6" t="s">
        <v>2429</v>
      </c>
      <c r="H6">
        <v>0</v>
      </c>
      <c r="I6">
        <v>1</v>
      </c>
    </row>
    <row r="7" spans="1:9" ht="44.25">
      <c r="A7">
        <v>5</v>
      </c>
      <c r="B7" t="s">
        <v>2430</v>
      </c>
      <c r="C7" t="s">
        <v>2431</v>
      </c>
      <c r="D7" s="2" t="s">
        <v>2432</v>
      </c>
      <c r="E7" t="s">
        <v>2209</v>
      </c>
      <c r="F7" t="s">
        <v>2433</v>
      </c>
      <c r="G7" t="s">
        <v>2434</v>
      </c>
      <c r="H7">
        <v>0</v>
      </c>
      <c r="I7">
        <v>1</v>
      </c>
    </row>
    <row r="8" spans="1:9" ht="29.5">
      <c r="A8">
        <v>6</v>
      </c>
      <c r="B8" t="s">
        <v>2435</v>
      </c>
      <c r="C8" t="s">
        <v>2436</v>
      </c>
      <c r="D8" s="2" t="s">
        <v>1663</v>
      </c>
      <c r="E8" t="s">
        <v>2209</v>
      </c>
      <c r="F8" t="s">
        <v>2437</v>
      </c>
      <c r="G8" t="s">
        <v>2438</v>
      </c>
      <c r="H8">
        <v>1</v>
      </c>
      <c r="I8">
        <v>1</v>
      </c>
    </row>
    <row r="9" spans="1:9">
      <c r="A9">
        <v>7</v>
      </c>
      <c r="B9" t="s">
        <v>2439</v>
      </c>
      <c r="C9" t="s">
        <v>1662</v>
      </c>
      <c r="D9" s="2" t="s">
        <v>2440</v>
      </c>
      <c r="E9" t="s">
        <v>2209</v>
      </c>
      <c r="F9" t="s">
        <v>2437</v>
      </c>
      <c r="G9" t="s">
        <v>2438</v>
      </c>
      <c r="H9">
        <v>0</v>
      </c>
      <c r="I9">
        <v>1</v>
      </c>
    </row>
    <row r="10" spans="1:9">
      <c r="A10">
        <v>8</v>
      </c>
      <c r="B10" t="s">
        <v>2441</v>
      </c>
      <c r="C10" t="s">
        <v>2442</v>
      </c>
      <c r="D10" s="2" t="s">
        <v>2443</v>
      </c>
      <c r="E10" t="s">
        <v>275</v>
      </c>
      <c r="F10" t="s">
        <v>2444</v>
      </c>
      <c r="G10" t="s">
        <v>2445</v>
      </c>
      <c r="H10">
        <v>1</v>
      </c>
      <c r="I10">
        <v>1</v>
      </c>
    </row>
    <row r="11" spans="1:9">
      <c r="A11">
        <v>9</v>
      </c>
      <c r="B11" t="s">
        <v>2446</v>
      </c>
      <c r="C11" t="s">
        <v>1638</v>
      </c>
      <c r="D11" s="2" t="s">
        <v>1639</v>
      </c>
      <c r="E11" t="s">
        <v>275</v>
      </c>
      <c r="F11" t="s">
        <v>2384</v>
      </c>
      <c r="H11">
        <v>1</v>
      </c>
      <c r="I11">
        <v>1</v>
      </c>
    </row>
    <row r="12" spans="1:9">
      <c r="A12">
        <v>10</v>
      </c>
      <c r="B12" t="s">
        <v>2447</v>
      </c>
      <c r="C12" t="s">
        <v>2448</v>
      </c>
      <c r="D12" s="2" t="s">
        <v>1641</v>
      </c>
      <c r="E12" t="s">
        <v>1617</v>
      </c>
      <c r="F12" t="s">
        <v>2387</v>
      </c>
      <c r="H12">
        <v>0</v>
      </c>
      <c r="I12">
        <v>1</v>
      </c>
    </row>
    <row r="13" spans="1:9">
      <c r="A13">
        <v>11</v>
      </c>
      <c r="B13" t="s">
        <v>2449</v>
      </c>
      <c r="C13" t="s">
        <v>1642</v>
      </c>
      <c r="D13" s="2" t="s">
        <v>1643</v>
      </c>
      <c r="E13" t="s">
        <v>1617</v>
      </c>
      <c r="F13" t="s">
        <v>2387</v>
      </c>
      <c r="H13">
        <v>0</v>
      </c>
      <c r="I13">
        <v>1</v>
      </c>
    </row>
    <row r="14" spans="1:9">
      <c r="A14">
        <v>12</v>
      </c>
      <c r="B14" t="s">
        <v>2450</v>
      </c>
      <c r="C14" t="s">
        <v>1644</v>
      </c>
      <c r="D14" s="2" t="s">
        <v>1645</v>
      </c>
      <c r="E14" t="s">
        <v>1617</v>
      </c>
      <c r="F14" t="s">
        <v>2387</v>
      </c>
      <c r="H14">
        <v>0</v>
      </c>
      <c r="I14">
        <v>1</v>
      </c>
    </row>
    <row r="15" spans="1:9">
      <c r="A15">
        <v>13</v>
      </c>
      <c r="B15" t="s">
        <v>2451</v>
      </c>
      <c r="C15" t="s">
        <v>1646</v>
      </c>
      <c r="D15" s="2" t="s">
        <v>1647</v>
      </c>
      <c r="E15" t="s">
        <v>1617</v>
      </c>
      <c r="F15" t="s">
        <v>2387</v>
      </c>
      <c r="H15">
        <v>0</v>
      </c>
      <c r="I15">
        <v>1</v>
      </c>
    </row>
    <row r="16" spans="1:9">
      <c r="A16">
        <v>14</v>
      </c>
      <c r="B16" t="s">
        <v>2452</v>
      </c>
      <c r="C16" t="s">
        <v>1648</v>
      </c>
      <c r="D16" s="2" t="s">
        <v>1649</v>
      </c>
      <c r="E16" t="s">
        <v>1617</v>
      </c>
      <c r="F16" t="s">
        <v>2387</v>
      </c>
      <c r="H16">
        <v>0</v>
      </c>
      <c r="I16">
        <v>1</v>
      </c>
    </row>
    <row r="17" spans="1:9">
      <c r="A17">
        <v>15</v>
      </c>
      <c r="B17" t="s">
        <v>2453</v>
      </c>
      <c r="C17" t="s">
        <v>1650</v>
      </c>
      <c r="D17" s="2" t="s">
        <v>1651</v>
      </c>
      <c r="E17" t="s">
        <v>1617</v>
      </c>
      <c r="F17" t="s">
        <v>2387</v>
      </c>
      <c r="H17">
        <v>0</v>
      </c>
      <c r="I17">
        <v>1</v>
      </c>
    </row>
    <row r="18" spans="1:9">
      <c r="A18">
        <v>16</v>
      </c>
      <c r="B18" t="s">
        <v>2454</v>
      </c>
      <c r="C18" t="s">
        <v>1652</v>
      </c>
      <c r="D18" s="2" t="s">
        <v>1653</v>
      </c>
      <c r="E18" t="s">
        <v>1617</v>
      </c>
      <c r="F18" t="s">
        <v>2387</v>
      </c>
      <c r="H18">
        <v>0</v>
      </c>
      <c r="I18">
        <v>1</v>
      </c>
    </row>
    <row r="19" spans="1:9">
      <c r="A19">
        <v>17</v>
      </c>
      <c r="B19" t="s">
        <v>2455</v>
      </c>
      <c r="C19" t="s">
        <v>1654</v>
      </c>
      <c r="D19" s="2" t="s">
        <v>1655</v>
      </c>
      <c r="E19" t="s">
        <v>1617</v>
      </c>
      <c r="F19" t="s">
        <v>2387</v>
      </c>
      <c r="H19">
        <v>0</v>
      </c>
      <c r="I19">
        <v>1</v>
      </c>
    </row>
    <row r="20" spans="1:9">
      <c r="A20">
        <v>18</v>
      </c>
      <c r="B20" t="s">
        <v>2456</v>
      </c>
      <c r="C20" t="s">
        <v>1656</v>
      </c>
      <c r="D20" s="2" t="s">
        <v>1657</v>
      </c>
      <c r="E20" t="s">
        <v>1617</v>
      </c>
      <c r="F20" t="s">
        <v>2387</v>
      </c>
      <c r="H20">
        <v>0</v>
      </c>
      <c r="I20">
        <v>1</v>
      </c>
    </row>
    <row r="21" spans="1:9">
      <c r="A21">
        <v>19</v>
      </c>
      <c r="B21" t="s">
        <v>2457</v>
      </c>
      <c r="C21" t="s">
        <v>1658</v>
      </c>
      <c r="D21" s="2" t="s">
        <v>1659</v>
      </c>
      <c r="E21" t="s">
        <v>1617</v>
      </c>
      <c r="F21" t="s">
        <v>2387</v>
      </c>
      <c r="H21">
        <v>0</v>
      </c>
      <c r="I21">
        <v>1</v>
      </c>
    </row>
    <row r="25" spans="1:9">
      <c r="C25" s="9" t="s">
        <v>3</v>
      </c>
      <c r="D25" s="1" t="s">
        <v>4</v>
      </c>
      <c r="E25" s="3" t="s">
        <v>5</v>
      </c>
      <c r="F25" s="3" t="s">
        <v>6</v>
      </c>
      <c r="G25" s="3" t="s">
        <v>7</v>
      </c>
      <c r="H25" s="107" t="s">
        <v>1621</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2"/>
  <sheetViews>
    <sheetView topLeftCell="D1" zoomScaleNormal="100" workbookViewId="0">
      <selection activeCell="G30" sqref="G30"/>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1623</v>
      </c>
      <c r="L1" s="23" t="s">
        <v>20</v>
      </c>
    </row>
    <row r="2" spans="1:12" ht="19.899999999999999" customHeight="1">
      <c r="J2" s="24" t="s">
        <v>19</v>
      </c>
      <c r="L2" s="24" t="s">
        <v>1622</v>
      </c>
    </row>
    <row r="3" spans="1:12" ht="19.899999999999999" customHeight="1" thickBot="1">
      <c r="J3" s="24" t="str">
        <f>J1</f>
        <v>//===================================================</v>
      </c>
      <c r="L3" s="24" t="str">
        <f>L1</f>
        <v>// -------------------------------------------------------------------------------</v>
      </c>
    </row>
    <row r="4" spans="1:12" ht="19.899999999999999" customHeight="1">
      <c r="A4" s="5" t="s">
        <v>11</v>
      </c>
      <c r="B4" s="45" t="s">
        <v>2465</v>
      </c>
      <c r="J4" s="16" t="str">
        <f>CONCATENATE("Logical: ",B4)</f>
        <v>Logical: PathologicalStage</v>
      </c>
    </row>
    <row r="5" spans="1:12" ht="19.899999999999999" customHeight="1">
      <c r="A5" s="14" t="s">
        <v>16</v>
      </c>
      <c r="B5" s="46" t="s">
        <v>2465</v>
      </c>
      <c r="J5" s="16" t="str">
        <f>CONCATENATE("Id: ",B5)</f>
        <v>Id: PathologicalStage</v>
      </c>
    </row>
    <row r="6" spans="1:12" ht="19.899999999999999" customHeight="1">
      <c r="A6" s="14" t="s">
        <v>10</v>
      </c>
      <c r="B6" s="47" t="s">
        <v>2466</v>
      </c>
      <c r="J6" s="17" t="str">
        <f>CONCATENATE("Title: ##34#",B6,"##34#")</f>
        <v>Title: ##34#Pathological Stage##34#</v>
      </c>
    </row>
    <row r="7" spans="1:12" ht="19.899999999999999" customHeight="1">
      <c r="A7" s="26" t="s">
        <v>2</v>
      </c>
      <c r="B7" s="106" t="s">
        <v>2465</v>
      </c>
      <c r="C7" s="9" t="s">
        <v>3</v>
      </c>
      <c r="D7" s="1" t="s">
        <v>4</v>
      </c>
      <c r="E7" s="3" t="s">
        <v>5</v>
      </c>
      <c r="F7" s="3" t="s">
        <v>6</v>
      </c>
      <c r="G7" s="3" t="s">
        <v>7</v>
      </c>
      <c r="H7" s="107" t="s">
        <v>1621</v>
      </c>
      <c r="J7" s="17" t="str">
        <f>CONCATENATE("Description: "," ##334#",B7,"##334#",)</f>
        <v>Description:  ##334#PathologicalStage##334#</v>
      </c>
    </row>
    <row r="8" spans="1:12" ht="20.25" customHeight="1">
      <c r="A8" s="100">
        <v>0</v>
      </c>
      <c r="B8" s="57" t="s">
        <v>2467</v>
      </c>
      <c r="C8" s="11" t="s">
        <v>2364</v>
      </c>
      <c r="D8" s="11" t="s">
        <v>2365</v>
      </c>
      <c r="E8" s="11">
        <v>1</v>
      </c>
      <c r="F8" s="11">
        <v>1</v>
      </c>
      <c r="G8" s="57" t="s">
        <v>2544</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9.899999999999999" customHeight="1">
      <c r="A9" s="100">
        <v>1</v>
      </c>
      <c r="B9" s="11" t="s">
        <v>2411</v>
      </c>
      <c r="C9" s="11" t="s">
        <v>2411</v>
      </c>
      <c r="D9" s="11" t="s">
        <v>2412</v>
      </c>
      <c r="E9" s="11">
        <v>0</v>
      </c>
      <c r="F9" s="11">
        <v>1</v>
      </c>
      <c r="G9" s="57" t="s">
        <v>2241</v>
      </c>
      <c r="H9" s="12" t="s">
        <v>2458</v>
      </c>
      <c r="I9" s="25"/>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9.899999999999999" customHeight="1">
      <c r="A10" s="100">
        <v>2</v>
      </c>
      <c r="B10" s="11" t="s">
        <v>2416</v>
      </c>
      <c r="C10" s="11" t="s">
        <v>2416</v>
      </c>
      <c r="D10" s="11" t="s">
        <v>2417</v>
      </c>
      <c r="E10" s="11">
        <v>0</v>
      </c>
      <c r="F10" s="11">
        <v>1</v>
      </c>
      <c r="G10" s="57" t="s">
        <v>2241</v>
      </c>
      <c r="H10" s="12" t="s">
        <v>2459</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19.899999999999999" customHeight="1">
      <c r="A11" s="100">
        <v>3</v>
      </c>
      <c r="B11" s="11" t="s">
        <v>2421</v>
      </c>
      <c r="C11" s="11" t="s">
        <v>2421</v>
      </c>
      <c r="D11" s="11" t="s">
        <v>2422</v>
      </c>
      <c r="E11" s="11">
        <v>0</v>
      </c>
      <c r="F11" s="11">
        <v>1</v>
      </c>
      <c r="G11" s="57" t="s">
        <v>2241</v>
      </c>
      <c r="H11" s="12" t="s">
        <v>2460</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0">
        <v>4</v>
      </c>
      <c r="B12" s="57" t="s">
        <v>2471</v>
      </c>
      <c r="C12" s="11" t="s">
        <v>2426</v>
      </c>
      <c r="D12" s="11" t="s">
        <v>2427</v>
      </c>
      <c r="E12" s="11">
        <v>0</v>
      </c>
      <c r="F12" s="11">
        <v>1</v>
      </c>
      <c r="G12" s="57" t="s">
        <v>2241</v>
      </c>
      <c r="H12" s="12" t="s">
        <v>2461</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19.899999999999999" customHeight="1">
      <c r="A13" s="100">
        <v>5</v>
      </c>
      <c r="B13" s="57" t="s">
        <v>2468</v>
      </c>
      <c r="C13" s="11" t="s">
        <v>2431</v>
      </c>
      <c r="D13" s="12" t="s">
        <v>2432</v>
      </c>
      <c r="E13" s="11">
        <v>0</v>
      </c>
      <c r="F13" s="11">
        <v>1</v>
      </c>
      <c r="G13" s="57" t="s">
        <v>2241</v>
      </c>
      <c r="H13" s="12" t="s">
        <v>2462</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19.899999999999999" customHeight="1">
      <c r="A14" s="100">
        <v>6</v>
      </c>
      <c r="B14" s="57" t="s">
        <v>2469</v>
      </c>
      <c r="C14" s="11" t="s">
        <v>2436</v>
      </c>
      <c r="D14" s="12" t="s">
        <v>1663</v>
      </c>
      <c r="E14" s="11">
        <v>1</v>
      </c>
      <c r="F14" s="11">
        <v>1</v>
      </c>
      <c r="G14" s="57" t="s">
        <v>2241</v>
      </c>
      <c r="H14" s="12" t="s">
        <v>2463</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0">
        <v>7</v>
      </c>
      <c r="B15" s="57" t="s">
        <v>1661</v>
      </c>
      <c r="C15" s="11" t="s">
        <v>1662</v>
      </c>
      <c r="D15" s="12" t="s">
        <v>2440</v>
      </c>
      <c r="E15" s="11">
        <v>0</v>
      </c>
      <c r="F15" s="11">
        <v>1</v>
      </c>
      <c r="G15" s="57" t="s">
        <v>2241</v>
      </c>
      <c r="H15" s="12" t="s">
        <v>2463</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0">
        <v>8</v>
      </c>
      <c r="B16" s="57" t="s">
        <v>2470</v>
      </c>
      <c r="C16" s="11" t="s">
        <v>2442</v>
      </c>
      <c r="D16" s="12" t="s">
        <v>2443</v>
      </c>
      <c r="E16" s="11">
        <v>1</v>
      </c>
      <c r="F16" s="11">
        <v>1</v>
      </c>
      <c r="G16" s="57" t="s">
        <v>2241</v>
      </c>
      <c r="H16" s="12" t="s">
        <v>2464</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1664</v>
      </c>
      <c r="C17" s="11" t="s">
        <v>1638</v>
      </c>
      <c r="D17" s="12" t="s">
        <v>1639</v>
      </c>
      <c r="E17" s="11">
        <v>1</v>
      </c>
      <c r="F17" s="11">
        <v>1</v>
      </c>
      <c r="G17" s="57" t="s">
        <v>2241</v>
      </c>
      <c r="H17" s="12" t="s">
        <v>2384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0">
        <v>10</v>
      </c>
      <c r="B18" s="57" t="s">
        <v>1665</v>
      </c>
      <c r="C18" s="11" t="s">
        <v>2448</v>
      </c>
      <c r="D18" s="11" t="s">
        <v>1641</v>
      </c>
      <c r="E18" s="11">
        <v>0</v>
      </c>
      <c r="F18" s="11">
        <v>1</v>
      </c>
      <c r="G18" s="57" t="s">
        <v>157</v>
      </c>
      <c r="H18" s="12" t="s">
        <v>2387</v>
      </c>
      <c r="J18" s="12" t="str">
        <f t="shared" si="0"/>
        <v>* softTissue 0..1 boolean ##34#Soft Tissue##34# ##334#Describes if site of metastasic disease  is soft tissue##334#</v>
      </c>
      <c r="L18" s="12" t="str">
        <f t="shared" si="1"/>
        <v>* softTissue ^comment = ##334#True; False##334#</v>
      </c>
    </row>
    <row r="19" spans="1:13" ht="19.899999999999999" customHeight="1">
      <c r="A19" s="100">
        <v>11</v>
      </c>
      <c r="B19" s="57" t="s">
        <v>1666</v>
      </c>
      <c r="C19" s="11" t="s">
        <v>1642</v>
      </c>
      <c r="D19" s="11" t="s">
        <v>1643</v>
      </c>
      <c r="E19" s="11">
        <v>0</v>
      </c>
      <c r="F19" s="11">
        <v>1</v>
      </c>
      <c r="G19" s="57" t="s">
        <v>157</v>
      </c>
      <c r="H19" s="12" t="s">
        <v>2387</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0">
        <v>12</v>
      </c>
      <c r="B20" s="11" t="s">
        <v>1644</v>
      </c>
      <c r="C20" s="11" t="s">
        <v>1644</v>
      </c>
      <c r="D20" s="11" t="s">
        <v>1645</v>
      </c>
      <c r="E20" s="11">
        <v>0</v>
      </c>
      <c r="F20" s="11">
        <v>1</v>
      </c>
      <c r="G20" s="57" t="s">
        <v>157</v>
      </c>
      <c r="H20" s="12" t="s">
        <v>2387</v>
      </c>
      <c r="J20" s="12" t="str">
        <f t="shared" si="0"/>
        <v>* lung 0..1 boolean ##34#lung##34# ##334#Describes if site of metastasic disease  is lung##334#</v>
      </c>
      <c r="L20" s="12" t="str">
        <f t="shared" si="1"/>
        <v>* lung ^comment = ##334#True; False##334#</v>
      </c>
    </row>
    <row r="21" spans="1:13" ht="19.899999999999999" customHeight="1">
      <c r="A21" s="100">
        <v>13</v>
      </c>
      <c r="B21" s="11" t="s">
        <v>1646</v>
      </c>
      <c r="C21" s="11" t="s">
        <v>1646</v>
      </c>
      <c r="D21" s="11" t="s">
        <v>1647</v>
      </c>
      <c r="E21" s="11">
        <v>0</v>
      </c>
      <c r="F21" s="11">
        <v>1</v>
      </c>
      <c r="G21" s="57" t="s">
        <v>157</v>
      </c>
      <c r="H21" s="12" t="s">
        <v>2387</v>
      </c>
      <c r="J21" s="12" t="str">
        <f t="shared" si="0"/>
        <v>* bone 0..1 boolean ##34#bone##34# ##334#Describes if site of metastasic disease  is bone##334#</v>
      </c>
      <c r="L21" s="12" t="str">
        <f t="shared" si="1"/>
        <v>* bone ^comment = ##334#True; False##334#</v>
      </c>
      <c r="M21"/>
    </row>
    <row r="22" spans="1:13" ht="19.899999999999999" customHeight="1">
      <c r="A22" s="100">
        <v>14</v>
      </c>
      <c r="B22" s="11" t="s">
        <v>1648</v>
      </c>
      <c r="C22" s="11" t="s">
        <v>1648</v>
      </c>
      <c r="D22" s="11" t="s">
        <v>1649</v>
      </c>
      <c r="E22" s="11">
        <v>0</v>
      </c>
      <c r="F22" s="11">
        <v>1</v>
      </c>
      <c r="G22" s="57" t="s">
        <v>157</v>
      </c>
      <c r="H22" s="12" t="s">
        <v>2387</v>
      </c>
      <c r="J22" s="12" t="str">
        <f t="shared" si="0"/>
        <v>* liver 0..1 boolean ##34#liver##34# ##334#Describes if site of metastasic disease  is liver##334#</v>
      </c>
      <c r="L22" s="12" t="str">
        <f t="shared" si="1"/>
        <v>* liver ^comment = ##334#True; False##334#</v>
      </c>
      <c r="M22"/>
    </row>
    <row r="23" spans="1:13" ht="19.899999999999999" customHeight="1">
      <c r="A23" s="100">
        <v>15</v>
      </c>
      <c r="B23" s="11" t="s">
        <v>1650</v>
      </c>
      <c r="C23" s="11" t="s">
        <v>1650</v>
      </c>
      <c r="D23" s="12" t="s">
        <v>1651</v>
      </c>
      <c r="E23" s="11">
        <v>0</v>
      </c>
      <c r="F23" s="11">
        <v>1</v>
      </c>
      <c r="G23" s="57" t="s">
        <v>157</v>
      </c>
      <c r="H23" s="12" t="s">
        <v>2387</v>
      </c>
      <c r="J23" s="12" t="str">
        <f t="shared" si="0"/>
        <v>* pleura 0..1 boolean ##34#pleura##34# ##334#Describes if site of metastasic disease  is pleura##334#</v>
      </c>
      <c r="L23" s="12" t="str">
        <f t="shared" si="1"/>
        <v>* pleura ^comment = ##334#True; False##334#</v>
      </c>
      <c r="M23"/>
    </row>
    <row r="24" spans="1:13" ht="19.899999999999999" customHeight="1">
      <c r="A24" s="100">
        <v>16</v>
      </c>
      <c r="B24" s="11" t="s">
        <v>1652</v>
      </c>
      <c r="C24" s="11" t="s">
        <v>1652</v>
      </c>
      <c r="D24" s="12" t="s">
        <v>1653</v>
      </c>
      <c r="E24" s="11">
        <v>0</v>
      </c>
      <c r="F24" s="11">
        <v>1</v>
      </c>
      <c r="G24" s="57" t="s">
        <v>157</v>
      </c>
      <c r="H24" s="12" t="s">
        <v>2387</v>
      </c>
      <c r="J24" s="12" t="str">
        <f t="shared" si="0"/>
        <v>* peritoneum 0..1 boolean ##34#peritoneum##34# ##334#Describes if site of metastasic disease  is peritoneum##334#</v>
      </c>
      <c r="L24" s="12" t="str">
        <f t="shared" si="1"/>
        <v>* peritoneum ^comment = ##334#True; False##334#</v>
      </c>
      <c r="M24"/>
    </row>
    <row r="25" spans="1:13" ht="19.899999999999999" customHeight="1">
      <c r="A25" s="148">
        <v>17</v>
      </c>
      <c r="B25" t="s">
        <v>1654</v>
      </c>
      <c r="C25" t="s">
        <v>1654</v>
      </c>
      <c r="D25" s="2" t="s">
        <v>1655</v>
      </c>
      <c r="E25">
        <v>0</v>
      </c>
      <c r="F25">
        <v>1</v>
      </c>
      <c r="G25" s="57" t="s">
        <v>157</v>
      </c>
      <c r="H25" s="2" t="s">
        <v>2387</v>
      </c>
      <c r="J25" s="12" t="str">
        <f t="shared" si="0"/>
        <v>* brain 0..1 boolean ##34#brain##34# ##334#Describes if site of metastasic disease  is brain##334#</v>
      </c>
      <c r="L25" s="12" t="str">
        <f t="shared" si="1"/>
        <v>* brain ^comment = ##334#True; False##334#</v>
      </c>
      <c r="M25"/>
    </row>
    <row r="26" spans="1:13" ht="19.899999999999999" customHeight="1">
      <c r="A26" s="100">
        <v>18</v>
      </c>
      <c r="B26" t="s">
        <v>1667</v>
      </c>
      <c r="C26" t="s">
        <v>1656</v>
      </c>
      <c r="D26" s="2" t="s">
        <v>1657</v>
      </c>
      <c r="E26">
        <v>0</v>
      </c>
      <c r="F26">
        <v>1</v>
      </c>
      <c r="G26" s="57" t="s">
        <v>157</v>
      </c>
      <c r="H26" s="2" t="s">
        <v>2387</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B27" s="2" t="s">
        <v>1658</v>
      </c>
      <c r="C27" s="2" t="s">
        <v>1658</v>
      </c>
      <c r="D27" t="s">
        <v>1659</v>
      </c>
      <c r="E27">
        <v>0</v>
      </c>
      <c r="F27">
        <v>1</v>
      </c>
      <c r="G27" s="57" t="s">
        <v>157</v>
      </c>
      <c r="H27" s="2" t="s">
        <v>2387</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c r="F32" s="7"/>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86E9A-7EE6-4BE5-8833-1A30F7BA0137}">
  <sheetPr codeName="Foglio53"/>
  <dimension ref="A1:O103"/>
  <sheetViews>
    <sheetView workbookViewId="0">
      <selection activeCell="L8" sqref="L8:L28"/>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1669</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1670</v>
      </c>
      <c r="E6" s="20" t="str">
        <f>CONCATENATE("Title: ##34#",C6,"##34#")</f>
        <v>Title: ##34#Idea4RC Staging model to FHIR R4 Map##34#</v>
      </c>
      <c r="H6" s="7"/>
      <c r="I6" s="7"/>
      <c r="J6" s="7"/>
      <c r="K6" s="7"/>
      <c r="L6" s="7"/>
      <c r="M6" s="7"/>
      <c r="N6" s="7"/>
      <c r="O6" s="7"/>
    </row>
    <row r="7" spans="1:15" ht="15.5" thickBot="1">
      <c r="B7" s="10" t="s">
        <v>18</v>
      </c>
      <c r="C7" s="8" t="str">
        <f>B9</f>
        <v>PathologicalStage</v>
      </c>
      <c r="E7" s="20" t="str">
        <f>CONCATENATE("Source: ",C7)</f>
        <v>Source: PathologicalStage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PathologicalStage!B5</f>
        <v>PathologicalStage</v>
      </c>
      <c r="C9" s="6" t="s">
        <v>1620</v>
      </c>
      <c r="E9" s="27" t="str">
        <f>CONCATENATE("* -&gt; ##34#",C9,"##34#")</f>
        <v>* -&gt; ##34#TBD##34#</v>
      </c>
      <c r="H9" s="7"/>
      <c r="I9" s="7"/>
      <c r="J9" s="7"/>
      <c r="K9" s="7"/>
      <c r="L9" s="7"/>
      <c r="M9" s="7"/>
      <c r="N9" s="7"/>
      <c r="O9" s="7"/>
    </row>
    <row r="10" spans="1:15">
      <c r="A10" s="11"/>
      <c r="B10" s="11" t="str">
        <f>PathologicalStage!B8</f>
        <v>episodeEventReference</v>
      </c>
      <c r="C10" s="11" t="s">
        <v>1620</v>
      </c>
      <c r="E10" s="12" t="str">
        <f t="shared" ref="E10:E73" si="0">IF(B10=0,"*  -&gt; ##34###34#",CONCATENATE("* ",B10," -&gt; ##34#",C10,"##34#"))</f>
        <v>* episodeEventReference -&gt; ##34#TBD##34#</v>
      </c>
      <c r="H10" s="7"/>
      <c r="I10" s="7"/>
      <c r="J10" s="7"/>
      <c r="K10" s="7"/>
      <c r="L10" s="7"/>
      <c r="M10" s="7"/>
      <c r="N10" s="7"/>
      <c r="O10" s="7"/>
    </row>
    <row r="11" spans="1:15">
      <c r="A11" s="11"/>
      <c r="B11" s="11" t="str">
        <f>PathologicalStage!B9</f>
        <v>pT</v>
      </c>
      <c r="C11" s="11" t="s">
        <v>1620</v>
      </c>
      <c r="E11" s="12" t="str">
        <f t="shared" si="0"/>
        <v>* pT -&gt; ##34#TBD##34#</v>
      </c>
      <c r="H11" s="7"/>
      <c r="I11" s="7"/>
      <c r="J11" s="7"/>
      <c r="K11" s="7"/>
      <c r="L11" s="7"/>
      <c r="M11" s="7"/>
      <c r="N11" s="7"/>
      <c r="O11" s="7"/>
    </row>
    <row r="12" spans="1:15">
      <c r="A12" s="11"/>
      <c r="B12" s="11" t="str">
        <f>PathologicalStage!B10</f>
        <v>pN</v>
      </c>
      <c r="C12" s="11" t="s">
        <v>1620</v>
      </c>
      <c r="E12" s="12" t="str">
        <f t="shared" si="0"/>
        <v>* pN -&gt; ##34#TBD##34#</v>
      </c>
      <c r="H12" s="7"/>
      <c r="I12" s="7"/>
      <c r="J12" s="7"/>
      <c r="K12" s="7"/>
      <c r="L12" s="7"/>
      <c r="M12" s="7"/>
      <c r="N12" s="7"/>
      <c r="O12" s="7"/>
    </row>
    <row r="13" spans="1:15">
      <c r="A13" s="11"/>
      <c r="B13" s="11" t="str">
        <f>PathologicalStage!B11</f>
        <v>pM</v>
      </c>
      <c r="C13" s="11" t="s">
        <v>1620</v>
      </c>
      <c r="E13" s="12" t="str">
        <f t="shared" si="0"/>
        <v>* pM -&gt; ##34#TBD##34#</v>
      </c>
      <c r="H13" s="7"/>
      <c r="I13" s="7"/>
      <c r="J13" s="7"/>
      <c r="K13" s="7"/>
      <c r="L13" s="7"/>
      <c r="M13" s="7"/>
      <c r="N13" s="7"/>
      <c r="O13" s="7"/>
    </row>
    <row r="14" spans="1:15">
      <c r="A14" s="11"/>
      <c r="B14" s="11" t="str">
        <f>PathologicalStage!B12</f>
        <v>extranodalExtension</v>
      </c>
      <c r="C14" s="11" t="s">
        <v>1620</v>
      </c>
      <c r="E14" s="12" t="str">
        <f t="shared" si="0"/>
        <v>* extranodalExtension -&gt; ##34#TBD##34#</v>
      </c>
      <c r="H14" s="7"/>
      <c r="I14" s="7"/>
      <c r="J14" s="7"/>
      <c r="K14" s="7"/>
      <c r="L14" s="7"/>
      <c r="M14" s="7"/>
      <c r="N14" s="7"/>
      <c r="O14" s="7"/>
    </row>
    <row r="15" spans="1:15">
      <c r="A15" s="11"/>
      <c r="B15" s="11" t="str">
        <f>PathologicalStage!B13</f>
        <v>extranodalExtent</v>
      </c>
      <c r="C15" s="11" t="s">
        <v>1620</v>
      </c>
      <c r="E15" s="12" t="str">
        <f t="shared" si="0"/>
        <v>* extranodalExtent -&gt; ##34#TBD##34#</v>
      </c>
      <c r="H15" s="7"/>
      <c r="I15" s="7"/>
      <c r="J15" s="7"/>
      <c r="K15" s="7"/>
      <c r="L15" s="7"/>
      <c r="M15" s="7"/>
      <c r="N15" s="7"/>
      <c r="O15" s="7"/>
    </row>
    <row r="16" spans="1:15">
      <c r="A16" s="11"/>
      <c r="B16" s="11" t="str">
        <f>PathologicalStage!B14</f>
        <v>sentinelNode</v>
      </c>
      <c r="C16" s="11" t="s">
        <v>1620</v>
      </c>
      <c r="E16" s="12" t="str">
        <f t="shared" si="0"/>
        <v>* sentinelNode -&gt; ##34#TBD##34#</v>
      </c>
      <c r="H16" s="7"/>
      <c r="I16" s="7"/>
      <c r="J16" s="7"/>
      <c r="K16" s="7"/>
      <c r="L16" s="7"/>
      <c r="M16" s="7"/>
      <c r="N16" s="7"/>
      <c r="O16" s="7"/>
    </row>
    <row r="17" spans="1:5">
      <c r="A17" s="11"/>
      <c r="B17" s="11" t="str">
        <f>PathologicalStage!B15</f>
        <v>neckDissection</v>
      </c>
      <c r="C17" s="11" t="s">
        <v>1620</v>
      </c>
      <c r="E17" s="12" t="str">
        <f t="shared" si="0"/>
        <v>* neckDissection -&gt; ##34#TBD##34#</v>
      </c>
    </row>
    <row r="18" spans="1:5">
      <c r="A18" s="11"/>
      <c r="B18" s="11" t="str">
        <f>PathologicalStage!B16</f>
        <v>pathologicalStaging</v>
      </c>
      <c r="C18" s="11" t="s">
        <v>1620</v>
      </c>
      <c r="E18" s="12" t="str">
        <f t="shared" si="0"/>
        <v>* pathologicalStaging -&gt; ##34#TBD##34#</v>
      </c>
    </row>
    <row r="19" spans="1:5">
      <c r="A19" s="11"/>
      <c r="B19" s="11" t="str">
        <f>PathologicalStage!B17</f>
        <v>ajccEdition</v>
      </c>
      <c r="C19" s="11" t="s">
        <v>1620</v>
      </c>
      <c r="E19" s="12" t="str">
        <f t="shared" si="0"/>
        <v>* ajccEdition -&gt; ##34#TBD##34#</v>
      </c>
    </row>
    <row r="20" spans="1:5">
      <c r="A20" s="11"/>
      <c r="B20" s="11" t="str">
        <f>PathologicalStage!B18</f>
        <v>softTissue</v>
      </c>
      <c r="C20" s="11" t="s">
        <v>1620</v>
      </c>
      <c r="E20" s="12" t="str">
        <f t="shared" si="0"/>
        <v>* softTissue -&gt; ##34#TBD##34#</v>
      </c>
    </row>
    <row r="21" spans="1:5">
      <c r="B21" s="11" t="str">
        <f>PathologicalStage!B19</f>
        <v>distantLymphNode</v>
      </c>
      <c r="C21" s="11" t="s">
        <v>1620</v>
      </c>
      <c r="E21" s="12" t="str">
        <f t="shared" si="0"/>
        <v>* distantLymphNode -&gt; ##34#TBD##34#</v>
      </c>
    </row>
    <row r="22" spans="1:5">
      <c r="B22" s="11" t="str">
        <f>PathologicalStage!B20</f>
        <v>lung</v>
      </c>
      <c r="C22" s="11" t="s">
        <v>1620</v>
      </c>
      <c r="E22" s="12" t="str">
        <f t="shared" si="0"/>
        <v>* lung -&gt; ##34#TBD##34#</v>
      </c>
    </row>
    <row r="23" spans="1:5">
      <c r="B23" s="11" t="str">
        <f>PathologicalStage!B21</f>
        <v>bone</v>
      </c>
      <c r="C23" s="11" t="s">
        <v>1620</v>
      </c>
      <c r="E23" s="12" t="str">
        <f t="shared" si="0"/>
        <v>* bone -&gt; ##34#TBD##34#</v>
      </c>
    </row>
    <row r="24" spans="1:5">
      <c r="B24" s="11" t="str">
        <f>PathologicalStage!B22</f>
        <v>liver</v>
      </c>
      <c r="C24" s="11" t="s">
        <v>1620</v>
      </c>
      <c r="E24" s="12" t="str">
        <f t="shared" si="0"/>
        <v>* liver -&gt; ##34#TBD##34#</v>
      </c>
    </row>
    <row r="25" spans="1:5">
      <c r="B25" s="11" t="str">
        <f>PathologicalStage!B23</f>
        <v>pleura</v>
      </c>
      <c r="C25" s="11" t="s">
        <v>1620</v>
      </c>
      <c r="E25" s="12" t="str">
        <f t="shared" si="0"/>
        <v>* pleura -&gt; ##34#TBD##34#</v>
      </c>
    </row>
    <row r="26" spans="1:5">
      <c r="B26" s="11" t="str">
        <f>PathologicalStage!B24</f>
        <v>peritoneum</v>
      </c>
      <c r="C26" s="11" t="s">
        <v>1620</v>
      </c>
      <c r="E26" s="12" t="str">
        <f t="shared" si="0"/>
        <v>* peritoneum -&gt; ##34#TBD##34#</v>
      </c>
    </row>
    <row r="27" spans="1:5">
      <c r="B27" s="11" t="str">
        <f>PathologicalStage!B25</f>
        <v>brain</v>
      </c>
      <c r="C27" s="11" t="s">
        <v>1620</v>
      </c>
      <c r="E27" s="12" t="str">
        <f t="shared" si="0"/>
        <v>* brain -&gt; ##34#TBD##34#</v>
      </c>
    </row>
    <row r="28" spans="1:5">
      <c r="B28" s="11" t="str">
        <f>PathologicalStage!B26</f>
        <v>otherViscera</v>
      </c>
      <c r="C28" s="11" t="s">
        <v>1620</v>
      </c>
      <c r="E28" s="12" t="str">
        <f t="shared" si="0"/>
        <v>* otherViscera -&gt; ##34#TBD##34#</v>
      </c>
    </row>
    <row r="29" spans="1:5">
      <c r="B29" s="11" t="e">
        <f>PathologicalStage!#REF!</f>
        <v>#REF!</v>
      </c>
      <c r="C29" s="11" t="s">
        <v>1620</v>
      </c>
      <c r="E29" s="12" t="e">
        <f t="shared" si="0"/>
        <v>#REF!</v>
      </c>
    </row>
    <row r="30" spans="1:5">
      <c r="B30" s="11" t="e">
        <f>PathologicalStage!#REF!</f>
        <v>#REF!</v>
      </c>
      <c r="C30" s="11" t="s">
        <v>1620</v>
      </c>
      <c r="E30" s="12" t="e">
        <f t="shared" si="0"/>
        <v>#REF!</v>
      </c>
    </row>
    <row r="31" spans="1:5">
      <c r="B31" s="11" t="e">
        <f>PathologicalStage!#REF!</f>
        <v>#REF!</v>
      </c>
      <c r="C31" s="11" t="s">
        <v>1620</v>
      </c>
      <c r="E31" s="12" t="e">
        <f t="shared" si="0"/>
        <v>#REF!</v>
      </c>
    </row>
    <row r="32" spans="1:5">
      <c r="B32" s="11" t="e">
        <f>PathologicalStage!#REF!</f>
        <v>#REF!</v>
      </c>
      <c r="C32" s="11" t="s">
        <v>1620</v>
      </c>
      <c r="E32" s="12" t="e">
        <f t="shared" si="0"/>
        <v>#REF!</v>
      </c>
    </row>
    <row r="33" spans="2:5">
      <c r="B33" s="11" t="e">
        <f>PathologicalStage!#REF!</f>
        <v>#REF!</v>
      </c>
      <c r="C33" s="11" t="s">
        <v>1620</v>
      </c>
      <c r="E33" s="12" t="e">
        <f t="shared" si="0"/>
        <v>#REF!</v>
      </c>
    </row>
    <row r="34" spans="2:5">
      <c r="B34" s="11" t="e">
        <f>PathologicalStage!#REF!</f>
        <v>#REF!</v>
      </c>
      <c r="C34" s="11" t="s">
        <v>1620</v>
      </c>
      <c r="E34" s="12" t="e">
        <f t="shared" si="0"/>
        <v>#REF!</v>
      </c>
    </row>
    <row r="35" spans="2:5">
      <c r="B35" s="11" t="e">
        <f>PathologicalStage!#REF!</f>
        <v>#REF!</v>
      </c>
      <c r="C35" s="11" t="s">
        <v>1620</v>
      </c>
      <c r="E35" s="12" t="e">
        <f t="shared" si="0"/>
        <v>#REF!</v>
      </c>
    </row>
    <row r="36" spans="2:5">
      <c r="B36" s="11" t="e">
        <f>PathologicalStage!#REF!</f>
        <v>#REF!</v>
      </c>
      <c r="C36" s="11" t="s">
        <v>1620</v>
      </c>
      <c r="E36" s="12" t="e">
        <f t="shared" si="0"/>
        <v>#REF!</v>
      </c>
    </row>
    <row r="37" spans="2:5">
      <c r="B37" s="11" t="e">
        <f>PathologicalStage!#REF!</f>
        <v>#REF!</v>
      </c>
      <c r="C37" s="11" t="s">
        <v>1620</v>
      </c>
      <c r="E37" s="12" t="e">
        <f t="shared" si="0"/>
        <v>#REF!</v>
      </c>
    </row>
    <row r="38" spans="2:5">
      <c r="B38" s="11" t="e">
        <f>PathologicalStage!#REF!</f>
        <v>#REF!</v>
      </c>
      <c r="C38" s="11" t="s">
        <v>1620</v>
      </c>
      <c r="E38" s="12" t="e">
        <f t="shared" si="0"/>
        <v>#REF!</v>
      </c>
    </row>
    <row r="39" spans="2:5">
      <c r="B39" s="11" t="e">
        <f>PathologicalStage!#REF!</f>
        <v>#REF!</v>
      </c>
      <c r="C39" s="11" t="s">
        <v>1620</v>
      </c>
      <c r="E39" s="12" t="e">
        <f t="shared" si="0"/>
        <v>#REF!</v>
      </c>
    </row>
    <row r="40" spans="2:5">
      <c r="B40" s="11" t="e">
        <f>PathologicalStage!#REF!</f>
        <v>#REF!</v>
      </c>
      <c r="C40" s="11" t="s">
        <v>1620</v>
      </c>
      <c r="E40" s="12" t="e">
        <f t="shared" si="0"/>
        <v>#REF!</v>
      </c>
    </row>
    <row r="41" spans="2:5">
      <c r="B41" s="11" t="e">
        <f>PathologicalStage!#REF!</f>
        <v>#REF!</v>
      </c>
      <c r="C41" s="11" t="s">
        <v>1620</v>
      </c>
      <c r="E41" s="12" t="e">
        <f t="shared" si="0"/>
        <v>#REF!</v>
      </c>
    </row>
    <row r="42" spans="2:5">
      <c r="B42" s="11" t="e">
        <f>PathologicalStage!#REF!</f>
        <v>#REF!</v>
      </c>
      <c r="C42" s="11" t="s">
        <v>1620</v>
      </c>
      <c r="E42" s="12" t="e">
        <f t="shared" si="0"/>
        <v>#REF!</v>
      </c>
    </row>
    <row r="43" spans="2:5">
      <c r="B43" s="11" t="e">
        <f>PathologicalStage!#REF!</f>
        <v>#REF!</v>
      </c>
      <c r="C43" s="11" t="s">
        <v>1620</v>
      </c>
      <c r="E43" s="12" t="e">
        <f t="shared" si="0"/>
        <v>#REF!</v>
      </c>
    </row>
    <row r="44" spans="2:5">
      <c r="B44" s="11" t="e">
        <f>PathologicalStage!#REF!</f>
        <v>#REF!</v>
      </c>
      <c r="C44" s="11" t="s">
        <v>1620</v>
      </c>
      <c r="E44" s="12" t="e">
        <f t="shared" si="0"/>
        <v>#REF!</v>
      </c>
    </row>
    <row r="45" spans="2:5">
      <c r="B45" s="11" t="e">
        <f>PathologicalStage!#REF!</f>
        <v>#REF!</v>
      </c>
      <c r="C45" s="11" t="s">
        <v>1620</v>
      </c>
      <c r="E45" s="12" t="e">
        <f t="shared" si="0"/>
        <v>#REF!</v>
      </c>
    </row>
    <row r="46" spans="2:5">
      <c r="B46" s="11" t="e">
        <f>PathologicalStage!#REF!</f>
        <v>#REF!</v>
      </c>
      <c r="C46" s="11" t="s">
        <v>1620</v>
      </c>
      <c r="E46" s="12" t="e">
        <f t="shared" si="0"/>
        <v>#REF!</v>
      </c>
    </row>
    <row r="47" spans="2:5">
      <c r="B47" s="11" t="e">
        <f>PathologicalStage!#REF!</f>
        <v>#REF!</v>
      </c>
      <c r="C47" s="11" t="s">
        <v>1620</v>
      </c>
      <c r="E47" s="12" t="e">
        <f t="shared" si="0"/>
        <v>#REF!</v>
      </c>
    </row>
    <row r="48" spans="2:5">
      <c r="B48" s="11" t="e">
        <f>PathologicalStage!#REF!</f>
        <v>#REF!</v>
      </c>
      <c r="C48" s="11" t="s">
        <v>1620</v>
      </c>
      <c r="E48" s="12" t="e">
        <f t="shared" si="0"/>
        <v>#REF!</v>
      </c>
    </row>
    <row r="49" spans="2:5">
      <c r="B49" s="11" t="e">
        <f>PathologicalStage!#REF!</f>
        <v>#REF!</v>
      </c>
      <c r="C49" s="11" t="s">
        <v>1620</v>
      </c>
      <c r="E49" s="12" t="e">
        <f t="shared" si="0"/>
        <v>#REF!</v>
      </c>
    </row>
    <row r="50" spans="2:5">
      <c r="B50" s="11" t="e">
        <f>PathologicalStage!#REF!</f>
        <v>#REF!</v>
      </c>
      <c r="C50" s="11" t="s">
        <v>1620</v>
      </c>
      <c r="E50" s="12" t="e">
        <f t="shared" si="0"/>
        <v>#REF!</v>
      </c>
    </row>
    <row r="51" spans="2:5">
      <c r="B51" s="11" t="e">
        <f>PathologicalStage!#REF!</f>
        <v>#REF!</v>
      </c>
      <c r="C51" s="11" t="s">
        <v>1620</v>
      </c>
      <c r="E51" s="12" t="e">
        <f t="shared" si="0"/>
        <v>#REF!</v>
      </c>
    </row>
    <row r="52" spans="2:5">
      <c r="B52" s="11" t="e">
        <f>PathologicalStage!#REF!</f>
        <v>#REF!</v>
      </c>
      <c r="C52" s="11" t="s">
        <v>1620</v>
      </c>
      <c r="E52" s="12" t="e">
        <f t="shared" si="0"/>
        <v>#REF!</v>
      </c>
    </row>
    <row r="53" spans="2:5">
      <c r="B53" s="11" t="e">
        <f>PathologicalStage!#REF!</f>
        <v>#REF!</v>
      </c>
      <c r="C53" s="11" t="s">
        <v>1620</v>
      </c>
      <c r="E53" s="12" t="e">
        <f t="shared" si="0"/>
        <v>#REF!</v>
      </c>
    </row>
    <row r="54" spans="2:5">
      <c r="B54" s="11" t="e">
        <f>PathologicalStage!#REF!</f>
        <v>#REF!</v>
      </c>
      <c r="C54" s="11" t="s">
        <v>1620</v>
      </c>
      <c r="E54" s="12" t="e">
        <f t="shared" si="0"/>
        <v>#REF!</v>
      </c>
    </row>
    <row r="55" spans="2:5">
      <c r="B55" s="11" t="e">
        <f>PathologicalStage!#REF!</f>
        <v>#REF!</v>
      </c>
      <c r="C55" s="11" t="s">
        <v>1620</v>
      </c>
      <c r="E55" s="12" t="e">
        <f t="shared" si="0"/>
        <v>#REF!</v>
      </c>
    </row>
    <row r="56" spans="2:5">
      <c r="B56" s="11" t="e">
        <f>PathologicalStage!#REF!</f>
        <v>#REF!</v>
      </c>
      <c r="C56" s="11" t="s">
        <v>1620</v>
      </c>
      <c r="E56" s="12" t="e">
        <f t="shared" si="0"/>
        <v>#REF!</v>
      </c>
    </row>
    <row r="57" spans="2:5">
      <c r="B57" s="11" t="e">
        <f>PathologicalStage!#REF!</f>
        <v>#REF!</v>
      </c>
      <c r="C57" s="11" t="s">
        <v>1620</v>
      </c>
      <c r="E57" s="12" t="e">
        <f t="shared" si="0"/>
        <v>#REF!</v>
      </c>
    </row>
    <row r="58" spans="2:5">
      <c r="B58" s="11" t="e">
        <f>PathologicalStage!#REF!</f>
        <v>#REF!</v>
      </c>
      <c r="C58" s="11" t="s">
        <v>1620</v>
      </c>
      <c r="E58" s="12" t="e">
        <f t="shared" si="0"/>
        <v>#REF!</v>
      </c>
    </row>
    <row r="59" spans="2:5">
      <c r="B59" s="11" t="e">
        <f>PathologicalStage!#REF!</f>
        <v>#REF!</v>
      </c>
      <c r="C59" s="11" t="s">
        <v>1620</v>
      </c>
      <c r="E59" s="12" t="e">
        <f t="shared" si="0"/>
        <v>#REF!</v>
      </c>
    </row>
    <row r="60" spans="2:5">
      <c r="B60" s="11" t="e">
        <f>PathologicalStage!#REF!</f>
        <v>#REF!</v>
      </c>
      <c r="C60" s="11" t="s">
        <v>1620</v>
      </c>
      <c r="E60" s="12" t="e">
        <f t="shared" si="0"/>
        <v>#REF!</v>
      </c>
    </row>
    <row r="61" spans="2:5">
      <c r="B61" s="11" t="e">
        <f>PathologicalStage!#REF!</f>
        <v>#REF!</v>
      </c>
      <c r="C61" s="11" t="s">
        <v>1620</v>
      </c>
      <c r="E61" s="12" t="e">
        <f t="shared" si="0"/>
        <v>#REF!</v>
      </c>
    </row>
    <row r="62" spans="2:5">
      <c r="B62" s="11" t="e">
        <f>PathologicalStage!#REF!</f>
        <v>#REF!</v>
      </c>
      <c r="C62" s="11" t="s">
        <v>1620</v>
      </c>
      <c r="E62" s="12" t="e">
        <f t="shared" si="0"/>
        <v>#REF!</v>
      </c>
    </row>
    <row r="63" spans="2:5">
      <c r="B63" s="11" t="e">
        <f>PathologicalStage!#REF!</f>
        <v>#REF!</v>
      </c>
      <c r="C63" s="11" t="s">
        <v>1620</v>
      </c>
      <c r="E63" s="12" t="e">
        <f t="shared" si="0"/>
        <v>#REF!</v>
      </c>
    </row>
    <row r="64" spans="2:5">
      <c r="B64" s="11" t="e">
        <f>PathologicalStage!#REF!</f>
        <v>#REF!</v>
      </c>
      <c r="C64" s="11" t="s">
        <v>1620</v>
      </c>
      <c r="E64" s="12" t="e">
        <f t="shared" si="0"/>
        <v>#REF!</v>
      </c>
    </row>
    <row r="65" spans="2:5">
      <c r="B65" s="11" t="e">
        <f>PathologicalStage!#REF!</f>
        <v>#REF!</v>
      </c>
      <c r="C65" s="11" t="s">
        <v>1620</v>
      </c>
      <c r="E65" s="12" t="e">
        <f t="shared" si="0"/>
        <v>#REF!</v>
      </c>
    </row>
    <row r="66" spans="2:5">
      <c r="B66" s="11" t="e">
        <f>PathologicalStage!#REF!</f>
        <v>#REF!</v>
      </c>
      <c r="C66" s="11" t="s">
        <v>1620</v>
      </c>
      <c r="E66" s="12" t="e">
        <f t="shared" si="0"/>
        <v>#REF!</v>
      </c>
    </row>
    <row r="67" spans="2:5">
      <c r="B67" s="11" t="e">
        <f>PathologicalStage!#REF!</f>
        <v>#REF!</v>
      </c>
      <c r="C67" s="11" t="s">
        <v>1620</v>
      </c>
      <c r="E67" s="12" t="e">
        <f t="shared" si="0"/>
        <v>#REF!</v>
      </c>
    </row>
    <row r="68" spans="2:5">
      <c r="B68" s="11" t="e">
        <f>PathologicalStage!#REF!</f>
        <v>#REF!</v>
      </c>
      <c r="C68" s="11" t="s">
        <v>1620</v>
      </c>
      <c r="E68" s="12" t="e">
        <f t="shared" si="0"/>
        <v>#REF!</v>
      </c>
    </row>
    <row r="69" spans="2:5">
      <c r="B69" s="11" t="e">
        <f>PathologicalStage!#REF!</f>
        <v>#REF!</v>
      </c>
      <c r="C69" s="11" t="s">
        <v>1620</v>
      </c>
      <c r="E69" s="12" t="e">
        <f t="shared" si="0"/>
        <v>#REF!</v>
      </c>
    </row>
    <row r="70" spans="2:5">
      <c r="B70" s="11" t="e">
        <f>PathologicalStage!#REF!</f>
        <v>#REF!</v>
      </c>
      <c r="C70" s="11" t="s">
        <v>1620</v>
      </c>
      <c r="E70" s="12" t="e">
        <f t="shared" si="0"/>
        <v>#REF!</v>
      </c>
    </row>
    <row r="71" spans="2:5">
      <c r="B71" s="11" t="e">
        <f>PathologicalStage!#REF!</f>
        <v>#REF!</v>
      </c>
      <c r="C71" s="11" t="s">
        <v>1620</v>
      </c>
      <c r="E71" s="12" t="e">
        <f t="shared" si="0"/>
        <v>#REF!</v>
      </c>
    </row>
    <row r="72" spans="2:5">
      <c r="B72" s="11" t="e">
        <f>PathologicalStage!#REF!</f>
        <v>#REF!</v>
      </c>
      <c r="C72" s="11" t="s">
        <v>1620</v>
      </c>
      <c r="E72" s="12" t="e">
        <f t="shared" si="0"/>
        <v>#REF!</v>
      </c>
    </row>
    <row r="73" spans="2:5">
      <c r="B73" s="11" t="e">
        <f>PathologicalStage!#REF!</f>
        <v>#REF!</v>
      </c>
      <c r="C73" s="11" t="s">
        <v>1620</v>
      </c>
      <c r="E73" s="12" t="e">
        <f t="shared" si="0"/>
        <v>#REF!</v>
      </c>
    </row>
    <row r="74" spans="2:5">
      <c r="B74" s="11" t="e">
        <f>PathologicalStage!#REF!</f>
        <v>#REF!</v>
      </c>
      <c r="C74" s="11" t="s">
        <v>1620</v>
      </c>
      <c r="E74" s="12" t="e">
        <f t="shared" ref="E74:E98" si="1">IF(B74=0,"*  -&gt; ##34###34#",CONCATENATE("* ",B74," -&gt; ##34#",C74,"##34#"))</f>
        <v>#REF!</v>
      </c>
    </row>
    <row r="75" spans="2:5">
      <c r="B75" s="11" t="e">
        <f>PathologicalStage!#REF!</f>
        <v>#REF!</v>
      </c>
      <c r="C75" s="11" t="s">
        <v>1620</v>
      </c>
      <c r="E75" s="12" t="e">
        <f t="shared" si="1"/>
        <v>#REF!</v>
      </c>
    </row>
    <row r="76" spans="2:5">
      <c r="B76" s="11" t="e">
        <f>PathologicalStage!#REF!</f>
        <v>#REF!</v>
      </c>
      <c r="C76" s="11" t="s">
        <v>1620</v>
      </c>
      <c r="E76" s="12" t="e">
        <f t="shared" si="1"/>
        <v>#REF!</v>
      </c>
    </row>
    <row r="77" spans="2:5">
      <c r="B77" s="11" t="e">
        <f>PathologicalStage!#REF!</f>
        <v>#REF!</v>
      </c>
      <c r="C77" s="11" t="s">
        <v>1620</v>
      </c>
      <c r="E77" s="12" t="e">
        <f t="shared" si="1"/>
        <v>#REF!</v>
      </c>
    </row>
    <row r="78" spans="2:5">
      <c r="B78" s="11" t="e">
        <f>PathologicalStage!#REF!</f>
        <v>#REF!</v>
      </c>
      <c r="C78" s="11" t="s">
        <v>1620</v>
      </c>
      <c r="E78" s="12" t="e">
        <f t="shared" si="1"/>
        <v>#REF!</v>
      </c>
    </row>
    <row r="79" spans="2:5">
      <c r="B79" s="11" t="e">
        <f>PathologicalStage!#REF!</f>
        <v>#REF!</v>
      </c>
      <c r="C79" s="11" t="s">
        <v>1620</v>
      </c>
      <c r="E79" s="12" t="e">
        <f t="shared" si="1"/>
        <v>#REF!</v>
      </c>
    </row>
    <row r="80" spans="2:5">
      <c r="B80" s="11" t="e">
        <f>PathologicalStage!#REF!</f>
        <v>#REF!</v>
      </c>
      <c r="C80" s="11" t="s">
        <v>1620</v>
      </c>
      <c r="E80" s="12" t="e">
        <f t="shared" si="1"/>
        <v>#REF!</v>
      </c>
    </row>
    <row r="81" spans="2:5">
      <c r="B81" s="11" t="e">
        <f>PathologicalStage!#REF!</f>
        <v>#REF!</v>
      </c>
      <c r="C81" s="11" t="s">
        <v>1620</v>
      </c>
      <c r="E81" s="12" t="e">
        <f t="shared" si="1"/>
        <v>#REF!</v>
      </c>
    </row>
    <row r="82" spans="2:5">
      <c r="B82" s="11" t="e">
        <f>PathologicalStage!#REF!</f>
        <v>#REF!</v>
      </c>
      <c r="C82" s="11" t="s">
        <v>1620</v>
      </c>
      <c r="E82" s="12" t="e">
        <f t="shared" si="1"/>
        <v>#REF!</v>
      </c>
    </row>
    <row r="83" spans="2:5">
      <c r="B83" s="11" t="e">
        <f>PathologicalStage!#REF!</f>
        <v>#REF!</v>
      </c>
      <c r="C83" s="11" t="s">
        <v>1620</v>
      </c>
      <c r="E83" s="12" t="e">
        <f t="shared" si="1"/>
        <v>#REF!</v>
      </c>
    </row>
    <row r="84" spans="2:5">
      <c r="B84" s="11" t="e">
        <f>PathologicalStage!#REF!</f>
        <v>#REF!</v>
      </c>
      <c r="C84" s="11" t="s">
        <v>1620</v>
      </c>
      <c r="E84" s="12" t="e">
        <f t="shared" si="1"/>
        <v>#REF!</v>
      </c>
    </row>
    <row r="85" spans="2:5">
      <c r="B85" s="11" t="e">
        <f>PathologicalStage!#REF!</f>
        <v>#REF!</v>
      </c>
      <c r="C85" s="11" t="s">
        <v>1620</v>
      </c>
      <c r="E85" s="12" t="e">
        <f t="shared" si="1"/>
        <v>#REF!</v>
      </c>
    </row>
    <row r="86" spans="2:5">
      <c r="B86" s="11" t="e">
        <f>PathologicalStage!#REF!</f>
        <v>#REF!</v>
      </c>
      <c r="C86" s="11" t="s">
        <v>1620</v>
      </c>
      <c r="E86" s="12" t="e">
        <f t="shared" si="1"/>
        <v>#REF!</v>
      </c>
    </row>
    <row r="87" spans="2:5">
      <c r="B87" s="11" t="e">
        <f>PathologicalStage!#REF!</f>
        <v>#REF!</v>
      </c>
      <c r="C87" s="11" t="s">
        <v>1620</v>
      </c>
      <c r="E87" s="12" t="e">
        <f t="shared" si="1"/>
        <v>#REF!</v>
      </c>
    </row>
    <row r="88" spans="2:5">
      <c r="B88" s="11" t="e">
        <f>PathologicalStage!#REF!</f>
        <v>#REF!</v>
      </c>
      <c r="C88" s="11" t="s">
        <v>1620</v>
      </c>
      <c r="E88" s="12" t="e">
        <f t="shared" si="1"/>
        <v>#REF!</v>
      </c>
    </row>
    <row r="89" spans="2:5">
      <c r="B89" s="11" t="e">
        <f>PathologicalStage!#REF!</f>
        <v>#REF!</v>
      </c>
      <c r="C89" s="11" t="s">
        <v>1620</v>
      </c>
      <c r="E89" s="12" t="e">
        <f t="shared" si="1"/>
        <v>#REF!</v>
      </c>
    </row>
    <row r="90" spans="2:5">
      <c r="B90" s="11" t="e">
        <f>PathologicalStage!#REF!</f>
        <v>#REF!</v>
      </c>
      <c r="C90" s="11" t="s">
        <v>1620</v>
      </c>
      <c r="E90" s="12" t="e">
        <f t="shared" si="1"/>
        <v>#REF!</v>
      </c>
    </row>
    <row r="91" spans="2:5">
      <c r="B91" s="11" t="e">
        <f>PathologicalStage!#REF!</f>
        <v>#REF!</v>
      </c>
      <c r="C91" s="11" t="s">
        <v>1620</v>
      </c>
      <c r="E91" s="12" t="e">
        <f t="shared" si="1"/>
        <v>#REF!</v>
      </c>
    </row>
    <row r="92" spans="2:5">
      <c r="B92" s="11" t="e">
        <f>PathologicalStage!#REF!</f>
        <v>#REF!</v>
      </c>
      <c r="C92" s="11" t="s">
        <v>1620</v>
      </c>
      <c r="E92" s="12" t="e">
        <f t="shared" si="1"/>
        <v>#REF!</v>
      </c>
    </row>
    <row r="93" spans="2:5">
      <c r="B93" s="11" t="e">
        <f>PathologicalStage!#REF!</f>
        <v>#REF!</v>
      </c>
      <c r="C93" s="11" t="s">
        <v>1620</v>
      </c>
      <c r="E93" s="12" t="e">
        <f t="shared" si="1"/>
        <v>#REF!</v>
      </c>
    </row>
    <row r="94" spans="2:5">
      <c r="B94" s="11" t="e">
        <f>PathologicalStage!#REF!</f>
        <v>#REF!</v>
      </c>
      <c r="C94" s="11" t="s">
        <v>1620</v>
      </c>
      <c r="E94" s="12" t="e">
        <f t="shared" si="1"/>
        <v>#REF!</v>
      </c>
    </row>
    <row r="95" spans="2:5">
      <c r="B95" s="11" t="e">
        <f>PathologicalStage!#REF!</f>
        <v>#REF!</v>
      </c>
      <c r="C95" s="11" t="s">
        <v>1620</v>
      </c>
      <c r="E95" s="12" t="e">
        <f t="shared" si="1"/>
        <v>#REF!</v>
      </c>
    </row>
    <row r="96" spans="2:5">
      <c r="B96" s="11"/>
      <c r="C96" s="11" t="s">
        <v>1620</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2473</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1624</v>
      </c>
    </row>
    <row r="34" spans="3:3">
      <c r="C34" s="24" t="s">
        <v>2161</v>
      </c>
    </row>
    <row r="35" spans="3:3">
      <c r="C35" s="24" t="s">
        <v>1624</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5"/>
    </row>
    <row r="297" spans="3:3">
      <c r="C297" s="105"/>
    </row>
    <row r="298" spans="3:3">
      <c r="C298" s="105"/>
    </row>
    <row r="299" spans="3:3">
      <c r="C299" s="105"/>
    </row>
    <row r="300" spans="3:3">
      <c r="C300" s="105"/>
    </row>
    <row r="301" spans="3:3">
      <c r="C301" s="105"/>
    </row>
    <row r="302" spans="3:3">
      <c r="C302" s="105"/>
    </row>
    <row r="303" spans="3:3">
      <c r="C303" s="105"/>
    </row>
    <row r="304" spans="3:3">
      <c r="C304" s="105"/>
    </row>
    <row r="305" spans="3:3">
      <c r="C305" s="105"/>
    </row>
    <row r="306" spans="3:3">
      <c r="C306" s="105"/>
    </row>
    <row r="307" spans="3:3">
      <c r="C307" s="10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G46" zoomScale="115" zoomScaleNormal="115" workbookViewId="0">
      <selection activeCell="D24" sqref="D24"/>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1623</v>
      </c>
      <c r="L1" s="23" t="s">
        <v>20</v>
      </c>
    </row>
    <row r="2" spans="1:12">
      <c r="J2" s="24" t="s">
        <v>19</v>
      </c>
      <c r="L2" s="24" t="s">
        <v>1622</v>
      </c>
    </row>
    <row r="3" spans="1:12" ht="17.75" customHeight="1" thickBot="1">
      <c r="J3" s="24" t="str">
        <f>J1</f>
        <v>//===================================================</v>
      </c>
      <c r="L3" s="24" t="str">
        <f>L1</f>
        <v>// -------------------------------------------------------------------------------</v>
      </c>
    </row>
    <row r="4" spans="1:12">
      <c r="A4" s="5" t="s">
        <v>11</v>
      </c>
      <c r="B4" s="45" t="s">
        <v>1671</v>
      </c>
      <c r="J4" s="16" t="str">
        <f>CONCATENATE("Logical: ",B4)</f>
        <v>Logical: TreatmentI4rc</v>
      </c>
    </row>
    <row r="5" spans="1:12">
      <c r="A5" s="14" t="s">
        <v>16</v>
      </c>
      <c r="B5" s="46" t="s">
        <v>488</v>
      </c>
      <c r="J5" s="16" t="str">
        <f>CONCATENATE("Id: ",B5)</f>
        <v>Id: Treatment</v>
      </c>
    </row>
    <row r="6" spans="1:12">
      <c r="A6" s="14" t="s">
        <v>10</v>
      </c>
      <c r="B6" s="47" t="s">
        <v>488</v>
      </c>
      <c r="J6" s="17" t="str">
        <f>CONCATENATE("Title: ##34#",B6,"##34#")</f>
        <v>Title: ##34#Treatment##34#</v>
      </c>
    </row>
    <row r="7" spans="1:12" ht="29.5">
      <c r="A7" s="26" t="s">
        <v>2</v>
      </c>
      <c r="B7" s="106" t="s">
        <v>1672</v>
      </c>
      <c r="C7" s="9" t="s">
        <v>3</v>
      </c>
      <c r="D7" s="1" t="s">
        <v>4</v>
      </c>
      <c r="E7" s="3" t="s">
        <v>5</v>
      </c>
      <c r="F7" s="3" t="s">
        <v>6</v>
      </c>
      <c r="G7" s="3" t="s">
        <v>7</v>
      </c>
      <c r="H7" s="107" t="s">
        <v>1621</v>
      </c>
      <c r="J7" s="17" t="str">
        <f>CONCATENATE("Description: "," ##334#",B7,"##334#",)</f>
        <v>Description:  ##334#Treatment
Maturity Level: 0 Draft##334#</v>
      </c>
    </row>
    <row r="8" spans="1:12">
      <c r="A8" s="100">
        <v>0</v>
      </c>
      <c r="B8" s="2" t="s">
        <v>1971</v>
      </c>
      <c r="C8" s="2" t="s">
        <v>1673</v>
      </c>
      <c r="D8" s="108" t="s">
        <v>1673</v>
      </c>
      <c r="E8">
        <v>0</v>
      </c>
      <c r="F8">
        <v>1</v>
      </c>
      <c r="G8" t="s">
        <v>1</v>
      </c>
      <c r="I8" s="25"/>
      <c r="J8" s="12" t="str">
        <f t="shared" ref="J8:J71" si="0">CONCATENATE("* ",B8, " ",E8,"..",F8," ",G8," ##34#",C8,"##34# ##334#",D8,"##334#")</f>
        <v>* surgery 0..1 BackboneElement ##34#Surgery ##34# ##334#Surgery ##334#</v>
      </c>
      <c r="L8" s="12" t="str">
        <f>IF(H8="",IF(J8="*  ..  ##34###34# ##334###334#",J8,""),IF(J8="*  ..  ##34###34# ##334###334#",J8,CONCATENATE("* ",B8," ^comment = ##334#",H8,"##334#")))</f>
        <v/>
      </c>
    </row>
    <row r="9" spans="1:12" ht="59">
      <c r="A9" s="100">
        <v>1</v>
      </c>
      <c r="B9" s="2" t="s">
        <v>1972</v>
      </c>
      <c r="C9" s="2" t="s">
        <v>1674</v>
      </c>
      <c r="D9" s="2" t="s">
        <v>1675</v>
      </c>
      <c r="E9">
        <v>0</v>
      </c>
      <c r="F9">
        <v>1</v>
      </c>
      <c r="G9" t="s">
        <v>0</v>
      </c>
      <c r="H9" s="2" t="s">
        <v>1676</v>
      </c>
      <c r="I9" s="25"/>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c r="A10" s="100">
        <v>2</v>
      </c>
      <c r="B10" s="2" t="s">
        <v>1973</v>
      </c>
      <c r="C10" s="2" t="s">
        <v>1677</v>
      </c>
      <c r="D10" s="2" t="s">
        <v>1678</v>
      </c>
      <c r="E10">
        <v>0</v>
      </c>
      <c r="F10">
        <v>1</v>
      </c>
      <c r="G10" s="102" t="s">
        <v>156</v>
      </c>
      <c r="H10" s="2" t="s">
        <v>1625</v>
      </c>
      <c r="I10" s="25"/>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c r="A11" s="100">
        <v>3</v>
      </c>
      <c r="B11" s="2" t="s">
        <v>1974</v>
      </c>
      <c r="C11" s="2" t="s">
        <v>1679</v>
      </c>
      <c r="D11" s="2" t="s">
        <v>1680</v>
      </c>
      <c r="E11">
        <v>0</v>
      </c>
      <c r="F11">
        <v>1</v>
      </c>
      <c r="G11" s="102" t="s">
        <v>0</v>
      </c>
      <c r="H11" s="2" t="s">
        <v>1681</v>
      </c>
      <c r="I11" s="25"/>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c r="A12" s="100">
        <v>4</v>
      </c>
      <c r="B12" s="2" t="s">
        <v>1975</v>
      </c>
      <c r="C12" s="2" t="s">
        <v>1682</v>
      </c>
      <c r="D12" s="2" t="s">
        <v>1683</v>
      </c>
      <c r="E12">
        <v>0</v>
      </c>
      <c r="F12">
        <v>1</v>
      </c>
      <c r="G12" t="s">
        <v>0</v>
      </c>
      <c r="H12" s="2" t="s">
        <v>1684</v>
      </c>
      <c r="I12" s="25"/>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c r="A13" s="100">
        <v>5</v>
      </c>
      <c r="B13" s="2" t="s">
        <v>1976</v>
      </c>
      <c r="C13" s="2" t="s">
        <v>1685</v>
      </c>
      <c r="D13" s="2" t="s">
        <v>1686</v>
      </c>
      <c r="E13">
        <v>0</v>
      </c>
      <c r="F13">
        <v>1</v>
      </c>
      <c r="G13" t="s">
        <v>0</v>
      </c>
      <c r="H13" s="2" t="s">
        <v>1687</v>
      </c>
      <c r="I13" s="25"/>
      <c r="J13" s="12" t="str">
        <f t="shared" si="0"/>
        <v>* tumorSurgeryDevice 0..1 string ##34#Tumor surgery device##34# ##334#Describes  the device used LASER  Robot##334#</v>
      </c>
      <c r="L13" s="12" t="str">
        <f t="shared" si="1"/>
        <v>* tumorSurgeryDevice ^comment = ##334#A string value to specify the used device##334#</v>
      </c>
    </row>
    <row r="14" spans="1:12" ht="29.5">
      <c r="A14" s="101"/>
      <c r="B14" s="102" t="s">
        <v>1977</v>
      </c>
      <c r="C14" s="102" t="s">
        <v>1688</v>
      </c>
      <c r="D14" s="102" t="s">
        <v>1689</v>
      </c>
      <c r="E14" s="73">
        <v>0</v>
      </c>
      <c r="F14" s="102" t="s">
        <v>8</v>
      </c>
      <c r="G14" s="102" t="s">
        <v>1</v>
      </c>
      <c r="I14" s="25"/>
      <c r="J14" s="12" t="str">
        <f t="shared" si="0"/>
        <v>* surgicalProcedure 0..* BackboneElement ##34#Surgical procedure##34# ##334#Describes the procedure performed##334#</v>
      </c>
      <c r="L14" s="12" t="str">
        <f t="shared" si="1"/>
        <v/>
      </c>
    </row>
    <row r="15" spans="1:12" ht="59">
      <c r="A15" s="100">
        <v>6</v>
      </c>
      <c r="B15" s="102" t="s">
        <v>1978</v>
      </c>
      <c r="C15" s="2" t="s">
        <v>1690</v>
      </c>
      <c r="D15" s="2" t="s">
        <v>1691</v>
      </c>
      <c r="E15">
        <v>0</v>
      </c>
      <c r="F15">
        <v>1</v>
      </c>
      <c r="G15" t="s">
        <v>0</v>
      </c>
      <c r="H15" s="2" t="s">
        <v>1692</v>
      </c>
      <c r="I15" s="25"/>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c r="A16" s="100">
        <v>7</v>
      </c>
      <c r="B16" s="102" t="s">
        <v>1979</v>
      </c>
      <c r="C16" s="2" t="s">
        <v>1693</v>
      </c>
      <c r="D16" s="2" t="s">
        <v>1694</v>
      </c>
      <c r="E16">
        <v>0</v>
      </c>
      <c r="F16">
        <v>1</v>
      </c>
      <c r="G16" t="s">
        <v>0</v>
      </c>
      <c r="H16" s="2" t="s">
        <v>1695</v>
      </c>
      <c r="I16" s="25"/>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c r="A17" s="100">
        <v>8</v>
      </c>
      <c r="B17" s="102" t="s">
        <v>1980</v>
      </c>
      <c r="C17" s="2" t="s">
        <v>1696</v>
      </c>
      <c r="D17" s="2" t="s">
        <v>1697</v>
      </c>
      <c r="E17">
        <v>0</v>
      </c>
      <c r="F17">
        <v>1</v>
      </c>
      <c r="G17" t="s">
        <v>0</v>
      </c>
      <c r="H17" s="2" t="s">
        <v>1698</v>
      </c>
      <c r="I17" s="25"/>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c r="A18" s="100">
        <v>9</v>
      </c>
      <c r="B18" s="102" t="s">
        <v>1981</v>
      </c>
      <c r="C18" s="2" t="s">
        <v>1699</v>
      </c>
      <c r="D18" s="2" t="s">
        <v>1700</v>
      </c>
      <c r="E18">
        <v>0</v>
      </c>
      <c r="F18">
        <v>1</v>
      </c>
      <c r="G18" t="s">
        <v>0</v>
      </c>
      <c r="H18" s="2" t="s">
        <v>1701</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c r="A19" s="100">
        <v>10</v>
      </c>
      <c r="B19" s="102" t="s">
        <v>1982</v>
      </c>
      <c r="C19" s="2" t="s">
        <v>1702</v>
      </c>
      <c r="D19" s="2" t="s">
        <v>1703</v>
      </c>
      <c r="E19">
        <v>0</v>
      </c>
      <c r="F19">
        <v>1</v>
      </c>
      <c r="G19" t="s">
        <v>0</v>
      </c>
      <c r="H19" s="2" t="s">
        <v>1704</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c r="A20" s="100">
        <v>11</v>
      </c>
      <c r="B20" s="102" t="s">
        <v>1983</v>
      </c>
      <c r="C20" s="2" t="s">
        <v>1705</v>
      </c>
      <c r="D20" s="2" t="s">
        <v>1706</v>
      </c>
      <c r="E20">
        <v>0</v>
      </c>
      <c r="F20">
        <v>1</v>
      </c>
      <c r="G20" t="s">
        <v>0</v>
      </c>
      <c r="H20" s="2" t="s">
        <v>1707</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c r="A21" s="100">
        <v>12</v>
      </c>
      <c r="B21" s="102" t="s">
        <v>1984</v>
      </c>
      <c r="C21" s="2" t="s">
        <v>1708</v>
      </c>
      <c r="D21" s="2" t="s">
        <v>1709</v>
      </c>
      <c r="E21">
        <v>0</v>
      </c>
      <c r="F21">
        <v>1</v>
      </c>
      <c r="G21" t="s">
        <v>0</v>
      </c>
      <c r="H21" s="2" t="s">
        <v>1710</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c r="A22" s="100">
        <v>13</v>
      </c>
      <c r="B22" s="102" t="s">
        <v>1985</v>
      </c>
      <c r="C22" s="2" t="s">
        <v>1711</v>
      </c>
      <c r="D22" s="2" t="s">
        <v>1712</v>
      </c>
      <c r="E22">
        <v>0</v>
      </c>
      <c r="F22">
        <v>1</v>
      </c>
      <c r="G22" t="s">
        <v>0</v>
      </c>
      <c r="H22" s="2" t="s">
        <v>1713</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c r="A23" s="100">
        <v>14</v>
      </c>
      <c r="B23" s="102" t="s">
        <v>1986</v>
      </c>
      <c r="C23" s="2" t="s">
        <v>1714</v>
      </c>
      <c r="D23" s="2" t="s">
        <v>1715</v>
      </c>
      <c r="E23">
        <v>0</v>
      </c>
      <c r="F23">
        <v>1</v>
      </c>
      <c r="G23" t="s">
        <v>0</v>
      </c>
      <c r="H23" s="2" t="s">
        <v>1716</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c r="A24" s="100">
        <v>15</v>
      </c>
      <c r="B24" s="102" t="s">
        <v>1987</v>
      </c>
      <c r="C24" s="2" t="s">
        <v>1717</v>
      </c>
      <c r="D24" s="2" t="s">
        <v>1718</v>
      </c>
      <c r="E24">
        <v>0</v>
      </c>
      <c r="F24">
        <v>1</v>
      </c>
      <c r="G24" t="s">
        <v>0</v>
      </c>
      <c r="H24" s="2" t="s">
        <v>1719</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c r="A25" s="100"/>
      <c r="B25" s="102" t="s">
        <v>1988</v>
      </c>
      <c r="C25" s="102" t="s">
        <v>1720</v>
      </c>
      <c r="D25" s="102" t="s">
        <v>1721</v>
      </c>
      <c r="E25" s="73">
        <v>0</v>
      </c>
      <c r="F25" s="73">
        <v>1</v>
      </c>
      <c r="G25" s="73" t="s">
        <v>1</v>
      </c>
      <c r="J25" s="12" t="str">
        <f t="shared" si="0"/>
        <v>* reconstruction 0..1 BackboneElement ##34#Reconstruction##34# ##334#Reconstruction procedure that was performed after tomor removal to restore either shape or function##334#</v>
      </c>
      <c r="L25" s="12" t="str">
        <f t="shared" si="1"/>
        <v/>
      </c>
      <c r="M25"/>
    </row>
    <row r="26" spans="1:13" ht="44.25">
      <c r="A26" s="100">
        <v>16</v>
      </c>
      <c r="B26" s="102" t="s">
        <v>1989</v>
      </c>
      <c r="C26" s="2" t="s">
        <v>1720</v>
      </c>
      <c r="D26" s="2" t="s">
        <v>1722</v>
      </c>
      <c r="E26">
        <v>0</v>
      </c>
      <c r="F26">
        <v>1</v>
      </c>
      <c r="G26" t="s">
        <v>0</v>
      </c>
      <c r="H26" s="2" t="s">
        <v>1723</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c r="A27" s="100">
        <v>17</v>
      </c>
      <c r="B27" s="102" t="s">
        <v>1990</v>
      </c>
      <c r="C27" s="2" t="s">
        <v>1724</v>
      </c>
      <c r="D27" s="2" t="s">
        <v>1725</v>
      </c>
      <c r="E27">
        <v>0</v>
      </c>
      <c r="F27">
        <v>1</v>
      </c>
      <c r="G27" t="s">
        <v>0</v>
      </c>
      <c r="H27" s="2" t="s">
        <v>1726</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c r="A28" s="100">
        <v>18</v>
      </c>
      <c r="B28" s="102" t="s">
        <v>1991</v>
      </c>
      <c r="C28" s="2" t="s">
        <v>1727</v>
      </c>
      <c r="D28" s="2" t="s">
        <v>1728</v>
      </c>
      <c r="E28">
        <v>0</v>
      </c>
      <c r="F28">
        <v>1</v>
      </c>
      <c r="G28" t="s">
        <v>0</v>
      </c>
      <c r="H28" s="2" t="s">
        <v>1729</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c r="A29" s="100">
        <v>19</v>
      </c>
      <c r="B29" s="102" t="s">
        <v>1992</v>
      </c>
      <c r="C29" s="2" t="s">
        <v>1730</v>
      </c>
      <c r="D29" s="2" t="s">
        <v>1731</v>
      </c>
      <c r="E29">
        <v>0</v>
      </c>
      <c r="F29">
        <v>1</v>
      </c>
      <c r="G29" t="s">
        <v>0</v>
      </c>
      <c r="H29" s="2" t="s">
        <v>1732</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c r="A30" s="100">
        <v>20</v>
      </c>
      <c r="B30" s="2" t="s">
        <v>1993</v>
      </c>
      <c r="C30" s="2" t="s">
        <v>1733</v>
      </c>
      <c r="D30" s="2" t="s">
        <v>1734</v>
      </c>
      <c r="E30">
        <v>0</v>
      </c>
      <c r="F30">
        <v>1</v>
      </c>
      <c r="G30" t="s">
        <v>0</v>
      </c>
      <c r="H30" s="2" t="s">
        <v>1735</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c r="A31" s="100">
        <v>21</v>
      </c>
      <c r="B31" s="2" t="s">
        <v>1994</v>
      </c>
      <c r="C31" s="2" t="s">
        <v>1736</v>
      </c>
      <c r="D31" s="2" t="s">
        <v>1737</v>
      </c>
      <c r="E31">
        <v>0</v>
      </c>
      <c r="F31">
        <v>1</v>
      </c>
      <c r="G31" s="102" t="s">
        <v>156</v>
      </c>
      <c r="H31" s="2" t="s">
        <v>1737</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c r="A32" s="100">
        <v>22</v>
      </c>
      <c r="B32" s="2" t="s">
        <v>1995</v>
      </c>
      <c r="C32" s="2" t="s">
        <v>1738</v>
      </c>
      <c r="D32" s="2" t="s">
        <v>1739</v>
      </c>
      <c r="E32">
        <v>0</v>
      </c>
      <c r="F32">
        <v>1</v>
      </c>
      <c r="G32" s="102" t="s">
        <v>156</v>
      </c>
      <c r="J32" s="12" t="str">
        <f t="shared" si="0"/>
        <v>* dateOfNeckSurgeryDayUnknown 0..1 date ##34#Date of neck surgery day unknown##34# ##334#Describes if the day of neck surgery is unknwon##334#</v>
      </c>
      <c r="L32" s="12" t="str">
        <f t="shared" si="1"/>
        <v/>
      </c>
    </row>
    <row r="33" spans="1:12" ht="44.25">
      <c r="A33" s="100">
        <v>23</v>
      </c>
      <c r="B33" s="2" t="s">
        <v>1996</v>
      </c>
      <c r="C33" s="2" t="s">
        <v>1740</v>
      </c>
      <c r="D33" s="2" t="s">
        <v>1741</v>
      </c>
      <c r="E33">
        <v>0</v>
      </c>
      <c r="F33">
        <v>1</v>
      </c>
      <c r="G33" t="s">
        <v>0</v>
      </c>
      <c r="H33" s="2" t="s">
        <v>1742</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c r="A34" s="100">
        <v>24</v>
      </c>
      <c r="B34" s="2" t="s">
        <v>1661</v>
      </c>
      <c r="C34" s="2" t="s">
        <v>1662</v>
      </c>
      <c r="D34" s="2" t="s">
        <v>1663</v>
      </c>
      <c r="E34">
        <v>0</v>
      </c>
      <c r="F34">
        <v>1</v>
      </c>
      <c r="G34" t="s">
        <v>0</v>
      </c>
      <c r="H34" s="2" t="s">
        <v>1743</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c r="A35" s="100">
        <v>25</v>
      </c>
      <c r="B35" s="2" t="s">
        <v>1997</v>
      </c>
      <c r="C35" s="2" t="s">
        <v>1744</v>
      </c>
      <c r="D35" s="2" t="s">
        <v>1745</v>
      </c>
      <c r="E35">
        <v>0</v>
      </c>
      <c r="F35">
        <v>1</v>
      </c>
      <c r="G35" t="s">
        <v>0</v>
      </c>
      <c r="H35" s="2" t="s">
        <v>1746</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c r="A36" s="100">
        <v>26</v>
      </c>
      <c r="B36" s="2" t="s">
        <v>1998</v>
      </c>
      <c r="C36" s="2" t="s">
        <v>1747</v>
      </c>
      <c r="D36" s="2" t="s">
        <v>1748</v>
      </c>
      <c r="E36">
        <v>0</v>
      </c>
      <c r="F36">
        <v>1</v>
      </c>
      <c r="G36" t="s">
        <v>0</v>
      </c>
      <c r="H36" s="2" t="s">
        <v>1749</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c r="A37" s="100">
        <v>27</v>
      </c>
      <c r="B37" s="2" t="s">
        <v>1999</v>
      </c>
      <c r="C37" s="2" t="s">
        <v>1750</v>
      </c>
      <c r="D37" s="2" t="s">
        <v>1751</v>
      </c>
      <c r="E37">
        <v>0</v>
      </c>
      <c r="F37">
        <v>1</v>
      </c>
      <c r="G37" t="s">
        <v>0</v>
      </c>
      <c r="H37" s="2" t="s">
        <v>1752</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c r="A38" s="100">
        <v>28</v>
      </c>
      <c r="B38" s="2" t="s">
        <v>2000</v>
      </c>
      <c r="C38" s="2" t="s">
        <v>1753</v>
      </c>
      <c r="D38" s="2" t="s">
        <v>1754</v>
      </c>
      <c r="E38">
        <v>0</v>
      </c>
      <c r="F38">
        <v>1</v>
      </c>
      <c r="G38" t="s">
        <v>0</v>
      </c>
      <c r="H38" s="2" t="s">
        <v>1755</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c r="A39" s="100">
        <v>29</v>
      </c>
      <c r="B39" s="2" t="s">
        <v>2001</v>
      </c>
      <c r="C39" s="2" t="s">
        <v>1756</v>
      </c>
      <c r="D39" s="2" t="s">
        <v>1751</v>
      </c>
      <c r="E39">
        <v>0</v>
      </c>
      <c r="F39">
        <v>1</v>
      </c>
      <c r="G39" t="s">
        <v>0</v>
      </c>
      <c r="H39" s="2" t="s">
        <v>1752</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c r="A40" s="100">
        <v>30</v>
      </c>
      <c r="B40" s="2" t="s">
        <v>2002</v>
      </c>
      <c r="C40" s="2" t="s">
        <v>1757</v>
      </c>
      <c r="D40" s="2" t="s">
        <v>1758</v>
      </c>
      <c r="E40">
        <v>0</v>
      </c>
      <c r="F40">
        <v>1</v>
      </c>
      <c r="G40" t="s">
        <v>0</v>
      </c>
      <c r="H40" s="2" t="s">
        <v>1759</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c r="A41" s="100"/>
      <c r="B41" s="102" t="s">
        <v>2003</v>
      </c>
      <c r="C41" s="102" t="s">
        <v>1760</v>
      </c>
      <c r="D41" s="102" t="s">
        <v>1760</v>
      </c>
      <c r="E41" s="73">
        <v>0</v>
      </c>
      <c r="F41" s="73">
        <v>1</v>
      </c>
      <c r="G41" s="102" t="s">
        <v>1</v>
      </c>
      <c r="J41" s="12" t="str">
        <f t="shared" si="0"/>
        <v>* siteOfSurgeryOnMetastasis 0..1 BackboneElement ##34#Site of surgery on metastasis##34# ##334#Site of surgery on metastasis##334#</v>
      </c>
      <c r="L41" s="12" t="str">
        <f t="shared" si="1"/>
        <v/>
      </c>
    </row>
    <row r="42" spans="1:12" ht="44.25">
      <c r="A42" s="100">
        <v>31</v>
      </c>
      <c r="B42" s="2" t="s">
        <v>2004</v>
      </c>
      <c r="C42" s="102" t="s">
        <v>1761</v>
      </c>
      <c r="D42" s="2" t="s">
        <v>1762</v>
      </c>
      <c r="E42">
        <v>0</v>
      </c>
      <c r="F42">
        <v>1</v>
      </c>
      <c r="G42" s="73" t="s">
        <v>0</v>
      </c>
      <c r="J42" s="12" t="str">
        <f t="shared" si="0"/>
        <v>* siteOfSurgeryOnMetastasisSoftTissue 0..1 string ##34#Site of surgery on metastasis soft tissue##34# ##334#Describes if site of surgery on metastasis  is soft tissue##334#</v>
      </c>
      <c r="L42" s="12" t="str">
        <f t="shared" si="1"/>
        <v/>
      </c>
    </row>
    <row r="43" spans="1:12" ht="44.25">
      <c r="A43" s="100">
        <v>32</v>
      </c>
      <c r="B43" s="2" t="s">
        <v>2005</v>
      </c>
      <c r="C43" s="102" t="s">
        <v>1763</v>
      </c>
      <c r="D43" s="2" t="s">
        <v>1764</v>
      </c>
      <c r="E43">
        <v>0</v>
      </c>
      <c r="F43">
        <v>1</v>
      </c>
      <c r="G43" s="73" t="s">
        <v>0</v>
      </c>
      <c r="J43" s="12" t="str">
        <f t="shared" si="0"/>
        <v>* siteOfSurgeryOnMetastasisDistantLymphNodes 0..1 string ##34#Site of surgery on metastasis distant lymph nodes##34# ##334#Describes if site of surgery on metastasis  is dystan lymph node##334#</v>
      </c>
      <c r="L43" s="12" t="str">
        <f t="shared" si="1"/>
        <v/>
      </c>
    </row>
    <row r="44" spans="1:12" ht="44.25">
      <c r="A44" s="100">
        <v>33</v>
      </c>
      <c r="B44" s="2" t="s">
        <v>2006</v>
      </c>
      <c r="C44" s="102" t="s">
        <v>1765</v>
      </c>
      <c r="D44" s="2" t="s">
        <v>1766</v>
      </c>
      <c r="E44">
        <v>0</v>
      </c>
      <c r="F44">
        <v>1</v>
      </c>
      <c r="G44" s="73" t="s">
        <v>0</v>
      </c>
      <c r="J44" s="12" t="str">
        <f t="shared" si="0"/>
        <v>* siteOfSurgeryOnMetastasisLung 0..1 string ##34#Site of surgery on metastasis lung##34# ##334#Describes if site of surgery on metastasis  is lung##334#</v>
      </c>
      <c r="L44" s="12" t="str">
        <f t="shared" si="1"/>
        <v/>
      </c>
    </row>
    <row r="45" spans="1:12" ht="44.25">
      <c r="A45" s="100">
        <v>34</v>
      </c>
      <c r="B45" s="2" t="s">
        <v>2007</v>
      </c>
      <c r="C45" s="102" t="s">
        <v>1767</v>
      </c>
      <c r="D45" s="2" t="s">
        <v>1768</v>
      </c>
      <c r="E45">
        <v>0</v>
      </c>
      <c r="F45">
        <v>1</v>
      </c>
      <c r="G45" s="73" t="s">
        <v>0</v>
      </c>
      <c r="J45" s="12" t="str">
        <f t="shared" si="0"/>
        <v>* siteOfSurgeryOnMetastasisBone 0..1 string ##34#Site of surgery on metastasis bone##34# ##334#Describes if site of surgery on metastasis  is bone##334#</v>
      </c>
      <c r="L45" s="12" t="str">
        <f t="shared" si="1"/>
        <v/>
      </c>
    </row>
    <row r="46" spans="1:12" ht="44.25">
      <c r="A46" s="100">
        <v>35</v>
      </c>
      <c r="B46" s="2" t="s">
        <v>2008</v>
      </c>
      <c r="C46" s="102" t="s">
        <v>1769</v>
      </c>
      <c r="D46" s="2" t="s">
        <v>1770</v>
      </c>
      <c r="E46">
        <v>0</v>
      </c>
      <c r="F46">
        <v>1</v>
      </c>
      <c r="G46" s="73" t="s">
        <v>0</v>
      </c>
      <c r="J46" s="12" t="str">
        <f t="shared" si="0"/>
        <v>* siteOfSurgeryOnMetastasisLiver 0..1 string ##34#Site of surgery on metastasis liver##34# ##334#Describes if site of surgery on metastasis  is liver##334#</v>
      </c>
      <c r="L46" s="12" t="str">
        <f t="shared" si="1"/>
        <v/>
      </c>
    </row>
    <row r="47" spans="1:12" ht="44.25">
      <c r="A47" s="100">
        <v>36</v>
      </c>
      <c r="B47" s="2" t="s">
        <v>2009</v>
      </c>
      <c r="C47" s="102" t="s">
        <v>1771</v>
      </c>
      <c r="D47" s="2" t="s">
        <v>1772</v>
      </c>
      <c r="E47">
        <v>0</v>
      </c>
      <c r="F47">
        <v>1</v>
      </c>
      <c r="G47" s="73" t="s">
        <v>0</v>
      </c>
      <c r="J47" s="12" t="str">
        <f t="shared" si="0"/>
        <v>* siteOfSurgeryOnMetastasisPleura 0..1 string ##34#Site of surgery on metastasis pleura##34# ##334#Describes if site of surgery on metastasis  is pleura##334#</v>
      </c>
      <c r="L47" s="12" t="str">
        <f t="shared" si="1"/>
        <v/>
      </c>
    </row>
    <row r="48" spans="1:12" ht="44.25">
      <c r="A48" s="100">
        <v>37</v>
      </c>
      <c r="B48" s="2" t="s">
        <v>2010</v>
      </c>
      <c r="C48" s="102" t="s">
        <v>1773</v>
      </c>
      <c r="D48" s="2" t="s">
        <v>1774</v>
      </c>
      <c r="E48">
        <v>0</v>
      </c>
      <c r="F48">
        <v>1</v>
      </c>
      <c r="G48" s="73" t="s">
        <v>0</v>
      </c>
      <c r="J48" s="12" t="str">
        <f t="shared" si="0"/>
        <v>* siteOfSurgeryOnMetastasisPeritoneum 0..1 string ##34#Site of surgery on metastasis peritoneum##34# ##334#Describes if site of surgery on metastasis  is peritoneum##334#</v>
      </c>
      <c r="L48" s="12" t="str">
        <f t="shared" si="1"/>
        <v/>
      </c>
    </row>
    <row r="49" spans="1:12" ht="44.25">
      <c r="A49" s="100">
        <v>38</v>
      </c>
      <c r="B49" s="2" t="s">
        <v>2011</v>
      </c>
      <c r="C49" s="102" t="s">
        <v>1775</v>
      </c>
      <c r="D49" s="2" t="s">
        <v>1776</v>
      </c>
      <c r="E49">
        <v>0</v>
      </c>
      <c r="F49">
        <v>1</v>
      </c>
      <c r="G49" s="73" t="s">
        <v>0</v>
      </c>
      <c r="J49" s="12" t="str">
        <f t="shared" si="0"/>
        <v>* siteOfSurgeryOnMetastasisBrain 0..1 string ##34#Site of surgery on metastasis brain##34# ##334#Describes if site of surgery on metastasis  is brain##334#</v>
      </c>
      <c r="L49" s="12" t="str">
        <f t="shared" si="1"/>
        <v/>
      </c>
    </row>
    <row r="50" spans="1:12" ht="44.25">
      <c r="A50" s="100">
        <v>39</v>
      </c>
      <c r="B50" s="2" t="s">
        <v>2012</v>
      </c>
      <c r="C50" s="102" t="s">
        <v>1777</v>
      </c>
      <c r="D50" s="2" t="s">
        <v>1778</v>
      </c>
      <c r="E50">
        <v>0</v>
      </c>
      <c r="F50">
        <v>1</v>
      </c>
      <c r="G50" s="73" t="s">
        <v>0</v>
      </c>
      <c r="J50" s="12" t="str">
        <f t="shared" si="0"/>
        <v>* siteOfSurgeryOnMetastasisOtherViscera 0..1 string ##34#Site of surgery on metastasis other viscera##34# ##334#Describes if site of surgery on metastasis  is other viscera##334#</v>
      </c>
      <c r="L50" s="12" t="str">
        <f t="shared" si="1"/>
        <v/>
      </c>
    </row>
    <row r="51" spans="1:12" ht="44.25">
      <c r="A51" s="100">
        <v>40</v>
      </c>
      <c r="B51" s="2" t="s">
        <v>2013</v>
      </c>
      <c r="C51" s="102" t="s">
        <v>1779</v>
      </c>
      <c r="D51" s="2" t="s">
        <v>1780</v>
      </c>
      <c r="E51">
        <v>0</v>
      </c>
      <c r="F51">
        <v>1</v>
      </c>
      <c r="G51" s="73" t="s">
        <v>0</v>
      </c>
      <c r="J51" s="12" t="str">
        <f t="shared" si="0"/>
        <v>* siteOfSurgeryOnMetastasisUnknown 0..1 string ##34#Site of surgery on metastasis unknown##34# ##334#Describes if site of surgery on metastasis  is unknown##334#</v>
      </c>
      <c r="L51" s="12" t="str">
        <f t="shared" si="1"/>
        <v/>
      </c>
    </row>
    <row r="52" spans="1:12" ht="44.25">
      <c r="A52" s="100">
        <v>41</v>
      </c>
      <c r="B52" s="104" t="s">
        <v>2014</v>
      </c>
      <c r="C52" s="2" t="s">
        <v>1781</v>
      </c>
      <c r="D52" s="2" t="s">
        <v>1782</v>
      </c>
      <c r="E52">
        <v>0</v>
      </c>
      <c r="F52">
        <v>1</v>
      </c>
      <c r="G52" s="73" t="s">
        <v>156</v>
      </c>
      <c r="H52" s="2" t="s">
        <v>1783</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73.75">
      <c r="A53" s="100">
        <v>42</v>
      </c>
      <c r="B53" s="104" t="s">
        <v>2015</v>
      </c>
      <c r="C53" s="2" t="s">
        <v>1784</v>
      </c>
      <c r="D53" s="2" t="s">
        <v>1785</v>
      </c>
      <c r="E53">
        <v>0</v>
      </c>
      <c r="F53">
        <v>1</v>
      </c>
      <c r="G53" t="s">
        <v>0</v>
      </c>
      <c r="H53" s="2" t="s">
        <v>1786</v>
      </c>
      <c r="J53" s="12" t="str">
        <f t="shared" si="0"/>
        <v>* surgicalComplicationsClavienDindoClassificationPleaseSelectTheWorstOne 0..1 string ##34#Surgical complications ClavienDindo Classification please select the worst one##34# ##334#Describes presence and grade of complications after a surgical procedure ##334#</v>
      </c>
      <c r="L53" s="12" t="str">
        <f t="shared" si="1"/>
        <v>* surgicalComplicationsClavienDindoClassificationPleaseSelectTheWorstOne ^comment = ##334#A string describing the presence and grade of complications after a surgical procedure Rank1##334#</v>
      </c>
    </row>
    <row r="54" spans="1:12" ht="88.5">
      <c r="A54" s="100">
        <v>43</v>
      </c>
      <c r="B54" s="104" t="s">
        <v>2016</v>
      </c>
      <c r="C54" s="2" t="s">
        <v>1787</v>
      </c>
      <c r="D54" s="2" t="s">
        <v>1785</v>
      </c>
      <c r="E54">
        <v>0</v>
      </c>
      <c r="F54">
        <v>1</v>
      </c>
      <c r="G54" t="s">
        <v>0</v>
      </c>
      <c r="H54" s="2" t="s">
        <v>1788</v>
      </c>
      <c r="J54" s="12" t="str">
        <f t="shared" si="0"/>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c r="L54" s="12" t="str">
        <f t="shared" si="1"/>
        <v>* surgicalComplicationsClavienDindoClassification2ComplicationsPleaseSelectThe2WorstOne ^comment = ##334#A string describing the presence and grade of complications after a surgical procedure Rank2##334#</v>
      </c>
    </row>
    <row r="55" spans="1:12" ht="73.75">
      <c r="A55" s="100">
        <v>44</v>
      </c>
      <c r="B55" s="104" t="s">
        <v>2017</v>
      </c>
      <c r="C55" s="2" t="s">
        <v>1789</v>
      </c>
      <c r="D55" s="2" t="s">
        <v>1790</v>
      </c>
      <c r="E55">
        <v>0</v>
      </c>
      <c r="F55">
        <v>1</v>
      </c>
      <c r="G55" t="s">
        <v>0</v>
      </c>
      <c r="H55" s="2" t="s">
        <v>1791</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c r="A56" s="100">
        <v>45</v>
      </c>
      <c r="B56" s="104" t="s">
        <v>2018</v>
      </c>
      <c r="C56" s="2" t="s">
        <v>1792</v>
      </c>
      <c r="D56" s="2" t="s">
        <v>1793</v>
      </c>
      <c r="E56">
        <v>0</v>
      </c>
      <c r="F56">
        <v>1</v>
      </c>
      <c r="G56" s="73" t="s">
        <v>156</v>
      </c>
      <c r="H56" s="2" t="s">
        <v>1783</v>
      </c>
      <c r="J56" s="12" t="str">
        <f t="shared" si="0"/>
        <v>* dateOfUnplannedSurgery 0..1 date ##34#Date of unplanned surgery##34# ##334#Date of the unplanned surgery##334#</v>
      </c>
      <c r="L56" s="12" t="str">
        <f t="shared" si="1"/>
        <v>* dateOfUnplannedSurgery ^comment = ##334#A date##334#</v>
      </c>
    </row>
    <row r="57" spans="1:12" ht="177">
      <c r="A57" s="100">
        <v>46</v>
      </c>
      <c r="B57" s="104" t="s">
        <v>2019</v>
      </c>
      <c r="C57" s="2" t="s">
        <v>1794</v>
      </c>
      <c r="D57" s="2" t="s">
        <v>1660</v>
      </c>
      <c r="E57">
        <v>0</v>
      </c>
      <c r="F57">
        <v>1</v>
      </c>
      <c r="G57" t="s">
        <v>0</v>
      </c>
      <c r="H57" s="2" t="s">
        <v>1795</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c r="A58" s="100">
        <v>47</v>
      </c>
      <c r="B58" s="104" t="s">
        <v>2020</v>
      </c>
      <c r="C58" s="2" t="s">
        <v>1796</v>
      </c>
      <c r="D58" s="2" t="s">
        <v>1797</v>
      </c>
      <c r="E58">
        <v>0</v>
      </c>
      <c r="F58">
        <v>1</v>
      </c>
      <c r="G58" t="s">
        <v>0</v>
      </c>
      <c r="H58" s="2" t="s">
        <v>1798</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c r="A59" s="100">
        <v>48</v>
      </c>
      <c r="B59" s="104" t="s">
        <v>2021</v>
      </c>
      <c r="C59" s="2" t="s">
        <v>1799</v>
      </c>
      <c r="D59" s="102" t="s">
        <v>1799</v>
      </c>
      <c r="E59">
        <v>0</v>
      </c>
      <c r="F59">
        <v>1</v>
      </c>
      <c r="G59" t="s">
        <v>1</v>
      </c>
      <c r="J59" s="12" t="str">
        <f t="shared" si="0"/>
        <v>* systemicTreament 0..1 BackboneElement ##34#Systemic Treament##34# ##334#Systemic Treament##334#</v>
      </c>
      <c r="L59" s="12" t="str">
        <f t="shared" si="1"/>
        <v/>
      </c>
    </row>
    <row r="60" spans="1:12" ht="59">
      <c r="A60" s="100">
        <v>49</v>
      </c>
      <c r="B60" s="104" t="s">
        <v>2022</v>
      </c>
      <c r="C60" s="2" t="s">
        <v>1800</v>
      </c>
      <c r="D60" s="2" t="s">
        <v>1801</v>
      </c>
      <c r="E60">
        <v>0</v>
      </c>
      <c r="F60">
        <v>1</v>
      </c>
      <c r="G60" t="s">
        <v>0</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c r="A61" s="100">
        <v>50</v>
      </c>
      <c r="B61" s="104" t="s">
        <v>2023</v>
      </c>
      <c r="C61" s="2" t="s">
        <v>1802</v>
      </c>
      <c r="D61" s="2" t="s">
        <v>1803</v>
      </c>
      <c r="E61">
        <v>0</v>
      </c>
      <c r="F61">
        <v>1</v>
      </c>
      <c r="G61" t="s">
        <v>0</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c r="A62" s="100">
        <v>51</v>
      </c>
      <c r="B62" s="104" t="s">
        <v>2024</v>
      </c>
      <c r="C62" s="2" t="s">
        <v>1804</v>
      </c>
      <c r="D62" s="2" t="s">
        <v>1805</v>
      </c>
      <c r="E62">
        <v>0</v>
      </c>
      <c r="F62">
        <v>1</v>
      </c>
      <c r="G62" t="s">
        <v>0</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c r="A63" s="100">
        <v>52</v>
      </c>
      <c r="B63" s="104" t="s">
        <v>2025</v>
      </c>
      <c r="C63" s="2" t="s">
        <v>1806</v>
      </c>
      <c r="D63" s="2" t="s">
        <v>1807</v>
      </c>
      <c r="E63">
        <v>0</v>
      </c>
      <c r="F63">
        <v>1</v>
      </c>
      <c r="G63" t="s">
        <v>0</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c r="A64" s="100">
        <v>53</v>
      </c>
      <c r="B64" s="104" t="s">
        <v>2026</v>
      </c>
      <c r="C64" s="2" t="s">
        <v>1808</v>
      </c>
      <c r="D64" s="2" t="s">
        <v>1809</v>
      </c>
      <c r="E64">
        <v>0</v>
      </c>
      <c r="F64">
        <v>1</v>
      </c>
      <c r="G64" s="102" t="s">
        <v>156</v>
      </c>
      <c r="J64" s="12" t="str">
        <f t="shared" si="0"/>
        <v>* startDateSystemicTreatment 0..1 date ##34#Start date systemic treatment##34# ##334#Specifies when systemic treatment begins##334#</v>
      </c>
      <c r="L64" s="12" t="str">
        <f t="shared" si="1"/>
        <v/>
      </c>
    </row>
    <row r="65" spans="1:12" ht="44.25">
      <c r="A65" s="100">
        <v>54</v>
      </c>
      <c r="B65" s="104" t="s">
        <v>2027</v>
      </c>
      <c r="C65" s="2" t="s">
        <v>1810</v>
      </c>
      <c r="D65" s="2" t="s">
        <v>1811</v>
      </c>
      <c r="E65">
        <v>0</v>
      </c>
      <c r="F65">
        <v>1</v>
      </c>
      <c r="G65" s="102" t="s">
        <v>156</v>
      </c>
      <c r="J65" s="12" t="str">
        <f t="shared" si="0"/>
        <v>* startDateSystemicTreatmentDayUnknown 0..1 date ##34#Start date systemic treatment  day unknown##34# ##334#Describes if the day of start systemic treatment is unknwon##334#</v>
      </c>
      <c r="L65" s="12" t="str">
        <f t="shared" si="1"/>
        <v/>
      </c>
    </row>
    <row r="66" spans="1:12" ht="29.5">
      <c r="A66" s="100">
        <v>55</v>
      </c>
      <c r="B66" s="104" t="s">
        <v>2028</v>
      </c>
      <c r="C66" s="2" t="s">
        <v>1812</v>
      </c>
      <c r="D66" s="2" t="s">
        <v>1813</v>
      </c>
      <c r="E66">
        <v>0</v>
      </c>
      <c r="F66">
        <v>1</v>
      </c>
      <c r="G66" s="102" t="s">
        <v>156</v>
      </c>
      <c r="J66" s="12" t="str">
        <f t="shared" si="0"/>
        <v>* endDateSystemicTreatment 0..1 date ##34#End date systemic treatment##34# ##334#Specifies when systemic treatment ends##334#</v>
      </c>
      <c r="L66" s="12" t="str">
        <f t="shared" si="1"/>
        <v/>
      </c>
    </row>
    <row r="67" spans="1:12" ht="44.25">
      <c r="A67" s="100">
        <v>56</v>
      </c>
      <c r="B67" s="104" t="s">
        <v>2029</v>
      </c>
      <c r="C67" s="2" t="s">
        <v>1814</v>
      </c>
      <c r="D67" s="2" t="s">
        <v>1815</v>
      </c>
      <c r="E67">
        <v>0</v>
      </c>
      <c r="F67">
        <v>1</v>
      </c>
      <c r="G67" s="102" t="s">
        <v>156</v>
      </c>
      <c r="J67" s="12" t="str">
        <f t="shared" si="0"/>
        <v>* endDateSystemicTreatmentDayUnknown 0..1 date ##34#End date systemic treatment  day unknown##34# ##334#Describes if the day of end of systemic treatment is unknwon##334#</v>
      </c>
      <c r="L67" s="12" t="str">
        <f t="shared" si="1"/>
        <v/>
      </c>
    </row>
    <row r="68" spans="1:12" ht="88.5">
      <c r="A68" s="100">
        <v>57</v>
      </c>
      <c r="B68" s="104" t="s">
        <v>2030</v>
      </c>
      <c r="C68" s="2" t="s">
        <v>1816</v>
      </c>
      <c r="D68" s="2" t="s">
        <v>1817</v>
      </c>
      <c r="E68">
        <v>0</v>
      </c>
      <c r="F68">
        <v>1</v>
      </c>
      <c r="G68" t="s">
        <v>1619</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c r="A69" s="100">
        <v>58</v>
      </c>
      <c r="B69" s="104" t="s">
        <v>2031</v>
      </c>
      <c r="C69" s="2" t="s">
        <v>1818</v>
      </c>
      <c r="D69" s="2" t="s">
        <v>1819</v>
      </c>
      <c r="E69">
        <v>0</v>
      </c>
      <c r="F69">
        <v>1</v>
      </c>
      <c r="G69" s="73" t="s">
        <v>1</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c r="A70" s="100">
        <v>59</v>
      </c>
      <c r="B70" s="104" t="s">
        <v>2032</v>
      </c>
      <c r="C70" s="2" t="s">
        <v>1820</v>
      </c>
      <c r="D70" s="2" t="s">
        <v>1821</v>
      </c>
      <c r="E70">
        <v>0</v>
      </c>
      <c r="F70">
        <v>1</v>
      </c>
      <c r="G70" s="102" t="s">
        <v>0</v>
      </c>
      <c r="J70" s="12" t="str">
        <f t="shared" si="0"/>
        <v>* drugs1 0..1 string ##34#Drugs 1##34# ##334#autosuggested functionality for realtime searching within biomedical ontologies##334#</v>
      </c>
      <c r="L70" s="12" t="str">
        <f t="shared" si="1"/>
        <v/>
      </c>
    </row>
    <row r="71" spans="1:12" ht="29.5">
      <c r="A71" s="100">
        <v>60</v>
      </c>
      <c r="B71" s="104" t="s">
        <v>2033</v>
      </c>
      <c r="C71" s="2" t="s">
        <v>1822</v>
      </c>
      <c r="D71" s="2" t="s">
        <v>1821</v>
      </c>
      <c r="E71">
        <v>0</v>
      </c>
      <c r="F71">
        <v>1</v>
      </c>
      <c r="G71" s="102" t="s">
        <v>0</v>
      </c>
      <c r="J71" s="12" t="str">
        <f t="shared" si="0"/>
        <v>* drugs2 0..1 string ##34#Drugs 2##34# ##334#autosuggested functionality for realtime searching within biomedical ontologies##334#</v>
      </c>
      <c r="L71" s="12" t="str">
        <f t="shared" si="1"/>
        <v/>
      </c>
    </row>
    <row r="72" spans="1:12" ht="29.5">
      <c r="A72" s="100">
        <v>61</v>
      </c>
      <c r="B72" s="104" t="s">
        <v>2034</v>
      </c>
      <c r="C72" s="2" t="s">
        <v>1823</v>
      </c>
      <c r="D72" s="2" t="s">
        <v>1821</v>
      </c>
      <c r="E72">
        <v>0</v>
      </c>
      <c r="F72">
        <v>1</v>
      </c>
      <c r="G72" s="102" t="s">
        <v>0</v>
      </c>
      <c r="J72" s="12" t="str">
        <f t="shared" ref="J72:J135" si="2">CONCATENATE("* ",B72, " ",E72,"..",F72," ",G72," ##34#",C72,"##34# ##334#",D72,"##334#")</f>
        <v>* drugs3 0..1 string ##34#Drugs 3##34# ##334#autosuggested functionality for realtime searching within biomedical ontologies##334#</v>
      </c>
      <c r="L72" s="12" t="str">
        <f t="shared" si="1"/>
        <v/>
      </c>
    </row>
    <row r="73" spans="1:12" ht="44.25">
      <c r="A73" s="100">
        <v>62</v>
      </c>
      <c r="B73" s="104" t="s">
        <v>2035</v>
      </c>
      <c r="C73" s="2" t="s">
        <v>1824</v>
      </c>
      <c r="D73" s="2" t="s">
        <v>1825</v>
      </c>
      <c r="E73">
        <v>0</v>
      </c>
      <c r="F73">
        <v>1</v>
      </c>
      <c r="G73" s="102" t="s">
        <v>0</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c r="A74" s="100">
        <v>63</v>
      </c>
      <c r="B74" s="104" t="s">
        <v>1626</v>
      </c>
      <c r="C74" s="2" t="s">
        <v>1578</v>
      </c>
      <c r="D74" s="2" t="s">
        <v>1826</v>
      </c>
      <c r="E74">
        <v>0</v>
      </c>
      <c r="F74">
        <v>1</v>
      </c>
      <c r="G74" t="s">
        <v>0</v>
      </c>
      <c r="J74" s="12" t="str">
        <f t="shared" si="2"/>
        <v>* primerType 0..1 string ##34#Primer type##34# ##334#Describes the primer used for EBV DNA plasma testing duringin NPC type II and Type III WHO##334#</v>
      </c>
      <c r="L74" s="12" t="str">
        <f t="shared" si="3"/>
        <v/>
      </c>
    </row>
    <row r="75" spans="1:12" ht="29.5">
      <c r="A75" s="100">
        <v>64</v>
      </c>
      <c r="B75" s="104" t="s">
        <v>1627</v>
      </c>
      <c r="C75" s="2" t="s">
        <v>866</v>
      </c>
      <c r="D75" s="2" t="s">
        <v>1827</v>
      </c>
      <c r="E75">
        <v>0</v>
      </c>
      <c r="F75">
        <v>1</v>
      </c>
      <c r="G75" t="s">
        <v>1619</v>
      </c>
      <c r="J75" s="12" t="str">
        <f t="shared" si="2"/>
        <v>* copyNumber 0..1 integer ##34#Copy Number##34# ##334#Copy number of EBVDNA in NPC##334#</v>
      </c>
      <c r="L75" s="12" t="str">
        <f t="shared" si="3"/>
        <v/>
      </c>
    </row>
    <row r="76" spans="1:12" ht="44.25">
      <c r="A76" s="100">
        <v>65</v>
      </c>
      <c r="B76" s="104" t="s">
        <v>2036</v>
      </c>
      <c r="C76" s="2" t="s">
        <v>1828</v>
      </c>
      <c r="D76" s="2" t="s">
        <v>1829</v>
      </c>
      <c r="E76">
        <v>0</v>
      </c>
      <c r="F76">
        <v>1</v>
      </c>
      <c r="G76" s="102" t="s">
        <v>0</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c r="A77" s="100">
        <v>66</v>
      </c>
      <c r="B77" s="103" t="s">
        <v>2127</v>
      </c>
      <c r="C77" s="2" t="s">
        <v>1578</v>
      </c>
      <c r="D77" s="2" t="s">
        <v>1830</v>
      </c>
      <c r="E77">
        <v>0</v>
      </c>
      <c r="F77">
        <v>1</v>
      </c>
      <c r="G77" t="s">
        <v>0</v>
      </c>
      <c r="J77" s="12" t="str">
        <f t="shared" si="2"/>
        <v>* afterTreatment-primerType 0..1 string ##34#Primer type##34# ##334#Describes the primer used for EBV DNA plasma testing after treatment in NPC type II and Type III WHO##334#</v>
      </c>
      <c r="L77" s="12" t="str">
        <f t="shared" si="3"/>
        <v/>
      </c>
    </row>
    <row r="78" spans="1:12" ht="29.5">
      <c r="A78" s="100">
        <v>67</v>
      </c>
      <c r="B78" s="104" t="s">
        <v>1627</v>
      </c>
      <c r="C78" s="2" t="s">
        <v>866</v>
      </c>
      <c r="D78" s="2" t="s">
        <v>1827</v>
      </c>
      <c r="E78">
        <v>0</v>
      </c>
      <c r="F78">
        <v>1</v>
      </c>
      <c r="G78" t="s">
        <v>1619</v>
      </c>
      <c r="J78" s="12" t="str">
        <f t="shared" si="2"/>
        <v>* copyNumber 0..1 integer ##34#Copy Number##34# ##334#Copy number of EBVDNA in NPC##334#</v>
      </c>
      <c r="L78" s="12" t="str">
        <f t="shared" si="3"/>
        <v/>
      </c>
    </row>
    <row r="79" spans="1:12" ht="44.25">
      <c r="A79" s="100">
        <v>68</v>
      </c>
      <c r="B79" s="104" t="s">
        <v>2037</v>
      </c>
      <c r="C79" s="2" t="s">
        <v>1831</v>
      </c>
      <c r="D79" s="2" t="s">
        <v>1832</v>
      </c>
      <c r="E79">
        <v>0</v>
      </c>
      <c r="F79">
        <v>1</v>
      </c>
      <c r="G79" t="s">
        <v>0</v>
      </c>
      <c r="J79" s="12" t="str">
        <f t="shared" si="2"/>
        <v>* reasonForEndOfTreatment 0..1 string ##34#Reason for end of treatment##34# ##334#Clarifies the reasons why the treatment ended or was interrupted##334#</v>
      </c>
      <c r="L79" s="12" t="str">
        <f t="shared" si="3"/>
        <v/>
      </c>
    </row>
    <row r="80" spans="1:12" ht="29.5">
      <c r="A80" s="100">
        <v>69</v>
      </c>
      <c r="B80" s="104" t="s">
        <v>2038</v>
      </c>
      <c r="C80" s="2" t="s">
        <v>1833</v>
      </c>
      <c r="D80" s="2" t="s">
        <v>1834</v>
      </c>
      <c r="E80">
        <v>0</v>
      </c>
      <c r="F80">
        <v>1</v>
      </c>
      <c r="G80" t="s">
        <v>0</v>
      </c>
      <c r="J80" s="12" t="str">
        <f t="shared" si="2"/>
        <v>* regimenChanged 0..1 string ##34#Regimen changed##34# ##334#Clarifies if the regimen drug changed after a toxicity or a patient intolerance##334#</v>
      </c>
      <c r="L80" s="12" t="str">
        <f t="shared" si="3"/>
        <v/>
      </c>
    </row>
    <row r="81" spans="1:12" ht="73.75">
      <c r="A81" s="100">
        <v>70</v>
      </c>
      <c r="B81" s="103" t="s">
        <v>2118</v>
      </c>
      <c r="C81" s="2" t="s">
        <v>1835</v>
      </c>
      <c r="D81" s="2" t="s">
        <v>1836</v>
      </c>
      <c r="E81">
        <v>0</v>
      </c>
      <c r="F81">
        <v>1</v>
      </c>
      <c r="G81" s="73" t="s">
        <v>1</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c r="A82" s="100">
        <v>71</v>
      </c>
      <c r="B82" s="103" t="s">
        <v>2119</v>
      </c>
      <c r="C82" s="2" t="s">
        <v>1837</v>
      </c>
      <c r="D82" s="2" t="s">
        <v>1838</v>
      </c>
      <c r="E82">
        <v>0</v>
      </c>
      <c r="F82">
        <v>1</v>
      </c>
      <c r="G82" s="102" t="s">
        <v>0</v>
      </c>
      <c r="J82" s="12" t="str">
        <f t="shared" si="2"/>
        <v>* regimenChanged-otherDrug1 0..1 string ##34#Other Drug1##34# ##334#Specifies the drug if not present in the regimen list up to 3 selection##334#</v>
      </c>
      <c r="L82" s="12" t="str">
        <f t="shared" si="3"/>
        <v/>
      </c>
    </row>
    <row r="83" spans="1:12" ht="29.5">
      <c r="A83" s="100">
        <v>72</v>
      </c>
      <c r="B83" s="103" t="s">
        <v>2120</v>
      </c>
      <c r="C83" s="2" t="s">
        <v>1839</v>
      </c>
      <c r="D83" s="102" t="s">
        <v>1839</v>
      </c>
      <c r="E83">
        <v>0</v>
      </c>
      <c r="F83">
        <v>1</v>
      </c>
      <c r="G83" t="s">
        <v>1</v>
      </c>
      <c r="J83" s="12" t="str">
        <f t="shared" si="2"/>
        <v>* regimenChanged-otherDrug2 0..1 BackboneElement ##34#Other Drug2##34# ##334#Other Drug2##334#</v>
      </c>
      <c r="L83" s="12" t="str">
        <f t="shared" si="3"/>
        <v/>
      </c>
    </row>
    <row r="84" spans="1:12" ht="29.5">
      <c r="A84" s="100">
        <v>73</v>
      </c>
      <c r="B84" s="103" t="s">
        <v>2121</v>
      </c>
      <c r="C84" s="2" t="s">
        <v>1840</v>
      </c>
      <c r="D84" s="102" t="s">
        <v>1840</v>
      </c>
      <c r="E84">
        <v>0</v>
      </c>
      <c r="F84">
        <v>1</v>
      </c>
      <c r="G84" t="s">
        <v>1</v>
      </c>
      <c r="J84" s="12" t="str">
        <f t="shared" si="2"/>
        <v>* regimenChanged-otherDrug3 0..1 BackboneElement ##34#Other Drug3##34# ##334#Other Drug3##334#</v>
      </c>
      <c r="L84" s="12" t="str">
        <f t="shared" si="3"/>
        <v/>
      </c>
    </row>
    <row r="85" spans="1:12" ht="44.25">
      <c r="A85" s="100">
        <v>74</v>
      </c>
      <c r="B85" s="104" t="s">
        <v>2039</v>
      </c>
      <c r="C85" s="2" t="s">
        <v>1841</v>
      </c>
      <c r="D85" s="2" t="s">
        <v>1842</v>
      </c>
      <c r="E85">
        <v>0</v>
      </c>
      <c r="F85">
        <v>1</v>
      </c>
      <c r="G85" s="73" t="s">
        <v>156</v>
      </c>
      <c r="J85" s="12" t="str">
        <f t="shared" si="2"/>
        <v>* startDateRegimenChanged 0..1 date ##34#Start date regimen changed##34# ##334#specifies when the new systemic treatment begins if a combination please specify the start of the first drug##334#</v>
      </c>
      <c r="L85" s="12" t="str">
        <f t="shared" si="3"/>
        <v/>
      </c>
    </row>
    <row r="86" spans="1:12" ht="44.25">
      <c r="A86" s="100">
        <v>75</v>
      </c>
      <c r="B86" s="104" t="s">
        <v>2040</v>
      </c>
      <c r="C86" s="2" t="s">
        <v>1843</v>
      </c>
      <c r="D86" s="2" t="s">
        <v>1844</v>
      </c>
      <c r="E86">
        <v>0</v>
      </c>
      <c r="F86">
        <v>1</v>
      </c>
      <c r="G86" s="73" t="s">
        <v>156</v>
      </c>
      <c r="J86" s="12" t="str">
        <f t="shared" si="2"/>
        <v>* startDateRegimenChangedDayUnknown 0..1 date ##34#Start date regimen changed  day unknown##34# ##334#Describes if the day of the begining of the  new systemic treatment  is unknwon##334#</v>
      </c>
      <c r="L86" s="12" t="str">
        <f t="shared" si="3"/>
        <v/>
      </c>
    </row>
    <row r="87" spans="1:12" ht="44.25">
      <c r="A87" s="100">
        <v>76</v>
      </c>
      <c r="B87" s="104" t="s">
        <v>2041</v>
      </c>
      <c r="C87" s="2" t="s">
        <v>1845</v>
      </c>
      <c r="D87" s="2" t="s">
        <v>1846</v>
      </c>
      <c r="E87">
        <v>0</v>
      </c>
      <c r="F87">
        <v>1</v>
      </c>
      <c r="G87" s="73" t="s">
        <v>156</v>
      </c>
      <c r="J87" s="12" t="str">
        <f t="shared" si="2"/>
        <v>* endDateRegimenChanged 0..1 date ##34#End date regimen changed##34# ##334#specifies when the new  systemic treatment endsif a combination please specify the end of the last drug##334#</v>
      </c>
      <c r="L87" s="12" t="str">
        <f t="shared" si="3"/>
        <v/>
      </c>
    </row>
    <row r="88" spans="1:12" ht="44.25">
      <c r="A88" s="100">
        <v>77</v>
      </c>
      <c r="B88" s="104" t="s">
        <v>2042</v>
      </c>
      <c r="C88" s="2" t="s">
        <v>1847</v>
      </c>
      <c r="D88" s="2" t="s">
        <v>1848</v>
      </c>
      <c r="E88">
        <v>0</v>
      </c>
      <c r="F88">
        <v>1</v>
      </c>
      <c r="G88" s="73" t="s">
        <v>156</v>
      </c>
      <c r="J88" s="12" t="str">
        <f t="shared" si="2"/>
        <v>* endDateRegimenChangedDayUnknown 0..1 date ##34#End  date regimen changed  day unknown##34# ##334#Describes if the day of the end of the systemic treatment is unknwon##334#</v>
      </c>
      <c r="L88" s="12" t="str">
        <f t="shared" si="3"/>
        <v/>
      </c>
    </row>
    <row r="89" spans="1:12" ht="44.25">
      <c r="A89" s="100">
        <v>78</v>
      </c>
      <c r="B89" s="103" t="s">
        <v>2122</v>
      </c>
      <c r="C89" s="2" t="s">
        <v>1831</v>
      </c>
      <c r="D89" s="2" t="s">
        <v>1832</v>
      </c>
      <c r="E89">
        <v>0</v>
      </c>
      <c r="F89">
        <v>1</v>
      </c>
      <c r="G89" t="s">
        <v>0</v>
      </c>
      <c r="J89" s="12" t="str">
        <f t="shared" si="2"/>
        <v>* regimenChanged-reasonForEndOfTreatment 0..1 string ##34#Reason for end of treatment##34# ##334#Clarifies the reasons why the treatment ended or was interrupted##334#</v>
      </c>
      <c r="L89" s="12" t="str">
        <f t="shared" si="3"/>
        <v/>
      </c>
    </row>
    <row r="90" spans="1:12" ht="103.25">
      <c r="A90" s="100">
        <v>79</v>
      </c>
      <c r="B90" s="104" t="s">
        <v>2043</v>
      </c>
      <c r="C90" s="2" t="s">
        <v>1849</v>
      </c>
      <c r="D90" s="2" t="s">
        <v>1850</v>
      </c>
      <c r="E90">
        <v>0</v>
      </c>
      <c r="F90">
        <v>1</v>
      </c>
      <c r="G90" t="s">
        <v>0</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c r="A91" s="100">
        <v>80</v>
      </c>
      <c r="B91" s="104" t="s">
        <v>2044</v>
      </c>
      <c r="C91" s="2" t="s">
        <v>1851</v>
      </c>
      <c r="D91" s="2" t="s">
        <v>1852</v>
      </c>
      <c r="E91">
        <v>0</v>
      </c>
      <c r="F91">
        <v>1</v>
      </c>
      <c r="G91" t="s">
        <v>0</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c r="A92" s="100">
        <v>81</v>
      </c>
      <c r="B92" s="104" t="s">
        <v>2045</v>
      </c>
      <c r="C92" s="2" t="s">
        <v>1853</v>
      </c>
      <c r="D92" s="2" t="s">
        <v>1854</v>
      </c>
      <c r="E92">
        <v>0</v>
      </c>
      <c r="F92">
        <v>1</v>
      </c>
      <c r="G92" t="s">
        <v>0</v>
      </c>
      <c r="J92" s="12" t="str">
        <f t="shared" si="2"/>
        <v>* systemicTreatment2 0..1 string ##34#Systemic treatment 2##34# ##334#Specifies if another systemic treatment was performed##334#</v>
      </c>
      <c r="L92" s="12" t="str">
        <f t="shared" si="3"/>
        <v/>
      </c>
    </row>
    <row r="93" spans="1:12">
      <c r="A93" s="100">
        <v>82</v>
      </c>
      <c r="B93" s="104" t="s">
        <v>2046</v>
      </c>
      <c r="C93" s="2" t="s">
        <v>1855</v>
      </c>
      <c r="D93" s="2"/>
      <c r="E93">
        <v>0</v>
      </c>
      <c r="F93">
        <v>1</v>
      </c>
      <c r="G93" t="s">
        <v>1</v>
      </c>
      <c r="J93" s="12" t="str">
        <f t="shared" si="2"/>
        <v>* radiotherapy 0..1 BackboneElement ##34#Radiotherapy##34# ##334###334#</v>
      </c>
      <c r="L93" s="12" t="str">
        <f t="shared" si="3"/>
        <v/>
      </c>
    </row>
    <row r="94" spans="1:12" ht="59">
      <c r="A94" s="100">
        <v>83</v>
      </c>
      <c r="B94" s="104" t="s">
        <v>2047</v>
      </c>
      <c r="C94" s="2" t="s">
        <v>1856</v>
      </c>
      <c r="D94" s="2" t="s">
        <v>1857</v>
      </c>
      <c r="E94">
        <v>0</v>
      </c>
      <c r="F94">
        <v>1</v>
      </c>
      <c r="G94" t="s">
        <v>0</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c r="A95" s="100">
        <v>84</v>
      </c>
      <c r="B95" s="104" t="s">
        <v>2024</v>
      </c>
      <c r="C95" s="2" t="s">
        <v>1804</v>
      </c>
      <c r="D95" s="2" t="s">
        <v>1858</v>
      </c>
      <c r="E95">
        <v>0</v>
      </c>
      <c r="F95">
        <v>1</v>
      </c>
      <c r="G95" t="s">
        <v>0</v>
      </c>
      <c r="J95" s="12" t="str">
        <f t="shared" si="2"/>
        <v>* intent 0..1 string ##34#Intent##34# ##334#Radiotherapy intent refers to whether the intention of treatment is to cure the patient or to treat symptoms and palliate##334#</v>
      </c>
      <c r="L95" s="12" t="str">
        <f t="shared" si="3"/>
        <v/>
      </c>
    </row>
    <row r="96" spans="1:12" ht="44.25">
      <c r="A96" s="100">
        <v>85</v>
      </c>
      <c r="B96" s="103" t="s">
        <v>2128</v>
      </c>
      <c r="C96" s="2" t="s">
        <v>1806</v>
      </c>
      <c r="D96" s="2" t="s">
        <v>1859</v>
      </c>
      <c r="E96">
        <v>0</v>
      </c>
      <c r="F96">
        <v>1</v>
      </c>
      <c r="G96" t="s">
        <v>0</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c r="A97" s="100">
        <v>86</v>
      </c>
      <c r="B97" s="104" t="s">
        <v>2048</v>
      </c>
      <c r="C97" s="2" t="s">
        <v>1860</v>
      </c>
      <c r="D97" s="2" t="s">
        <v>1861</v>
      </c>
      <c r="E97">
        <v>0</v>
      </c>
      <c r="F97">
        <v>1</v>
      </c>
      <c r="G97" t="s">
        <v>0</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c r="A98" s="100">
        <v>87</v>
      </c>
      <c r="B98" s="104" t="s">
        <v>2049</v>
      </c>
      <c r="C98" s="2" t="s">
        <v>1862</v>
      </c>
      <c r="D98" s="2" t="s">
        <v>1863</v>
      </c>
      <c r="E98">
        <v>0</v>
      </c>
      <c r="F98">
        <v>1</v>
      </c>
      <c r="G98" t="s">
        <v>0</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c r="A99" s="100">
        <v>88</v>
      </c>
      <c r="B99" s="103" t="s">
        <v>2123</v>
      </c>
      <c r="C99" s="2" t="s">
        <v>1864</v>
      </c>
      <c r="D99" s="2"/>
      <c r="E99">
        <v>0</v>
      </c>
      <c r="F99">
        <v>1</v>
      </c>
      <c r="G99" t="s">
        <v>1</v>
      </c>
      <c r="J99" s="12" t="str">
        <f t="shared" si="2"/>
        <v>* beamQuality-otherSpecify 0..1 BackboneElement ##34#Other specify ##34# ##334###334#</v>
      </c>
      <c r="L99" s="12" t="str">
        <f t="shared" si="3"/>
        <v/>
      </c>
    </row>
    <row r="100" spans="1:12" ht="29.5">
      <c r="A100" s="100">
        <v>89</v>
      </c>
      <c r="B100" s="104" t="s">
        <v>2051</v>
      </c>
      <c r="C100" s="2" t="s">
        <v>1865</v>
      </c>
      <c r="D100" s="2" t="s">
        <v>1866</v>
      </c>
      <c r="E100">
        <v>0</v>
      </c>
      <c r="F100">
        <v>1</v>
      </c>
      <c r="G100" t="s">
        <v>0</v>
      </c>
      <c r="J100" s="12" t="str">
        <f t="shared" si="2"/>
        <v>* treatmentTechnique 0..1 string ##34#Treatment technique##34# ##334#Refers to the type of radiotherapy treatment delivered##334#</v>
      </c>
      <c r="L100" s="12" t="str">
        <f t="shared" si="3"/>
        <v/>
      </c>
    </row>
    <row r="101" spans="1:12" ht="29.5">
      <c r="A101" s="100">
        <v>90</v>
      </c>
      <c r="B101" s="109" t="s">
        <v>2124</v>
      </c>
      <c r="C101" s="2" t="s">
        <v>1867</v>
      </c>
      <c r="D101" s="2"/>
      <c r="E101">
        <v>0</v>
      </c>
      <c r="F101">
        <v>1</v>
      </c>
      <c r="G101" t="s">
        <v>1</v>
      </c>
      <c r="J101" s="12" t="str">
        <f t="shared" si="2"/>
        <v>* treatmentTechnique-otherSpecify 0..1 BackboneElement ##34#Other specify##34# ##334###334#</v>
      </c>
      <c r="L101" s="12" t="str">
        <f t="shared" si="3"/>
        <v/>
      </c>
    </row>
    <row r="102" spans="1:12" ht="44.25">
      <c r="A102" s="100">
        <v>91</v>
      </c>
      <c r="B102" s="104" t="s">
        <v>2052</v>
      </c>
      <c r="C102" s="2" t="s">
        <v>1868</v>
      </c>
      <c r="D102" s="2" t="s">
        <v>1869</v>
      </c>
      <c r="E102">
        <v>0</v>
      </c>
      <c r="F102">
        <v>1</v>
      </c>
      <c r="G102" t="s">
        <v>0</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c r="A103" s="100">
        <v>92</v>
      </c>
      <c r="B103" s="104" t="s">
        <v>2053</v>
      </c>
      <c r="C103" s="2" t="s">
        <v>1870</v>
      </c>
      <c r="D103" s="2" t="s">
        <v>1871</v>
      </c>
      <c r="E103">
        <v>0</v>
      </c>
      <c r="F103">
        <v>1</v>
      </c>
      <c r="G103" t="s">
        <v>0</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c r="A104" s="100">
        <v>93</v>
      </c>
      <c r="B104" s="104" t="s">
        <v>2054</v>
      </c>
      <c r="C104" s="2" t="s">
        <v>1872</v>
      </c>
      <c r="D104" s="2" t="s">
        <v>1873</v>
      </c>
      <c r="E104">
        <v>0</v>
      </c>
      <c r="F104">
        <v>1</v>
      </c>
      <c r="G104" s="73" t="s">
        <v>1874</v>
      </c>
      <c r="J104" s="12" t="str">
        <f t="shared" si="2"/>
        <v>* totalDoseTdGy 0..1 Quantity ##34#Total Dose TD Gy##34# ##334#Refers to the total dose delivered to the patient in Gy##334#</v>
      </c>
      <c r="L104" s="12" t="str">
        <f t="shared" si="3"/>
        <v/>
      </c>
    </row>
    <row r="105" spans="1:12" ht="29.5">
      <c r="A105" s="100">
        <v>94</v>
      </c>
      <c r="B105" s="104" t="s">
        <v>2055</v>
      </c>
      <c r="C105" s="2" t="s">
        <v>1875</v>
      </c>
      <c r="D105" s="2" t="s">
        <v>1876</v>
      </c>
      <c r="E105">
        <v>0</v>
      </c>
      <c r="F105">
        <v>1</v>
      </c>
      <c r="G105" s="73" t="s">
        <v>1874</v>
      </c>
      <c r="J105" s="12" t="str">
        <f t="shared" si="2"/>
        <v>* fractionSizeFs 0..1 Quantity ##34#Fraction Size FS##34# ##334#Refers to the Dose per fraction delivered to the patient##334#</v>
      </c>
      <c r="L105" s="12" t="str">
        <f t="shared" si="3"/>
        <v/>
      </c>
    </row>
    <row r="106" spans="1:12" ht="29.5">
      <c r="A106" s="100">
        <v>95</v>
      </c>
      <c r="B106" s="104" t="s">
        <v>2056</v>
      </c>
      <c r="C106" s="2" t="s">
        <v>1877</v>
      </c>
      <c r="D106" s="2" t="s">
        <v>1878</v>
      </c>
      <c r="E106">
        <v>0</v>
      </c>
      <c r="F106">
        <v>1</v>
      </c>
      <c r="G106" s="73" t="s">
        <v>1619</v>
      </c>
      <c r="J106" s="12" t="str">
        <f t="shared" si="2"/>
        <v>* numberOfFractions 0..1 integer ##34#Number of fractions##34# ##334#Refers to the total number of fractions delivered to the patient##334#</v>
      </c>
      <c r="L106" s="12" t="str">
        <f t="shared" si="3"/>
        <v/>
      </c>
    </row>
    <row r="107" spans="1:12" ht="29.5">
      <c r="A107" s="100">
        <v>96</v>
      </c>
      <c r="B107" s="104" t="s">
        <v>2057</v>
      </c>
      <c r="C107" s="2" t="s">
        <v>1879</v>
      </c>
      <c r="D107" s="2" t="s">
        <v>1880</v>
      </c>
      <c r="E107">
        <v>0</v>
      </c>
      <c r="F107">
        <v>1</v>
      </c>
      <c r="G107" s="73" t="s">
        <v>1874</v>
      </c>
      <c r="J107" s="12" t="str">
        <f t="shared" si="2"/>
        <v>* totalHighDoseGy 0..1 Quantity ##34#Total High Dose Gy##34# ##334#Refers to the highest dose delivered to the patient##334#</v>
      </c>
      <c r="L107" s="12" t="str">
        <f t="shared" si="3"/>
        <v/>
      </c>
    </row>
    <row r="108" spans="1:12" ht="59">
      <c r="A108" s="100">
        <v>97</v>
      </c>
      <c r="B108" s="104" t="s">
        <v>2058</v>
      </c>
      <c r="C108" s="2" t="s">
        <v>1881</v>
      </c>
      <c r="D108" s="2" t="s">
        <v>1882</v>
      </c>
      <c r="E108">
        <v>0</v>
      </c>
      <c r="F108">
        <v>1</v>
      </c>
      <c r="G108" s="73" t="s">
        <v>1874</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c r="A109" s="100">
        <v>98</v>
      </c>
      <c r="B109" s="104" t="s">
        <v>2059</v>
      </c>
      <c r="C109" s="2" t="s">
        <v>1883</v>
      </c>
      <c r="D109" s="2" t="s">
        <v>1884</v>
      </c>
      <c r="E109">
        <v>0</v>
      </c>
      <c r="F109">
        <v>1</v>
      </c>
      <c r="G109" s="73" t="s">
        <v>1874</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c r="A110" s="100">
        <v>99</v>
      </c>
      <c r="B110" s="104" t="s">
        <v>2060</v>
      </c>
      <c r="C110" s="2" t="s">
        <v>1885</v>
      </c>
      <c r="D110" s="2" t="s">
        <v>1886</v>
      </c>
      <c r="E110">
        <v>0</v>
      </c>
      <c r="F110">
        <v>1</v>
      </c>
      <c r="G110" s="73" t="s">
        <v>1874</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c r="A111" s="100">
        <v>100</v>
      </c>
      <c r="B111" s="104" t="s">
        <v>2061</v>
      </c>
      <c r="C111" s="2" t="s">
        <v>1887</v>
      </c>
      <c r="D111" s="2" t="s">
        <v>1888</v>
      </c>
      <c r="E111">
        <v>0</v>
      </c>
      <c r="F111">
        <v>1</v>
      </c>
      <c r="G111" s="73" t="s">
        <v>1874</v>
      </c>
      <c r="J111" s="12" t="str">
        <f t="shared" si="2"/>
        <v>* totalLowDoseGy 0..1 Quantity ##34#Total Low Dose Gy##34# ##334#The lowest dose prescribed to the patients tumor##334#</v>
      </c>
      <c r="L111" s="12" t="str">
        <f t="shared" si="3"/>
        <v/>
      </c>
    </row>
    <row r="112" spans="1:12" ht="59">
      <c r="A112" s="100">
        <v>101</v>
      </c>
      <c r="B112" s="104" t="s">
        <v>2062</v>
      </c>
      <c r="C112" s="2" t="s">
        <v>1889</v>
      </c>
      <c r="D112" s="2" t="s">
        <v>1890</v>
      </c>
      <c r="E112">
        <v>0</v>
      </c>
      <c r="F112">
        <v>1</v>
      </c>
      <c r="G112" s="73" t="s">
        <v>1874</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c r="A113" s="100">
        <v>102</v>
      </c>
      <c r="B113" s="104" t="s">
        <v>2063</v>
      </c>
      <c r="C113" s="2" t="s">
        <v>1891</v>
      </c>
      <c r="D113" s="2" t="s">
        <v>1892</v>
      </c>
      <c r="E113">
        <v>0</v>
      </c>
      <c r="F113">
        <v>1</v>
      </c>
      <c r="G113" s="73" t="s">
        <v>1</v>
      </c>
      <c r="J113" s="12" t="str">
        <f t="shared" si="2"/>
        <v>* fractionationPattern 0..1 BackboneElement ##34#Fractionation Pattern##34# ##334#Refers to the pattern of how the radiation was delivered##334#</v>
      </c>
      <c r="L113" s="12" t="str">
        <f t="shared" si="3"/>
        <v/>
      </c>
    </row>
    <row r="114" spans="1:12" ht="73.75">
      <c r="A114" s="100">
        <v>103</v>
      </c>
      <c r="B114" s="104" t="s">
        <v>2064</v>
      </c>
      <c r="C114" s="2" t="s">
        <v>1893</v>
      </c>
      <c r="D114" s="2" t="s">
        <v>1894</v>
      </c>
      <c r="E114">
        <v>0</v>
      </c>
      <c r="F114">
        <v>1</v>
      </c>
      <c r="G114" s="73" t="s">
        <v>1</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c r="A115" s="100">
        <v>104</v>
      </c>
      <c r="B115" s="104" t="s">
        <v>2065</v>
      </c>
      <c r="C115" s="2" t="s">
        <v>1895</v>
      </c>
      <c r="D115" s="2" t="s">
        <v>1896</v>
      </c>
      <c r="E115">
        <v>0</v>
      </c>
      <c r="F115">
        <v>1</v>
      </c>
      <c r="G115" s="73" t="s">
        <v>0</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c r="A116" s="100">
        <v>105</v>
      </c>
      <c r="B116" s="104" t="s">
        <v>2066</v>
      </c>
      <c r="C116" s="2" t="s">
        <v>1897</v>
      </c>
      <c r="D116" s="2" t="s">
        <v>1898</v>
      </c>
      <c r="E116">
        <v>0</v>
      </c>
      <c r="F116">
        <v>1</v>
      </c>
      <c r="G116" s="73" t="s">
        <v>0</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c r="A117" s="100">
        <v>106</v>
      </c>
      <c r="B117" s="104" t="s">
        <v>2067</v>
      </c>
      <c r="C117" s="2" t="s">
        <v>1899</v>
      </c>
      <c r="D117" s="2" t="s">
        <v>1900</v>
      </c>
      <c r="E117">
        <v>0</v>
      </c>
      <c r="F117">
        <v>1</v>
      </c>
      <c r="G117" s="73" t="s">
        <v>0</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c r="A118" s="100">
        <v>107</v>
      </c>
      <c r="B118" s="104" t="s">
        <v>2068</v>
      </c>
      <c r="C118" s="2" t="s">
        <v>1901</v>
      </c>
      <c r="D118" s="2" t="s">
        <v>1902</v>
      </c>
      <c r="E118">
        <v>0</v>
      </c>
      <c r="F118">
        <v>1</v>
      </c>
      <c r="G118" s="73" t="s">
        <v>0</v>
      </c>
      <c r="J118" s="12" t="str">
        <f t="shared" si="2"/>
        <v>* otherSpecify2 0..1 string ##34#Other specify 2##34# ##334#Specifies if the second beam quality is other##334#</v>
      </c>
      <c r="L118" s="12" t="str">
        <f t="shared" si="3"/>
        <v/>
      </c>
    </row>
    <row r="119" spans="1:12" ht="44.25">
      <c r="A119" s="100">
        <v>108</v>
      </c>
      <c r="B119" s="104" t="s">
        <v>2069</v>
      </c>
      <c r="C119" s="2" t="s">
        <v>1903</v>
      </c>
      <c r="D119" s="2" t="s">
        <v>1904</v>
      </c>
      <c r="E119">
        <v>0</v>
      </c>
      <c r="F119">
        <v>1</v>
      </c>
      <c r="G119" s="73" t="s">
        <v>0</v>
      </c>
      <c r="J119" s="12" t="str">
        <f t="shared" si="2"/>
        <v>* treatmentTechnique2 0..1 string ##34#Treatment technique2##34# ##334#Refers to the type of radiotherapy treatment delivered as second beam##334#</v>
      </c>
      <c r="L119" s="12" t="str">
        <f t="shared" si="3"/>
        <v/>
      </c>
    </row>
    <row r="120" spans="1:12" ht="88.5">
      <c r="A120" s="100">
        <v>109</v>
      </c>
      <c r="B120" s="104" t="s">
        <v>2070</v>
      </c>
      <c r="C120" s="2" t="s">
        <v>1905</v>
      </c>
      <c r="D120" s="2" t="s">
        <v>1906</v>
      </c>
      <c r="E120">
        <v>0</v>
      </c>
      <c r="F120">
        <v>1</v>
      </c>
      <c r="G120" s="73" t="s">
        <v>0</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c r="A121" s="100">
        <v>110</v>
      </c>
      <c r="B121" s="104" t="s">
        <v>2071</v>
      </c>
      <c r="C121" s="2" t="s">
        <v>1907</v>
      </c>
      <c r="D121" s="2" t="s">
        <v>1908</v>
      </c>
      <c r="E121">
        <v>0</v>
      </c>
      <c r="F121">
        <v>1</v>
      </c>
      <c r="G121" s="73" t="s">
        <v>156</v>
      </c>
      <c r="J121" s="12" t="str">
        <f t="shared" si="2"/>
        <v>* startDate 0..1 date ##34#Start date##34# ##334#Date when  the first radiation treatment was delivered##334#</v>
      </c>
      <c r="L121" s="12" t="str">
        <f t="shared" si="3"/>
        <v/>
      </c>
    </row>
    <row r="122" spans="1:12" ht="44.25">
      <c r="A122" s="100">
        <v>111</v>
      </c>
      <c r="B122" s="104" t="s">
        <v>2072</v>
      </c>
      <c r="C122" s="2" t="s">
        <v>1909</v>
      </c>
      <c r="D122" s="2" t="s">
        <v>1910</v>
      </c>
      <c r="E122">
        <v>0</v>
      </c>
      <c r="F122">
        <v>1</v>
      </c>
      <c r="G122" s="73" t="s">
        <v>156</v>
      </c>
      <c r="J122" s="12" t="str">
        <f t="shared" si="2"/>
        <v>* startDateRadiotherapyDayUnknown 0..1 date ##34#Start date radiotherapy day unknown##34# ##334#Describes if the day of start radiotherapy  is unknwon##334#</v>
      </c>
      <c r="L122" s="12" t="str">
        <f t="shared" si="3"/>
        <v/>
      </c>
    </row>
    <row r="123" spans="1:12" ht="29.5">
      <c r="A123" s="100">
        <v>112</v>
      </c>
      <c r="B123" s="104" t="s">
        <v>2073</v>
      </c>
      <c r="C123" s="2" t="s">
        <v>1911</v>
      </c>
      <c r="D123" s="2" t="s">
        <v>1912</v>
      </c>
      <c r="E123">
        <v>0</v>
      </c>
      <c r="F123">
        <v>1</v>
      </c>
      <c r="G123" s="73" t="s">
        <v>156</v>
      </c>
      <c r="J123" s="12" t="str">
        <f t="shared" si="2"/>
        <v>* endDate 0..1 date ##34#End  date##34# ##334#Date when the last radiation treatment ended##334#</v>
      </c>
      <c r="L123" s="12" t="str">
        <f t="shared" si="3"/>
        <v/>
      </c>
    </row>
    <row r="124" spans="1:12" ht="44.25">
      <c r="A124" s="100">
        <v>113</v>
      </c>
      <c r="B124" s="104" t="s">
        <v>2074</v>
      </c>
      <c r="C124" s="2" t="s">
        <v>1913</v>
      </c>
      <c r="D124" s="2" t="s">
        <v>1914</v>
      </c>
      <c r="E124">
        <v>0</v>
      </c>
      <c r="F124">
        <v>1</v>
      </c>
      <c r="G124" s="73" t="s">
        <v>156</v>
      </c>
      <c r="J124" s="12" t="str">
        <f t="shared" si="2"/>
        <v>* endDateRadiotherapyDayUnknown 0..1 date ##34#End date radiotherapy day unknown##34# ##334#Describes if the day of end of radiotherapy  is unknwon##334#</v>
      </c>
      <c r="L124" s="12" t="str">
        <f t="shared" si="3"/>
        <v/>
      </c>
    </row>
    <row r="125" spans="1:12" ht="73.75">
      <c r="A125" s="100">
        <v>114</v>
      </c>
      <c r="B125" s="104" t="s">
        <v>2075</v>
      </c>
      <c r="C125" s="2" t="s">
        <v>1915</v>
      </c>
      <c r="D125" s="2" t="s">
        <v>1916</v>
      </c>
      <c r="E125">
        <v>0</v>
      </c>
      <c r="F125">
        <v>1</v>
      </c>
      <c r="G125" s="73" t="s">
        <v>0</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c r="A126" s="100">
        <v>115</v>
      </c>
      <c r="B126" s="104" t="s">
        <v>2076</v>
      </c>
      <c r="C126" s="2" t="s">
        <v>1917</v>
      </c>
      <c r="D126" s="2" t="s">
        <v>1918</v>
      </c>
      <c r="E126">
        <v>0</v>
      </c>
      <c r="F126">
        <v>1</v>
      </c>
      <c r="G126" s="73" t="s">
        <v>1874</v>
      </c>
      <c r="J126" s="12" t="str">
        <f t="shared" si="2"/>
        <v>* treatmentDaysMissed 0..1 Quantity ##34#Treatment days missed##34# ##334#Refers to the number of days missed during treatment##334#</v>
      </c>
      <c r="L126" s="12" t="str">
        <f t="shared" si="3"/>
        <v/>
      </c>
    </row>
    <row r="127" spans="1:12" ht="44.25">
      <c r="A127" s="100">
        <v>116</v>
      </c>
      <c r="B127" s="104" t="s">
        <v>2077</v>
      </c>
      <c r="C127" s="2" t="s">
        <v>1919</v>
      </c>
      <c r="D127" s="2" t="s">
        <v>1920</v>
      </c>
      <c r="E127">
        <v>0</v>
      </c>
      <c r="F127">
        <v>1</v>
      </c>
      <c r="G127" s="73" t="s">
        <v>1874</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c r="A128" s="100">
        <v>117</v>
      </c>
      <c r="B128" s="104" t="s">
        <v>2078</v>
      </c>
      <c r="C128" s="2" t="s">
        <v>1921</v>
      </c>
      <c r="D128" s="2" t="s">
        <v>1922</v>
      </c>
      <c r="E128">
        <v>0</v>
      </c>
      <c r="F128">
        <v>1</v>
      </c>
      <c r="G128" s="73" t="s">
        <v>1874</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c r="A129" s="100">
        <v>118</v>
      </c>
      <c r="B129" s="104" t="s">
        <v>2079</v>
      </c>
      <c r="C129" s="2" t="s">
        <v>1923</v>
      </c>
      <c r="D129" s="2" t="s">
        <v>1924</v>
      </c>
      <c r="E129">
        <v>0</v>
      </c>
      <c r="F129">
        <v>1</v>
      </c>
      <c r="G129" s="73" t="s">
        <v>1</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c r="A130" s="100">
        <v>119</v>
      </c>
      <c r="B130" s="104" t="s">
        <v>2080</v>
      </c>
      <c r="C130" s="2" t="s">
        <v>1925</v>
      </c>
      <c r="D130" s="102" t="s">
        <v>1925</v>
      </c>
      <c r="E130">
        <v>0</v>
      </c>
      <c r="F130">
        <v>1</v>
      </c>
      <c r="G130" t="s">
        <v>1</v>
      </c>
      <c r="J130" s="12" t="str">
        <f t="shared" si="2"/>
        <v>* primary 0..1 BackboneElement ##34#Primary ##34# ##334#Primary ##334#</v>
      </c>
      <c r="L130" s="12" t="str">
        <f t="shared" si="3"/>
        <v/>
      </c>
    </row>
    <row r="131" spans="1:12">
      <c r="A131" s="100">
        <v>120</v>
      </c>
      <c r="B131" s="104" t="s">
        <v>2081</v>
      </c>
      <c r="C131" s="2" t="s">
        <v>1926</v>
      </c>
      <c r="D131" s="102" t="s">
        <v>1926</v>
      </c>
      <c r="E131">
        <v>0</v>
      </c>
      <c r="F131">
        <v>1</v>
      </c>
      <c r="G131" t="s">
        <v>1</v>
      </c>
      <c r="J131" s="12" t="str">
        <f t="shared" si="2"/>
        <v>* neck 0..1 BackboneElement ##34#Neck ##34# ##334#Neck ##334#</v>
      </c>
      <c r="L131" s="12" t="str">
        <f t="shared" si="3"/>
        <v/>
      </c>
    </row>
    <row r="132" spans="1:12" ht="29.5">
      <c r="A132" s="100">
        <v>121</v>
      </c>
      <c r="B132" s="104" t="s">
        <v>2082</v>
      </c>
      <c r="C132" s="2" t="s">
        <v>1927</v>
      </c>
      <c r="D132" s="102" t="s">
        <v>1927</v>
      </c>
      <c r="E132">
        <v>0</v>
      </c>
      <c r="F132">
        <v>1</v>
      </c>
      <c r="G132" t="s">
        <v>1</v>
      </c>
      <c r="J132" s="12" t="str">
        <f t="shared" si="2"/>
        <v>* primaryAndIpsilateralNeck 0..1 BackboneElement ##34#Primary and Ipsilateral Neck##34# ##334#Primary and Ipsilateral Neck##334#</v>
      </c>
      <c r="L132" s="12" t="str">
        <f t="shared" si="3"/>
        <v/>
      </c>
    </row>
    <row r="133" spans="1:12" ht="29.5">
      <c r="A133" s="100">
        <v>122</v>
      </c>
      <c r="B133" s="104" t="s">
        <v>2083</v>
      </c>
      <c r="C133" s="2" t="s">
        <v>1928</v>
      </c>
      <c r="D133" s="102" t="s">
        <v>1928</v>
      </c>
      <c r="E133">
        <v>0</v>
      </c>
      <c r="F133">
        <v>1</v>
      </c>
      <c r="G133" t="s">
        <v>1</v>
      </c>
      <c r="J133" s="12" t="str">
        <f t="shared" si="2"/>
        <v>* primaryAndBilateralNeck 0..1 BackboneElement ##34#Primary and Bilateral Neck##34# ##334#Primary and Bilateral Neck##334#</v>
      </c>
      <c r="L133" s="12" t="str">
        <f t="shared" si="3"/>
        <v/>
      </c>
    </row>
    <row r="134" spans="1:12" ht="29.5">
      <c r="A134" s="100">
        <v>123</v>
      </c>
      <c r="B134" s="104" t="s">
        <v>2084</v>
      </c>
      <c r="C134" s="2" t="s">
        <v>1929</v>
      </c>
      <c r="D134" s="102" t="s">
        <v>1929</v>
      </c>
      <c r="E134">
        <v>0</v>
      </c>
      <c r="F134">
        <v>1</v>
      </c>
      <c r="G134" t="s">
        <v>1</v>
      </c>
      <c r="J134" s="12" t="str">
        <f t="shared" si="2"/>
        <v>* distantMetastasis 0..1 BackboneElement ##34#Distant Metastasis##34# ##334#Distant Metastasis##334#</v>
      </c>
      <c r="L134" s="12" t="str">
        <f t="shared" si="3"/>
        <v/>
      </c>
    </row>
    <row r="135" spans="1:12" ht="44.25">
      <c r="A135" s="100">
        <v>124</v>
      </c>
      <c r="B135" s="104" t="s">
        <v>2085</v>
      </c>
      <c r="C135" s="2" t="s">
        <v>1930</v>
      </c>
      <c r="D135" s="2" t="s">
        <v>1931</v>
      </c>
      <c r="E135">
        <v>0</v>
      </c>
      <c r="F135">
        <v>1</v>
      </c>
      <c r="G135" s="73" t="s">
        <v>1</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c r="A136" s="100">
        <v>125</v>
      </c>
      <c r="B136" s="55" t="s">
        <v>2086</v>
      </c>
      <c r="C136" s="2" t="s">
        <v>1932</v>
      </c>
      <c r="D136" s="102" t="s">
        <v>1932</v>
      </c>
      <c r="E136">
        <v>0</v>
      </c>
      <c r="F136">
        <v>1</v>
      </c>
      <c r="G136" t="s">
        <v>1</v>
      </c>
      <c r="J136" s="12" t="str">
        <f t="shared" ref="J136:J177" si="4">CONCATENATE("* ",B136, " ",E136,"..",F136," ",G136," ##34#",C136,"##34# ##334#",D136,"##334#")</f>
        <v>* lung
 0..1 BackboneElement ##34#Lung
##34# ##334#Lung
##334#</v>
      </c>
      <c r="L136" s="12" t="str">
        <f t="shared" si="3"/>
        <v/>
      </c>
    </row>
    <row r="137" spans="1:12" ht="59">
      <c r="A137" s="100">
        <v>126</v>
      </c>
      <c r="B137" s="55" t="s">
        <v>2087</v>
      </c>
      <c r="C137" s="2" t="s">
        <v>1933</v>
      </c>
      <c r="D137" s="102" t="s">
        <v>1933</v>
      </c>
      <c r="E137">
        <v>0</v>
      </c>
      <c r="F137">
        <v>1</v>
      </c>
      <c r="G137" t="s">
        <v>1</v>
      </c>
      <c r="J137" s="12" t="str">
        <f t="shared" si="4"/>
        <v>* mediastinum
 0..1 BackboneElement ##34#Mediastinum
##34# ##334#Mediastinum
##334#</v>
      </c>
      <c r="L137" s="12" t="str">
        <f t="shared" ref="L137:L177" si="5">IF(H137="",IF(J137="*  ..  ##34###34# ##334###334#",J137,""),IF(J137="*  ..  ##34###34# ##334###334#",J137,CONCATENATE("* ",B137," ^comment = ##334#",H137,"##334#")))</f>
        <v/>
      </c>
    </row>
    <row r="138" spans="1:12" ht="59">
      <c r="A138" s="100">
        <v>127</v>
      </c>
      <c r="B138" s="55" t="s">
        <v>2088</v>
      </c>
      <c r="C138" s="2" t="s">
        <v>1934</v>
      </c>
      <c r="D138" s="102" t="s">
        <v>1934</v>
      </c>
      <c r="E138">
        <v>0</v>
      </c>
      <c r="F138">
        <v>1</v>
      </c>
      <c r="G138" t="s">
        <v>1</v>
      </c>
      <c r="J138" s="12" t="str">
        <f t="shared" si="4"/>
        <v>* bone
 0..1 BackboneElement ##34#Bone
##34# ##334#Bone
##334#</v>
      </c>
      <c r="L138" s="12" t="str">
        <f t="shared" si="5"/>
        <v/>
      </c>
    </row>
    <row r="139" spans="1:12" ht="59">
      <c r="A139" s="100">
        <v>128</v>
      </c>
      <c r="B139" s="55" t="s">
        <v>2089</v>
      </c>
      <c r="C139" s="2" t="s">
        <v>1935</v>
      </c>
      <c r="D139" s="102" t="s">
        <v>1935</v>
      </c>
      <c r="E139">
        <v>0</v>
      </c>
      <c r="F139">
        <v>1</v>
      </c>
      <c r="G139" t="s">
        <v>1</v>
      </c>
      <c r="J139" s="12" t="str">
        <f t="shared" si="4"/>
        <v>* softTissue
 0..1 BackboneElement ##34#Soft Tissue
##34# ##334#Soft Tissue
##334#</v>
      </c>
      <c r="L139" s="12" t="str">
        <f t="shared" si="5"/>
        <v/>
      </c>
    </row>
    <row r="140" spans="1:12" ht="59">
      <c r="A140" s="100">
        <v>129</v>
      </c>
      <c r="B140" s="55" t="s">
        <v>2090</v>
      </c>
      <c r="C140" s="2" t="s">
        <v>1936</v>
      </c>
      <c r="D140" s="102" t="s">
        <v>1936</v>
      </c>
      <c r="E140">
        <v>0</v>
      </c>
      <c r="F140">
        <v>1</v>
      </c>
      <c r="G140" t="s">
        <v>1</v>
      </c>
      <c r="J140" s="12" t="str">
        <f t="shared" si="4"/>
        <v>* liver
 0..1 BackboneElement ##34#Liver
##34# ##334#Liver
##334#</v>
      </c>
      <c r="L140" s="12" t="str">
        <f t="shared" si="5"/>
        <v/>
      </c>
    </row>
    <row r="141" spans="1:12" ht="29.5">
      <c r="A141" s="100">
        <v>130</v>
      </c>
      <c r="B141" s="104" t="s">
        <v>1658</v>
      </c>
      <c r="C141" s="2" t="s">
        <v>1629</v>
      </c>
      <c r="D141" s="102" t="s">
        <v>1629</v>
      </c>
      <c r="E141">
        <v>0</v>
      </c>
      <c r="F141">
        <v>1</v>
      </c>
      <c r="G141" t="s">
        <v>1</v>
      </c>
      <c r="J141" s="12" t="str">
        <f t="shared" si="4"/>
        <v>* unknown 0..1 BackboneElement ##34#Unknown##34# ##334#Unknown##334#</v>
      </c>
      <c r="L141" s="12" t="str">
        <f t="shared" si="5"/>
        <v/>
      </c>
    </row>
    <row r="142" spans="1:12">
      <c r="A142" s="100">
        <v>131</v>
      </c>
      <c r="B142" s="104" t="s">
        <v>2091</v>
      </c>
      <c r="C142" s="2" t="s">
        <v>1937</v>
      </c>
      <c r="D142" s="102" t="s">
        <v>1937</v>
      </c>
      <c r="E142">
        <v>0</v>
      </c>
      <c r="F142">
        <v>1</v>
      </c>
      <c r="G142" t="s">
        <v>1</v>
      </c>
      <c r="J142" s="12" t="str">
        <f t="shared" si="4"/>
        <v>* other 0..1 BackboneElement ##34#Other ##34# ##334#Other ##334#</v>
      </c>
      <c r="L142" s="12" t="str">
        <f t="shared" si="5"/>
        <v/>
      </c>
    </row>
    <row r="143" spans="1:12" ht="29.5">
      <c r="A143" s="100">
        <v>132</v>
      </c>
      <c r="B143" s="104" t="s">
        <v>2050</v>
      </c>
      <c r="C143" s="2" t="s">
        <v>1867</v>
      </c>
      <c r="D143" s="102" t="s">
        <v>1867</v>
      </c>
      <c r="E143">
        <v>0</v>
      </c>
      <c r="F143">
        <v>1</v>
      </c>
      <c r="G143" t="s">
        <v>1</v>
      </c>
      <c r="J143" s="12" t="str">
        <f t="shared" si="4"/>
        <v>* otherSpecify 0..1 BackboneElement ##34#Other specify##34# ##334#Other specify##334#</v>
      </c>
      <c r="L143" s="12" t="str">
        <f t="shared" si="5"/>
        <v/>
      </c>
    </row>
    <row r="144" spans="1:12" ht="59">
      <c r="A144" s="100">
        <v>133</v>
      </c>
      <c r="B144" s="104" t="s">
        <v>2092</v>
      </c>
      <c r="C144" s="2" t="s">
        <v>1938</v>
      </c>
      <c r="D144" s="2" t="s">
        <v>1939</v>
      </c>
      <c r="E144">
        <v>0</v>
      </c>
      <c r="F144">
        <v>1</v>
      </c>
      <c r="G144" s="73" t="s">
        <v>0</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c r="A145" s="100">
        <v>134</v>
      </c>
      <c r="B145" s="104" t="s">
        <v>2093</v>
      </c>
      <c r="C145" s="2" t="s">
        <v>1940</v>
      </c>
      <c r="D145" s="2" t="s">
        <v>1941</v>
      </c>
      <c r="E145">
        <v>0</v>
      </c>
      <c r="F145">
        <v>1</v>
      </c>
      <c r="G145" s="73" t="s">
        <v>0</v>
      </c>
      <c r="J145" s="12" t="str">
        <f t="shared" si="4"/>
        <v>* neckLevelsIrradiatedLeft 0..1 string ##34#Neck Levels Irradiated Left##34# ##334#Same as above but for the left neck##334#</v>
      </c>
      <c r="L145" s="12" t="str">
        <f t="shared" si="5"/>
        <v/>
      </c>
    </row>
    <row r="146" spans="1:12" ht="44.25">
      <c r="A146" s="100">
        <v>135</v>
      </c>
      <c r="B146" s="104" t="s">
        <v>2094</v>
      </c>
      <c r="C146" s="2" t="s">
        <v>1942</v>
      </c>
      <c r="D146" s="2" t="s">
        <v>1943</v>
      </c>
      <c r="E146">
        <v>0</v>
      </c>
      <c r="F146">
        <v>1</v>
      </c>
      <c r="G146" s="73" t="s">
        <v>0</v>
      </c>
      <c r="J146" s="12" t="str">
        <f t="shared" si="4"/>
        <v>* ctvHighExpansion 0..1 string ##34#CTV High Expansion##34# ##334#Refers to the margin that was used from GTV to CTV for the highest prescription dose##334#</v>
      </c>
      <c r="L146" s="12" t="str">
        <f t="shared" si="5"/>
        <v/>
      </c>
    </row>
    <row r="147" spans="1:12" ht="29.5">
      <c r="A147" s="100">
        <v>136</v>
      </c>
      <c r="B147" s="104" t="s">
        <v>2095</v>
      </c>
      <c r="C147" s="2" t="s">
        <v>1944</v>
      </c>
      <c r="D147" s="2" t="s">
        <v>1945</v>
      </c>
      <c r="E147">
        <v>0</v>
      </c>
      <c r="F147">
        <v>1</v>
      </c>
      <c r="G147" s="73" t="s">
        <v>0</v>
      </c>
      <c r="J147" s="12" t="str">
        <f t="shared" si="4"/>
        <v>* ptvHighExpansion 0..1 string ##34#PTV High expansion##34# ##334#Refers to the margin that was used from CTV to PTV##334#</v>
      </c>
      <c r="L147" s="12" t="str">
        <f t="shared" si="5"/>
        <v/>
      </c>
    </row>
    <row r="148" spans="1:12" ht="29.5">
      <c r="A148" s="100">
        <v>137</v>
      </c>
      <c r="B148" s="104" t="s">
        <v>2096</v>
      </c>
      <c r="C148" s="2" t="s">
        <v>1946</v>
      </c>
      <c r="D148" s="2" t="s">
        <v>1947</v>
      </c>
      <c r="E148">
        <v>0</v>
      </c>
      <c r="F148">
        <v>1</v>
      </c>
      <c r="G148" s="73" t="s">
        <v>0</v>
      </c>
      <c r="J148" s="12" t="str">
        <f t="shared" si="4"/>
        <v>* v60OfSkin 0..1 string ##34#V60 of Skin##34# ##334#Refers to the volume of skin receiving at least 60 Gy##334#</v>
      </c>
      <c r="L148" s="12" t="str">
        <f t="shared" si="5"/>
        <v/>
      </c>
    </row>
    <row r="149" spans="1:12" ht="88.5">
      <c r="A149" s="100">
        <v>138</v>
      </c>
      <c r="B149" s="104" t="s">
        <v>2097</v>
      </c>
      <c r="C149" s="2" t="s">
        <v>1948</v>
      </c>
      <c r="D149" s="2" t="s">
        <v>1906</v>
      </c>
      <c r="E149">
        <v>0</v>
      </c>
      <c r="F149">
        <v>1</v>
      </c>
      <c r="G149" s="73" t="s">
        <v>0</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c r="A150" s="100">
        <v>139</v>
      </c>
      <c r="B150" s="104" t="s">
        <v>2098</v>
      </c>
      <c r="C150" s="2" t="s">
        <v>1949</v>
      </c>
      <c r="D150" s="2" t="s">
        <v>1950</v>
      </c>
      <c r="E150">
        <v>0</v>
      </c>
      <c r="F150">
        <v>1</v>
      </c>
      <c r="G150" s="73" t="s">
        <v>0</v>
      </c>
      <c r="J150" s="12" t="str">
        <f t="shared" si="4"/>
        <v>* hospitalizedDuringRt 0..1 string ##34#Hospitalized during RT##34# ##334#Did the patient has been hospitalized during RT##334#</v>
      </c>
      <c r="L150" s="12" t="str">
        <f t="shared" si="5"/>
        <v/>
      </c>
    </row>
    <row r="151" spans="1:12" ht="29.5">
      <c r="A151" s="100">
        <v>140</v>
      </c>
      <c r="B151" s="104" t="s">
        <v>2099</v>
      </c>
      <c r="C151" s="2" t="s">
        <v>1951</v>
      </c>
      <c r="D151" s="2" t="s">
        <v>1952</v>
      </c>
      <c r="E151">
        <v>0</v>
      </c>
      <c r="F151">
        <v>1</v>
      </c>
      <c r="G151" s="73" t="s">
        <v>0</v>
      </c>
      <c r="J151" s="12" t="str">
        <f t="shared" si="4"/>
        <v>* carotidBlowout 0..1 string ##34#Carotid Blowout ##34# ##334#Did the patient develop a carotid blow out during or after radiation##334#</v>
      </c>
      <c r="L151" s="12" t="str">
        <f t="shared" si="5"/>
        <v/>
      </c>
    </row>
    <row r="152" spans="1:12" ht="29.5">
      <c r="A152" s="100">
        <v>141</v>
      </c>
      <c r="B152" s="104" t="s">
        <v>2100</v>
      </c>
      <c r="C152" s="2" t="s">
        <v>1953</v>
      </c>
      <c r="D152" s="2" t="s">
        <v>1954</v>
      </c>
      <c r="E152">
        <v>0</v>
      </c>
      <c r="F152">
        <v>1</v>
      </c>
      <c r="G152" s="73" t="s">
        <v>0</v>
      </c>
      <c r="J152" s="12" t="str">
        <f t="shared" si="4"/>
        <v>* feedingTubeDuringRt 0..1 string ##34#Feeding Tube during RT##34# ##334#Was a feeding tube required after RT##334#</v>
      </c>
      <c r="L152" s="12" t="str">
        <f t="shared" si="5"/>
        <v/>
      </c>
    </row>
    <row r="153" spans="1:12" ht="44.25">
      <c r="A153" s="100">
        <v>142</v>
      </c>
      <c r="B153" s="104" t="s">
        <v>2101</v>
      </c>
      <c r="C153" s="2" t="s">
        <v>1955</v>
      </c>
      <c r="D153" s="2" t="s">
        <v>1956</v>
      </c>
      <c r="E153">
        <v>0</v>
      </c>
      <c r="F153">
        <v>1</v>
      </c>
      <c r="G153" s="73" t="s">
        <v>0</v>
      </c>
      <c r="J153" s="12" t="str">
        <f t="shared" si="4"/>
        <v>* feedingTubeReason 0..1 string ##34#Feeding Tube reason##34# ##334#Was the feeding tube placed only prophylactically or reactively due to significant weight loss during treatment##334#</v>
      </c>
      <c r="L153" s="12" t="str">
        <f t="shared" si="5"/>
        <v/>
      </c>
    </row>
    <row r="154" spans="1:12" ht="29.5">
      <c r="A154" s="100">
        <v>143</v>
      </c>
      <c r="B154" s="104" t="s">
        <v>2102</v>
      </c>
      <c r="C154" s="2" t="s">
        <v>1957</v>
      </c>
      <c r="D154" s="2" t="s">
        <v>1958</v>
      </c>
      <c r="E154">
        <v>0</v>
      </c>
      <c r="F154">
        <v>1</v>
      </c>
      <c r="G154" s="73" t="s">
        <v>0</v>
      </c>
      <c r="J154" s="12" t="str">
        <f t="shared" si="4"/>
        <v>* smokingDuringRt 0..1 string ##34#Smoking during RT##34# ##334#Did the patient smoke cigarettes during radiation##334#</v>
      </c>
      <c r="L154" s="12" t="str">
        <f t="shared" si="5"/>
        <v/>
      </c>
    </row>
    <row r="155" spans="1:12" ht="29.5">
      <c r="A155" s="100">
        <v>144</v>
      </c>
      <c r="B155" s="104" t="s">
        <v>2103</v>
      </c>
      <c r="C155" s="2" t="s">
        <v>1959</v>
      </c>
      <c r="D155" s="2" t="s">
        <v>1960</v>
      </c>
      <c r="E155">
        <v>0</v>
      </c>
      <c r="F155">
        <v>1</v>
      </c>
      <c r="G155" s="73" t="s">
        <v>0</v>
      </c>
      <c r="J155" s="12" t="str">
        <f t="shared" si="4"/>
        <v>* alcoholDuringRt 0..1 string ##34#Alcohol during RT##34# ##334#Did the patient drink alcohol during radiation##334#</v>
      </c>
      <c r="L155" s="12" t="str">
        <f t="shared" si="5"/>
        <v/>
      </c>
    </row>
    <row r="156" spans="1:12" ht="29.5">
      <c r="A156" s="100">
        <v>145</v>
      </c>
      <c r="B156" s="104" t="s">
        <v>2104</v>
      </c>
      <c r="C156" s="2" t="s">
        <v>1961</v>
      </c>
      <c r="D156" s="102" t="s">
        <v>1961</v>
      </c>
      <c r="E156">
        <v>0</v>
      </c>
      <c r="F156">
        <v>1</v>
      </c>
      <c r="G156" t="s">
        <v>1</v>
      </c>
      <c r="J156" s="12" t="str">
        <f t="shared" si="4"/>
        <v>* otherTypeOfTreatment 0..1 BackboneElement ##34#Other type of treatment##34# ##334#Other type of treatment##334#</v>
      </c>
      <c r="L156" s="12" t="str">
        <f t="shared" si="5"/>
        <v/>
      </c>
    </row>
    <row r="157" spans="1:12" ht="29.5">
      <c r="A157" s="100">
        <v>146</v>
      </c>
      <c r="B157" s="104" t="s">
        <v>2105</v>
      </c>
      <c r="C157" s="2" t="s">
        <v>1962</v>
      </c>
      <c r="D157" s="102" t="s">
        <v>1962</v>
      </c>
      <c r="E157">
        <v>0</v>
      </c>
      <c r="F157">
        <v>1</v>
      </c>
      <c r="G157" t="s">
        <v>1</v>
      </c>
      <c r="J157" s="12" t="str">
        <f t="shared" si="4"/>
        <v>* otherTreatmentPerformed 0..1 BackboneElement ##34#Other treatment performed##34# ##334#Other treatment performed##334#</v>
      </c>
      <c r="L157" s="12" t="str">
        <f t="shared" si="5"/>
        <v/>
      </c>
    </row>
    <row r="158" spans="1:12" ht="29.5">
      <c r="A158" s="100">
        <v>147</v>
      </c>
      <c r="B158" s="104" t="s">
        <v>2106</v>
      </c>
      <c r="C158" s="2" t="s">
        <v>1963</v>
      </c>
      <c r="D158" s="102" t="s">
        <v>1963</v>
      </c>
      <c r="E158">
        <v>0</v>
      </c>
      <c r="F158">
        <v>1</v>
      </c>
      <c r="G158" t="s">
        <v>1</v>
      </c>
      <c r="J158" s="12" t="str">
        <f t="shared" si="4"/>
        <v>* dateOfStart 0..1 BackboneElement ##34#Date of start other treatment ##34# ##334#Date of start other treatment ##334#</v>
      </c>
      <c r="L158" s="12" t="str">
        <f t="shared" si="5"/>
        <v/>
      </c>
    </row>
    <row r="159" spans="1:12" ht="44.25">
      <c r="A159" s="100">
        <v>148</v>
      </c>
      <c r="B159" s="104" t="s">
        <v>2107</v>
      </c>
      <c r="C159" s="2" t="s">
        <v>1964</v>
      </c>
      <c r="D159" s="102" t="s">
        <v>1964</v>
      </c>
      <c r="E159">
        <v>0</v>
      </c>
      <c r="F159">
        <v>1</v>
      </c>
      <c r="G159" t="s">
        <v>1</v>
      </c>
      <c r="J159" s="12" t="str">
        <f t="shared" si="4"/>
        <v>* dateOfOtherTreatmentDayUnknown 0..1 BackboneElement ##34#Date of other treatment day unknown##34# ##334#Date of other treatment day unknown##334#</v>
      </c>
      <c r="L159" s="12" t="str">
        <f t="shared" si="5"/>
        <v/>
      </c>
    </row>
    <row r="160" spans="1:12" ht="29.5">
      <c r="A160" s="100">
        <v>149</v>
      </c>
      <c r="B160" s="104" t="s">
        <v>2108</v>
      </c>
      <c r="C160" s="2" t="s">
        <v>1965</v>
      </c>
      <c r="D160" s="102" t="s">
        <v>1965</v>
      </c>
      <c r="E160">
        <v>0</v>
      </c>
      <c r="F160">
        <v>1</v>
      </c>
      <c r="G160" t="s">
        <v>1</v>
      </c>
      <c r="J160" s="12" t="str">
        <f t="shared" si="4"/>
        <v>* dateOfEnd 0..1 BackboneElement ##34#Date of end other treatment ##34# ##334#Date of end other treatment ##334#</v>
      </c>
      <c r="L160" s="12" t="str">
        <f t="shared" si="5"/>
        <v/>
      </c>
    </row>
    <row r="161" spans="1:12" ht="44.25">
      <c r="A161" s="100">
        <v>150</v>
      </c>
      <c r="B161" s="104" t="s">
        <v>2109</v>
      </c>
      <c r="C161" s="2" t="s">
        <v>1966</v>
      </c>
      <c r="D161" s="102" t="s">
        <v>1966</v>
      </c>
      <c r="E161">
        <v>0</v>
      </c>
      <c r="F161">
        <v>1</v>
      </c>
      <c r="G161" t="s">
        <v>1</v>
      </c>
      <c r="J161" s="12" t="str">
        <f t="shared" si="4"/>
        <v>* dateOfEndOtherTreatmentDayUnknown 0..1 BackboneElement ##34#Date of end other treatment day unknown##34# ##334#Date of end other treatment day unknown##334#</v>
      </c>
      <c r="L161" s="12" t="str">
        <f t="shared" si="5"/>
        <v/>
      </c>
    </row>
    <row r="162" spans="1:12">
      <c r="A162" s="100">
        <v>151</v>
      </c>
      <c r="B162" s="104" t="s">
        <v>2110</v>
      </c>
      <c r="C162" s="2" t="s">
        <v>311</v>
      </c>
      <c r="D162" s="102" t="s">
        <v>311</v>
      </c>
      <c r="E162">
        <v>0</v>
      </c>
      <c r="F162">
        <v>1</v>
      </c>
      <c r="G162" t="s">
        <v>1</v>
      </c>
      <c r="J162" s="12" t="str">
        <f t="shared" si="4"/>
        <v>* type 0..1 BackboneElement ##34#Type##34# ##334#Type##334#</v>
      </c>
      <c r="L162" s="12" t="str">
        <f t="shared" si="5"/>
        <v/>
      </c>
    </row>
    <row r="163" spans="1:12" ht="29.5">
      <c r="A163" s="100">
        <v>152</v>
      </c>
      <c r="B163" s="104" t="s">
        <v>2111</v>
      </c>
      <c r="C163" s="2" t="s">
        <v>1948</v>
      </c>
      <c r="D163" s="102" t="s">
        <v>1948</v>
      </c>
      <c r="E163">
        <v>0</v>
      </c>
      <c r="F163">
        <v>1</v>
      </c>
      <c r="G163" t="s">
        <v>1</v>
      </c>
      <c r="J163" s="12" t="str">
        <f t="shared" si="4"/>
        <v>* treatmentCompleted 0..1 BackboneElement ##34#Treatment Completed as Planned ##34# ##334#Treatment Completed as Planned ##334#</v>
      </c>
      <c r="L163" s="12" t="str">
        <f t="shared" si="5"/>
        <v/>
      </c>
    </row>
    <row r="164" spans="1:12" ht="29.5">
      <c r="A164" s="100">
        <v>153</v>
      </c>
      <c r="B164" s="104" t="s">
        <v>2112</v>
      </c>
      <c r="C164" s="2" t="s">
        <v>1967</v>
      </c>
      <c r="D164" s="102" t="s">
        <v>1967</v>
      </c>
      <c r="E164">
        <v>0</v>
      </c>
      <c r="F164">
        <v>1</v>
      </c>
      <c r="G164" t="s">
        <v>1</v>
      </c>
      <c r="J164" s="12" t="str">
        <f t="shared" si="4"/>
        <v>* overallTreatmentResponse 0..1 BackboneElement ##34#Overall treatment response##34# ##334#Overall treatment response##334#</v>
      </c>
      <c r="L164" s="12" t="str">
        <f t="shared" si="5"/>
        <v/>
      </c>
    </row>
    <row r="165" spans="1:12" ht="59">
      <c r="A165" s="100">
        <v>154</v>
      </c>
      <c r="B165" s="103" t="s">
        <v>2129</v>
      </c>
      <c r="C165" s="2" t="s">
        <v>1849</v>
      </c>
      <c r="D165" s="102" t="s">
        <v>1849</v>
      </c>
      <c r="E165">
        <v>0</v>
      </c>
      <c r="F165">
        <v>1</v>
      </c>
      <c r="G165" t="s">
        <v>1</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c r="A166" s="100">
        <v>155</v>
      </c>
      <c r="B166" s="104" t="s">
        <v>2113</v>
      </c>
      <c r="C166" s="2" t="s">
        <v>1851</v>
      </c>
      <c r="D166" s="102" t="s">
        <v>1851</v>
      </c>
      <c r="E166">
        <v>0</v>
      </c>
      <c r="F166">
        <v>1</v>
      </c>
      <c r="G166" t="s">
        <v>1</v>
      </c>
      <c r="J166" s="12" t="str">
        <f t="shared" si="4"/>
        <v>* treatmentResponseDefineddone 0..1 BackboneElement ##34#Treatment response defineddone##34# ##334#Treatment response defineddone##334#</v>
      </c>
      <c r="L166" s="12" t="str">
        <f t="shared" si="5"/>
        <v/>
      </c>
    </row>
    <row r="167" spans="1:12" ht="44.25">
      <c r="A167" s="100">
        <v>156</v>
      </c>
      <c r="B167" s="104" t="s">
        <v>2114</v>
      </c>
      <c r="C167" s="2" t="s">
        <v>1968</v>
      </c>
      <c r="D167" s="102" t="s">
        <v>1968</v>
      </c>
      <c r="E167">
        <v>0</v>
      </c>
      <c r="F167">
        <v>1</v>
      </c>
      <c r="G167" t="s">
        <v>1</v>
      </c>
      <c r="J167" s="12" t="str">
        <f t="shared" si="4"/>
        <v>* patientIncludedInClinicalTrial 0..1 BackboneElement ##34#PATIENT INCLUDED IN CLINICAL TRIAL ##34# ##334#PATIENT INCLUDED IN CLINICAL TRIAL ##334#</v>
      </c>
      <c r="L167" s="12" t="str">
        <f t="shared" si="5"/>
        <v/>
      </c>
    </row>
    <row r="168" spans="1:12" ht="29.5">
      <c r="A168" s="100">
        <v>157</v>
      </c>
      <c r="B168" s="104" t="s">
        <v>2115</v>
      </c>
      <c r="C168" s="2" t="s">
        <v>1969</v>
      </c>
      <c r="D168" s="102" t="s">
        <v>1969</v>
      </c>
      <c r="E168">
        <v>0</v>
      </c>
      <c r="F168">
        <v>1</v>
      </c>
      <c r="G168" t="s">
        <v>1</v>
      </c>
      <c r="J168" s="12" t="str">
        <f t="shared" si="4"/>
        <v>* patientIncludedInAClinicalTrial 0..1 BackboneElement ##34#Patient included in a clinical trial##34# ##334#Patient included in a clinical trial##334#</v>
      </c>
      <c r="L168" s="12" t="str">
        <f t="shared" si="5"/>
        <v/>
      </c>
    </row>
    <row r="169" spans="1:12" ht="29.5">
      <c r="A169" s="100">
        <v>158</v>
      </c>
      <c r="B169" s="104" t="s">
        <v>2116</v>
      </c>
      <c r="C169" s="2" t="s">
        <v>1970</v>
      </c>
      <c r="D169" s="102" t="s">
        <v>1970</v>
      </c>
      <c r="E169">
        <v>0</v>
      </c>
      <c r="F169">
        <v>1</v>
      </c>
      <c r="G169" t="s">
        <v>1</v>
      </c>
      <c r="J169" s="12" t="str">
        <f t="shared" si="4"/>
        <v>* clinicalTrialCode 0..1 BackboneElement ##34#Clinical trial code##34# ##334#Clinical trial code##334#</v>
      </c>
      <c r="L169" s="12" t="str">
        <f t="shared" si="5"/>
        <v/>
      </c>
    </row>
    <row r="170" spans="1:12" ht="29.5">
      <c r="A170" s="100">
        <v>159</v>
      </c>
      <c r="B170" s="110" t="s">
        <v>1628</v>
      </c>
      <c r="C170" s="2" t="s">
        <v>1616</v>
      </c>
      <c r="D170" s="102" t="s">
        <v>1616</v>
      </c>
      <c r="E170">
        <v>0</v>
      </c>
      <c r="F170">
        <v>1</v>
      </c>
      <c r="G170" t="s">
        <v>1</v>
      </c>
      <c r="J170" s="12" t="str">
        <f t="shared" si="4"/>
        <v>* instrumentStatus 0..1 BackboneElement ##34#Instrument status##34# ##334#Instrument status##334#</v>
      </c>
      <c r="L170" s="12" t="str">
        <f t="shared" si="5"/>
        <v/>
      </c>
    </row>
    <row r="171" spans="1:12">
      <c r="J171" s="12" t="str">
        <f t="shared" si="4"/>
        <v>*  ..  ##34###34# ##334###334#</v>
      </c>
      <c r="L171" s="12" t="str">
        <f t="shared" si="5"/>
        <v>*  ..  ##34###34# ##334###334#</v>
      </c>
    </row>
    <row r="172" spans="1:12">
      <c r="J172" s="12" t="str">
        <f t="shared" si="4"/>
        <v>*  ..  ##34###34# ##334###334#</v>
      </c>
      <c r="L172" s="12" t="str">
        <f t="shared" si="5"/>
        <v>*  ..  ##34###34# ##334###334#</v>
      </c>
    </row>
    <row r="173" spans="1:12">
      <c r="J173" s="12" t="str">
        <f t="shared" si="4"/>
        <v>*  ..  ##34###34# ##334###334#</v>
      </c>
      <c r="L173" s="12" t="str">
        <f t="shared" si="5"/>
        <v>*  ..  ##34###34# ##334###334#</v>
      </c>
    </row>
    <row r="174" spans="1:12">
      <c r="J174" s="12" t="str">
        <f t="shared" si="4"/>
        <v>*  ..  ##34###34# ##334###334#</v>
      </c>
      <c r="L174" s="12" t="str">
        <f t="shared" si="5"/>
        <v>*  ..  ##34###34# ##334###334#</v>
      </c>
    </row>
    <row r="175" spans="1:12">
      <c r="J175" s="12" t="str">
        <f t="shared" si="4"/>
        <v>*  ..  ##34###34# ##334###334#</v>
      </c>
      <c r="L175" s="12" t="str">
        <f t="shared" si="5"/>
        <v>*  ..  ##34###34# ##334###334#</v>
      </c>
    </row>
    <row r="176" spans="1:12">
      <c r="J176" s="12" t="str">
        <f t="shared" si="4"/>
        <v>*  ..  ##34###34# ##334###334#</v>
      </c>
      <c r="L176" s="12" t="str">
        <f t="shared" si="5"/>
        <v>*  ..  ##34###34# ##334###334#</v>
      </c>
    </row>
    <row r="177" spans="10:12">
      <c r="J177" s="12" t="str">
        <f t="shared" si="4"/>
        <v>*  ..  ##34###34# ##334###334#</v>
      </c>
      <c r="L177" s="12" t="str">
        <f t="shared" si="5"/>
        <v>*  ..  ##34###34# ##334###334#</v>
      </c>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2125</v>
      </c>
      <c r="E4" s="19" t="str">
        <f>CONCATENATE("Mapping: ",C4)</f>
        <v>Mapping: I4RCTreatment2Fhir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2126</v>
      </c>
      <c r="E6" s="20" t="str">
        <f>CONCATENATE("Title: ##34#",C6,"##34#")</f>
        <v>Title: ##34#Idea4RC Treatment model to FHIR R4 Map##34#</v>
      </c>
      <c r="H6" s="7"/>
      <c r="I6" s="7"/>
      <c r="J6" s="7"/>
      <c r="K6" s="7"/>
      <c r="L6" s="7"/>
      <c r="M6" s="7"/>
      <c r="N6" s="7"/>
      <c r="O6" s="7"/>
    </row>
    <row r="7" spans="1:15" ht="15.5" thickBot="1">
      <c r="B7" s="10" t="s">
        <v>18</v>
      </c>
      <c r="C7" s="8" t="str">
        <f>B9</f>
        <v>Treatment</v>
      </c>
      <c r="E7" s="20" t="str">
        <f>CONCATENATE("Source: ",C7)</f>
        <v>Source: Treatment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Treatment!B5</f>
        <v>Treatment</v>
      </c>
      <c r="C9" s="6" t="s">
        <v>1620</v>
      </c>
      <c r="E9" s="27" t="str">
        <f>CONCATENATE("* -&gt; ##34#",C9,"##34#")</f>
        <v>* -&gt; ##34#TBD##34#</v>
      </c>
      <c r="H9" s="7"/>
      <c r="I9" s="7"/>
      <c r="J9" s="7"/>
      <c r="K9" s="7"/>
      <c r="L9" s="7"/>
      <c r="M9" s="7"/>
      <c r="N9" s="7"/>
      <c r="O9" s="7"/>
    </row>
    <row r="10" spans="1:15">
      <c r="A10" s="11"/>
      <c r="B10" s="11" t="str">
        <f>Treatment!B8</f>
        <v>surgery</v>
      </c>
      <c r="C10" s="11" t="s">
        <v>1620</v>
      </c>
      <c r="E10" s="12" t="str">
        <f t="shared" ref="E10:E73" si="0">IF(B10=0,"*  -&gt; ##34###34#",CONCATENATE("* ",B10," -&gt; ##34#",C10,"##34#"))</f>
        <v>* surgery -&gt; ##34#TBD##34#</v>
      </c>
      <c r="H10" s="7"/>
      <c r="I10" s="7"/>
      <c r="J10" s="7"/>
      <c r="K10" s="7"/>
      <c r="L10" s="7"/>
      <c r="M10" s="7"/>
      <c r="N10" s="7"/>
      <c r="O10" s="7"/>
    </row>
    <row r="11" spans="1:15">
      <c r="A11" s="11"/>
      <c r="B11" s="11" t="str">
        <f>Treatment!B9</f>
        <v>surgeryPerformed</v>
      </c>
      <c r="C11" s="11" t="s">
        <v>1620</v>
      </c>
      <c r="E11" s="12" t="str">
        <f t="shared" si="0"/>
        <v>* surgeryPerformed -&gt; ##34#TBD##34#</v>
      </c>
      <c r="H11" s="7"/>
      <c r="I11" s="7"/>
      <c r="J11" s="7"/>
      <c r="K11" s="7"/>
      <c r="L11" s="7"/>
      <c r="M11" s="7"/>
      <c r="N11" s="7"/>
      <c r="O11" s="7"/>
    </row>
    <row r="12" spans="1:15">
      <c r="A12" s="11"/>
      <c r="B12" s="11" t="str">
        <f>Treatment!B10</f>
        <v>dateOfTumourSurgery</v>
      </c>
      <c r="C12" s="11" t="s">
        <v>1620</v>
      </c>
      <c r="E12" s="12" t="str">
        <f t="shared" si="0"/>
        <v>* dateOfTumourSurgery -&gt; ##34#TBD##34#</v>
      </c>
      <c r="H12" s="7"/>
      <c r="I12" s="7"/>
      <c r="J12" s="7"/>
      <c r="K12" s="7"/>
      <c r="L12" s="7"/>
      <c r="M12" s="7"/>
      <c r="N12" s="7"/>
      <c r="O12" s="7"/>
    </row>
    <row r="13" spans="1:15">
      <c r="A13" s="11"/>
      <c r="B13" s="11" t="str">
        <f>Treatment!B11</f>
        <v>surgeryIntention</v>
      </c>
      <c r="C13" s="11" t="s">
        <v>1620</v>
      </c>
      <c r="E13" s="12" t="str">
        <f t="shared" si="0"/>
        <v>* surgeryIntention -&gt; ##34#TBD##34#</v>
      </c>
      <c r="H13" s="7"/>
      <c r="I13" s="7"/>
      <c r="J13" s="7"/>
      <c r="K13" s="7"/>
      <c r="L13" s="7"/>
      <c r="M13" s="7"/>
      <c r="N13" s="7"/>
      <c r="O13" s="7"/>
    </row>
    <row r="14" spans="1:15">
      <c r="A14" s="11"/>
      <c r="B14" s="11" t="str">
        <f>Treatment!B12</f>
        <v>tumorSurgeryApproach</v>
      </c>
      <c r="C14" s="11" t="s">
        <v>1620</v>
      </c>
      <c r="E14" s="12" t="str">
        <f t="shared" si="0"/>
        <v>* tumorSurgeryApproach -&gt; ##34#TBD##34#</v>
      </c>
      <c r="H14" s="7"/>
      <c r="I14" s="7"/>
      <c r="J14" s="7"/>
      <c r="K14" s="7"/>
      <c r="L14" s="7"/>
      <c r="M14" s="7"/>
      <c r="N14" s="7"/>
      <c r="O14" s="7"/>
    </row>
    <row r="15" spans="1:15">
      <c r="A15" s="11"/>
      <c r="B15" s="11" t="str">
        <f>Treatment!B13</f>
        <v>tumorSurgeryDevice</v>
      </c>
      <c r="C15" s="11" t="s">
        <v>1620</v>
      </c>
      <c r="E15" s="12" t="str">
        <f t="shared" si="0"/>
        <v>* tumorSurgeryDevice -&gt; ##34#TBD##34#</v>
      </c>
      <c r="H15" s="7"/>
      <c r="I15" s="7"/>
      <c r="J15" s="7"/>
      <c r="K15" s="7"/>
      <c r="L15" s="7"/>
      <c r="M15" s="7"/>
      <c r="N15" s="7"/>
      <c r="O15" s="7"/>
    </row>
    <row r="16" spans="1:15">
      <c r="A16" s="11"/>
      <c r="B16" s="11" t="str">
        <f>Treatment!B14</f>
        <v>surgicalProcedure</v>
      </c>
      <c r="C16" s="11" t="s">
        <v>1620</v>
      </c>
      <c r="E16" s="12" t="str">
        <f t="shared" si="0"/>
        <v>* surgicalProcedure -&gt; ##34#TBD##34#</v>
      </c>
      <c r="H16" s="7"/>
      <c r="I16" s="7"/>
      <c r="J16" s="7"/>
      <c r="K16" s="7"/>
      <c r="L16" s="7"/>
      <c r="M16" s="7"/>
      <c r="N16" s="7"/>
      <c r="O16" s="7"/>
    </row>
    <row r="17" spans="1:5">
      <c r="A17" s="11"/>
      <c r="B17" s="11" t="str">
        <f>Treatment!B15</f>
        <v>surgicalProcedure.surgicalProcedureNasopharynx</v>
      </c>
      <c r="C17" s="11" t="s">
        <v>1620</v>
      </c>
      <c r="E17" s="12" t="str">
        <f t="shared" si="0"/>
        <v>* surgicalProcedure.surgicalProcedureNasopharynx -&gt; ##34#TBD##34#</v>
      </c>
    </row>
    <row r="18" spans="1:5">
      <c r="A18" s="11"/>
      <c r="B18" s="11" t="str">
        <f>Treatment!B16</f>
        <v>surgicalProcedure.surgicalProcedureNasalCavityAndParanasalSinus</v>
      </c>
      <c r="C18" s="11" t="s">
        <v>1620</v>
      </c>
      <c r="E18" s="12" t="str">
        <f t="shared" si="0"/>
        <v>* surgicalProcedure.surgicalProcedureNasalCavityAndParanasalSinus -&gt; ##34#TBD##34#</v>
      </c>
    </row>
    <row r="19" spans="1:5">
      <c r="A19" s="11"/>
      <c r="B19" s="11" t="str">
        <f>Treatment!B17</f>
        <v>surgicalProcedure.surgicalProcedureSalivaryGland</v>
      </c>
      <c r="C19" s="11" t="s">
        <v>1620</v>
      </c>
      <c r="E19" s="12" t="str">
        <f t="shared" si="0"/>
        <v>* surgicalProcedure.surgicalProcedureSalivaryGland -&gt; ##34#TBD##34#</v>
      </c>
    </row>
    <row r="20" spans="1:5">
      <c r="A20" s="11"/>
      <c r="B20" s="11" t="str">
        <f>Treatment!B18</f>
        <v>surgicalProcedure.surgicalProcedureEar</v>
      </c>
      <c r="C20" s="11" t="s">
        <v>1620</v>
      </c>
      <c r="E20" s="12" t="str">
        <f t="shared" si="0"/>
        <v>* surgicalProcedure.surgicalProcedureEar -&gt; ##34#TBD##34#</v>
      </c>
    </row>
    <row r="21" spans="1:5">
      <c r="B21" s="11" t="str">
        <f>Treatment!B19</f>
        <v>surgicalProcedure.surgicalProcedureLip</v>
      </c>
      <c r="C21" s="11" t="s">
        <v>1620</v>
      </c>
      <c r="E21" s="12" t="str">
        <f t="shared" si="0"/>
        <v>* surgicalProcedure.surgicalProcedureLip -&gt; ##34#TBD##34#</v>
      </c>
    </row>
    <row r="22" spans="1:5">
      <c r="B22" s="11" t="str">
        <f>Treatment!B20</f>
        <v>surgicalProcedure.surgicalProcedureOralCavity</v>
      </c>
      <c r="C22" s="11" t="s">
        <v>1620</v>
      </c>
      <c r="E22" s="12" t="str">
        <f t="shared" si="0"/>
        <v>* surgicalProcedure.surgicalProcedureOralCavity -&gt; ##34#TBD##34#</v>
      </c>
    </row>
    <row r="23" spans="1:5">
      <c r="B23" s="11" t="str">
        <f>Treatment!B21</f>
        <v>surgicalProcedure.surgicalProcedureMandibulectomy</v>
      </c>
      <c r="C23" s="11" t="s">
        <v>1620</v>
      </c>
      <c r="E23" s="12" t="str">
        <f t="shared" si="0"/>
        <v>* surgicalProcedure.surgicalProcedureMandibulectomy -&gt; ##34#TBD##34#</v>
      </c>
    </row>
    <row r="24" spans="1:5">
      <c r="B24" s="11" t="str">
        <f>Treatment!B22</f>
        <v>surgicalProcedure.surgicalProcedureOropharynx</v>
      </c>
      <c r="C24" s="11" t="s">
        <v>1620</v>
      </c>
      <c r="E24" s="12" t="str">
        <f t="shared" si="0"/>
        <v>* surgicalProcedure.surgicalProcedureOropharynx -&gt; ##34#TBD##34#</v>
      </c>
    </row>
    <row r="25" spans="1:5">
      <c r="B25" s="11" t="str">
        <f>Treatment!B23</f>
        <v>surgicalProcedure.surgicalProcedureHypopharynx</v>
      </c>
      <c r="C25" s="11" t="s">
        <v>1620</v>
      </c>
      <c r="E25" s="12" t="str">
        <f t="shared" si="0"/>
        <v>* surgicalProcedure.surgicalProcedureHypopharynx -&gt; ##34#TBD##34#</v>
      </c>
    </row>
    <row r="26" spans="1:5">
      <c r="B26" s="11" t="str">
        <f>Treatment!B24</f>
        <v>surgicalProcedure.surgicalProcedureLarynx</v>
      </c>
      <c r="C26" s="11" t="s">
        <v>1620</v>
      </c>
      <c r="E26" s="12" t="str">
        <f t="shared" si="0"/>
        <v>* surgicalProcedure.surgicalProcedureLarynx -&gt; ##34#TBD##34#</v>
      </c>
    </row>
    <row r="27" spans="1:5">
      <c r="B27" s="11" t="str">
        <f>Treatment!B25</f>
        <v>reconstruction</v>
      </c>
      <c r="C27" s="11" t="s">
        <v>1620</v>
      </c>
      <c r="E27" s="12" t="str">
        <f t="shared" si="0"/>
        <v>* reconstruction -&gt; ##34#TBD##34#</v>
      </c>
    </row>
    <row r="28" spans="1:5">
      <c r="B28" s="11" t="str">
        <f>Treatment!B26</f>
        <v>reconstruction.flag</v>
      </c>
      <c r="C28" s="11" t="s">
        <v>1620</v>
      </c>
      <c r="E28" s="12" t="str">
        <f t="shared" si="0"/>
        <v>* reconstruction.flag -&gt; ##34#TBD##34#</v>
      </c>
    </row>
    <row r="29" spans="1:5">
      <c r="B29" s="11" t="str">
        <f>Treatment!B27</f>
        <v>reconstruction.reconstructionType</v>
      </c>
      <c r="C29" s="11" t="s">
        <v>1620</v>
      </c>
      <c r="E29" s="12" t="str">
        <f t="shared" si="0"/>
        <v>* reconstruction.reconstructionType -&gt; ##34#TBD##34#</v>
      </c>
    </row>
    <row r="30" spans="1:5">
      <c r="B30" s="11" t="str">
        <f>Treatment!B28</f>
        <v>reconstruction.firstFlapUsedForReconstruction</v>
      </c>
      <c r="C30" s="11" t="s">
        <v>1620</v>
      </c>
      <c r="E30" s="12" t="str">
        <f t="shared" si="0"/>
        <v>* reconstruction.firstFlapUsedForReconstruction -&gt; ##34#TBD##34#</v>
      </c>
    </row>
    <row r="31" spans="1:5">
      <c r="B31" s="11" t="str">
        <f>Treatment!B29</f>
        <v>reconstruction.secondFlapUsedForReconstruction</v>
      </c>
      <c r="C31" s="11" t="s">
        <v>1620</v>
      </c>
      <c r="E31" s="12" t="str">
        <f t="shared" si="0"/>
        <v>* reconstruction.secondFlapUsedForReconstruction -&gt; ##34#TBD##34#</v>
      </c>
    </row>
    <row r="32" spans="1:5">
      <c r="B32" s="11" t="str">
        <f>Treatment!B30</f>
        <v>neckSurgery</v>
      </c>
      <c r="C32" s="11" t="s">
        <v>1620</v>
      </c>
      <c r="E32" s="12" t="str">
        <f t="shared" si="0"/>
        <v>* neckSurgery -&gt; ##34#TBD##34#</v>
      </c>
    </row>
    <row r="33" spans="2:5">
      <c r="B33" s="11" t="str">
        <f>Treatment!B31</f>
        <v>dateOfNeckSurgeryIfDifferentFromDateOfTumorSiteSurgery</v>
      </c>
      <c r="C33" s="11" t="s">
        <v>1620</v>
      </c>
      <c r="E33" s="12" t="str">
        <f t="shared" si="0"/>
        <v>* dateOfNeckSurgeryIfDifferentFromDateOfTumorSiteSurgery -&gt; ##34#TBD##34#</v>
      </c>
    </row>
    <row r="34" spans="2:5">
      <c r="B34" s="11" t="str">
        <f>Treatment!B32</f>
        <v>dateOfNeckSurgeryDayUnknown</v>
      </c>
      <c r="C34" s="11" t="s">
        <v>1620</v>
      </c>
      <c r="E34" s="12" t="str">
        <f t="shared" si="0"/>
        <v>* dateOfNeckSurgeryDayUnknown -&gt; ##34#TBD##34#</v>
      </c>
    </row>
    <row r="35" spans="2:5">
      <c r="B35" s="11" t="str">
        <f>Treatment!B33</f>
        <v>nodePicking</v>
      </c>
      <c r="C35" s="11" t="s">
        <v>1620</v>
      </c>
      <c r="E35" s="12" t="str">
        <f t="shared" si="0"/>
        <v>* nodePicking -&gt; ##34#TBD##34#</v>
      </c>
    </row>
    <row r="36" spans="2:5">
      <c r="B36" s="11" t="str">
        <f>Treatment!B34</f>
        <v>neckDissection</v>
      </c>
      <c r="C36" s="11" t="s">
        <v>1620</v>
      </c>
      <c r="E36" s="12" t="str">
        <f t="shared" si="0"/>
        <v>* neckDissection -&gt; ##34#TBD##34#</v>
      </c>
    </row>
    <row r="37" spans="2:5">
      <c r="B37" s="11" t="str">
        <f>Treatment!B35</f>
        <v>lateralityOfTheDissection</v>
      </c>
      <c r="C37" s="11" t="s">
        <v>1620</v>
      </c>
      <c r="E37" s="12" t="str">
        <f t="shared" si="0"/>
        <v>* lateralityOfTheDissection -&gt; ##34#TBD##34#</v>
      </c>
    </row>
    <row r="38" spans="2:5">
      <c r="B38" s="11" t="str">
        <f>Treatment!B36</f>
        <v>surgicalProcedureRightNeck</v>
      </c>
      <c r="C38" s="11" t="s">
        <v>1620</v>
      </c>
      <c r="E38" s="12" t="str">
        <f t="shared" si="0"/>
        <v>* surgicalProcedureRightNeck -&gt; ##34#TBD##34#</v>
      </c>
    </row>
    <row r="39" spans="2:5">
      <c r="B39" s="11" t="str">
        <f>Treatment!B37</f>
        <v>surgicalProcedureRightNeckLevelsDissected</v>
      </c>
      <c r="C39" s="11" t="s">
        <v>1620</v>
      </c>
      <c r="E39" s="12" t="str">
        <f t="shared" si="0"/>
        <v>* surgicalProcedureRightNeckLevelsDissected -&gt; ##34#TBD##34#</v>
      </c>
    </row>
    <row r="40" spans="2:5">
      <c r="B40" s="11" t="str">
        <f>Treatment!B38</f>
        <v>surgicalProcedureLeftNeck</v>
      </c>
      <c r="C40" s="11" t="s">
        <v>1620</v>
      </c>
      <c r="E40" s="12" t="str">
        <f t="shared" si="0"/>
        <v>* surgicalProcedureLeftNeck -&gt; ##34#TBD##34#</v>
      </c>
    </row>
    <row r="41" spans="2:5">
      <c r="B41" s="11" t="str">
        <f>Treatment!B39</f>
        <v>surgicalProcedureLeftNeckLevelsDissected</v>
      </c>
      <c r="C41" s="11" t="s">
        <v>1620</v>
      </c>
      <c r="E41" s="12" t="str">
        <f t="shared" si="0"/>
        <v>* surgicalProcedureLeftNeckLevelsDissected -&gt; ##34#TBD##34#</v>
      </c>
    </row>
    <row r="42" spans="2:5">
      <c r="B42" s="11" t="str">
        <f>Treatment!B40</f>
        <v>surgeryOnM</v>
      </c>
      <c r="C42" s="11" t="s">
        <v>1620</v>
      </c>
      <c r="E42" s="12" t="str">
        <f t="shared" si="0"/>
        <v>* surgeryOnM -&gt; ##34#TBD##34#</v>
      </c>
    </row>
    <row r="43" spans="2:5">
      <c r="B43" s="11" t="str">
        <f>Treatment!B41</f>
        <v>siteOfSurgeryOnMetastasis</v>
      </c>
      <c r="C43" s="11" t="s">
        <v>1620</v>
      </c>
      <c r="E43" s="12" t="str">
        <f t="shared" si="0"/>
        <v>* siteOfSurgeryOnMetastasis -&gt; ##34#TBD##34#</v>
      </c>
    </row>
    <row r="44" spans="2:5">
      <c r="B44" s="11" t="str">
        <f>Treatment!B42</f>
        <v>siteOfSurgeryOnMetastasisSoftTissue</v>
      </c>
      <c r="C44" s="11" t="s">
        <v>1620</v>
      </c>
      <c r="E44" s="12" t="str">
        <f t="shared" si="0"/>
        <v>* siteOfSurgeryOnMetastasisSoftTissue -&gt; ##34#TBD##34#</v>
      </c>
    </row>
    <row r="45" spans="2:5">
      <c r="B45" s="11" t="str">
        <f>Treatment!B43</f>
        <v>siteOfSurgeryOnMetastasisDistantLymphNodes</v>
      </c>
      <c r="C45" s="11" t="s">
        <v>1620</v>
      </c>
      <c r="E45" s="12" t="str">
        <f t="shared" si="0"/>
        <v>* siteOfSurgeryOnMetastasisDistantLymphNodes -&gt; ##34#TBD##34#</v>
      </c>
    </row>
    <row r="46" spans="2:5">
      <c r="B46" s="11" t="str">
        <f>Treatment!B44</f>
        <v>siteOfSurgeryOnMetastasisLung</v>
      </c>
      <c r="C46" s="11" t="s">
        <v>1620</v>
      </c>
      <c r="E46" s="12" t="str">
        <f t="shared" si="0"/>
        <v>* siteOfSurgeryOnMetastasisLung -&gt; ##34#TBD##34#</v>
      </c>
    </row>
    <row r="47" spans="2:5">
      <c r="B47" s="11" t="str">
        <f>Treatment!B45</f>
        <v>siteOfSurgeryOnMetastasisBone</v>
      </c>
      <c r="C47" s="11" t="s">
        <v>1620</v>
      </c>
      <c r="E47" s="12" t="str">
        <f t="shared" si="0"/>
        <v>* siteOfSurgeryOnMetastasisBone -&gt; ##34#TBD##34#</v>
      </c>
    </row>
    <row r="48" spans="2:5">
      <c r="B48" s="11" t="str">
        <f>Treatment!B46</f>
        <v>siteOfSurgeryOnMetastasisLiver</v>
      </c>
      <c r="C48" s="11" t="s">
        <v>1620</v>
      </c>
      <c r="E48" s="12" t="str">
        <f t="shared" si="0"/>
        <v>* siteOfSurgeryOnMetastasisLiver -&gt; ##34#TBD##34#</v>
      </c>
    </row>
    <row r="49" spans="2:5">
      <c r="B49" s="11" t="str">
        <f>Treatment!B47</f>
        <v>siteOfSurgeryOnMetastasisPleura</v>
      </c>
      <c r="C49" s="11" t="s">
        <v>1620</v>
      </c>
      <c r="E49" s="12" t="str">
        <f t="shared" si="0"/>
        <v>* siteOfSurgeryOnMetastasisPleura -&gt; ##34#TBD##34#</v>
      </c>
    </row>
    <row r="50" spans="2:5">
      <c r="B50" s="11" t="str">
        <f>Treatment!B48</f>
        <v>siteOfSurgeryOnMetastasisPeritoneum</v>
      </c>
      <c r="C50" s="11" t="s">
        <v>1620</v>
      </c>
      <c r="E50" s="12" t="str">
        <f t="shared" si="0"/>
        <v>* siteOfSurgeryOnMetastasisPeritoneum -&gt; ##34#TBD##34#</v>
      </c>
    </row>
    <row r="51" spans="2:5">
      <c r="B51" s="11" t="str">
        <f>Treatment!B49</f>
        <v>siteOfSurgeryOnMetastasisBrain</v>
      </c>
      <c r="C51" s="11" t="s">
        <v>1620</v>
      </c>
      <c r="E51" s="12" t="str">
        <f t="shared" si="0"/>
        <v>* siteOfSurgeryOnMetastasisBrain -&gt; ##34#TBD##34#</v>
      </c>
    </row>
    <row r="52" spans="2:5">
      <c r="B52" s="11" t="str">
        <f>Treatment!B50</f>
        <v>siteOfSurgeryOnMetastasisOtherViscera</v>
      </c>
      <c r="C52" s="11" t="s">
        <v>1620</v>
      </c>
      <c r="E52" s="12" t="str">
        <f t="shared" si="0"/>
        <v>* siteOfSurgeryOnMetastasisOtherViscera -&gt; ##34#TBD##34#</v>
      </c>
    </row>
    <row r="53" spans="2:5">
      <c r="B53" s="11" t="str">
        <f>Treatment!B51</f>
        <v>siteOfSurgeryOnMetastasisUnknown</v>
      </c>
      <c r="C53" s="11" t="s">
        <v>1620</v>
      </c>
      <c r="E53" s="12" t="str">
        <f t="shared" si="0"/>
        <v>* siteOfSurgeryOnMetastasisUnknown -&gt; ##34#TBD##34#</v>
      </c>
    </row>
    <row r="54" spans="2:5">
      <c r="B54" s="11" t="str">
        <f>Treatment!B52</f>
        <v>dateOfSurgeryOnMIfDifferentFromDateOfTumorSiteSurgery</v>
      </c>
      <c r="C54" s="11" t="s">
        <v>1620</v>
      </c>
      <c r="E54" s="12" t="str">
        <f t="shared" si="0"/>
        <v>* dateOfSurgeryOnMIfDifferentFromDateOfTumorSiteSurgery -&gt; ##34#TBD##34#</v>
      </c>
    </row>
    <row r="55" spans="2:5">
      <c r="B55" s="11" t="str">
        <f>Treatment!B53</f>
        <v>surgicalComplicationsClavienDindoClassificationPleaseSelectTheWorstOne</v>
      </c>
      <c r="C55" s="11" t="s">
        <v>1620</v>
      </c>
      <c r="E55" s="12" t="str">
        <f t="shared" si="0"/>
        <v>* surgicalComplicationsClavienDindoClassificationPleaseSelectTheWorstOne -&gt; ##34#TBD##34#</v>
      </c>
    </row>
    <row r="56" spans="2:5">
      <c r="B56" s="11" t="str">
        <f>Treatment!B54</f>
        <v>surgicalComplicationsClavienDindoClassification2ComplicationsPleaseSelectThe2WorstOne</v>
      </c>
      <c r="C56" s="11" t="s">
        <v>1620</v>
      </c>
      <c r="E56" s="12" t="str">
        <f t="shared" si="0"/>
        <v>* surgicalComplicationsClavienDindoClassification2ComplicationsPleaseSelectThe2WorstOne -&gt; ##34#TBD##34#</v>
      </c>
    </row>
    <row r="57" spans="2:5">
      <c r="B57" s="11" t="str">
        <f>Treatment!B55</f>
        <v>unplannedSurgery</v>
      </c>
      <c r="C57" s="11" t="s">
        <v>1620</v>
      </c>
      <c r="E57" s="12" t="str">
        <f t="shared" si="0"/>
        <v>* unplannedSurgery -&gt; ##34#TBD##34#</v>
      </c>
    </row>
    <row r="58" spans="2:5">
      <c r="B58" s="11" t="str">
        <f>Treatment!B56</f>
        <v>dateOfUnplannedSurgery</v>
      </c>
      <c r="C58" s="11" t="s">
        <v>1620</v>
      </c>
      <c r="E58" s="12" t="str">
        <f t="shared" si="0"/>
        <v>* dateOfUnplannedSurgery -&gt; ##34#TBD##34#</v>
      </c>
    </row>
    <row r="59" spans="2:5">
      <c r="B59" s="11" t="str">
        <f>Treatment!B57</f>
        <v>marginsAfterUnplannedSurgery</v>
      </c>
      <c r="C59" s="11" t="s">
        <v>1620</v>
      </c>
      <c r="E59" s="12" t="str">
        <f t="shared" si="0"/>
        <v>* marginsAfterUnplannedSurgery -&gt; ##34#TBD##34#</v>
      </c>
    </row>
    <row r="60" spans="2:5">
      <c r="B60" s="11" t="str">
        <f>Treatment!B58</f>
        <v>unplannedNeckSurgery</v>
      </c>
      <c r="C60" s="11" t="s">
        <v>1620</v>
      </c>
      <c r="E60" s="12" t="str">
        <f t="shared" si="0"/>
        <v>* unplannedNeckSurgery -&gt; ##34#TBD##34#</v>
      </c>
    </row>
    <row r="61" spans="2:5">
      <c r="B61" s="11" t="str">
        <f>Treatment!B59</f>
        <v>systemicTreament</v>
      </c>
      <c r="C61" s="11" t="s">
        <v>1620</v>
      </c>
      <c r="E61" s="12" t="str">
        <f t="shared" si="0"/>
        <v>* systemicTreament -&gt; ##34#TBD##34#</v>
      </c>
    </row>
    <row r="62" spans="2:5">
      <c r="B62" s="11" t="str">
        <f>Treatment!B60</f>
        <v>systemicTreatmentPerformed</v>
      </c>
      <c r="C62" s="11" t="s">
        <v>1620</v>
      </c>
      <c r="E62" s="12" t="str">
        <f t="shared" si="0"/>
        <v>* systemicTreatmentPerformed -&gt; ##34#TBD##34#</v>
      </c>
    </row>
    <row r="63" spans="2:5">
      <c r="B63" s="11" t="str">
        <f>Treatment!B61</f>
        <v>chooseTheSingleTreatment</v>
      </c>
      <c r="C63" s="11" t="s">
        <v>1620</v>
      </c>
      <c r="E63" s="12" t="str">
        <f t="shared" si="0"/>
        <v>* chooseTheSingleTreatment -&gt; ##34#TBD##34#</v>
      </c>
    </row>
    <row r="64" spans="2:5">
      <c r="B64" s="11" t="str">
        <f>Treatment!B62</f>
        <v>intent</v>
      </c>
      <c r="C64" s="11" t="s">
        <v>1620</v>
      </c>
      <c r="E64" s="12" t="str">
        <f t="shared" si="0"/>
        <v>* intent -&gt; ##34#TBD##34#</v>
      </c>
    </row>
    <row r="65" spans="2:5">
      <c r="B65" s="11" t="str">
        <f>Treatment!B63</f>
        <v>setting</v>
      </c>
      <c r="C65" s="11" t="s">
        <v>1620</v>
      </c>
      <c r="E65" s="12" t="str">
        <f t="shared" si="0"/>
        <v>* setting -&gt; ##34#TBD##34#</v>
      </c>
    </row>
    <row r="66" spans="2:5">
      <c r="B66" s="11" t="str">
        <f>Treatment!B64</f>
        <v>startDateSystemicTreatment</v>
      </c>
      <c r="C66" s="11" t="s">
        <v>1620</v>
      </c>
      <c r="E66" s="12" t="str">
        <f t="shared" si="0"/>
        <v>* startDateSystemicTreatment -&gt; ##34#TBD##34#</v>
      </c>
    </row>
    <row r="67" spans="2:5">
      <c r="B67" s="11" t="str">
        <f>Treatment!B65</f>
        <v>startDateSystemicTreatmentDayUnknown</v>
      </c>
      <c r="C67" s="11" t="s">
        <v>1620</v>
      </c>
      <c r="E67" s="12" t="str">
        <f t="shared" si="0"/>
        <v>* startDateSystemicTreatmentDayUnknown -&gt; ##34#TBD##34#</v>
      </c>
    </row>
    <row r="68" spans="2:5">
      <c r="B68" s="11" t="str">
        <f>Treatment!B66</f>
        <v>endDateSystemicTreatment</v>
      </c>
      <c r="C68" s="11" t="s">
        <v>1620</v>
      </c>
      <c r="E68" s="12" t="str">
        <f t="shared" si="0"/>
        <v>* endDateSystemicTreatment -&gt; ##34#TBD##34#</v>
      </c>
    </row>
    <row r="69" spans="2:5">
      <c r="B69" s="11" t="str">
        <f>Treatment!B67</f>
        <v>endDateSystemicTreatmentDayUnknown</v>
      </c>
      <c r="C69" s="11" t="s">
        <v>1620</v>
      </c>
      <c r="E69" s="12" t="str">
        <f t="shared" si="0"/>
        <v>* endDateSystemicTreatmentDayUnknown -&gt; ##34#TBD##34#</v>
      </c>
    </row>
    <row r="70" spans="2:5">
      <c r="B70" s="11" t="str">
        <f>Treatment!B68</f>
        <v>numberOfCyclesAdministrations</v>
      </c>
      <c r="C70" s="11" t="s">
        <v>1620</v>
      </c>
      <c r="E70" s="12" t="str">
        <f t="shared" si="0"/>
        <v>* numberOfCyclesAdministrations -&gt; ##34#TBD##34#</v>
      </c>
    </row>
    <row r="71" spans="2:5">
      <c r="B71" s="11" t="str">
        <f>Treatment!B69</f>
        <v>regimen</v>
      </c>
      <c r="C71" s="11" t="s">
        <v>1620</v>
      </c>
      <c r="E71" s="12" t="str">
        <f t="shared" si="0"/>
        <v>* regimen -&gt; ##34#TBD##34#</v>
      </c>
    </row>
    <row r="72" spans="2:5">
      <c r="B72" s="11" t="str">
        <f>Treatment!B70</f>
        <v>drugs1</v>
      </c>
      <c r="C72" s="11" t="s">
        <v>1620</v>
      </c>
      <c r="E72" s="12" t="str">
        <f t="shared" si="0"/>
        <v>* drugs1 -&gt; ##34#TBD##34#</v>
      </c>
    </row>
    <row r="73" spans="2:5">
      <c r="B73" s="11" t="str">
        <f>Treatment!B71</f>
        <v>drugs2</v>
      </c>
      <c r="C73" s="11" t="s">
        <v>1620</v>
      </c>
      <c r="E73" s="12" t="str">
        <f t="shared" si="0"/>
        <v>* drugs2 -&gt; ##34#TBD##34#</v>
      </c>
    </row>
    <row r="74" spans="2:5">
      <c r="B74" s="11" t="str">
        <f>Treatment!B72</f>
        <v>drugs3</v>
      </c>
      <c r="C74" s="11" t="s">
        <v>1620</v>
      </c>
      <c r="E74" s="12" t="str">
        <f t="shared" ref="E74:E137" si="1">IF(B74=0,"*  -&gt; ##34###34#",CONCATENATE("* ",B74," -&gt; ##34#",C74,"##34#"))</f>
        <v>* drugs3 -&gt; ##34#TBD##34#</v>
      </c>
    </row>
    <row r="75" spans="2:5">
      <c r="B75" s="11" t="str">
        <f>Treatment!B73</f>
        <v>plasmaticEbvDnaDuringSystemicTreatment</v>
      </c>
      <c r="C75" s="11" t="s">
        <v>1620</v>
      </c>
      <c r="E75" s="12" t="str">
        <f t="shared" si="1"/>
        <v>* plasmaticEbvDnaDuringSystemicTreatment -&gt; ##34#TBD##34#</v>
      </c>
    </row>
    <row r="76" spans="2:5">
      <c r="B76" s="11" t="str">
        <f>Treatment!B74</f>
        <v>primerType</v>
      </c>
      <c r="C76" s="11" t="s">
        <v>1620</v>
      </c>
      <c r="E76" s="12" t="str">
        <f t="shared" si="1"/>
        <v>* primerType -&gt; ##34#TBD##34#</v>
      </c>
    </row>
    <row r="77" spans="2:5">
      <c r="B77" s="11" t="str">
        <f>Treatment!B75</f>
        <v>copyNumber</v>
      </c>
      <c r="C77" s="11" t="s">
        <v>1620</v>
      </c>
      <c r="E77" s="12" t="str">
        <f t="shared" si="1"/>
        <v>* copyNumber -&gt; ##34#TBD##34#</v>
      </c>
    </row>
    <row r="78" spans="2:5">
      <c r="B78" s="11" t="str">
        <f>Treatment!B76</f>
        <v>plasmaticEbvDnaAfterSystemicTreatment</v>
      </c>
      <c r="C78" s="11" t="s">
        <v>1620</v>
      </c>
      <c r="E78" s="12" t="str">
        <f t="shared" si="1"/>
        <v>* plasmaticEbvDnaAfterSystemicTreatment -&gt; ##34#TBD##34#</v>
      </c>
    </row>
    <row r="79" spans="2:5">
      <c r="B79" s="11" t="str">
        <f>Treatment!B77</f>
        <v>afterTreatment-primerType</v>
      </c>
      <c r="C79" s="11" t="s">
        <v>1620</v>
      </c>
      <c r="E79" s="12" t="str">
        <f t="shared" si="1"/>
        <v>* afterTreatment-primerType -&gt; ##34#TBD##34#</v>
      </c>
    </row>
    <row r="80" spans="2:5">
      <c r="B80" s="11" t="str">
        <f>Treatment!B78</f>
        <v>copyNumber</v>
      </c>
      <c r="C80" s="11" t="s">
        <v>1620</v>
      </c>
      <c r="E80" s="12" t="str">
        <f t="shared" si="1"/>
        <v>* copyNumber -&gt; ##34#TBD##34#</v>
      </c>
    </row>
    <row r="81" spans="2:5">
      <c r="B81" s="11" t="str">
        <f>Treatment!B79</f>
        <v>reasonForEndOfTreatment</v>
      </c>
      <c r="C81" s="11" t="s">
        <v>1620</v>
      </c>
      <c r="E81" s="12" t="str">
        <f t="shared" si="1"/>
        <v>* reasonForEndOfTreatment -&gt; ##34#TBD##34#</v>
      </c>
    </row>
    <row r="82" spans="2:5">
      <c r="B82" s="11" t="str">
        <f>Treatment!B80</f>
        <v>regimenChanged</v>
      </c>
      <c r="C82" s="11" t="s">
        <v>1620</v>
      </c>
      <c r="E82" s="12" t="str">
        <f t="shared" si="1"/>
        <v>* regimenChanged -&gt; ##34#TBD##34#</v>
      </c>
    </row>
    <row r="83" spans="2:5">
      <c r="B83" s="11" t="str">
        <f>Treatment!B81</f>
        <v>regimenChanged-regimen</v>
      </c>
      <c r="C83" s="11" t="s">
        <v>1620</v>
      </c>
      <c r="E83" s="12" t="str">
        <f t="shared" si="1"/>
        <v>* regimenChanged-regimen -&gt; ##34#TBD##34#</v>
      </c>
    </row>
    <row r="84" spans="2:5">
      <c r="B84" s="11" t="str">
        <f>Treatment!B82</f>
        <v>regimenChanged-otherDrug1</v>
      </c>
      <c r="C84" s="11" t="s">
        <v>1620</v>
      </c>
      <c r="E84" s="12" t="str">
        <f t="shared" si="1"/>
        <v>* regimenChanged-otherDrug1 -&gt; ##34#TBD##34#</v>
      </c>
    </row>
    <row r="85" spans="2:5">
      <c r="B85" s="11" t="str">
        <f>Treatment!B83</f>
        <v>regimenChanged-otherDrug2</v>
      </c>
      <c r="C85" s="11" t="s">
        <v>1620</v>
      </c>
      <c r="E85" s="12" t="str">
        <f t="shared" si="1"/>
        <v>* regimenChanged-otherDrug2 -&gt; ##34#TBD##34#</v>
      </c>
    </row>
    <row r="86" spans="2:5">
      <c r="B86" s="11" t="str">
        <f>Treatment!B84</f>
        <v>regimenChanged-otherDrug3</v>
      </c>
      <c r="C86" s="11" t="s">
        <v>1620</v>
      </c>
      <c r="E86" s="12" t="str">
        <f t="shared" si="1"/>
        <v>* regimenChanged-otherDrug3 -&gt; ##34#TBD##34#</v>
      </c>
    </row>
    <row r="87" spans="2:5">
      <c r="B87" s="11" t="str">
        <f>Treatment!B85</f>
        <v>startDateRegimenChanged</v>
      </c>
      <c r="C87" s="11" t="s">
        <v>1620</v>
      </c>
      <c r="E87" s="12" t="str">
        <f t="shared" si="1"/>
        <v>* startDateRegimenChanged -&gt; ##34#TBD##34#</v>
      </c>
    </row>
    <row r="88" spans="2:5">
      <c r="B88" s="11" t="str">
        <f>Treatment!B86</f>
        <v>startDateRegimenChangedDayUnknown</v>
      </c>
      <c r="C88" s="11" t="s">
        <v>1620</v>
      </c>
      <c r="E88" s="12" t="str">
        <f t="shared" si="1"/>
        <v>* startDateRegimenChangedDayUnknown -&gt; ##34#TBD##34#</v>
      </c>
    </row>
    <row r="89" spans="2:5">
      <c r="B89" s="11" t="str">
        <f>Treatment!B87</f>
        <v>endDateRegimenChanged</v>
      </c>
      <c r="C89" s="11" t="s">
        <v>1620</v>
      </c>
      <c r="E89" s="12" t="str">
        <f t="shared" si="1"/>
        <v>* endDateRegimenChanged -&gt; ##34#TBD##34#</v>
      </c>
    </row>
    <row r="90" spans="2:5">
      <c r="B90" s="11" t="str">
        <f>Treatment!B88</f>
        <v>endDateRegimenChangedDayUnknown</v>
      </c>
      <c r="C90" s="11" t="s">
        <v>1620</v>
      </c>
      <c r="E90" s="12" t="str">
        <f t="shared" si="1"/>
        <v>* endDateRegimenChangedDayUnknown -&gt; ##34#TBD##34#</v>
      </c>
    </row>
    <row r="91" spans="2:5">
      <c r="B91" s="11" t="str">
        <f>Treatment!B89</f>
        <v>regimenChanged-reasonForEndOfTreatment</v>
      </c>
      <c r="C91" s="11" t="s">
        <v>1620</v>
      </c>
      <c r="E91" s="12" t="str">
        <f t="shared" si="1"/>
        <v>* regimenChanged-reasonForEndOfTreatment -&gt; ##34#TBD##34#</v>
      </c>
    </row>
    <row r="92" spans="2:5">
      <c r="B92" s="11" t="str">
        <f>Treatment!B90</f>
        <v>treatmentResponseBasedOnImagingAloneNoRecistOrOtherCriteria</v>
      </c>
      <c r="C92" s="11" t="s">
        <v>1620</v>
      </c>
      <c r="E92" s="12" t="str">
        <f t="shared" si="1"/>
        <v>* treatmentResponseBasedOnImagingAloneNoRecistOrOtherCriteria -&gt; ##34#TBD##34#</v>
      </c>
    </row>
    <row r="93" spans="2:5">
      <c r="B93" s="11" t="str">
        <f>Treatment!B91</f>
        <v>treatmentResponseDefinedDone</v>
      </c>
      <c r="C93" s="11" t="s">
        <v>1620</v>
      </c>
      <c r="E93" s="12" t="str">
        <f t="shared" si="1"/>
        <v>* treatmentResponseDefinedDone -&gt; ##34#TBD##34#</v>
      </c>
    </row>
    <row r="94" spans="2:5">
      <c r="B94" s="11" t="str">
        <f>Treatment!B92</f>
        <v>systemicTreatment2</v>
      </c>
      <c r="C94" s="11" t="s">
        <v>1620</v>
      </c>
      <c r="E94" s="12" t="str">
        <f t="shared" si="1"/>
        <v>* systemicTreatment2 -&gt; ##34#TBD##34#</v>
      </c>
    </row>
    <row r="95" spans="2:5">
      <c r="B95" s="11" t="str">
        <f>Treatment!B93</f>
        <v>radiotherapy</v>
      </c>
      <c r="C95" s="11" t="s">
        <v>1620</v>
      </c>
      <c r="E95" s="12" t="str">
        <f t="shared" si="1"/>
        <v>* radiotherapy -&gt; ##34#TBD##34#</v>
      </c>
    </row>
    <row r="96" spans="2:5">
      <c r="B96" s="11" t="str">
        <f>Treatment!B94</f>
        <v>radiotherapywhere</v>
      </c>
      <c r="C96" s="11" t="s">
        <v>1620</v>
      </c>
      <c r="E96" s="12" t="str">
        <f t="shared" si="1"/>
        <v>* radiotherapywhere -&gt; ##34#TBD##34#</v>
      </c>
    </row>
    <row r="97" spans="2:5">
      <c r="B97" s="11" t="str">
        <f>Treatment!B95</f>
        <v>intent</v>
      </c>
      <c r="C97" s="11" t="s">
        <v>1620</v>
      </c>
      <c r="E97" s="12" t="str">
        <f t="shared" si="1"/>
        <v>* intent -&gt; ##34#TBD##34#</v>
      </c>
    </row>
    <row r="98" spans="2:5">
      <c r="B98" s="11" t="str">
        <f>Treatment!B96</f>
        <v>setting-2</v>
      </c>
      <c r="C98" s="11" t="s">
        <v>1620</v>
      </c>
      <c r="E98" s="12" t="str">
        <f t="shared" si="1"/>
        <v>* setting-2 -&gt; ##34#TBD##34#</v>
      </c>
    </row>
    <row r="99" spans="2:5">
      <c r="B99" s="11" t="str">
        <f>Treatment!B97</f>
        <v>postoperativeRadiotherapyIndications</v>
      </c>
      <c r="C99" s="11" t="s">
        <v>1620</v>
      </c>
      <c r="E99" s="12" t="str">
        <f t="shared" si="1"/>
        <v>* postoperativeRadiotherapyIndications -&gt; ##34#TBD##34#</v>
      </c>
    </row>
    <row r="100" spans="2:5">
      <c r="B100" s="11" t="str">
        <f>Treatment!B98</f>
        <v>beamQuality</v>
      </c>
      <c r="C100" s="11" t="s">
        <v>1620</v>
      </c>
      <c r="E100" s="12" t="str">
        <f t="shared" si="1"/>
        <v>* beamQuality -&gt; ##34#TBD##34#</v>
      </c>
    </row>
    <row r="101" spans="2:5">
      <c r="B101" s="11" t="str">
        <f>Treatment!B99</f>
        <v>beamQuality-otherSpecify</v>
      </c>
      <c r="C101" s="11" t="s">
        <v>1620</v>
      </c>
      <c r="E101" s="12" t="str">
        <f t="shared" si="1"/>
        <v>* beamQuality-otherSpecify -&gt; ##34#TBD##34#</v>
      </c>
    </row>
    <row r="102" spans="2:5">
      <c r="B102" s="11" t="str">
        <f>Treatment!B100</f>
        <v>treatmentTechnique</v>
      </c>
      <c r="C102" s="11" t="s">
        <v>1620</v>
      </c>
      <c r="E102" s="12" t="str">
        <f t="shared" si="1"/>
        <v>* treatmentTechnique -&gt; ##34#TBD##34#</v>
      </c>
    </row>
    <row r="103" spans="2:5">
      <c r="B103" s="11" t="str">
        <f>Treatment!B101</f>
        <v>treatmentTechnique-otherSpecify</v>
      </c>
      <c r="C103" s="11" t="s">
        <v>1620</v>
      </c>
      <c r="E103" s="12" t="str">
        <f t="shared" si="1"/>
        <v>* treatmentTechnique-otherSpecify -&gt; ##34#TBD##34#</v>
      </c>
    </row>
    <row r="104" spans="2:5">
      <c r="B104" s="11" t="str">
        <f>Treatment!B102</f>
        <v>boostType</v>
      </c>
      <c r="C104" s="11" t="s">
        <v>1620</v>
      </c>
      <c r="E104" s="12" t="str">
        <f t="shared" si="1"/>
        <v>* boostType -&gt; ##34#TBD##34#</v>
      </c>
    </row>
    <row r="105" spans="2:5">
      <c r="B105" s="11" t="str">
        <f>Treatment!B103</f>
        <v>treatmentPlan</v>
      </c>
      <c r="C105" s="11" t="s">
        <v>1620</v>
      </c>
      <c r="E105" s="12" t="str">
        <f t="shared" si="1"/>
        <v>* treatmentPlan -&gt; ##34#TBD##34#</v>
      </c>
    </row>
    <row r="106" spans="2:5">
      <c r="B106" s="11" t="str">
        <f>Treatment!B104</f>
        <v>totalDoseTdGy</v>
      </c>
      <c r="C106" s="11" t="s">
        <v>1620</v>
      </c>
      <c r="E106" s="12" t="str">
        <f t="shared" si="1"/>
        <v>* totalDoseTdGy -&gt; ##34#TBD##34#</v>
      </c>
    </row>
    <row r="107" spans="2:5">
      <c r="B107" s="11" t="str">
        <f>Treatment!B105</f>
        <v>fractionSizeFs</v>
      </c>
      <c r="C107" s="11" t="s">
        <v>1620</v>
      </c>
      <c r="E107" s="12" t="str">
        <f t="shared" si="1"/>
        <v>* fractionSizeFs -&gt; ##34#TBD##34#</v>
      </c>
    </row>
    <row r="108" spans="2:5">
      <c r="B108" s="11" t="str">
        <f>Treatment!B106</f>
        <v>numberOfFractions</v>
      </c>
      <c r="C108" s="11" t="s">
        <v>1620</v>
      </c>
      <c r="E108" s="12" t="str">
        <f t="shared" si="1"/>
        <v>* numberOfFractions -&gt; ##34#TBD##34#</v>
      </c>
    </row>
    <row r="109" spans="2:5">
      <c r="B109" s="11" t="str">
        <f>Treatment!B107</f>
        <v>totalHighDoseGy</v>
      </c>
      <c r="C109" s="11" t="s">
        <v>1620</v>
      </c>
      <c r="E109" s="12" t="str">
        <f t="shared" si="1"/>
        <v>* totalHighDoseGy -&gt; ##34#TBD##34#</v>
      </c>
    </row>
    <row r="110" spans="2:5">
      <c r="B110" s="11" t="str">
        <f>Treatment!B108</f>
        <v>totalHighDoseFraction</v>
      </c>
      <c r="C110" s="11" t="s">
        <v>1620</v>
      </c>
      <c r="E110" s="12" t="str">
        <f t="shared" si="1"/>
        <v>* totalHighDoseFraction -&gt; ##34#TBD##34#</v>
      </c>
    </row>
    <row r="111" spans="2:5">
      <c r="B111" s="11" t="str">
        <f>Treatment!B109</f>
        <v>totalIntermediateDoseGy</v>
      </c>
      <c r="C111" s="11" t="s">
        <v>1620</v>
      </c>
      <c r="E111" s="12" t="str">
        <f t="shared" si="1"/>
        <v>* totalIntermediateDoseGy -&gt; ##34#TBD##34#</v>
      </c>
    </row>
    <row r="112" spans="2:5">
      <c r="B112" s="11" t="str">
        <f>Treatment!B110</f>
        <v>totalIntermediateDoseFraction</v>
      </c>
      <c r="C112" s="11" t="s">
        <v>1620</v>
      </c>
      <c r="E112" s="12" t="str">
        <f t="shared" si="1"/>
        <v>* totalIntermediateDoseFraction -&gt; ##34#TBD##34#</v>
      </c>
    </row>
    <row r="113" spans="2:5">
      <c r="B113" s="11" t="str">
        <f>Treatment!B111</f>
        <v>totalLowDoseGy</v>
      </c>
      <c r="C113" s="11" t="s">
        <v>1620</v>
      </c>
      <c r="E113" s="12" t="str">
        <f t="shared" si="1"/>
        <v>* totalLowDoseGy -&gt; ##34#TBD##34#</v>
      </c>
    </row>
    <row r="114" spans="2:5">
      <c r="B114" s="11" t="str">
        <f>Treatment!B112</f>
        <v>totalLowDoseFraction</v>
      </c>
      <c r="C114" s="11" t="s">
        <v>1620</v>
      </c>
      <c r="E114" s="12" t="str">
        <f t="shared" si="1"/>
        <v>* totalLowDoseFraction -&gt; ##34#TBD##34#</v>
      </c>
    </row>
    <row r="115" spans="2:5">
      <c r="B115" s="11" t="str">
        <f>Treatment!B113</f>
        <v>fractionationPattern</v>
      </c>
      <c r="C115" s="11" t="s">
        <v>1620</v>
      </c>
      <c r="E115" s="12" t="str">
        <f t="shared" si="1"/>
        <v>* fractionationPattern -&gt; ##34#TBD##34#</v>
      </c>
    </row>
    <row r="116" spans="2:5">
      <c r="B116" s="11" t="str">
        <f>Treatment!B114</f>
        <v>alteredFractionationScheme</v>
      </c>
      <c r="C116" s="11" t="s">
        <v>1620</v>
      </c>
      <c r="E116" s="12" t="str">
        <f t="shared" si="1"/>
        <v>* alteredFractionationScheme -&gt; ##34#TBD##34#</v>
      </c>
    </row>
    <row r="117" spans="2:5">
      <c r="B117" s="11" t="str">
        <f>Treatment!B115</f>
        <v>adaptiveRt</v>
      </c>
      <c r="C117" s="11" t="s">
        <v>1620</v>
      </c>
      <c r="E117" s="12" t="str">
        <f t="shared" si="1"/>
        <v>* adaptiveRt -&gt; ##34#TBD##34#</v>
      </c>
    </row>
    <row r="118" spans="2:5">
      <c r="B118" s="11" t="str">
        <f>Treatment!B116</f>
        <v>igrtImageGuideRadiotherapy</v>
      </c>
      <c r="C118" s="11" t="s">
        <v>1620</v>
      </c>
      <c r="E118" s="12" t="str">
        <f t="shared" si="1"/>
        <v>* igrtImageGuideRadiotherapy -&gt; ##34#TBD##34#</v>
      </c>
    </row>
    <row r="119" spans="2:5">
      <c r="B119" s="11" t="str">
        <f>Treatment!B117</f>
        <v>secondBeamQuality</v>
      </c>
      <c r="C119" s="11" t="s">
        <v>1620</v>
      </c>
      <c r="E119" s="12" t="str">
        <f t="shared" si="1"/>
        <v>* secondBeamQuality -&gt; ##34#TBD##34#</v>
      </c>
    </row>
    <row r="120" spans="2:5">
      <c r="B120" s="11" t="str">
        <f>Treatment!B118</f>
        <v>otherSpecify2</v>
      </c>
      <c r="C120" s="11" t="s">
        <v>1620</v>
      </c>
      <c r="E120" s="12" t="str">
        <f t="shared" si="1"/>
        <v>* otherSpecify2 -&gt; ##34#TBD##34#</v>
      </c>
    </row>
    <row r="121" spans="2:5">
      <c r="B121" s="11" t="str">
        <f>Treatment!B119</f>
        <v>treatmentTechnique2</v>
      </c>
      <c r="C121" s="11" t="s">
        <v>1620</v>
      </c>
      <c r="E121" s="12" t="str">
        <f t="shared" si="1"/>
        <v>* treatmentTechnique2 -&gt; ##34#TBD##34#</v>
      </c>
    </row>
    <row r="122" spans="2:5">
      <c r="B122" s="11" t="str">
        <f>Treatment!B120</f>
        <v>treatmentTechnique2OtherSpecify</v>
      </c>
      <c r="C122" s="11" t="s">
        <v>1620</v>
      </c>
      <c r="E122" s="12" t="str">
        <f t="shared" si="1"/>
        <v>* treatmentTechnique2OtherSpecify -&gt; ##34#TBD##34#</v>
      </c>
    </row>
    <row r="123" spans="2:5">
      <c r="B123" s="11" t="str">
        <f>Treatment!B121</f>
        <v>startDate</v>
      </c>
      <c r="C123" s="11" t="s">
        <v>1620</v>
      </c>
      <c r="E123" s="12" t="str">
        <f t="shared" si="1"/>
        <v>* startDate -&gt; ##34#TBD##34#</v>
      </c>
    </row>
    <row r="124" spans="2:5">
      <c r="B124" s="11" t="str">
        <f>Treatment!B122</f>
        <v>startDateRadiotherapyDayUnknown</v>
      </c>
      <c r="C124" s="11" t="s">
        <v>1620</v>
      </c>
      <c r="E124" s="12" t="str">
        <f t="shared" si="1"/>
        <v>* startDateRadiotherapyDayUnknown -&gt; ##34#TBD##34#</v>
      </c>
    </row>
    <row r="125" spans="2:5">
      <c r="B125" s="11" t="str">
        <f>Treatment!B123</f>
        <v>endDate</v>
      </c>
      <c r="C125" s="11" t="s">
        <v>1620</v>
      </c>
      <c r="E125" s="12" t="str">
        <f t="shared" si="1"/>
        <v>* endDate -&gt; ##34#TBD##34#</v>
      </c>
    </row>
    <row r="126" spans="2:5">
      <c r="B126" s="11" t="str">
        <f>Treatment!B124</f>
        <v>endDateRadiotherapyDayUnknown</v>
      </c>
      <c r="C126" s="11" t="s">
        <v>1620</v>
      </c>
      <c r="E126" s="12" t="str">
        <f t="shared" si="1"/>
        <v>* endDateRadiotherapyDayUnknown -&gt; ##34#TBD##34#</v>
      </c>
    </row>
    <row r="127" spans="2:5">
      <c r="B127" s="11" t="str">
        <f>Treatment!B125</f>
        <v>treatmentInterruption2DaysNotIncludingIntendedBreaks</v>
      </c>
      <c r="C127" s="11" t="s">
        <v>1620</v>
      </c>
      <c r="E127" s="12" t="str">
        <f t="shared" si="1"/>
        <v>* treatmentInterruption2DaysNotIncludingIntendedBreaks -&gt; ##34#TBD##34#</v>
      </c>
    </row>
    <row r="128" spans="2:5">
      <c r="B128" s="11" t="str">
        <f>Treatment!B126</f>
        <v>treatmentDaysMissed</v>
      </c>
      <c r="C128" s="11" t="s">
        <v>1620</v>
      </c>
      <c r="E128" s="12" t="str">
        <f t="shared" si="1"/>
        <v>* treatmentDaysMissed -&gt; ##34#TBD##34#</v>
      </c>
    </row>
    <row r="129" spans="2:5">
      <c r="B129" s="11" t="str">
        <f>Treatment!B127</f>
        <v>overallTreatmentTimeOtt</v>
      </c>
      <c r="C129" s="11" t="s">
        <v>1620</v>
      </c>
      <c r="E129" s="12" t="str">
        <f t="shared" si="1"/>
        <v>* overallTreatmentTimeOtt -&gt; ##34#TBD##34#</v>
      </c>
    </row>
    <row r="130" spans="2:5">
      <c r="B130" s="11" t="str">
        <f>Treatment!B128</f>
        <v>overallTreatmentTimeOttManualInDays</v>
      </c>
      <c r="C130" s="11" t="s">
        <v>1620</v>
      </c>
      <c r="E130" s="12" t="str">
        <f t="shared" si="1"/>
        <v>* overallTreatmentTimeOttManualInDays -&gt; ##34#TBD##34#</v>
      </c>
    </row>
    <row r="131" spans="2:5">
      <c r="B131" s="11" t="str">
        <f>Treatment!B129</f>
        <v>treatmentSites</v>
      </c>
      <c r="C131" s="11" t="s">
        <v>1620</v>
      </c>
      <c r="E131" s="12" t="str">
        <f t="shared" si="1"/>
        <v>* treatmentSites -&gt; ##34#TBD##34#</v>
      </c>
    </row>
    <row r="132" spans="2:5">
      <c r="B132" s="11" t="str">
        <f>Treatment!B130</f>
        <v>primary</v>
      </c>
      <c r="C132" s="11" t="s">
        <v>1620</v>
      </c>
      <c r="E132" s="12" t="str">
        <f t="shared" si="1"/>
        <v>* primary -&gt; ##34#TBD##34#</v>
      </c>
    </row>
    <row r="133" spans="2:5">
      <c r="B133" s="11" t="str">
        <f>Treatment!B131</f>
        <v>neck</v>
      </c>
      <c r="C133" s="11" t="s">
        <v>1620</v>
      </c>
      <c r="E133" s="12" t="str">
        <f t="shared" si="1"/>
        <v>* neck -&gt; ##34#TBD##34#</v>
      </c>
    </row>
    <row r="134" spans="2:5">
      <c r="B134" s="11" t="str">
        <f>Treatment!B132</f>
        <v>primaryAndIpsilateralNeck</v>
      </c>
      <c r="C134" s="11" t="s">
        <v>1620</v>
      </c>
      <c r="E134" s="12" t="str">
        <f t="shared" si="1"/>
        <v>* primaryAndIpsilateralNeck -&gt; ##34#TBD##34#</v>
      </c>
    </row>
    <row r="135" spans="2:5">
      <c r="B135" s="11" t="str">
        <f>Treatment!B133</f>
        <v>primaryAndBilateralNeck</v>
      </c>
      <c r="C135" s="11" t="s">
        <v>1620</v>
      </c>
      <c r="E135" s="12" t="str">
        <f t="shared" si="1"/>
        <v>* primaryAndBilateralNeck -&gt; ##34#TBD##34#</v>
      </c>
    </row>
    <row r="136" spans="2:5">
      <c r="B136" s="11" t="str">
        <f>Treatment!B134</f>
        <v>distantMetastasis</v>
      </c>
      <c r="C136" s="11" t="s">
        <v>1620</v>
      </c>
      <c r="E136" s="12" t="str">
        <f t="shared" si="1"/>
        <v>* distantMetastasis -&gt; ##34#TBD##34#</v>
      </c>
    </row>
    <row r="137" spans="2:5">
      <c r="B137" s="11" t="str">
        <f>Treatment!B135</f>
        <v>metastaticTreatmentSites</v>
      </c>
      <c r="C137" s="11" t="s">
        <v>1620</v>
      </c>
      <c r="E137" s="12" t="str">
        <f t="shared" si="1"/>
        <v>* metastaticTreatmentSites -&gt; ##34#TBD##34#</v>
      </c>
    </row>
    <row r="138" spans="2:5" ht="29.5">
      <c r="B138" s="11" t="str">
        <f>Treatment!B136</f>
        <v xml:space="preserve">lung
</v>
      </c>
      <c r="C138" s="11" t="s">
        <v>1620</v>
      </c>
      <c r="E138" s="12" t="str">
        <f t="shared" ref="E138:E177" si="2">IF(B138=0,"*  -&gt; ##34###34#",CONCATENATE("* ",B138," -&gt; ##34#",C138,"##34#"))</f>
        <v>* lung
 -&gt; ##34#TBD##34#</v>
      </c>
    </row>
    <row r="139" spans="2:5" ht="29.5">
      <c r="B139" s="11" t="str">
        <f>Treatment!B137</f>
        <v xml:space="preserve">mediastinum
</v>
      </c>
      <c r="C139" s="11" t="s">
        <v>1620</v>
      </c>
      <c r="E139" s="12" t="str">
        <f t="shared" si="2"/>
        <v>* mediastinum
 -&gt; ##34#TBD##34#</v>
      </c>
    </row>
    <row r="140" spans="2:5" ht="29.5">
      <c r="B140" s="11" t="str">
        <f>Treatment!B138</f>
        <v xml:space="preserve">bone
</v>
      </c>
      <c r="C140" s="11" t="s">
        <v>1620</v>
      </c>
      <c r="E140" s="12" t="str">
        <f t="shared" si="2"/>
        <v>* bone
 -&gt; ##34#TBD##34#</v>
      </c>
    </row>
    <row r="141" spans="2:5" ht="29.5">
      <c r="B141" s="11" t="str">
        <f>Treatment!B139</f>
        <v xml:space="preserve">softTissue
</v>
      </c>
      <c r="C141" s="11" t="s">
        <v>1620</v>
      </c>
      <c r="E141" s="12" t="str">
        <f t="shared" si="2"/>
        <v>* softTissue
 -&gt; ##34#TBD##34#</v>
      </c>
    </row>
    <row r="142" spans="2:5" ht="29.5">
      <c r="B142" s="11" t="str">
        <f>Treatment!B140</f>
        <v xml:space="preserve">liver
</v>
      </c>
      <c r="C142" s="11" t="s">
        <v>1620</v>
      </c>
      <c r="E142" s="12" t="str">
        <f t="shared" si="2"/>
        <v>* liver
 -&gt; ##34#TBD##34#</v>
      </c>
    </row>
    <row r="143" spans="2:5">
      <c r="B143" s="11" t="str">
        <f>Treatment!B141</f>
        <v>unknown</v>
      </c>
      <c r="C143" s="11" t="s">
        <v>1620</v>
      </c>
      <c r="E143" s="12" t="str">
        <f t="shared" si="2"/>
        <v>* unknown -&gt; ##34#TBD##34#</v>
      </c>
    </row>
    <row r="144" spans="2:5">
      <c r="B144" s="11" t="str">
        <f>Treatment!B142</f>
        <v>other</v>
      </c>
      <c r="C144" s="11" t="s">
        <v>1620</v>
      </c>
      <c r="E144" s="12" t="str">
        <f t="shared" si="2"/>
        <v>* other -&gt; ##34#TBD##34#</v>
      </c>
    </row>
    <row r="145" spans="2:5">
      <c r="B145" s="11" t="str">
        <f>Treatment!B143</f>
        <v>otherSpecify</v>
      </c>
      <c r="C145" s="11" t="s">
        <v>1620</v>
      </c>
      <c r="E145" s="12" t="str">
        <f t="shared" si="2"/>
        <v>* otherSpecify -&gt; ##34#TBD##34#</v>
      </c>
    </row>
    <row r="146" spans="2:5">
      <c r="B146" s="11" t="str">
        <f>Treatment!B144</f>
        <v>neckLevelsIrradiatedRight</v>
      </c>
      <c r="C146" s="11" t="s">
        <v>1620</v>
      </c>
      <c r="E146" s="12" t="str">
        <f t="shared" si="2"/>
        <v>* neckLevelsIrradiatedRight -&gt; ##34#TBD##34#</v>
      </c>
    </row>
    <row r="147" spans="2:5">
      <c r="B147" s="11" t="str">
        <f>Treatment!B145</f>
        <v>neckLevelsIrradiatedLeft</v>
      </c>
      <c r="C147" s="11" t="s">
        <v>1620</v>
      </c>
      <c r="E147" s="12" t="str">
        <f t="shared" si="2"/>
        <v>* neckLevelsIrradiatedLeft -&gt; ##34#TBD##34#</v>
      </c>
    </row>
    <row r="148" spans="2:5">
      <c r="B148" s="11" t="str">
        <f>Treatment!B146</f>
        <v>ctvHighExpansion</v>
      </c>
      <c r="C148" s="11" t="s">
        <v>1620</v>
      </c>
      <c r="E148" s="12" t="str">
        <f t="shared" si="2"/>
        <v>* ctvHighExpansion -&gt; ##34#TBD##34#</v>
      </c>
    </row>
    <row r="149" spans="2:5">
      <c r="B149" s="11" t="str">
        <f>Treatment!B147</f>
        <v>ptvHighExpansion</v>
      </c>
      <c r="C149" s="11" t="s">
        <v>1620</v>
      </c>
      <c r="E149" s="12" t="str">
        <f t="shared" si="2"/>
        <v>* ptvHighExpansion -&gt; ##34#TBD##34#</v>
      </c>
    </row>
    <row r="150" spans="2:5">
      <c r="B150" s="11" t="str">
        <f>Treatment!B148</f>
        <v>v60OfSkin</v>
      </c>
      <c r="C150" s="11" t="s">
        <v>1620</v>
      </c>
      <c r="E150" s="12" t="str">
        <f t="shared" si="2"/>
        <v>* v60OfSkin -&gt; ##34#TBD##34#</v>
      </c>
    </row>
    <row r="151" spans="2:5">
      <c r="B151" s="11" t="str">
        <f>Treatment!B149</f>
        <v>treatmentCompletedAsPlanned</v>
      </c>
      <c r="C151" s="11" t="s">
        <v>1620</v>
      </c>
      <c r="E151" s="12" t="str">
        <f t="shared" si="2"/>
        <v>* treatmentCompletedAsPlanned -&gt; ##34#TBD##34#</v>
      </c>
    </row>
    <row r="152" spans="2:5">
      <c r="B152" s="11" t="str">
        <f>Treatment!B150</f>
        <v>hospitalizedDuringRt</v>
      </c>
      <c r="C152" s="11" t="s">
        <v>1620</v>
      </c>
      <c r="E152" s="12" t="str">
        <f t="shared" si="2"/>
        <v>* hospitalizedDuringRt -&gt; ##34#TBD##34#</v>
      </c>
    </row>
    <row r="153" spans="2:5">
      <c r="B153" s="11" t="str">
        <f>Treatment!B151</f>
        <v>carotidBlowout</v>
      </c>
      <c r="C153" s="11" t="s">
        <v>1620</v>
      </c>
      <c r="E153" s="12" t="str">
        <f t="shared" si="2"/>
        <v>* carotidBlowout -&gt; ##34#TBD##34#</v>
      </c>
    </row>
    <row r="154" spans="2:5">
      <c r="B154" s="11" t="str">
        <f>Treatment!B152</f>
        <v>feedingTubeDuringRt</v>
      </c>
      <c r="C154" s="11" t="s">
        <v>1620</v>
      </c>
      <c r="E154" s="12" t="str">
        <f t="shared" si="2"/>
        <v>* feedingTubeDuringRt -&gt; ##34#TBD##34#</v>
      </c>
    </row>
    <row r="155" spans="2:5">
      <c r="B155" s="11" t="str">
        <f>Treatment!B153</f>
        <v>feedingTubeReason</v>
      </c>
      <c r="C155" s="11" t="s">
        <v>1620</v>
      </c>
      <c r="E155" s="12" t="str">
        <f t="shared" si="2"/>
        <v>* feedingTubeReason -&gt; ##34#TBD##34#</v>
      </c>
    </row>
    <row r="156" spans="2:5">
      <c r="B156" s="11" t="str">
        <f>Treatment!B154</f>
        <v>smokingDuringRt</v>
      </c>
      <c r="C156" s="11" t="s">
        <v>1620</v>
      </c>
      <c r="E156" s="12" t="str">
        <f t="shared" si="2"/>
        <v>* smokingDuringRt -&gt; ##34#TBD##34#</v>
      </c>
    </row>
    <row r="157" spans="2:5">
      <c r="B157" s="11" t="str">
        <f>Treatment!B155</f>
        <v>alcoholDuringRt</v>
      </c>
      <c r="C157" s="11" t="s">
        <v>1620</v>
      </c>
      <c r="E157" s="12" t="str">
        <f t="shared" si="2"/>
        <v>* alcoholDuringRt -&gt; ##34#TBD##34#</v>
      </c>
    </row>
    <row r="158" spans="2:5">
      <c r="B158" s="11" t="str">
        <f>Treatment!B156</f>
        <v>otherTypeOfTreatment</v>
      </c>
      <c r="C158" s="11" t="s">
        <v>1620</v>
      </c>
      <c r="E158" s="12" t="str">
        <f t="shared" si="2"/>
        <v>* otherTypeOfTreatment -&gt; ##34#TBD##34#</v>
      </c>
    </row>
    <row r="159" spans="2:5">
      <c r="B159" s="11" t="str">
        <f>Treatment!B157</f>
        <v>otherTreatmentPerformed</v>
      </c>
      <c r="C159" s="11" t="s">
        <v>1620</v>
      </c>
      <c r="E159" s="12" t="str">
        <f t="shared" si="2"/>
        <v>* otherTreatmentPerformed -&gt; ##34#TBD##34#</v>
      </c>
    </row>
    <row r="160" spans="2:5">
      <c r="B160" s="11" t="str">
        <f>Treatment!B158</f>
        <v>dateOfStart</v>
      </c>
      <c r="C160" s="11" t="s">
        <v>1620</v>
      </c>
      <c r="E160" s="12" t="str">
        <f t="shared" si="2"/>
        <v>* dateOfStart -&gt; ##34#TBD##34#</v>
      </c>
    </row>
    <row r="161" spans="2:5">
      <c r="B161" s="11" t="str">
        <f>Treatment!B159</f>
        <v>dateOfOtherTreatmentDayUnknown</v>
      </c>
      <c r="C161" s="11" t="s">
        <v>1620</v>
      </c>
      <c r="E161" s="12" t="str">
        <f t="shared" si="2"/>
        <v>* dateOfOtherTreatmentDayUnknown -&gt; ##34#TBD##34#</v>
      </c>
    </row>
    <row r="162" spans="2:5">
      <c r="B162" s="11" t="str">
        <f>Treatment!B160</f>
        <v>dateOfEnd</v>
      </c>
      <c r="C162" s="11" t="s">
        <v>1620</v>
      </c>
      <c r="E162" s="12" t="str">
        <f t="shared" si="2"/>
        <v>* dateOfEnd -&gt; ##34#TBD##34#</v>
      </c>
    </row>
    <row r="163" spans="2:5">
      <c r="B163" s="11" t="str">
        <f>Treatment!B161</f>
        <v>dateOfEndOtherTreatmentDayUnknown</v>
      </c>
      <c r="C163" s="11" t="s">
        <v>1620</v>
      </c>
      <c r="E163" s="12" t="str">
        <f t="shared" si="2"/>
        <v>* dateOfEndOtherTreatmentDayUnknown -&gt; ##34#TBD##34#</v>
      </c>
    </row>
    <row r="164" spans="2:5">
      <c r="B164" s="11" t="str">
        <f>Treatment!B162</f>
        <v>type</v>
      </c>
      <c r="C164" s="11" t="s">
        <v>1620</v>
      </c>
      <c r="E164" s="12" t="str">
        <f t="shared" si="2"/>
        <v>* type -&gt; ##34#TBD##34#</v>
      </c>
    </row>
    <row r="165" spans="2:5">
      <c r="B165" s="11" t="str">
        <f>Treatment!B163</f>
        <v>treatmentCompleted</v>
      </c>
      <c r="C165" s="11" t="s">
        <v>1620</v>
      </c>
      <c r="E165" s="12" t="str">
        <f t="shared" si="2"/>
        <v>* treatmentCompleted -&gt; ##34#TBD##34#</v>
      </c>
    </row>
    <row r="166" spans="2:5">
      <c r="B166" s="11" t="str">
        <f>Treatment!B164</f>
        <v>overallTreatmentResponse</v>
      </c>
      <c r="C166" s="11" t="s">
        <v>1620</v>
      </c>
      <c r="E166" s="12" t="str">
        <f t="shared" si="2"/>
        <v>* overallTreatmentResponse -&gt; ##34#TBD##34#</v>
      </c>
    </row>
    <row r="167" spans="2:5">
      <c r="B167" s="11" t="str">
        <f>Treatment!B165</f>
        <v>treatmentResponseBasedOnImagingAloneNoRecistOrOtherCriteria-2</v>
      </c>
      <c r="C167" s="11" t="s">
        <v>1620</v>
      </c>
      <c r="E167" s="12" t="str">
        <f t="shared" si="2"/>
        <v>* treatmentResponseBasedOnImagingAloneNoRecistOrOtherCriteria-2 -&gt; ##34#TBD##34#</v>
      </c>
    </row>
    <row r="168" spans="2:5">
      <c r="B168" s="11" t="str">
        <f>Treatment!B166</f>
        <v>treatmentResponseDefineddone</v>
      </c>
      <c r="C168" s="11" t="s">
        <v>1620</v>
      </c>
      <c r="E168" s="12" t="str">
        <f t="shared" si="2"/>
        <v>* treatmentResponseDefineddone -&gt; ##34#TBD##34#</v>
      </c>
    </row>
    <row r="169" spans="2:5">
      <c r="B169" s="11" t="str">
        <f>Treatment!B167</f>
        <v>patientIncludedInClinicalTrial</v>
      </c>
      <c r="C169" s="11" t="s">
        <v>1620</v>
      </c>
      <c r="E169" s="12" t="str">
        <f t="shared" si="2"/>
        <v>* patientIncludedInClinicalTrial -&gt; ##34#TBD##34#</v>
      </c>
    </row>
    <row r="170" spans="2:5">
      <c r="B170" s="11" t="str">
        <f>Treatment!B168</f>
        <v>patientIncludedInAClinicalTrial</v>
      </c>
      <c r="C170" s="11" t="s">
        <v>1620</v>
      </c>
      <c r="E170" s="12" t="str">
        <f t="shared" si="2"/>
        <v>* patientIncludedInAClinicalTrial -&gt; ##34#TBD##34#</v>
      </c>
    </row>
    <row r="171" spans="2:5">
      <c r="B171" s="11" t="str">
        <f>Treatment!B169</f>
        <v>clinicalTrialCode</v>
      </c>
      <c r="C171" s="11" t="s">
        <v>1620</v>
      </c>
      <c r="E171" s="12" t="str">
        <f t="shared" si="2"/>
        <v>* clinicalTrialCode -&gt; ##34#TBD##34#</v>
      </c>
    </row>
    <row r="172" spans="2:5">
      <c r="B172" s="11" t="str">
        <f>Treatment!B170</f>
        <v>instrumentStatus</v>
      </c>
      <c r="C172" s="11" t="s">
        <v>1620</v>
      </c>
      <c r="E172" s="12" t="str">
        <f t="shared" si="2"/>
        <v>* instrumentStatus -&gt; ##34#TBD##34#</v>
      </c>
    </row>
    <row r="173" spans="2:5">
      <c r="B173" s="11"/>
      <c r="E173" s="12" t="str">
        <f t="shared" si="2"/>
        <v>*  -&gt; ##34###34#</v>
      </c>
    </row>
    <row r="174" spans="2:5">
      <c r="B174" s="11"/>
      <c r="E174" s="12" t="str">
        <f t="shared" si="2"/>
        <v>*  -&gt; ##34###34#</v>
      </c>
    </row>
    <row r="175" spans="2:5">
      <c r="B175" s="11"/>
      <c r="E175" s="12" t="str">
        <f t="shared" si="2"/>
        <v>*  -&gt; ##34###34#</v>
      </c>
    </row>
    <row r="176" spans="2:5">
      <c r="B176" s="11"/>
      <c r="E176" s="12" t="str">
        <f t="shared" si="2"/>
        <v>*  -&gt; ##34###34#</v>
      </c>
    </row>
    <row r="177" spans="2:5">
      <c r="B177" s="11"/>
      <c r="E177" s="12" t="str">
        <f t="shared" si="2"/>
        <v>*  -&gt; ##34###34#</v>
      </c>
    </row>
    <row r="178" spans="2:5">
      <c r="B178" s="11"/>
    </row>
    <row r="179" spans="2:5">
      <c r="B179" s="11"/>
    </row>
    <row r="180" spans="2:5">
      <c r="B180" s="11"/>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workbookViewId="0">
      <selection activeCell="E6" sqref="E6"/>
    </sheetView>
  </sheetViews>
  <sheetFormatPr defaultRowHeight="14.75"/>
  <cols>
    <col min="3" max="3" width="108.2265625" style="12" customWidth="1"/>
    <col min="7" max="7" width="29.54296875" customWidth="1"/>
    <col min="8" max="8" width="54.90625" customWidth="1"/>
  </cols>
  <sheetData>
    <row r="1" spans="3:7" ht="15.5" thickBot="1">
      <c r="C1" s="23" t="str">
        <f>Treatment!J1</f>
        <v>//===================================================</v>
      </c>
    </row>
    <row r="2" spans="3:7" ht="16.75" thickBot="1">
      <c r="C2" s="24" t="str">
        <f>Treatment!J2</f>
        <v>//  Logical Model</v>
      </c>
      <c r="G2" s="29" t="s">
        <v>2117</v>
      </c>
    </row>
    <row r="3" spans="3:7">
      <c r="C3" s="24" t="str">
        <f>Treatment!J3</f>
        <v>//===================================================</v>
      </c>
    </row>
    <row r="4" spans="3:7">
      <c r="C4" s="16" t="str">
        <f>Treatment!J4</f>
        <v>Logical: TreatmentI4rc</v>
      </c>
    </row>
    <row r="5" spans="3:7">
      <c r="C5" s="16" t="str">
        <f>Treatment!J5</f>
        <v>Id: Treatment</v>
      </c>
    </row>
    <row r="6" spans="3:7">
      <c r="C6" s="16" t="str">
        <f>Treatment!J6</f>
        <v>Title: ##34#Treatment##34#</v>
      </c>
    </row>
    <row r="7" spans="3:7" ht="29.5">
      <c r="C7" s="16" t="str">
        <f>Treatment!J7</f>
        <v>Description:  ##334#Treatment
Maturity Level: 0 Draft##334#</v>
      </c>
    </row>
    <row r="8" spans="3:7">
      <c r="C8" s="12" t="str">
        <f>IF(Treatment!J8="*  ..  ##34###34# ##334###334#","//--- END",Treatment!J8)</f>
        <v>* surgery 0..1 BackboneElement ##34#Surgery ##34# ##334#Surgery ##334#</v>
      </c>
    </row>
    <row r="9" spans="3:7" ht="29.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c r="C10" s="12" t="str">
        <f>IF(Treatment!J10="*  ..  ##34###34# ##334###334#","//--- END",Treatment!J10)</f>
        <v>* dateOfTumourSurgery 0..1 date ##34#Date of tumour surgery##34# ##334#Date of the surgery for primary tumor with or without neck surgery##334#</v>
      </c>
    </row>
    <row r="11" spans="3:7" ht="44.2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c r="C13" s="12" t="str">
        <f>IF(Treatment!J13="*  ..  ##34###34# ##334###334#","//--- END",Treatment!J13)</f>
        <v>* tumorSurgeryDevice 0..1 string ##34#Tumor surgery device##34# ##334#Describes  the device used LASER  Robot##334#</v>
      </c>
    </row>
    <row r="14" spans="3:7">
      <c r="C14" s="12" t="str">
        <f>IF(Treatment!J14="*  ..  ##34###34# ##334###334#","//--- END",Treatment!J14)</f>
        <v>* surgicalProcedure 0..* BackboneElement ##34#Surgical procedure##34# ##334#Describes the procedure performed##334#</v>
      </c>
    </row>
    <row r="15" spans="3:7" ht="44.2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c r="C17" s="12" t="str">
        <f>IF(Treatment!J17="*  ..  ##34###34# ##334###334#","//--- END",Treatment!J17)</f>
        <v>* surgicalProcedure.surgicalProcedureSalivaryGland 0..1 string ##34#Surgical Procedure Salivary Gland##34# ##334#Describes the procedure performed on salivary glands ##334#</v>
      </c>
    </row>
    <row r="18" spans="3:3" ht="29.5">
      <c r="C18" s="12" t="str">
        <f>IF(Treatment!J18="*  ..  ##34###34# ##334###334#","//--- END",Treatment!J18)</f>
        <v>* surgicalProcedure.surgicalProcedureEar 0..1 string ##34#Surgical procedure Ear##34# ##334#Describes the procedure performed onear and temporal bone##334#</v>
      </c>
    </row>
    <row r="19" spans="3:3" ht="29.5">
      <c r="C19" s="12" t="str">
        <f>IF(Treatment!J19="*  ..  ##34###34# ##334###334#","//--- END",Treatment!J19)</f>
        <v>* surgicalProcedure.surgicalProcedureLip 0..1 string ##34#Surgical procedure  Lip##34# ##334#Describes the procedure performed on the lip##334#</v>
      </c>
    </row>
    <row r="20" spans="3:3" ht="29.5">
      <c r="C20" s="12" t="str">
        <f>IF(Treatment!J20="*  ..  ##34###34# ##334###334#","//--- END",Treatment!J20)</f>
        <v>* surgicalProcedure.surgicalProcedureOralCavity 0..1 string ##34#Surgical procedure Oral cavity##34# ##334#Describes the procedure performed on the oral cavity##334#</v>
      </c>
    </row>
    <row r="21" spans="3:3" ht="29.5">
      <c r="C21" s="12" t="str">
        <f>IF(Treatment!J21="*  ..  ##34###34# ##334###334#","//--- END",Treatment!J21)</f>
        <v>* surgicalProcedure.surgicalProcedureMandibulectomy 0..1 string ##34#Surgical procedure mandibulectomy##34# ##334#Describes the procedure performed on the mandible##334#</v>
      </c>
    </row>
    <row r="22" spans="3:3" ht="59">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c r="C23" s="12" t="str">
        <f>IF(Treatment!J23="*  ..  ##34###34# ##334###334#","//--- END",Treatment!J23)</f>
        <v>* surgicalProcedure.surgicalProcedureHypopharynx 0..1 string ##34#Surgical procedure Hypopharynx##34# ##334#Describes the procedure performed on the hypopharynx##334#</v>
      </c>
    </row>
    <row r="24" spans="3:3" ht="14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c r="C25" s="12" t="str">
        <f>IF(Treatment!J25="*  ..  ##34###34# ##334###334#","//--- END",Treatment!J25)</f>
        <v>* reconstruction 0..1 BackboneElement ##34#Reconstruction##34# ##334#Reconstruction procedure that was performed after tomor removal to restore either shape or function##334#</v>
      </c>
    </row>
    <row r="26" spans="3:3" ht="29.5">
      <c r="C26" s="12" t="str">
        <f>IF(Treatment!J26="*  ..  ##34###34# ##334###334#","//--- END",Treatment!J26)</f>
        <v>* reconstruction.flag 0..1 string ##34#Reconstruction##34# ##334#Describes whether a reconstruction procedure was performed after tomor removal to restore either shape or function##334#</v>
      </c>
    </row>
    <row r="27" spans="3:3" ht="59">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c r="C30" s="12" t="str">
        <f>IF(Treatment!J30="*  ..  ##34###34# ##334###334#","//--- END",Treatment!J30)</f>
        <v>* neckSurgery 0..1 string ##34#Neck surgery##34# ##334#Describes whether a surgical procedure to treat and address the neck was performed or not ##334#</v>
      </c>
    </row>
    <row r="31" spans="3:3" ht="29.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c r="C32" s="12" t="str">
        <f>IF(Treatment!J32="*  ..  ##34###34# ##334###334#","//--- END",Treatment!J32)</f>
        <v>* dateOfNeckSurgeryDayUnknown 0..1 date ##34#Date of neck surgery day unknown##34# ##334#Describes if the day of neck surgery is unknwon##334#</v>
      </c>
    </row>
    <row r="33" spans="3:3" ht="29.5">
      <c r="C33" s="12" t="str">
        <f>IF(Treatment!J33="*  ..  ##34###34# ##334###334#","//--- END",Treatment!J33)</f>
        <v>* nodePicking 0..1 string ##34#Node picking##34# ##334#Describes whether a nonprotocoled and nonstandardized resection of more than one lymph node is performed or not##334#</v>
      </c>
    </row>
    <row r="34" spans="3:3" ht="29.5">
      <c r="C34" s="12" t="str">
        <f>IF(Treatment!J34="*  ..  ##34###34# ##334###334#","//--- END",Treatment!J34)</f>
        <v>* neckDissection 0..1 string ##34#Neck dissection##34# ##334#Describes whether a protocoled and standardized en block resection of lymphatic tissue is performed or not##334#</v>
      </c>
    </row>
    <row r="35" spans="3:3" ht="73.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c r="C40" s="12" t="str">
        <f>IF(Treatment!J40="*  ..  ##34###34# ##334###334#","//--- END",Treatment!J40)</f>
        <v>* surgeryOnM 0..1 string ##34#Surgery on M##34# ##334#Describes whether surgery is performed to treat the Metastasis##334#</v>
      </c>
    </row>
    <row r="41" spans="3:3" ht="29.5">
      <c r="C41" s="12" t="str">
        <f>IF(Treatment!J41="*  ..  ##34###34# ##334###334#","//--- END",Treatment!J41)</f>
        <v>* siteOfSurgeryOnMetastasis 0..1 BackboneElement ##34#Site of surgery on metastasis##34# ##334#Site of surgery on metastasis##334#</v>
      </c>
    </row>
    <row r="42" spans="3:3" ht="29.5">
      <c r="C42" s="12" t="str">
        <f>IF(Treatment!J42="*  ..  ##34###34# ##334###334#","//--- END",Treatment!J42)</f>
        <v>* siteOfSurgeryOnMetastasisSoftTissue 0..1 string ##34#Site of surgery on metastasis soft tissue##34# ##334#Describes if site of surgery on metastasis  is soft tissue##334#</v>
      </c>
    </row>
    <row r="43" spans="3:3" ht="29.5">
      <c r="C43" s="12" t="str">
        <f>IF(Treatment!J43="*  ..  ##34###34# ##334###334#","//--- END",Treatment!J43)</f>
        <v>* siteOfSurgeryOnMetastasisDistantLymphNodes 0..1 string ##34#Site of surgery on metastasis distant lymph nodes##34# ##334#Describes if site of surgery on metastasis  is dystan lymph node##334#</v>
      </c>
    </row>
    <row r="44" spans="3:3" ht="29.5">
      <c r="C44" s="12" t="str">
        <f>IF(Treatment!J44="*  ..  ##34###34# ##334###334#","//--- END",Treatment!J44)</f>
        <v>* siteOfSurgeryOnMetastasisLung 0..1 string ##34#Site of surgery on metastasis lung##34# ##334#Describes if site of surgery on metastasis  is lung##334#</v>
      </c>
    </row>
    <row r="45" spans="3:3" ht="29.5">
      <c r="C45" s="12" t="str">
        <f>IF(Treatment!J45="*  ..  ##34###34# ##334###334#","//--- END",Treatment!J45)</f>
        <v>* siteOfSurgeryOnMetastasisBone 0..1 string ##34#Site of surgery on metastasis bone##34# ##334#Describes if site of surgery on metastasis  is bone##334#</v>
      </c>
    </row>
    <row r="46" spans="3:3" ht="29.5">
      <c r="C46" s="12" t="str">
        <f>IF(Treatment!J46="*  ..  ##34###34# ##334###334#","//--- END",Treatment!J46)</f>
        <v>* siteOfSurgeryOnMetastasisLiver 0..1 string ##34#Site of surgery on metastasis liver##34# ##334#Describes if site of surgery on metastasis  is liver##334#</v>
      </c>
    </row>
    <row r="47" spans="3:3" ht="29.5">
      <c r="C47" s="12" t="str">
        <f>IF(Treatment!J47="*  ..  ##34###34# ##334###334#","//--- END",Treatment!J47)</f>
        <v>* siteOfSurgeryOnMetastasisPleura 0..1 string ##34#Site of surgery on metastasis pleura##34# ##334#Describes if site of surgery on metastasis  is pleura##334#</v>
      </c>
    </row>
    <row r="48" spans="3:3" ht="29.5">
      <c r="C48" s="12" t="str">
        <f>IF(Treatment!J48="*  ..  ##34###34# ##334###334#","//--- END",Treatment!J48)</f>
        <v>* siteOfSurgeryOnMetastasisPeritoneum 0..1 string ##34#Site of surgery on metastasis peritoneum##34# ##334#Describes if site of surgery on metastasis  is peritoneum##334#</v>
      </c>
    </row>
    <row r="49" spans="3:3" ht="29.5">
      <c r="C49" s="12" t="str">
        <f>IF(Treatment!J49="*  ..  ##34###34# ##334###334#","//--- END",Treatment!J49)</f>
        <v>* siteOfSurgeryOnMetastasisBrain 0..1 string ##34#Site of surgery on metastasis brain##34# ##334#Describes if site of surgery on metastasis  is brain##334#</v>
      </c>
    </row>
    <row r="50" spans="3:3" ht="29.5">
      <c r="C50" s="12" t="str">
        <f>IF(Treatment!J50="*  ..  ##34###34# ##334###334#","//--- END",Treatment!J50)</f>
        <v>* siteOfSurgeryOnMetastasisOtherViscera 0..1 string ##34#Site of surgery on metastasis other viscera##34# ##334#Describes if site of surgery on metastasis  is other viscera##334#</v>
      </c>
    </row>
    <row r="51" spans="3:3" ht="29.5">
      <c r="C51" s="12" t="str">
        <f>IF(Treatment!J51="*  ..  ##34###34# ##334###334#","//--- END",Treatment!J51)</f>
        <v>* siteOfSurgeryOnMetastasisUnknown 0..1 string ##34#Site of surgery on metastasis unknown##34# ##334#Describes if site of surgery on metastasis  is unknown##334#</v>
      </c>
    </row>
    <row r="52" spans="3:3" ht="29.5">
      <c r="C52" s="12" t="str">
        <f>IF(Treatment!J52="*  ..  ##34###34# ##334###334#","//--- END",Treatment!J52)</f>
        <v>* dateOfSurgeryOnMIfDifferentFromDateOfTumorSiteSurgery 0..1 date ##34#Date of surgery on M  if different from date of tumor site surgery##34# ##334#Date of the surgery on the metastasis##334#</v>
      </c>
    </row>
    <row r="53" spans="3:3" ht="44.25">
      <c r="C53" s="12" t="str">
        <f>IF(Treatment!J53="*  ..  ##34###34# ##334###334#","//--- END",Treatment!J53)</f>
        <v>* surgicalComplicationsClavienDindoClassificationPleaseSelectTheWorstOne 0..1 string ##34#Surgical complications ClavienDindo Classification please select the worst one##34# ##334#Describes presence and grade of complications after a surgical procedure ##334#</v>
      </c>
    </row>
    <row r="54" spans="3:3" ht="44.25">
      <c r="C54" s="12" t="str">
        <f>IF(Treatment!J54="*  ..  ##34###34# ##334###334#","//--- END",Treatment!J54)</f>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row>
    <row r="55" spans="3:3" ht="44.2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c r="C56" s="12" t="str">
        <f>IF(Treatment!J56="*  ..  ##34###34# ##334###334#","//--- END",Treatment!J56)</f>
        <v>* dateOfUnplannedSurgery 0..1 date ##34#Date of unplanned surgery##34# ##334#Date of the unplanned surgery##334#</v>
      </c>
    </row>
    <row r="57" spans="3:3" ht="103.2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c r="C58" s="12" t="str">
        <f>IF(Treatment!J58="*  ..  ##34###34# ##334###334#","//--- END",Treatment!J58)</f>
        <v>* unplannedNeckSurgery 0..1 string ##34#Unplanned neck surgery##34# ##334#Describes whether an unplanned surgical procedure to treat and address the neck was performed or not ##334#</v>
      </c>
    </row>
    <row r="59" spans="3:3">
      <c r="C59" s="12" t="str">
        <f>IF(Treatment!J59="*  ..  ##34###34# ##334###334#","//--- END",Treatment!J59)</f>
        <v>* systemicTreament 0..1 BackboneElement ##34#Systemic Treament##34# ##334#Systemic Treament##334#</v>
      </c>
    </row>
    <row r="60" spans="3:3" ht="44.2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c r="C64" s="12" t="str">
        <f>IF(Treatment!J64="*  ..  ##34###34# ##334###334#","//--- END",Treatment!J64)</f>
        <v>* startDateSystemicTreatment 0..1 date ##34#Start date systemic treatment##34# ##334#Specifies when systemic treatment begins##334#</v>
      </c>
    </row>
    <row r="65" spans="3:3" ht="29.5">
      <c r="C65" s="12" t="str">
        <f>IF(Treatment!J65="*  ..  ##34###34# ##334###334#","//--- END",Treatment!J65)</f>
        <v>* startDateSystemicTreatmentDayUnknown 0..1 date ##34#Start date systemic treatment  day unknown##34# ##334#Describes if the day of start systemic treatment is unknwon##334#</v>
      </c>
    </row>
    <row r="66" spans="3:3" ht="29.5">
      <c r="C66" s="12" t="str">
        <f>IF(Treatment!J66="*  ..  ##34###34# ##334###334#","//--- END",Treatment!J66)</f>
        <v>* endDateSystemicTreatment 0..1 date ##34#End date systemic treatment##34# ##334#Specifies when systemic treatment ends##334#</v>
      </c>
    </row>
    <row r="67" spans="3:3" ht="29.5">
      <c r="C67" s="12" t="str">
        <f>IF(Treatment!J67="*  ..  ##34###34# ##334###334#","//--- END",Treatment!J67)</f>
        <v>* endDateSystemicTreatmentDayUnknown 0..1 date ##34#End date systemic treatment  day unknown##34# ##334#Describes if the day of end of systemic treatment is unknwon##334#</v>
      </c>
    </row>
    <row r="68" spans="3:3" ht="59">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c r="C70" s="12" t="str">
        <f>IF(Treatment!J70="*  ..  ##34###34# ##334###334#","//--- END",Treatment!J70)</f>
        <v>* drugs1 0..1 string ##34#Drugs 1##34# ##334#autosuggested functionality for realtime searching within biomedical ontologies##334#</v>
      </c>
    </row>
    <row r="71" spans="3:3" ht="29.5">
      <c r="C71" s="12" t="str">
        <f>IF(Treatment!J71="*  ..  ##34###34# ##334###334#","//--- END",Treatment!J71)</f>
        <v>* drugs2 0..1 string ##34#Drugs 2##34# ##334#autosuggested functionality for realtime searching within biomedical ontologies##334#</v>
      </c>
    </row>
    <row r="72" spans="3:3" ht="29.5">
      <c r="C72" s="12" t="str">
        <f>IF(Treatment!J72="*  ..  ##34###34# ##334###334#","//--- END",Treatment!J72)</f>
        <v>* drugs3 0..1 string ##34#Drugs 3##34# ##334#autosuggested functionality for realtime searching within biomedical ontologies##334#</v>
      </c>
    </row>
    <row r="73" spans="3:3" ht="29.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c r="C74" s="12" t="str">
        <f>IF(Treatment!J74="*  ..  ##34###34# ##334###334#","//--- END",Treatment!J74)</f>
        <v>* primerType 0..1 string ##34#Primer type##34# ##334#Describes the primer used for EBV DNA plasma testing duringin NPC type II and Type III WHO##334#</v>
      </c>
    </row>
    <row r="75" spans="3:3">
      <c r="C75" s="12" t="str">
        <f>IF(Treatment!J75="*  ..  ##34###34# ##334###334#","//--- END",Treatment!J75)</f>
        <v>* copyNumber 0..1 integer ##34#Copy Number##34# ##334#Copy number of EBVDNA in NPC##334#</v>
      </c>
    </row>
    <row r="76" spans="3:3" ht="29.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c r="C77" s="12" t="str">
        <f>IF(Treatment!J77="*  ..  ##34###34# ##334###334#","//--- END",Treatment!J77)</f>
        <v>* afterTreatment-primerType 0..1 string ##34#Primer type##34# ##334#Describes the primer used for EBV DNA plasma testing after treatment in NPC type II and Type III WHO##334#</v>
      </c>
    </row>
    <row r="78" spans="3:3">
      <c r="C78" s="12" t="str">
        <f>IF(Treatment!J78="*  ..  ##34###34# ##334###334#","//--- END",Treatment!J78)</f>
        <v>* copyNumber 0..1 integer ##34#Copy Number##34# ##334#Copy number of EBVDNA in NPC##334#</v>
      </c>
    </row>
    <row r="79" spans="3:3" ht="29.5">
      <c r="C79" s="12" t="str">
        <f>IF(Treatment!J79="*  ..  ##34###34# ##334###334#","//--- END",Treatment!J79)</f>
        <v>* reasonForEndOfTreatment 0..1 string ##34#Reason for end of treatment##34# ##334#Clarifies the reasons why the treatment ended or was interrupted##334#</v>
      </c>
    </row>
    <row r="80" spans="3:3" ht="29.5">
      <c r="C80" s="12" t="str">
        <f>IF(Treatment!J80="*  ..  ##34###34# ##334###334#","//--- END",Treatment!J80)</f>
        <v>* regimenChanged 0..1 string ##34#Regimen changed##34# ##334#Clarifies if the regimen drug changed after a toxicity or a patient intolerance##334#</v>
      </c>
    </row>
    <row r="81" spans="3:3" ht="59">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c r="C82" s="12" t="str">
        <f>IF(Treatment!J82="*  ..  ##34###34# ##334###334#","//--- END",Treatment!J82)</f>
        <v>* regimenChanged-otherDrug1 0..1 string ##34#Other Drug1##34# ##334#Specifies the drug if not present in the regimen list up to 3 selection##334#</v>
      </c>
    </row>
    <row r="83" spans="3:3">
      <c r="C83" s="12" t="str">
        <f>IF(Treatment!J83="*  ..  ##34###34# ##334###334#","//--- END",Treatment!J83)</f>
        <v>* regimenChanged-otherDrug2 0..1 BackboneElement ##34#Other Drug2##34# ##334#Other Drug2##334#</v>
      </c>
    </row>
    <row r="84" spans="3:3">
      <c r="C84" s="12" t="str">
        <f>IF(Treatment!J84="*  ..  ##34###34# ##334###334#","//--- END",Treatment!J84)</f>
        <v>* regimenChanged-otherDrug3 0..1 BackboneElement ##34#Other Drug3##34# ##334#Other Drug3##334#</v>
      </c>
    </row>
    <row r="85" spans="3:3" ht="29.5">
      <c r="C85" s="12" t="str">
        <f>IF(Treatment!J85="*  ..  ##34###34# ##334###334#","//--- END",Treatment!J85)</f>
        <v>* startDateRegimenChanged 0..1 date ##34#Start date regimen changed##34# ##334#specifies when the new systemic treatment begins if a combination please specify the start of the first drug##334#</v>
      </c>
    </row>
    <row r="86" spans="3:3" ht="29.5">
      <c r="C86" s="12" t="str">
        <f>IF(Treatment!J86="*  ..  ##34###34# ##334###334#","//--- END",Treatment!J86)</f>
        <v>* startDateRegimenChangedDayUnknown 0..1 date ##34#Start date regimen changed  day unknown##34# ##334#Describes if the day of the begining of the  new systemic treatment  is unknwon##334#</v>
      </c>
    </row>
    <row r="87" spans="3:3" ht="29.5">
      <c r="C87" s="12" t="str">
        <f>IF(Treatment!J87="*  ..  ##34###34# ##334###334#","//--- END",Treatment!J87)</f>
        <v>* endDateRegimenChanged 0..1 date ##34#End date regimen changed##34# ##334#specifies when the new  systemic treatment endsif a combination please specify the end of the last drug##334#</v>
      </c>
    </row>
    <row r="88" spans="3:3" ht="29.5">
      <c r="C88" s="12" t="str">
        <f>IF(Treatment!J88="*  ..  ##34###34# ##334###334#","//--- END",Treatment!J88)</f>
        <v>* endDateRegimenChangedDayUnknown 0..1 date ##34#End  date regimen changed  day unknown##34# ##334#Describes if the day of the end of the systemic treatment is unknwon##334#</v>
      </c>
    </row>
    <row r="89" spans="3:3" ht="29.5">
      <c r="C89" s="12" t="str">
        <f>IF(Treatment!J89="*  ..  ##34###34# ##334###334#","//--- END",Treatment!J89)</f>
        <v>* regimenChanged-reasonForEndOfTreatment 0..1 string ##34#Reason for end of treatment##34# ##334#Clarifies the reasons why the treatment ended or was interrupted##334#</v>
      </c>
    </row>
    <row r="90" spans="3:3" ht="59">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c r="C91" s="12" t="str">
        <f>IF(Treatment!J91="*  ..  ##34###34# ##334###334#","//--- END",Treatment!J91)</f>
        <v>* treatmentResponseDefinedDone 0..1 string ##34#Treatment response defineddone##34# ##334#Describes whether the treatment response was assessed at the registering hospital or another hospital##334#</v>
      </c>
    </row>
    <row r="92" spans="3:3" ht="29.5">
      <c r="C92" s="12" t="str">
        <f>IF(Treatment!J92="*  ..  ##34###34# ##334###334#","//--- END",Treatment!J92)</f>
        <v>* systemicTreatment2 0..1 string ##34#Systemic treatment 2##34# ##334#Specifies if another systemic treatment was performed##334#</v>
      </c>
    </row>
    <row r="93" spans="3:3">
      <c r="C93" s="12" t="str">
        <f>IF(Treatment!J93="*  ..  ##34###34# ##334###334#","//--- END",Treatment!J93)</f>
        <v>* radiotherapy 0..1 BackboneElement ##34#Radiotherapy##34# ##334###334#</v>
      </c>
    </row>
    <row r="94" spans="3:3" ht="29.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c r="C95" s="12" t="str">
        <f>IF(Treatment!J95="*  ..  ##34###34# ##334###334#","//--- END",Treatment!J95)</f>
        <v>* intent 0..1 string ##34#Intent##34# ##334#Radiotherapy intent refers to whether the intention of treatment is to cure the patient or to treat symptoms and palliate##334#</v>
      </c>
    </row>
    <row r="96" spans="3:3" ht="29.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c r="C98" s="12" t="str">
        <f>IF(Treatment!J98="*  ..  ##34###34# ##334###334#","//--- END",Treatment!J98)</f>
        <v>* beamQuality 0..1 string ##34#Beam quality##34# ##334#Describes the type of radiation therapy given If external beam please specify if delivered with Photons most common electrons carbon or protons##334#</v>
      </c>
    </row>
    <row r="99" spans="3:3">
      <c r="C99" s="12" t="str">
        <f>IF(Treatment!J99="*  ..  ##34###34# ##334###334#","//--- END",Treatment!J99)</f>
        <v>* beamQuality-otherSpecify 0..1 BackboneElement ##34#Other specify ##34# ##334###334#</v>
      </c>
    </row>
    <row r="100" spans="3:3" ht="29.5">
      <c r="C100" s="12" t="str">
        <f>IF(Treatment!J100="*  ..  ##34###34# ##334###334#","//--- END",Treatment!J100)</f>
        <v>* treatmentTechnique 0..1 string ##34#Treatment technique##34# ##334#Refers to the type of radiotherapy treatment delivered##334#</v>
      </c>
    </row>
    <row r="101" spans="3:3">
      <c r="C101" s="12" t="str">
        <f>IF(Treatment!J101="*  ..  ##34###34# ##334###334#","//--- END",Treatment!J101)</f>
        <v>* treatmentTechnique-otherSpecify 0..1 BackboneElement ##34#Other specify##34# ##334###334#</v>
      </c>
    </row>
    <row r="102" spans="3:3" ht="29.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c r="C104" s="12" t="str">
        <f>IF(Treatment!J104="*  ..  ##34###34# ##334###334#","//--- END",Treatment!J104)</f>
        <v>* totalDoseTdGy 0..1 Quantity ##34#Total Dose TD Gy##34# ##334#Refers to the total dose delivered to the patient in Gy##334#</v>
      </c>
    </row>
    <row r="105" spans="3:3">
      <c r="C105" s="12" t="str">
        <f>IF(Treatment!J105="*  ..  ##34###34# ##334###334#","//--- END",Treatment!J105)</f>
        <v>* fractionSizeFs 0..1 Quantity ##34#Fraction Size FS##34# ##334#Refers to the Dose per fraction delivered to the patient##334#</v>
      </c>
    </row>
    <row r="106" spans="3:3" ht="29.5">
      <c r="C106" s="12" t="str">
        <f>IF(Treatment!J106="*  ..  ##34###34# ##334###334#","//--- END",Treatment!J106)</f>
        <v>* numberOfFractions 0..1 integer ##34#Number of fractions##34# ##334#Refers to the total number of fractions delivered to the patient##334#</v>
      </c>
    </row>
    <row r="107" spans="3:3" ht="29.5">
      <c r="C107" s="12" t="str">
        <f>IF(Treatment!J107="*  ..  ##34###34# ##334###334#","//--- END",Treatment!J107)</f>
        <v>* totalHighDoseGy 0..1 Quantity ##34#Total High Dose Gy##34# ##334#Refers to the highest dose delivered to the patient##334#</v>
      </c>
    </row>
    <row r="108" spans="3:3" ht="29.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c r="C111" s="12" t="str">
        <f>IF(Treatment!J111="*  ..  ##34###34# ##334###334#","//--- END",Treatment!J111)</f>
        <v>* totalLowDoseGy 0..1 Quantity ##34#Total Low Dose Gy##34# ##334#The lowest dose prescribed to the patients tumor##334#</v>
      </c>
    </row>
    <row r="112" spans="3:3" ht="29.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c r="C113" s="12" t="str">
        <f>IF(Treatment!J113="*  ..  ##34###34# ##334###334#","//--- END",Treatment!J113)</f>
        <v>* fractionationPattern 0..1 BackboneElement ##34#Fractionation Pattern##34# ##334#Refers to the pattern of how the radiation was delivered##334#</v>
      </c>
    </row>
    <row r="114" spans="3:3" ht="44.2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c r="C118" s="12" t="str">
        <f>IF(Treatment!J118="*  ..  ##34###34# ##334###334#","//--- END",Treatment!J118)</f>
        <v>* otherSpecify2 0..1 string ##34#Other specify 2##34# ##334#Specifies if the second beam quality is other##334#</v>
      </c>
    </row>
    <row r="119" spans="3:3" ht="29.5">
      <c r="C119" s="12" t="str">
        <f>IF(Treatment!J119="*  ..  ##34###34# ##334###334#","//--- END",Treatment!J119)</f>
        <v>* treatmentTechnique2 0..1 string ##34#Treatment technique2##34# ##334#Refers to the type of radiotherapy treatment delivered as second beam##334#</v>
      </c>
    </row>
    <row r="120" spans="3:3" ht="59">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c r="C121" s="12" t="str">
        <f>IF(Treatment!J121="*  ..  ##34###34# ##334###334#","//--- END",Treatment!J121)</f>
        <v>* startDate 0..1 date ##34#Start date##34# ##334#Date when  the first radiation treatment was delivered##334#</v>
      </c>
    </row>
    <row r="122" spans="3:3" ht="29.5">
      <c r="C122" s="12" t="str">
        <f>IF(Treatment!J122="*  ..  ##34###34# ##334###334#","//--- END",Treatment!J122)</f>
        <v>* startDateRadiotherapyDayUnknown 0..1 date ##34#Start date radiotherapy day unknown##34# ##334#Describes if the day of start radiotherapy  is unknwon##334#</v>
      </c>
    </row>
    <row r="123" spans="3:3">
      <c r="C123" s="12" t="str">
        <f>IF(Treatment!J123="*  ..  ##34###34# ##334###334#","//--- END",Treatment!J123)</f>
        <v>* endDate 0..1 date ##34#End  date##34# ##334#Date when the last radiation treatment ended##334#</v>
      </c>
    </row>
    <row r="124" spans="3:3" ht="29.5">
      <c r="C124" s="12" t="str">
        <f>IF(Treatment!J124="*  ..  ##34###34# ##334###334#","//--- END",Treatment!J124)</f>
        <v>* endDateRadiotherapyDayUnknown 0..1 date ##34#End date radiotherapy day unknown##34# ##334#Describes if the day of end of radiotherapy  is unknwon##334#</v>
      </c>
    </row>
    <row r="125" spans="3:3" ht="44.2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c r="C126" s="12" t="str">
        <f>IF(Treatment!J126="*  ..  ##34###34# ##334###334#","//--- END",Treatment!J126)</f>
        <v>* treatmentDaysMissed 0..1 Quantity ##34#Treatment days missed##34# ##334#Refers to the number of days missed during treatment##334#</v>
      </c>
    </row>
    <row r="127" spans="3:3" ht="29.5">
      <c r="C127" s="12" t="str">
        <f>IF(Treatment!J127="*  ..  ##34###34# ##334###334#","//--- END",Treatment!J127)</f>
        <v>* overallTreatmentTimeOtt 0..1 Quantity ##34#Overall Treatment TimeOTT##34# ##334#Number of days that the radiation treatment took inclusive of  the first and last day Automatic calculated##334#</v>
      </c>
    </row>
    <row r="128" spans="3:3" ht="29.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c r="C130" s="12" t="str">
        <f>IF(Treatment!J130="*  ..  ##34###34# ##334###334#","//--- END",Treatment!J130)</f>
        <v>* primary 0..1 BackboneElement ##34#Primary ##34# ##334#Primary ##334#</v>
      </c>
    </row>
    <row r="131" spans="3:3">
      <c r="C131" s="12" t="str">
        <f>IF(Treatment!J131="*  ..  ##34###34# ##334###334#","//--- END",Treatment!J131)</f>
        <v>* neck 0..1 BackboneElement ##34#Neck ##34# ##334#Neck ##334#</v>
      </c>
    </row>
    <row r="132" spans="3:3" ht="29.5">
      <c r="C132" s="12" t="str">
        <f>IF(Treatment!J132="*  ..  ##34###34# ##334###334#","//--- END",Treatment!J132)</f>
        <v>* primaryAndIpsilateralNeck 0..1 BackboneElement ##34#Primary and Ipsilateral Neck##34# ##334#Primary and Ipsilateral Neck##334#</v>
      </c>
    </row>
    <row r="133" spans="3:3" ht="29.5">
      <c r="C133" s="12" t="str">
        <f>IF(Treatment!J133="*  ..  ##34###34# ##334###334#","//--- END",Treatment!J133)</f>
        <v>* primaryAndBilateralNeck 0..1 BackboneElement ##34#Primary and Bilateral Neck##34# ##334#Primary and Bilateral Neck##334#</v>
      </c>
    </row>
    <row r="134" spans="3:3">
      <c r="C134" s="12" t="str">
        <f>IF(Treatment!J134="*  ..  ##34###34# ##334###334#","//--- END",Treatment!J134)</f>
        <v>* distantMetastasis 0..1 BackboneElement ##34#Distant Metastasis##34# ##334#Distant Metastasis##334#</v>
      </c>
    </row>
    <row r="135" spans="3:3" ht="29.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c r="C136" s="12" t="str">
        <f>IF(Treatment!J136="*  ..  ##34###34# ##334###334#","//--- END",Treatment!J136)</f>
        <v>* lung
 0..1 BackboneElement ##34#Lung
##34# ##334#Lung
##334#</v>
      </c>
    </row>
    <row r="137" spans="3:3" ht="59">
      <c r="C137" s="12" t="str">
        <f>IF(Treatment!J137="*  ..  ##34###34# ##334###334#","//--- END",Treatment!J137)</f>
        <v>* mediastinum
 0..1 BackboneElement ##34#Mediastinum
##34# ##334#Mediastinum
##334#</v>
      </c>
    </row>
    <row r="138" spans="3:3" ht="59">
      <c r="C138" s="12" t="str">
        <f>IF(Treatment!J138="*  ..  ##34###34# ##334###334#","//--- END",Treatment!J138)</f>
        <v>* bone
 0..1 BackboneElement ##34#Bone
##34# ##334#Bone
##334#</v>
      </c>
    </row>
    <row r="139" spans="3:3" ht="59">
      <c r="C139" s="12" t="str">
        <f>IF(Treatment!J139="*  ..  ##34###34# ##334###334#","//--- END",Treatment!J139)</f>
        <v>* softTissue
 0..1 BackboneElement ##34#Soft Tissue
##34# ##334#Soft Tissue
##334#</v>
      </c>
    </row>
    <row r="140" spans="3:3" ht="59">
      <c r="C140" s="12" t="str">
        <f>IF(Treatment!J140="*  ..  ##34###34# ##334###334#","//--- END",Treatment!J140)</f>
        <v>* liver
 0..1 BackboneElement ##34#Liver
##34# ##334#Liver
##334#</v>
      </c>
    </row>
    <row r="141" spans="3:3">
      <c r="C141" s="12" t="str">
        <f>IF(Treatment!J141="*  ..  ##34###34# ##334###334#","//--- END",Treatment!J141)</f>
        <v>* unknown 0..1 BackboneElement ##34#Unknown##34# ##334#Unknown##334#</v>
      </c>
    </row>
    <row r="142" spans="3:3">
      <c r="C142" s="12" t="str">
        <f>IF(Treatment!J142="*  ..  ##34###34# ##334###334#","//--- END",Treatment!J142)</f>
        <v>* other 0..1 BackboneElement ##34#Other ##34# ##334#Other ##334#</v>
      </c>
    </row>
    <row r="143" spans="3:3">
      <c r="C143" s="12" t="str">
        <f>IF(Treatment!J143="*  ..  ##34###34# ##334###334#","//--- END",Treatment!J143)</f>
        <v>* otherSpecify 0..1 BackboneElement ##34#Other specify##34# ##334#Other specify##334#</v>
      </c>
    </row>
    <row r="144" spans="3:3" ht="44.2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c r="C145" s="12" t="str">
        <f>IF(Treatment!J145="*  ..  ##34###34# ##334###334#","//--- END",Treatment!J145)</f>
        <v>* neckLevelsIrradiatedLeft 0..1 string ##34#Neck Levels Irradiated Left##34# ##334#Same as above but for the left neck##334#</v>
      </c>
    </row>
    <row r="146" spans="3:3" ht="29.5">
      <c r="C146" s="12" t="str">
        <f>IF(Treatment!J146="*  ..  ##34###34# ##334###334#","//--- END",Treatment!J146)</f>
        <v>* ctvHighExpansion 0..1 string ##34#CTV High Expansion##34# ##334#Refers to the margin that was used from GTV to CTV for the highest prescription dose##334#</v>
      </c>
    </row>
    <row r="147" spans="3:3" ht="29.5">
      <c r="C147" s="12" t="str">
        <f>IF(Treatment!J147="*  ..  ##34###34# ##334###334#","//--- END",Treatment!J147)</f>
        <v>* ptvHighExpansion 0..1 string ##34#PTV High expansion##34# ##334#Refers to the margin that was used from CTV to PTV##334#</v>
      </c>
    </row>
    <row r="148" spans="3:3">
      <c r="C148" s="12" t="str">
        <f>IF(Treatment!J148="*  ..  ##34###34# ##334###334#","//--- END",Treatment!J148)</f>
        <v>* v60OfSkin 0..1 string ##34#V60 of Skin##34# ##334#Refers to the volume of skin receiving at least 60 Gy##334#</v>
      </c>
    </row>
    <row r="149" spans="3:3" ht="59">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c r="C150" s="12" t="str">
        <f>IF(Treatment!J150="*  ..  ##34###34# ##334###334#","//--- END",Treatment!J150)</f>
        <v>* hospitalizedDuringRt 0..1 string ##34#Hospitalized during RT##34# ##334#Did the patient has been hospitalized during RT##334#</v>
      </c>
    </row>
    <row r="151" spans="3:3" ht="29.5">
      <c r="C151" s="12" t="str">
        <f>IF(Treatment!J151="*  ..  ##34###34# ##334###334#","//--- END",Treatment!J151)</f>
        <v>* carotidBlowout 0..1 string ##34#Carotid Blowout ##34# ##334#Did the patient develop a carotid blow out during or after radiation##334#</v>
      </c>
    </row>
    <row r="152" spans="3:3">
      <c r="C152" s="12" t="str">
        <f>IF(Treatment!J152="*  ..  ##34###34# ##334###334#","//--- END",Treatment!J152)</f>
        <v>* feedingTubeDuringRt 0..1 string ##34#Feeding Tube during RT##34# ##334#Was a feeding tube required after RT##334#</v>
      </c>
    </row>
    <row r="153" spans="3:3" ht="29.5">
      <c r="C153" s="12" t="str">
        <f>IF(Treatment!J153="*  ..  ##34###34# ##334###334#","//--- END",Treatment!J153)</f>
        <v>* feedingTubeReason 0..1 string ##34#Feeding Tube reason##34# ##334#Was the feeding tube placed only prophylactically or reactively due to significant weight loss during treatment##334#</v>
      </c>
    </row>
    <row r="154" spans="3:3">
      <c r="C154" s="12" t="str">
        <f>IF(Treatment!J154="*  ..  ##34###34# ##334###334#","//--- END",Treatment!J154)</f>
        <v>* smokingDuringRt 0..1 string ##34#Smoking during RT##34# ##334#Did the patient smoke cigarettes during radiation##334#</v>
      </c>
    </row>
    <row r="155" spans="3:3">
      <c r="C155" s="12" t="str">
        <f>IF(Treatment!J155="*  ..  ##34###34# ##334###334#","//--- END",Treatment!J155)</f>
        <v>* alcoholDuringRt 0..1 string ##34#Alcohol during RT##34# ##334#Did the patient drink alcohol during radiation##334#</v>
      </c>
    </row>
    <row r="156" spans="3:3">
      <c r="C156" s="12" t="str">
        <f>IF(Treatment!J156="*  ..  ##34###34# ##334###334#","//--- END",Treatment!J156)</f>
        <v>* otherTypeOfTreatment 0..1 BackboneElement ##34#Other type of treatment##34# ##334#Other type of treatment##334#</v>
      </c>
    </row>
    <row r="157" spans="3:3" ht="29.5">
      <c r="C157" s="12" t="str">
        <f>IF(Treatment!J157="*  ..  ##34###34# ##334###334#","//--- END",Treatment!J157)</f>
        <v>* otherTreatmentPerformed 0..1 BackboneElement ##34#Other treatment performed##34# ##334#Other treatment performed##334#</v>
      </c>
    </row>
    <row r="158" spans="3:3">
      <c r="C158" s="12" t="str">
        <f>IF(Treatment!J158="*  ..  ##34###34# ##334###334#","//--- END",Treatment!J158)</f>
        <v>* dateOfStart 0..1 BackboneElement ##34#Date of start other treatment ##34# ##334#Date of start other treatment ##334#</v>
      </c>
    </row>
    <row r="159" spans="3:3" ht="29.5">
      <c r="C159" s="12" t="str">
        <f>IF(Treatment!J159="*  ..  ##34###34# ##334###334#","//--- END",Treatment!J159)</f>
        <v>* dateOfOtherTreatmentDayUnknown 0..1 BackboneElement ##34#Date of other treatment day unknown##34# ##334#Date of other treatment day unknown##334#</v>
      </c>
    </row>
    <row r="160" spans="3:3">
      <c r="C160" s="12" t="str">
        <f>IF(Treatment!J160="*  ..  ##34###34# ##334###334#","//--- END",Treatment!J160)</f>
        <v>* dateOfEnd 0..1 BackboneElement ##34#Date of end other treatment ##34# ##334#Date of end other treatment ##334#</v>
      </c>
    </row>
    <row r="161" spans="3:3" ht="29.5">
      <c r="C161" s="12" t="str">
        <f>IF(Treatment!J161="*  ..  ##34###34# ##334###334#","//--- END",Treatment!J161)</f>
        <v>* dateOfEndOtherTreatmentDayUnknown 0..1 BackboneElement ##34#Date of end other treatment day unknown##34# ##334#Date of end other treatment day unknown##334#</v>
      </c>
    </row>
    <row r="162" spans="3:3">
      <c r="C162" s="12" t="str">
        <f>IF(Treatment!J162="*  ..  ##34###34# ##334###334#","//--- END",Treatment!J162)</f>
        <v>* type 0..1 BackboneElement ##34#Type##34# ##334#Type##334#</v>
      </c>
    </row>
    <row r="163" spans="3:3" ht="29.5">
      <c r="C163" s="12" t="str">
        <f>IF(Treatment!J163="*  ..  ##34###34# ##334###334#","//--- END",Treatment!J163)</f>
        <v>* treatmentCompleted 0..1 BackboneElement ##34#Treatment Completed as Planned ##34# ##334#Treatment Completed as Planned ##334#</v>
      </c>
    </row>
    <row r="164" spans="3:3" ht="29.5">
      <c r="C164" s="12" t="str">
        <f>IF(Treatment!J164="*  ..  ##34###34# ##334###334#","//--- END",Treatment!J164)</f>
        <v>* overallTreatmentResponse 0..1 BackboneElement ##34#Overall treatment response##34# ##334#Overall treatment response##334#</v>
      </c>
    </row>
    <row r="165" spans="3:3" ht="44.2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c r="C166" s="12" t="str">
        <f>IF(Treatment!J166="*  ..  ##34###34# ##334###334#","//--- END",Treatment!J166)</f>
        <v>* treatmentResponseDefineddone 0..1 BackboneElement ##34#Treatment response defineddone##34# ##334#Treatment response defineddone##334#</v>
      </c>
    </row>
    <row r="167" spans="3:3" ht="29.5">
      <c r="C167" s="12" t="str">
        <f>IF(Treatment!J167="*  ..  ##34###34# ##334###334#","//--- END",Treatment!J167)</f>
        <v>* patientIncludedInClinicalTrial 0..1 BackboneElement ##34#PATIENT INCLUDED IN CLINICAL TRIAL ##34# ##334#PATIENT INCLUDED IN CLINICAL TRIAL ##334#</v>
      </c>
    </row>
    <row r="168" spans="3:3" ht="29.5">
      <c r="C168" s="12" t="str">
        <f>IF(Treatment!J168="*  ..  ##34###34# ##334###334#","//--- END",Treatment!J168)</f>
        <v>* patientIncludedInAClinicalTrial 0..1 BackboneElement ##34#Patient included in a clinical trial##34# ##334#Patient included in a clinical trial##334#</v>
      </c>
    </row>
    <row r="169" spans="3:3">
      <c r="C169" s="12" t="str">
        <f>IF(Treatment!J169="*  ..  ##34###34# ##334###334#","//--- END",Treatment!J169)</f>
        <v>* clinicalTrialCode 0..1 BackboneElement ##34#Clinical trial code##34# ##334#Clinical trial code##334#</v>
      </c>
    </row>
    <row r="170" spans="3:3">
      <c r="C170" s="12" t="str">
        <f>IF(Treatment!J170="*  ..  ##34###34# ##334###334#","//--- END",Treatment!J170)</f>
        <v>* instrumentStatus 0..1 BackboneElement ##34#Instrument status##34# ##334#Instrument status##334#</v>
      </c>
    </row>
    <row r="171" spans="3:3">
      <c r="C171" s="12" t="str">
        <f>IF(Treatment!J171="*  ..  ##34###34# ##334###334#","//--- END",Treatment!J171)</f>
        <v>//--- END</v>
      </c>
    </row>
    <row r="172" spans="3:3">
      <c r="C172" s="12" t="str">
        <f>IF(Treatment!J172="*  ..  ##34###34# ##334###334#","//--- END",Treatment!J172)</f>
        <v>//--- END</v>
      </c>
    </row>
    <row r="173" spans="3:3">
      <c r="C173" s="12" t="str">
        <f>IF(Treatment!J173="*  ..  ##34###34# ##334###334#","//--- END",Treatment!J173)</f>
        <v>//--- END</v>
      </c>
    </row>
    <row r="174" spans="3:3">
      <c r="C174" s="12" t="str">
        <f>IF(Treatment!J174="*  ..  ##34###34# ##334###334#","//--- END",Treatment!J174)</f>
        <v>//--- END</v>
      </c>
    </row>
    <row r="175" spans="3:3">
      <c r="C175" s="12" t="str">
        <f>IF(Treatment!J175="*  ..  ##34###34# ##334###334#","//--- END",Treatment!J175)</f>
        <v>//--- END</v>
      </c>
    </row>
    <row r="176" spans="3:3">
      <c r="C176" s="12" t="str">
        <f>IF(Treatment!J176="*  ..  ##34###34# ##334###334#","//--- END",Treatment!J176)</f>
        <v>//--- END</v>
      </c>
    </row>
    <row r="177" spans="3:3">
      <c r="C177" s="12" t="str">
        <f>IF(Treatment!J177="*  ..  ##34###34# ##334###334#","//--- END",Treatment!J177)</f>
        <v>//--- END</v>
      </c>
    </row>
    <row r="187" spans="3:3">
      <c r="C187" s="23" t="s">
        <v>1624</v>
      </c>
    </row>
    <row r="188" spans="3:3">
      <c r="C188" s="24" t="s">
        <v>1668</v>
      </c>
    </row>
    <row r="189" spans="3:3">
      <c r="C189" s="24" t="s">
        <v>1624</v>
      </c>
    </row>
    <row r="190" spans="3:3">
      <c r="C190" s="12" t="str">
        <f>IF(Treatment!L8="*  ..  ##34###34# ##334###334#","//--- END",Treatment!L8)</f>
        <v/>
      </c>
    </row>
    <row r="191" spans="3:3">
      <c r="C191" s="12" t="str">
        <f>IF(Treatment!L9="*  ..  ##34###34# ##334###334#","//--- END",Treatment!L9)</f>
        <v>* surgeryPerformed ^comment = ##334#A string value representing if and where was the surgery performed##334#</v>
      </c>
    </row>
    <row r="192" spans="3:3" ht="44.2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c r="C193" s="12" t="str">
        <f>IF(Treatment!L11="*  ..  ##34###34# ##334###334#","//--- END",Treatment!L11)</f>
        <v>* surgeryIntention ^comment = ##334#A string value whether the surgery was performed with palliative or curative intentions of it was unknown##334#</v>
      </c>
    </row>
    <row r="194" spans="3:3">
      <c r="C194" s="12" t="str">
        <f>IF(Treatment!L12="*  ..  ##34###34# ##334###334#","//--- END",Treatment!L12)</f>
        <v>* tumorSurgeryApproach ^comment = ##334#A string value to describe the used approach##334#</v>
      </c>
    </row>
    <row r="195" spans="3:3">
      <c r="C195" s="12" t="str">
        <f>IF(Treatment!L13="*  ..  ##34###34# ##334###334#","//--- END",Treatment!L13)</f>
        <v>* tumorSurgeryDevice ^comment = ##334#A string value to specify the used device##334#</v>
      </c>
    </row>
    <row r="196" spans="3:3">
      <c r="C196" s="12" t="str">
        <f>IF(Treatment!L14="*  ..  ##34###34# ##334###334#","//--- END",Treatment!L14)</f>
        <v/>
      </c>
    </row>
    <row r="197" spans="3:3" ht="29.5">
      <c r="C197" s="12" t="str">
        <f>IF(Treatment!L15="*  ..  ##34###34# ##334###334#","//--- END",Treatment!L15)</f>
        <v>* surgicalProcedure.surgicalProcedureNasopharynx ^comment = ##334#A string value to specify the used procedure for the nasopharynx tumour##334#</v>
      </c>
    </row>
    <row r="198" spans="3:3" ht="29.5">
      <c r="C198" s="12" t="str">
        <f>IF(Treatment!L16="*  ..  ##34###34# ##334###334#","//--- END",Treatment!L16)</f>
        <v>* surgicalProcedure.surgicalProcedureNasalCavityAndParanasalSinus ^comment = ##334#A string value to specify the procedure for the nasal cavity and paranasal sinus tumour##334#</v>
      </c>
    </row>
    <row r="199" spans="3:3" ht="29.5">
      <c r="C199" s="12" t="str">
        <f>IF(Treatment!L17="*  ..  ##34###34# ##334###334#","//--- END",Treatment!L17)</f>
        <v>* surgicalProcedure.surgicalProcedureSalivaryGland ^comment = ##334#A string value to specify the procedure for the salivary glands tumour##334#</v>
      </c>
    </row>
    <row r="200" spans="3:3">
      <c r="C200" s="12" t="str">
        <f>IF(Treatment!L18="*  ..  ##34###34# ##334###334#","//--- END",Treatment!L18)</f>
        <v>* surgicalProcedure.surgicalProcedureEar ^comment = ##334#A string value to specify the procedure for the ear##334#</v>
      </c>
    </row>
    <row r="201" spans="3:3">
      <c r="C201" s="12" t="str">
        <f>IF(Treatment!L19="*  ..  ##34###34# ##334###334#","//--- END",Treatment!L19)</f>
        <v>* surgicalProcedure.surgicalProcedureLip ^comment = ##334#A string value to specify the procedure for the lip tumour##334#</v>
      </c>
    </row>
    <row r="202" spans="3:3" ht="29.5">
      <c r="C202" s="12" t="str">
        <f>IF(Treatment!L20="*  ..  ##34###34# ##334###334#","//--- END",Treatment!L20)</f>
        <v>* surgicalProcedure.surgicalProcedureOralCavity ^comment = ##334#A string value to specify the procedure for the oral cavity tumour##334#</v>
      </c>
    </row>
    <row r="203" spans="3:3" ht="29.5">
      <c r="C203" s="12" t="str">
        <f>IF(Treatment!L21="*  ..  ##34###34# ##334###334#","//--- END",Treatment!L21)</f>
        <v>* surgicalProcedure.surgicalProcedureMandibulectomy ^comment = ##334#A string value to specify the procedure for the mandibule tumour##334#</v>
      </c>
    </row>
    <row r="204" spans="3:3" ht="29.5">
      <c r="C204" s="12" t="str">
        <f>IF(Treatment!L22="*  ..  ##34###34# ##334###334#","//--- END",Treatment!L22)</f>
        <v>* surgicalProcedure.surgicalProcedureOropharynx ^comment = ##334#A string value to specify the procedure for the oropharynx tumour##334#</v>
      </c>
    </row>
    <row r="205" spans="3:3" ht="29.5">
      <c r="C205" s="12" t="str">
        <f>IF(Treatment!L23="*  ..  ##34###34# ##334###334#","//--- END",Treatment!L23)</f>
        <v>* surgicalProcedure.surgicalProcedureHypopharynx ^comment = ##334#A string value to specify the procedure for the hypopharynx tumour##334#</v>
      </c>
    </row>
    <row r="206" spans="3:3" ht="29.5">
      <c r="C206" s="12" t="str">
        <f>IF(Treatment!L24="*  ..  ##34###34# ##334###334#","//--- END",Treatment!L24)</f>
        <v>* surgicalProcedure.surgicalProcedureLarynx ^comment = ##334#A string value to specify the procedure for the larynx tumour##334#</v>
      </c>
    </row>
    <row r="207" spans="3:3">
      <c r="C207" s="12" t="str">
        <f>IF(Treatment!L25="*  ..  ##34###34# ##334###334#","//--- END",Treatment!L25)</f>
        <v/>
      </c>
    </row>
    <row r="208" spans="3:3">
      <c r="C208" s="12" t="str">
        <f>IF(Treatment!L26="*  ..  ##34###34# ##334###334#","//--- END",Treatment!L26)</f>
        <v>* reconstruction.flag ^comment = ##334#A string value to specify whether a reconstruction procedure was performed##334#</v>
      </c>
    </row>
    <row r="209" spans="3:3" ht="29.5">
      <c r="C209" s="12" t="str">
        <f>IF(Treatment!L27="*  ..  ##34###34# ##334###334#","//--- END",Treatment!L27)</f>
        <v>* reconstruction.reconstructionType ^comment = ##334#A string value to describe the type of graft or flap used for the reconstruction##334#</v>
      </c>
    </row>
    <row r="210" spans="3:3" ht="29.5">
      <c r="C210" s="12" t="str">
        <f>IF(Treatment!L28="*  ..  ##34###34# ##334###334#","//--- END",Treatment!L28)</f>
        <v>* reconstruction.firstFlapUsedForReconstruction ^comment = ##334#A string value to describe the first and only if so flap used for reconstruction##334#</v>
      </c>
    </row>
    <row r="211" spans="3:3" ht="29.5">
      <c r="C211" s="12" t="str">
        <f>IF(Treatment!L29="*  ..  ##34###34# ##334###334#","//--- END",Treatment!L29)</f>
        <v>* reconstruction.secondFlapUsedForReconstruction ^comment = ##334#A string value to describe the second flap used for reconstruction##334#</v>
      </c>
    </row>
    <row r="212" spans="3:3">
      <c r="C212" s="12" t="str">
        <f>IF(Treatment!L30="*  ..  ##34###34# ##334###334#","//--- END",Treatment!L30)</f>
        <v>* neckSurgery ^comment = ##334#A string value to describe whether a surgical procedure for the neck was performed##334#</v>
      </c>
    </row>
    <row r="213" spans="3:3" ht="29.5">
      <c r="C213" s="12" t="str">
        <f>IF(Treatment!L31="*  ..  ##34###34# ##334###334#","//--- END",Treatment!L31)</f>
        <v>* dateOfNeckSurgeryIfDifferentFromDateOfTumorSiteSurgery ^comment = ##334#Date of the surgery for the neck when it was performed after tumor resection ##334#</v>
      </c>
    </row>
    <row r="214" spans="3:3">
      <c r="C214" s="12" t="str">
        <f>IF(Treatment!L32="*  ..  ##34###34# ##334###334#","//--- END",Treatment!L32)</f>
        <v/>
      </c>
    </row>
    <row r="215" spans="3:3" ht="29.5">
      <c r="C215" s="12" t="str">
        <f>IF(Treatment!L33="*  ..  ##34###34# ##334###334#","//--- END",Treatment!L33)</f>
        <v>* nodePicking ^comment = ##334#String describing whether a nonprotocoled and nonstandardized resection of more than one lymph node is performed or not##334#</v>
      </c>
    </row>
    <row r="216" spans="3:3" ht="29.5">
      <c r="C216" s="12" t="str">
        <f>IF(Treatment!L34="*  ..  ##34###34# ##334###334#","//--- END",Treatment!L34)</f>
        <v>* neckDissection ^comment = ##334#String describing whether a protocoled and standardized en block resection of lymphatic tissue is performed or not##334#</v>
      </c>
    </row>
    <row r="217" spans="3:3">
      <c r="C217" s="12" t="str">
        <f>IF(Treatment!L35="*  ..  ##34###34# ##334###334#","//--- END",Treatment!L35)</f>
        <v>* lateralityOfTheDissection ^comment = ##334#String describing the laterality of the neck surgical procedure##334#</v>
      </c>
    </row>
    <row r="218" spans="3:3">
      <c r="C218" s="12" t="str">
        <f>IF(Treatment!L36="*  ..  ##34###34# ##334###334#","//--- END",Treatment!L36)</f>
        <v>* surgicalProcedureRightNeck ^comment = ##334#String describing the surgical procedure performed right##334#</v>
      </c>
    </row>
    <row r="219" spans="3:3">
      <c r="C219" s="12" t="str">
        <f>IF(Treatment!L37="*  ..  ##34###34# ##334###334#","//--- END",Treatment!L37)</f>
        <v>* surgicalProcedureRightNeckLevelsDissected ^comment = ##334#String describing the lympathic levels##334#</v>
      </c>
    </row>
    <row r="220" spans="3:3">
      <c r="C220" s="12" t="str">
        <f>IF(Treatment!L38="*  ..  ##34###34# ##334###334#","//--- END",Treatment!L38)</f>
        <v>* surgicalProcedureLeftNeck ^comment = ##334#String describing the surgical procedure performed left##334#</v>
      </c>
    </row>
    <row r="221" spans="3:3">
      <c r="C221" s="12" t="str">
        <f>IF(Treatment!L39="*  ..  ##34###34# ##334###334#","//--- END",Treatment!L39)</f>
        <v>* surgicalProcedureLeftNeckLevelsDissected ^comment = ##334#String describing the lympathic levels##334#</v>
      </c>
    </row>
    <row r="222" spans="3:3">
      <c r="C222" s="12" t="str">
        <f>IF(Treatment!L40="*  ..  ##34###34# ##334###334#","//--- END",Treatment!L40)</f>
        <v>* surgeryOnM ^comment = ##334#A string describing whether the surgery on metastasis was performed or not##334#</v>
      </c>
    </row>
    <row r="223" spans="3:3">
      <c r="C223" s="12" t="str">
        <f>IF(Treatment!L41="*  ..  ##34###34# ##334###334#","//--- END",Treatment!L41)</f>
        <v/>
      </c>
    </row>
    <row r="224" spans="3:3">
      <c r="C224" s="12" t="str">
        <f>IF(Treatment!L42="*  ..  ##34###34# ##334###334#","//--- END",Treatment!L42)</f>
        <v/>
      </c>
    </row>
    <row r="225" spans="3:3">
      <c r="C225" s="12" t="str">
        <f>IF(Treatment!L43="*  ..  ##34###34# ##334###334#","//--- END",Treatment!L43)</f>
        <v/>
      </c>
    </row>
    <row r="226" spans="3:3">
      <c r="C226" s="12" t="str">
        <f>IF(Treatment!L44="*  ..  ##34###34# ##334###334#","//--- END",Treatment!L44)</f>
        <v/>
      </c>
    </row>
    <row r="227" spans="3:3">
      <c r="C227" s="12" t="str">
        <f>IF(Treatment!L45="*  ..  ##34###34# ##334###334#","//--- END",Treatment!L45)</f>
        <v/>
      </c>
    </row>
    <row r="228" spans="3:3">
      <c r="C228" s="12" t="str">
        <f>IF(Treatment!L46="*  ..  ##34###34# ##334###334#","//--- END",Treatment!L46)</f>
        <v/>
      </c>
    </row>
    <row r="229" spans="3:3">
      <c r="C229" s="12" t="str">
        <f>IF(Treatment!L47="*  ..  ##34###34# ##334###334#","//--- END",Treatment!L47)</f>
        <v/>
      </c>
    </row>
    <row r="230" spans="3:3">
      <c r="C230" s="12" t="str">
        <f>IF(Treatment!L48="*  ..  ##34###34# ##334###334#","//--- END",Treatment!L48)</f>
        <v/>
      </c>
    </row>
    <row r="231" spans="3:3">
      <c r="C231" s="12" t="str">
        <f>IF(Treatment!L49="*  ..  ##34###34# ##334###334#","//--- END",Treatment!L49)</f>
        <v/>
      </c>
    </row>
    <row r="232" spans="3:3">
      <c r="C232" s="12" t="str">
        <f>IF(Treatment!L50="*  ..  ##34###34# ##334###334#","//--- END",Treatment!L50)</f>
        <v/>
      </c>
    </row>
    <row r="233" spans="3:3">
      <c r="C233" s="12" t="str">
        <f>IF(Treatment!L51="*  ..  ##34###34# ##334###334#","//--- END",Treatment!L51)</f>
        <v/>
      </c>
    </row>
    <row r="234" spans="3:3">
      <c r="C234" s="12" t="str">
        <f>IF(Treatment!L52="*  ..  ##34###34# ##334###334#","//--- END",Treatment!L52)</f>
        <v>* dateOfSurgeryOnMIfDifferentFromDateOfTumorSiteSurgery ^comment = ##334#A date##334#</v>
      </c>
    </row>
    <row r="235" spans="3:3" ht="29.5">
      <c r="C235" s="12" t="str">
        <f>IF(Treatment!L53="*  ..  ##34###34# ##334###334#","//--- END",Treatment!L53)</f>
        <v>* surgicalComplicationsClavienDindoClassificationPleaseSelectTheWorstOne ^comment = ##334#A string describing the presence and grade of complications after a surgical procedure Rank1##334#</v>
      </c>
    </row>
    <row r="236" spans="3:3" ht="29.5">
      <c r="C236" s="12" t="str">
        <f>IF(Treatment!L54="*  ..  ##34###34# ##334###334#","//--- END",Treatment!L54)</f>
        <v>* surgicalComplicationsClavienDindoClassification2ComplicationsPleaseSelectThe2WorstOne ^comment = ##334#A string describing the presence and grade of complications after a surgical procedure Rank2##334#</v>
      </c>
    </row>
    <row r="237" spans="3:3" ht="29.5">
      <c r="C237" s="12" t="str">
        <f>IF(Treatment!L55="*  ..  ##34###34# ##334###334#","//--- END",Treatment!L55)</f>
        <v>* unplannedSurgery ^comment = ##334#A  string describing whether an unplanned surgery was performed with radical intention after the first one that was not completed  inappropriate ##334#</v>
      </c>
    </row>
    <row r="238" spans="3:3">
      <c r="C238" s="12" t="str">
        <f>IF(Treatment!L56="*  ..  ##34###34# ##334###334#","//--- END",Treatment!L56)</f>
        <v>* dateOfUnplannedSurgery ^comment = ##334#A date##334#</v>
      </c>
    </row>
    <row r="239" spans="3:3">
      <c r="C239" s="12" t="str">
        <f>IF(Treatment!L57="*  ..  ##34###34# ##334###334#","//--- END",Treatment!L57)</f>
        <v>* marginsAfterUnplannedSurgery ^comment = ##334#A  string describing the surgery margins after unplanned##334#</v>
      </c>
    </row>
    <row r="240" spans="3:3" ht="29.5">
      <c r="C240" s="12" t="str">
        <f>IF(Treatment!L58="*  ..  ##34###34# ##334###334#","//--- END",Treatment!L58)</f>
        <v>* unplannedNeckSurgery ^comment = ##334#A string describing whether an unplanned surgical procedure to treat and address the neck was performed or not ##334#</v>
      </c>
    </row>
    <row r="241" spans="3:3">
      <c r="C241" s="12" t="str">
        <f>IF(Treatment!L59="*  ..  ##34###34# ##334###334#","//--- END",Treatment!L59)</f>
        <v/>
      </c>
    </row>
    <row r="242" spans="3:3">
      <c r="C242" s="12" t="str">
        <f>IF(Treatment!L60="*  ..  ##34###34# ##334###334#","//--- END",Treatment!L60)</f>
        <v/>
      </c>
    </row>
    <row r="243" spans="3:3">
      <c r="C243" s="12" t="str">
        <f>IF(Treatment!L61="*  ..  ##34###34# ##334###334#","//--- END",Treatment!L61)</f>
        <v/>
      </c>
    </row>
    <row r="244" spans="3:3">
      <c r="C244" s="12" t="str">
        <f>IF(Treatment!L62="*  ..  ##34###34# ##334###334#","//--- END",Treatment!L62)</f>
        <v/>
      </c>
    </row>
    <row r="245" spans="3:3">
      <c r="C245" s="12" t="str">
        <f>IF(Treatment!L63="*  ..  ##34###34# ##334###334#","//--- END",Treatment!L63)</f>
        <v/>
      </c>
    </row>
    <row r="246" spans="3:3">
      <c r="C246" s="12" t="str">
        <f>IF(Treatment!L64="*  ..  ##34###34# ##334###334#","//--- END",Treatment!L64)</f>
        <v/>
      </c>
    </row>
    <row r="247" spans="3:3">
      <c r="C247" s="12" t="str">
        <f>IF(Treatment!L65="*  ..  ##34###34# ##334###334#","//--- END",Treatment!L65)</f>
        <v/>
      </c>
    </row>
    <row r="248" spans="3:3">
      <c r="C248" s="12" t="str">
        <f>IF(Treatment!L66="*  ..  ##34###34# ##334###334#","//--- END",Treatment!L66)</f>
        <v/>
      </c>
    </row>
    <row r="249" spans="3:3">
      <c r="C249" s="12" t="str">
        <f>IF(Treatment!L67="*  ..  ##34###34# ##334###334#","//--- END",Treatment!L67)</f>
        <v/>
      </c>
    </row>
    <row r="250" spans="3:3">
      <c r="C250" s="12" t="str">
        <f>IF(Treatment!L68="*  ..  ##34###34# ##334###334#","//--- END",Treatment!L68)</f>
        <v/>
      </c>
    </row>
    <row r="251" spans="3:3">
      <c r="C251" s="12" t="str">
        <f>IF(Treatment!L69="*  ..  ##34###34# ##334###334#","//--- END",Treatment!L69)</f>
        <v/>
      </c>
    </row>
    <row r="252" spans="3:3">
      <c r="C252" s="12" t="str">
        <f>IF(Treatment!L70="*  ..  ##34###34# ##334###334#","//--- END",Treatment!L70)</f>
        <v/>
      </c>
    </row>
    <row r="253" spans="3:3">
      <c r="C253" s="12" t="str">
        <f>IF(Treatment!L71="*  ..  ##34###34# ##334###334#","//--- END",Treatment!L71)</f>
        <v/>
      </c>
    </row>
    <row r="254" spans="3:3">
      <c r="C254" s="12" t="str">
        <f>IF(Treatment!L72="*  ..  ##34###34# ##334###334#","//--- END",Treatment!L72)</f>
        <v/>
      </c>
    </row>
    <row r="255" spans="3:3">
      <c r="C255" s="12" t="str">
        <f>IF(Treatment!L73="*  ..  ##34###34# ##334###334#","//--- END",Treatment!L73)</f>
        <v/>
      </c>
    </row>
    <row r="256" spans="3:3">
      <c r="C256" s="12" t="str">
        <f>IF(Treatment!L74="*  ..  ##34###34# ##334###334#","//--- END",Treatment!L74)</f>
        <v/>
      </c>
    </row>
    <row r="257" spans="3:3">
      <c r="C257" s="12" t="str">
        <f>IF(Treatment!L75="*  ..  ##34###34# ##334###334#","//--- END",Treatment!L75)</f>
        <v/>
      </c>
    </row>
    <row r="258" spans="3:3">
      <c r="C258" s="12" t="str">
        <f>IF(Treatment!L76="*  ..  ##34###34# ##334###334#","//--- END",Treatment!L76)</f>
        <v/>
      </c>
    </row>
    <row r="259" spans="3:3">
      <c r="C259" s="12" t="str">
        <f>IF(Treatment!L77="*  ..  ##34###34# ##334###334#","//--- END",Treatment!L77)</f>
        <v/>
      </c>
    </row>
    <row r="260" spans="3:3">
      <c r="C260" s="12" t="str">
        <f>IF(Treatment!L78="*  ..  ##34###34# ##334###334#","//--- END",Treatment!L78)</f>
        <v/>
      </c>
    </row>
    <row r="261" spans="3:3">
      <c r="C261" s="12" t="str">
        <f>IF(Treatment!L79="*  ..  ##34###34# ##334###334#","//--- END",Treatment!L79)</f>
        <v/>
      </c>
    </row>
    <row r="262" spans="3:3">
      <c r="C262" s="12" t="str">
        <f>IF(Treatment!L80="*  ..  ##34###34# ##334###334#","//--- END",Treatment!L80)</f>
        <v/>
      </c>
    </row>
    <row r="263" spans="3:3">
      <c r="C263" s="12" t="str">
        <f>IF(Treatment!L81="*  ..  ##34###34# ##334###334#","//--- END",Treatment!L81)</f>
        <v/>
      </c>
    </row>
    <row r="264" spans="3:3">
      <c r="C264" s="12" t="str">
        <f>IF(Treatment!L82="*  ..  ##34###34# ##334###334#","//--- END",Treatment!L82)</f>
        <v/>
      </c>
    </row>
    <row r="265" spans="3:3">
      <c r="C265" s="12" t="str">
        <f>IF(Treatment!L83="*  ..  ##34###34# ##334###334#","//--- END",Treatment!L83)</f>
        <v/>
      </c>
    </row>
    <row r="266" spans="3:3">
      <c r="C266" s="12" t="str">
        <f>IF(Treatment!L84="*  ..  ##34###34# ##334###334#","//--- END",Treatment!L84)</f>
        <v/>
      </c>
    </row>
    <row r="267" spans="3:3">
      <c r="C267" s="12" t="str">
        <f>IF(Treatment!L85="*  ..  ##34###34# ##334###334#","//--- END",Treatment!L85)</f>
        <v/>
      </c>
    </row>
    <row r="268" spans="3:3">
      <c r="C268" s="12" t="str">
        <f>IF(Treatment!L86="*  ..  ##34###34# ##334###334#","//--- END",Treatment!L86)</f>
        <v/>
      </c>
    </row>
    <row r="269" spans="3:3">
      <c r="C269" s="12" t="str">
        <f>IF(Treatment!L87="*  ..  ##34###34# ##334###334#","//--- END",Treatment!L87)</f>
        <v/>
      </c>
    </row>
    <row r="270" spans="3:3">
      <c r="C270" s="12" t="str">
        <f>IF(Treatment!L88="*  ..  ##34###34# ##334###334#","//--- END",Treatment!L88)</f>
        <v/>
      </c>
    </row>
    <row r="271" spans="3:3">
      <c r="C271" s="12" t="str">
        <f>IF(Treatment!L89="*  ..  ##34###34# ##334###334#","//--- END",Treatment!L89)</f>
        <v/>
      </c>
    </row>
    <row r="272" spans="3:3">
      <c r="C272" s="12" t="str">
        <f>IF(Treatment!L90="*  ..  ##34###34# ##334###334#","//--- END",Treatment!L90)</f>
        <v/>
      </c>
    </row>
    <row r="273" spans="3:3">
      <c r="C273" s="12" t="str">
        <f>IF(Treatment!L91="*  ..  ##34###34# ##334###334#","//--- END",Treatment!L91)</f>
        <v/>
      </c>
    </row>
    <row r="274" spans="3:3">
      <c r="C274" s="12" t="str">
        <f>IF(Treatment!L92="*  ..  ##34###34# ##334###334#","//--- END",Treatment!L92)</f>
        <v/>
      </c>
    </row>
    <row r="275" spans="3:3">
      <c r="C275" s="12" t="str">
        <f>IF(Treatment!L93="*  ..  ##34###34# ##334###334#","//--- END",Treatment!L93)</f>
        <v/>
      </c>
    </row>
    <row r="276" spans="3:3">
      <c r="C276" s="12" t="str">
        <f>IF(Treatment!L94="*  ..  ##34###34# ##334###334#","//--- END",Treatment!L94)</f>
        <v/>
      </c>
    </row>
    <row r="277" spans="3:3">
      <c r="C277" s="12" t="str">
        <f>IF(Treatment!L95="*  ..  ##34###34# ##334###334#","//--- END",Treatment!L95)</f>
        <v/>
      </c>
    </row>
    <row r="278" spans="3:3">
      <c r="C278" s="12" t="str">
        <f>IF(Treatment!L96="*  ..  ##34###34# ##334###334#","//--- END",Treatment!L96)</f>
        <v/>
      </c>
    </row>
    <row r="279" spans="3:3">
      <c r="C279" s="12" t="str">
        <f>IF(Treatment!L97="*  ..  ##34###34# ##334###334#","//--- END",Treatment!L97)</f>
        <v/>
      </c>
    </row>
    <row r="280" spans="3:3">
      <c r="C280" s="12" t="str">
        <f>IF(Treatment!L98="*  ..  ##34###34# ##334###334#","//--- END",Treatment!L98)</f>
        <v/>
      </c>
    </row>
    <row r="281" spans="3:3">
      <c r="C281" s="12" t="str">
        <f>IF(Treatment!L99="*  ..  ##34###34# ##334###334#","//--- END",Treatment!L99)</f>
        <v/>
      </c>
    </row>
    <row r="282" spans="3:3">
      <c r="C282" s="12" t="str">
        <f>IF(Treatment!L100="*  ..  ##34###34# ##334###334#","//--- END",Treatment!L100)</f>
        <v/>
      </c>
    </row>
    <row r="283" spans="3:3">
      <c r="C283" s="12" t="str">
        <f>IF(Treatment!L101="*  ..  ##34###34# ##334###334#","//--- END",Treatment!L101)</f>
        <v/>
      </c>
    </row>
    <row r="284" spans="3:3">
      <c r="C284" s="12" t="str">
        <f>IF(Treatment!L102="*  ..  ##34###34# ##334###334#","//--- END",Treatment!L102)</f>
        <v/>
      </c>
    </row>
    <row r="285" spans="3:3">
      <c r="C285" s="12" t="str">
        <f>IF(Treatment!L103="*  ..  ##34###34# ##334###334#","//--- END",Treatment!L103)</f>
        <v/>
      </c>
    </row>
    <row r="286" spans="3:3">
      <c r="C286" s="12" t="str">
        <f>IF(Treatment!L104="*  ..  ##34###34# ##334###334#","//--- END",Treatment!L104)</f>
        <v/>
      </c>
    </row>
    <row r="287" spans="3:3">
      <c r="C287" s="12" t="str">
        <f>IF(Treatment!L105="*  ..  ##34###34# ##334###334#","//--- END",Treatment!L105)</f>
        <v/>
      </c>
    </row>
    <row r="288" spans="3:3">
      <c r="C288" s="12" t="str">
        <f>IF(Treatment!L106="*  ..  ##34###34# ##334###334#","//--- END",Treatment!L106)</f>
        <v/>
      </c>
    </row>
    <row r="289" spans="3:3">
      <c r="C289" s="12" t="str">
        <f>IF(Treatment!L107="*  ..  ##34###34# ##334###334#","//--- END",Treatment!L107)</f>
        <v/>
      </c>
    </row>
    <row r="290" spans="3:3">
      <c r="C290" s="12" t="str">
        <f>IF(Treatment!L108="*  ..  ##34###34# ##334###334#","//--- END",Treatment!L108)</f>
        <v/>
      </c>
    </row>
    <row r="291" spans="3:3">
      <c r="C291" s="12" t="str">
        <f>IF(Treatment!L109="*  ..  ##34###34# ##334###334#","//--- END",Treatment!L109)</f>
        <v/>
      </c>
    </row>
    <row r="292" spans="3:3">
      <c r="C292" s="12" t="str">
        <f>IF(Treatment!L110="*  ..  ##34###34# ##334###334#","//--- END",Treatment!L110)</f>
        <v/>
      </c>
    </row>
    <row r="293" spans="3:3">
      <c r="C293" s="12" t="str">
        <f>IF(Treatment!L111="*  ..  ##34###34# ##334###334#","//--- END",Treatment!L111)</f>
        <v/>
      </c>
    </row>
    <row r="294" spans="3:3">
      <c r="C294" s="12" t="str">
        <f>IF(Treatment!L112="*  ..  ##34###34# ##334###334#","//--- END",Treatment!L112)</f>
        <v/>
      </c>
    </row>
    <row r="295" spans="3:3">
      <c r="C295" s="12" t="str">
        <f>IF(Treatment!L113="*  ..  ##34###34# ##334###334#","//--- END",Treatment!L113)</f>
        <v/>
      </c>
    </row>
    <row r="296" spans="3:3">
      <c r="C296" s="12" t="str">
        <f>IF(Treatment!L114="*  ..  ##34###34# ##334###334#","//--- END",Treatment!L114)</f>
        <v/>
      </c>
    </row>
    <row r="297" spans="3:3">
      <c r="C297" s="12" t="str">
        <f>IF(Treatment!L115="*  ..  ##34###34# ##334###334#","//--- END",Treatment!L115)</f>
        <v/>
      </c>
    </row>
    <row r="298" spans="3:3">
      <c r="C298" s="12" t="str">
        <f>IF(Treatment!L116="*  ..  ##34###34# ##334###334#","//--- END",Treatment!L116)</f>
        <v/>
      </c>
    </row>
    <row r="299" spans="3:3">
      <c r="C299" s="12" t="str">
        <f>IF(Treatment!L117="*  ..  ##34###34# ##334###334#","//--- END",Treatment!L117)</f>
        <v/>
      </c>
    </row>
    <row r="300" spans="3:3">
      <c r="C300" s="12" t="str">
        <f>IF(Treatment!L118="*  ..  ##34###34# ##334###334#","//--- END",Treatment!L118)</f>
        <v/>
      </c>
    </row>
    <row r="301" spans="3:3">
      <c r="C301" s="12" t="str">
        <f>IF(Treatment!L119="*  ..  ##34###34# ##334###334#","//--- END",Treatment!L119)</f>
        <v/>
      </c>
    </row>
    <row r="302" spans="3:3">
      <c r="C302" s="12" t="str">
        <f>IF(Treatment!L120="*  ..  ##34###34# ##334###334#","//--- END",Treatment!L120)</f>
        <v/>
      </c>
    </row>
    <row r="303" spans="3:3">
      <c r="C303" s="12" t="str">
        <f>IF(Treatment!L121="*  ..  ##34###34# ##334###334#","//--- END",Treatment!L121)</f>
        <v/>
      </c>
    </row>
    <row r="304" spans="3:3">
      <c r="C304" s="12" t="str">
        <f>IF(Treatment!L122="*  ..  ##34###34# ##334###334#","//--- END",Treatment!L122)</f>
        <v/>
      </c>
    </row>
    <row r="305" spans="3:3">
      <c r="C305" s="12" t="str">
        <f>IF(Treatment!L123="*  ..  ##34###34# ##334###334#","//--- END",Treatment!L123)</f>
        <v/>
      </c>
    </row>
    <row r="306" spans="3:3">
      <c r="C306" s="12" t="str">
        <f>IF(Treatment!L124="*  ..  ##34###34# ##334###334#","//--- END",Treatment!L124)</f>
        <v/>
      </c>
    </row>
    <row r="307" spans="3:3">
      <c r="C307" s="12" t="str">
        <f>IF(Treatment!L125="*  ..  ##34###34# ##334###334#","//--- END",Treatment!L125)</f>
        <v/>
      </c>
    </row>
    <row r="308" spans="3:3">
      <c r="C308" s="12" t="str">
        <f>IF(Treatment!L126="*  ..  ##34###34# ##334###334#","//--- END",Treatment!L126)</f>
        <v/>
      </c>
    </row>
    <row r="309" spans="3:3">
      <c r="C309" s="12" t="str">
        <f>IF(Treatment!L127="*  ..  ##34###34# ##334###334#","//--- END",Treatment!L127)</f>
        <v/>
      </c>
    </row>
    <row r="310" spans="3:3">
      <c r="C310" s="12" t="str">
        <f>IF(Treatment!L128="*  ..  ##34###34# ##334###334#","//--- END",Treatment!L128)</f>
        <v/>
      </c>
    </row>
    <row r="311" spans="3:3">
      <c r="C311" s="12" t="str">
        <f>IF(Treatment!L129="*  ..  ##34###34# ##334###334#","//--- END",Treatment!L129)</f>
        <v/>
      </c>
    </row>
    <row r="312" spans="3:3">
      <c r="C312" s="12" t="str">
        <f>IF(Treatment!L130="*  ..  ##34###34# ##334###334#","//--- END",Treatment!L130)</f>
        <v/>
      </c>
    </row>
    <row r="313" spans="3:3">
      <c r="C313" s="12" t="str">
        <f>IF(Treatment!L131="*  ..  ##34###34# ##334###334#","//--- END",Treatment!L131)</f>
        <v/>
      </c>
    </row>
    <row r="314" spans="3:3">
      <c r="C314" s="12" t="str">
        <f>IF(Treatment!L132="*  ..  ##34###34# ##334###334#","//--- END",Treatment!L132)</f>
        <v/>
      </c>
    </row>
    <row r="315" spans="3:3">
      <c r="C315" s="12" t="str">
        <f>IF(Treatment!L133="*  ..  ##34###34# ##334###334#","//--- END",Treatment!L133)</f>
        <v/>
      </c>
    </row>
    <row r="316" spans="3:3">
      <c r="C316" s="12" t="str">
        <f>IF(Treatment!L134="*  ..  ##34###34# ##334###334#","//--- END",Treatment!L134)</f>
        <v/>
      </c>
    </row>
    <row r="317" spans="3:3">
      <c r="C317" s="12" t="str">
        <f>IF(Treatment!L135="*  ..  ##34###34# ##334###334#","//--- END",Treatment!L135)</f>
        <v/>
      </c>
    </row>
    <row r="318" spans="3:3">
      <c r="C318" s="12" t="str">
        <f>IF(Treatment!L136="*  ..  ##34###34# ##334###334#","//--- END",Treatment!L136)</f>
        <v/>
      </c>
    </row>
    <row r="319" spans="3:3">
      <c r="C319" s="12" t="str">
        <f>IF(Treatment!L137="*  ..  ##34###34# ##334###334#","//--- END",Treatment!L137)</f>
        <v/>
      </c>
    </row>
    <row r="320" spans="3:3">
      <c r="C320" s="12" t="str">
        <f>IF(Treatment!L138="*  ..  ##34###34# ##334###334#","//--- END",Treatment!L138)</f>
        <v/>
      </c>
    </row>
    <row r="321" spans="3:3">
      <c r="C321" s="12" t="str">
        <f>IF(Treatment!L139="*  ..  ##34###34# ##334###334#","//--- END",Treatment!L139)</f>
        <v/>
      </c>
    </row>
    <row r="322" spans="3:3">
      <c r="C322" s="12" t="str">
        <f>IF(Treatment!L140="*  ..  ##34###34# ##334###334#","//--- END",Treatment!L140)</f>
        <v/>
      </c>
    </row>
    <row r="323" spans="3:3">
      <c r="C323" s="12" t="str">
        <f>IF(Treatment!L141="*  ..  ##34###34# ##334###334#","//--- END",Treatment!L141)</f>
        <v/>
      </c>
    </row>
    <row r="324" spans="3:3">
      <c r="C324" s="12" t="str">
        <f>IF(Treatment!L142="*  ..  ##34###34# ##334###334#","//--- END",Treatment!L142)</f>
        <v/>
      </c>
    </row>
    <row r="325" spans="3:3">
      <c r="C325" s="12" t="str">
        <f>IF(Treatment!L143="*  ..  ##34###34# ##334###334#","//--- END",Treatment!L143)</f>
        <v/>
      </c>
    </row>
    <row r="326" spans="3:3">
      <c r="C326" s="12" t="str">
        <f>IF(Treatment!L144="*  ..  ##34###34# ##334###334#","//--- END",Treatment!L144)</f>
        <v/>
      </c>
    </row>
    <row r="327" spans="3:3">
      <c r="C327" s="12" t="str">
        <f>IF(Treatment!L145="*  ..  ##34###34# ##334###334#","//--- END",Treatment!L145)</f>
        <v/>
      </c>
    </row>
    <row r="328" spans="3:3">
      <c r="C328" s="12" t="str">
        <f>IF(Treatment!L146="*  ..  ##34###34# ##334###334#","//--- END",Treatment!L146)</f>
        <v/>
      </c>
    </row>
    <row r="329" spans="3:3">
      <c r="C329" s="12" t="str">
        <f>IF(Treatment!L147="*  ..  ##34###34# ##334###334#","//--- END",Treatment!L147)</f>
        <v/>
      </c>
    </row>
    <row r="330" spans="3:3">
      <c r="C330" s="12" t="str">
        <f>IF(Treatment!L148="*  ..  ##34###34# ##334###334#","//--- END",Treatment!L148)</f>
        <v/>
      </c>
    </row>
    <row r="331" spans="3:3">
      <c r="C331" s="12" t="str">
        <f>IF(Treatment!L149="*  ..  ##34###34# ##334###334#","//--- END",Treatment!L149)</f>
        <v/>
      </c>
    </row>
    <row r="332" spans="3:3">
      <c r="C332" s="12" t="str">
        <f>IF(Treatment!L150="*  ..  ##34###34# ##334###334#","//--- END",Treatment!L150)</f>
        <v/>
      </c>
    </row>
    <row r="333" spans="3:3">
      <c r="C333" s="12" t="str">
        <f>IF(Treatment!L151="*  ..  ##34###34# ##334###334#","//--- END",Treatment!L151)</f>
        <v/>
      </c>
    </row>
    <row r="334" spans="3:3">
      <c r="C334" s="12" t="str">
        <f>IF(Treatment!L152="*  ..  ##34###34# ##334###334#","//--- END",Treatment!L152)</f>
        <v/>
      </c>
    </row>
    <row r="335" spans="3:3">
      <c r="C335" s="12" t="str">
        <f>IF(Treatment!L153="*  ..  ##34###34# ##334###334#","//--- END",Treatment!L153)</f>
        <v/>
      </c>
    </row>
    <row r="336" spans="3:3">
      <c r="C336" s="12" t="str">
        <f>IF(Treatment!L154="*  ..  ##34###34# ##334###334#","//--- END",Treatment!L154)</f>
        <v/>
      </c>
    </row>
    <row r="337" spans="3:3">
      <c r="C337" s="12" t="str">
        <f>IF(Treatment!L155="*  ..  ##34###34# ##334###334#","//--- END",Treatment!L155)</f>
        <v/>
      </c>
    </row>
    <row r="338" spans="3:3">
      <c r="C338" s="12" t="str">
        <f>IF(Treatment!L156="*  ..  ##34###34# ##334###334#","//--- END",Treatment!L156)</f>
        <v/>
      </c>
    </row>
    <row r="339" spans="3:3">
      <c r="C339" s="12" t="str">
        <f>IF(Treatment!L157="*  ..  ##34###34# ##334###334#","//--- END",Treatment!L157)</f>
        <v/>
      </c>
    </row>
    <row r="340" spans="3:3">
      <c r="C340" s="12" t="str">
        <f>IF(Treatment!L158="*  ..  ##34###34# ##334###334#","//--- END",Treatment!L158)</f>
        <v/>
      </c>
    </row>
    <row r="341" spans="3:3">
      <c r="C341" s="12" t="str">
        <f>IF(Treatment!L159="*  ..  ##34###34# ##334###334#","//--- END",Treatment!L159)</f>
        <v/>
      </c>
    </row>
    <row r="342" spans="3:3">
      <c r="C342" s="12" t="str">
        <f>IF(Treatment!L160="*  ..  ##34###34# ##334###334#","//--- END",Treatment!L160)</f>
        <v/>
      </c>
    </row>
    <row r="343" spans="3:3">
      <c r="C343" s="12" t="str">
        <f>IF(Treatment!L161="*  ..  ##34###34# ##334###334#","//--- END",Treatment!L161)</f>
        <v/>
      </c>
    </row>
    <row r="344" spans="3:3">
      <c r="C344" s="12" t="str">
        <f>IF(Treatment!L162="*  ..  ##34###34# ##334###334#","//--- END",Treatment!L162)</f>
        <v/>
      </c>
    </row>
    <row r="345" spans="3:3">
      <c r="C345" s="12" t="str">
        <f>IF(Treatment!L163="*  ..  ##34###34# ##334###334#","//--- END",Treatment!L163)</f>
        <v/>
      </c>
    </row>
    <row r="346" spans="3:3">
      <c r="C346" s="12" t="str">
        <f>IF(Treatment!L164="*  ..  ##34###34# ##334###334#","//--- END",Treatment!L164)</f>
        <v/>
      </c>
    </row>
    <row r="347" spans="3:3">
      <c r="C347" s="12" t="str">
        <f>IF(Treatment!L165="*  ..  ##34###34# ##334###334#","//--- END",Treatment!L165)</f>
        <v/>
      </c>
    </row>
    <row r="348" spans="3:3">
      <c r="C348" s="12" t="str">
        <f>IF(Treatment!L166="*  ..  ##34###34# ##334###334#","//--- END",Treatment!L166)</f>
        <v/>
      </c>
    </row>
    <row r="349" spans="3:3">
      <c r="C349" s="12" t="str">
        <f>IF(Treatment!L167="*  ..  ##34###34# ##334###334#","//--- END",Treatment!L167)</f>
        <v/>
      </c>
    </row>
    <row r="350" spans="3:3">
      <c r="C350" s="12" t="str">
        <f>IF(Treatment!L168="*  ..  ##34###34# ##334###334#","//--- END",Treatment!L168)</f>
        <v/>
      </c>
    </row>
    <row r="351" spans="3:3">
      <c r="C351" s="12" t="str">
        <f>IF(Treatment!L169="*  ..  ##34###34# ##334###334#","//--- END",Treatment!L169)</f>
        <v/>
      </c>
    </row>
    <row r="352" spans="3:3">
      <c r="C352" s="12" t="str">
        <f>IF(Treatment!L170="*  ..  ##34###34# ##334###334#","//--- END",Treatment!L170)</f>
        <v/>
      </c>
    </row>
    <row r="353" spans="3:3">
      <c r="C353" s="12" t="str">
        <f>IF(Treatment!L171="*  ..  ##34###34# ##334###334#","//--- END",Treatment!L171)</f>
        <v>//--- END</v>
      </c>
    </row>
    <row r="354" spans="3:3">
      <c r="C354" s="12" t="str">
        <f>IF(Treatment!L172="*  ..  ##34###34# ##334###334#","//--- END",Treatment!L172)</f>
        <v>//--- END</v>
      </c>
    </row>
    <row r="355" spans="3:3">
      <c r="C355" s="12" t="str">
        <f>IF(Treatment!L173="*  ..  ##34###34# ##334###334#","//--- END",Treatment!L173)</f>
        <v>//--- END</v>
      </c>
    </row>
    <row r="360" spans="3:3">
      <c r="C360" s="12" t="str">
        <f>IF(Treatment!L134="*  ..  ##34###34# ##334###334#","//--- END",Treatment!L134)</f>
        <v/>
      </c>
    </row>
    <row r="361" spans="3:3">
      <c r="C361" s="2"/>
    </row>
    <row r="362" spans="3:3">
      <c r="C362"/>
    </row>
    <row r="364" spans="3:3">
      <c r="C364" s="23" t="str">
        <f>'Treatment-Map-1'!E1</f>
        <v>// -------------------------------------------------------------------------------</v>
      </c>
    </row>
    <row r="365" spans="3:3">
      <c r="C365" s="24" t="str">
        <f>'Treatment-Map-1'!E2</f>
        <v>//  Map to FHIR R4</v>
      </c>
    </row>
    <row r="366" spans="3:3">
      <c r="C366" s="24" t="str">
        <f>'Treatment-Map-1'!E3</f>
        <v>// -------------------------------------------------------------------------------</v>
      </c>
    </row>
    <row r="367" spans="3:3">
      <c r="C367" s="12" t="str">
        <f>'Treatment-Map-1'!E4</f>
        <v>Mapping: I4RCTreatment2Fhir</v>
      </c>
    </row>
    <row r="368" spans="3:3">
      <c r="C368" s="12" t="str">
        <f>'Treatment-Map-1'!E5</f>
        <v>Id: fhir</v>
      </c>
    </row>
    <row r="369" spans="3:3">
      <c r="C369" s="12" t="str">
        <f>'Treatment-Map-1'!E6</f>
        <v>Title: ##34#Idea4RC Treatment model to FHIR R4 Map##34#</v>
      </c>
    </row>
    <row r="370" spans="3:3">
      <c r="C370" s="12" t="str">
        <f>'Treatment-Map-1'!E7</f>
        <v>Source: Treatment</v>
      </c>
    </row>
    <row r="371" spans="3:3">
      <c r="C371" s="12" t="str">
        <f>'Treatment-Map-1'!E8</f>
        <v>Target: ##34#hl7.org/fhir/r4##34#</v>
      </c>
    </row>
    <row r="373" spans="3:3">
      <c r="C373" s="4" t="str">
        <f>'Treatment-Map-1'!E9</f>
        <v>* -&gt; ##34#TBD##34#</v>
      </c>
    </row>
    <row r="374" spans="3:3">
      <c r="C374" s="12" t="str">
        <f>IF('Treatment-Map-1'!E10="*  -&gt; ##34###34#","// --END",'Treatment-Map-1'!E10)</f>
        <v>* surgery -&gt; ##34#TBD##34#</v>
      </c>
    </row>
    <row r="375" spans="3:3">
      <c r="C375" s="12" t="str">
        <f>IF('Treatment-Map-1'!E11="*  -&gt; ##34###34#","// --END",'Treatment-Map-1'!E11)</f>
        <v>* surgeryPerformed -&gt; ##34#TBD##34#</v>
      </c>
    </row>
    <row r="376" spans="3:3">
      <c r="C376" s="12" t="str">
        <f>IF('Treatment-Map-1'!E12="*  -&gt; ##34###34#","// --END",'Treatment-Map-1'!E12)</f>
        <v>* dateOfTumourSurgery -&gt; ##34#TBD##34#</v>
      </c>
    </row>
    <row r="377" spans="3:3">
      <c r="C377" s="12" t="str">
        <f>IF('Treatment-Map-1'!E13="*  -&gt; ##34###34#","// --END",'Treatment-Map-1'!E13)</f>
        <v>* surgeryIntention -&gt; ##34#TBD##34#</v>
      </c>
    </row>
    <row r="378" spans="3:3">
      <c r="C378" s="12" t="str">
        <f>IF('Treatment-Map-1'!E14="*  -&gt; ##34###34#","// --END",'Treatment-Map-1'!E14)</f>
        <v>* tumorSurgeryApproach -&gt; ##34#TBD##34#</v>
      </c>
    </row>
    <row r="379" spans="3:3">
      <c r="C379" s="12" t="str">
        <f>IF('Treatment-Map-1'!E15="*  -&gt; ##34###34#","// --END",'Treatment-Map-1'!E15)</f>
        <v>* tumorSurgeryDevice -&gt; ##34#TBD##34#</v>
      </c>
    </row>
    <row r="380" spans="3:3">
      <c r="C380" s="12" t="str">
        <f>IF('Treatment-Map-1'!E16="*  -&gt; ##34###34#","// --END",'Treatment-Map-1'!E16)</f>
        <v>* surgicalProcedure -&gt; ##34#TBD##34#</v>
      </c>
    </row>
    <row r="381" spans="3:3">
      <c r="C381" s="12" t="str">
        <f>IF('Treatment-Map-1'!E17="*  -&gt; ##34###34#","// --END",'Treatment-Map-1'!E17)</f>
        <v>* surgicalProcedure.surgicalProcedureNasopharynx -&gt; ##34#TBD##34#</v>
      </c>
    </row>
    <row r="382" spans="3:3">
      <c r="C382" s="12" t="str">
        <f>IF('Treatment-Map-1'!E18="*  -&gt; ##34###34#","// --END",'Treatment-Map-1'!E18)</f>
        <v>* surgicalProcedure.surgicalProcedureNasalCavityAndParanasalSinus -&gt; ##34#TBD##34#</v>
      </c>
    </row>
    <row r="383" spans="3:3">
      <c r="C383" s="12" t="str">
        <f>IF('Treatment-Map-1'!E19="*  -&gt; ##34###34#","// --END",'Treatment-Map-1'!E19)</f>
        <v>* surgicalProcedure.surgicalProcedureSalivaryGland -&gt; ##34#TBD##34#</v>
      </c>
    </row>
    <row r="384" spans="3:3">
      <c r="C384" s="12" t="str">
        <f>IF('Treatment-Map-1'!E20="*  -&gt; ##34###34#","// --END",'Treatment-Map-1'!E20)</f>
        <v>* surgicalProcedure.surgicalProcedureEar -&gt; ##34#TBD##34#</v>
      </c>
    </row>
    <row r="385" spans="3:3">
      <c r="C385" s="12" t="str">
        <f>IF('Treatment-Map-1'!E21="*  -&gt; ##34###34#","// --END",'Treatment-Map-1'!E21)</f>
        <v>* surgicalProcedure.surgicalProcedureLip -&gt; ##34#TBD##34#</v>
      </c>
    </row>
    <row r="386" spans="3:3">
      <c r="C386" s="12" t="str">
        <f>IF('Treatment-Map-1'!E22="*  -&gt; ##34###34#","// --END",'Treatment-Map-1'!E22)</f>
        <v>* surgicalProcedure.surgicalProcedureOralCavity -&gt; ##34#TBD##34#</v>
      </c>
    </row>
    <row r="387" spans="3:3">
      <c r="C387" s="12" t="str">
        <f>IF('Treatment-Map-1'!E23="*  -&gt; ##34###34#","// --END",'Treatment-Map-1'!E23)</f>
        <v>* surgicalProcedure.surgicalProcedureMandibulectomy -&gt; ##34#TBD##34#</v>
      </c>
    </row>
    <row r="388" spans="3:3">
      <c r="C388" s="12" t="str">
        <f>IF('Treatment-Map-1'!E24="*  -&gt; ##34###34#","// --END",'Treatment-Map-1'!E24)</f>
        <v>* surgicalProcedure.surgicalProcedureOropharynx -&gt; ##34#TBD##34#</v>
      </c>
    </row>
    <row r="389" spans="3:3">
      <c r="C389" s="12" t="str">
        <f>IF('Treatment-Map-1'!E25="*  -&gt; ##34###34#","// --END",'Treatment-Map-1'!E25)</f>
        <v>* surgicalProcedure.surgicalProcedureHypopharynx -&gt; ##34#TBD##34#</v>
      </c>
    </row>
    <row r="390" spans="3:3">
      <c r="C390" s="12" t="str">
        <f>IF('Treatment-Map-1'!E26="*  -&gt; ##34###34#","// --END",'Treatment-Map-1'!E26)</f>
        <v>* surgicalProcedure.surgicalProcedureLarynx -&gt; ##34#TBD##34#</v>
      </c>
    </row>
    <row r="391" spans="3:3">
      <c r="C391" s="12" t="str">
        <f>IF('Treatment-Map-1'!E27="*  -&gt; ##34###34#","// --END",'Treatment-Map-1'!E27)</f>
        <v>* reconstruction -&gt; ##34#TBD##34#</v>
      </c>
    </row>
    <row r="392" spans="3:3">
      <c r="C392" s="12" t="str">
        <f>IF('Treatment-Map-1'!E28="*  -&gt; ##34###34#","// --END",'Treatment-Map-1'!E28)</f>
        <v>* reconstruction.flag -&gt; ##34#TBD##34#</v>
      </c>
    </row>
    <row r="393" spans="3:3">
      <c r="C393" s="12" t="str">
        <f>IF('Treatment-Map-1'!E29="*  -&gt; ##34###34#","// --END",'Treatment-Map-1'!E29)</f>
        <v>* reconstruction.reconstructionType -&gt; ##34#TBD##34#</v>
      </c>
    </row>
    <row r="394" spans="3:3">
      <c r="C394" s="12" t="str">
        <f>IF('Treatment-Map-1'!E30="*  -&gt; ##34###34#","// --END",'Treatment-Map-1'!E30)</f>
        <v>* reconstruction.firstFlapUsedForReconstruction -&gt; ##34#TBD##34#</v>
      </c>
    </row>
    <row r="395" spans="3:3">
      <c r="C395" s="12" t="str">
        <f>IF('Treatment-Map-1'!E31="*  -&gt; ##34###34#","// --END",'Treatment-Map-1'!E31)</f>
        <v>* reconstruction.secondFlapUsedForReconstruction -&gt; ##34#TBD##34#</v>
      </c>
    </row>
    <row r="396" spans="3:3">
      <c r="C396" s="12" t="str">
        <f>IF('Treatment-Map-1'!E32="*  -&gt; ##34###34#","// --END",'Treatment-Map-1'!E32)</f>
        <v>* neckSurgery -&gt; ##34#TBD##34#</v>
      </c>
    </row>
    <row r="397" spans="3:3">
      <c r="C397" s="12" t="str">
        <f>IF('Treatment-Map-1'!E33="*  -&gt; ##34###34#","// --END",'Treatment-Map-1'!E33)</f>
        <v>* dateOfNeckSurgeryIfDifferentFromDateOfTumorSiteSurgery -&gt; ##34#TBD##34#</v>
      </c>
    </row>
    <row r="398" spans="3:3">
      <c r="C398" s="12" t="str">
        <f>IF('Treatment-Map-1'!E34="*  -&gt; ##34###34#","// --END",'Treatment-Map-1'!E34)</f>
        <v>* dateOfNeckSurgeryDayUnknown -&gt; ##34#TBD##34#</v>
      </c>
    </row>
    <row r="399" spans="3:3">
      <c r="C399" s="12" t="str">
        <f>IF('Treatment-Map-1'!E35="*  -&gt; ##34###34#","// --END",'Treatment-Map-1'!E35)</f>
        <v>* nodePicking -&gt; ##34#TBD##34#</v>
      </c>
    </row>
    <row r="400" spans="3:3">
      <c r="C400" s="12" t="str">
        <f>IF('Treatment-Map-1'!E36="*  -&gt; ##34###34#","// --END",'Treatment-Map-1'!E36)</f>
        <v>* neckDissection -&gt; ##34#TBD##34#</v>
      </c>
    </row>
    <row r="401" spans="3:3">
      <c r="C401" s="12" t="str">
        <f>IF('Treatment-Map-1'!E37="*  -&gt; ##34###34#","// --END",'Treatment-Map-1'!E37)</f>
        <v>* lateralityOfTheDissection -&gt; ##34#TBD##34#</v>
      </c>
    </row>
    <row r="402" spans="3:3">
      <c r="C402" s="12" t="str">
        <f>IF('Treatment-Map-1'!E38="*  -&gt; ##34###34#","// --END",'Treatment-Map-1'!E38)</f>
        <v>* surgicalProcedureRightNeck -&gt; ##34#TBD##34#</v>
      </c>
    </row>
    <row r="403" spans="3:3">
      <c r="C403" s="12" t="str">
        <f>IF('Treatment-Map-1'!E39="*  -&gt; ##34###34#","// --END",'Treatment-Map-1'!E39)</f>
        <v>* surgicalProcedureRightNeckLevelsDissected -&gt; ##34#TBD##34#</v>
      </c>
    </row>
    <row r="404" spans="3:3">
      <c r="C404" s="12" t="str">
        <f>IF('Treatment-Map-1'!E40="*  -&gt; ##34###34#","// --END",'Treatment-Map-1'!E40)</f>
        <v>* surgicalProcedureLeftNeck -&gt; ##34#TBD##34#</v>
      </c>
    </row>
    <row r="405" spans="3:3">
      <c r="C405" s="12" t="str">
        <f>IF('Treatment-Map-1'!E41="*  -&gt; ##34###34#","// --END",'Treatment-Map-1'!E41)</f>
        <v>* surgicalProcedureLeftNeckLevelsDissected -&gt; ##34#TBD##34#</v>
      </c>
    </row>
    <row r="406" spans="3:3">
      <c r="C406" s="12" t="str">
        <f>IF('Treatment-Map-1'!E42="*  -&gt; ##34###34#","// --END",'Treatment-Map-1'!E42)</f>
        <v>* surgeryOnM -&gt; ##34#TBD##34#</v>
      </c>
    </row>
    <row r="407" spans="3:3">
      <c r="C407" s="12" t="str">
        <f>IF('Treatment-Map-1'!E43="*  -&gt; ##34###34#","// --END",'Treatment-Map-1'!E43)</f>
        <v>* siteOfSurgeryOnMetastasis -&gt; ##34#TBD##34#</v>
      </c>
    </row>
    <row r="408" spans="3:3">
      <c r="C408" s="12" t="str">
        <f>IF('Treatment-Map-1'!E44="*  -&gt; ##34###34#","// --END",'Treatment-Map-1'!E44)</f>
        <v>* siteOfSurgeryOnMetastasisSoftTissue -&gt; ##34#TBD##34#</v>
      </c>
    </row>
    <row r="409" spans="3:3">
      <c r="C409" s="12" t="str">
        <f>IF('Treatment-Map-1'!E45="*  -&gt; ##34###34#","// --END",'Treatment-Map-1'!E45)</f>
        <v>* siteOfSurgeryOnMetastasisDistantLymphNodes -&gt; ##34#TBD##34#</v>
      </c>
    </row>
    <row r="410" spans="3:3">
      <c r="C410" s="12" t="str">
        <f>IF('Treatment-Map-1'!E46="*  -&gt; ##34###34#","// --END",'Treatment-Map-1'!E46)</f>
        <v>* siteOfSurgeryOnMetastasisLung -&gt; ##34#TBD##34#</v>
      </c>
    </row>
    <row r="411" spans="3:3">
      <c r="C411" s="12" t="str">
        <f>IF('Treatment-Map-1'!E47="*  -&gt; ##34###34#","// --END",'Treatment-Map-1'!E47)</f>
        <v>* siteOfSurgeryOnMetastasisBone -&gt; ##34#TBD##34#</v>
      </c>
    </row>
    <row r="412" spans="3:3">
      <c r="C412" s="12" t="str">
        <f>IF('Treatment-Map-1'!E48="*  -&gt; ##34###34#","// --END",'Treatment-Map-1'!E48)</f>
        <v>* siteOfSurgeryOnMetastasisLiver -&gt; ##34#TBD##34#</v>
      </c>
    </row>
    <row r="413" spans="3:3">
      <c r="C413" s="12" t="str">
        <f>IF('Treatment-Map-1'!E49="*  -&gt; ##34###34#","// --END",'Treatment-Map-1'!E49)</f>
        <v>* siteOfSurgeryOnMetastasisPleura -&gt; ##34#TBD##34#</v>
      </c>
    </row>
    <row r="414" spans="3:3">
      <c r="C414" s="12" t="str">
        <f>IF('Treatment-Map-1'!E50="*  -&gt; ##34###34#","// --END",'Treatment-Map-1'!E50)</f>
        <v>* siteOfSurgeryOnMetastasisPeritoneum -&gt; ##34#TBD##34#</v>
      </c>
    </row>
    <row r="415" spans="3:3">
      <c r="C415" s="12" t="str">
        <f>IF('Treatment-Map-1'!E51="*  -&gt; ##34###34#","// --END",'Treatment-Map-1'!E51)</f>
        <v>* siteOfSurgeryOnMetastasisBrain -&gt; ##34#TBD##34#</v>
      </c>
    </row>
    <row r="416" spans="3:3">
      <c r="C416" s="12" t="str">
        <f>IF('Treatment-Map-1'!E52="*  -&gt; ##34###34#","// --END",'Treatment-Map-1'!E52)</f>
        <v>* siteOfSurgeryOnMetastasisOtherViscera -&gt; ##34#TBD##34#</v>
      </c>
    </row>
    <row r="417" spans="3:3">
      <c r="C417" s="12" t="str">
        <f>IF('Treatment-Map-1'!E53="*  -&gt; ##34###34#","// --END",'Treatment-Map-1'!E53)</f>
        <v>* siteOfSurgeryOnMetastasisUnknown -&gt; ##34#TBD##34#</v>
      </c>
    </row>
    <row r="418" spans="3:3">
      <c r="C418" s="12" t="str">
        <f>IF('Treatment-Map-1'!E54="*  -&gt; ##34###34#","// --END",'Treatment-Map-1'!E54)</f>
        <v>* dateOfSurgeryOnMIfDifferentFromDateOfTumorSiteSurgery -&gt; ##34#TBD##34#</v>
      </c>
    </row>
    <row r="419" spans="3:3">
      <c r="C419" s="12" t="str">
        <f>IF('Treatment-Map-1'!E55="*  -&gt; ##34###34#","// --END",'Treatment-Map-1'!E55)</f>
        <v>* surgicalComplicationsClavienDindoClassificationPleaseSelectTheWorstOne -&gt; ##34#TBD##34#</v>
      </c>
    </row>
    <row r="420" spans="3:3">
      <c r="C420" s="12" t="str">
        <f>IF('Treatment-Map-1'!E56="*  -&gt; ##34###34#","// --END",'Treatment-Map-1'!E56)</f>
        <v>* surgicalComplicationsClavienDindoClassification2ComplicationsPleaseSelectThe2WorstOne -&gt; ##34#TBD##34#</v>
      </c>
    </row>
    <row r="421" spans="3:3">
      <c r="C421" s="12" t="str">
        <f>IF('Treatment-Map-1'!E57="*  -&gt; ##34###34#","// --END",'Treatment-Map-1'!E57)</f>
        <v>* unplannedSurgery -&gt; ##34#TBD##34#</v>
      </c>
    </row>
    <row r="422" spans="3:3">
      <c r="C422" s="12" t="str">
        <f>IF('Treatment-Map-1'!E58="*  -&gt; ##34###34#","// --END",'Treatment-Map-1'!E58)</f>
        <v>* dateOfUnplannedSurgery -&gt; ##34#TBD##34#</v>
      </c>
    </row>
    <row r="423" spans="3:3">
      <c r="C423" s="12" t="str">
        <f>IF('Treatment-Map-1'!E59="*  -&gt; ##34###34#","// --END",'Treatment-Map-1'!E59)</f>
        <v>* marginsAfterUnplannedSurgery -&gt; ##34#TBD##34#</v>
      </c>
    </row>
    <row r="424" spans="3:3">
      <c r="C424" s="12" t="str">
        <f>IF('Treatment-Map-1'!E60="*  -&gt; ##34###34#","// --END",'Treatment-Map-1'!E60)</f>
        <v>* unplannedNeckSurgery -&gt; ##34#TBD##34#</v>
      </c>
    </row>
    <row r="425" spans="3:3">
      <c r="C425" s="12" t="str">
        <f>IF('Treatment-Map-1'!E61="*  -&gt; ##34###34#","// --END",'Treatment-Map-1'!E61)</f>
        <v>* systemicTreament -&gt; ##34#TBD##34#</v>
      </c>
    </row>
    <row r="426" spans="3:3">
      <c r="C426" s="12" t="str">
        <f>IF('Treatment-Map-1'!E62="*  -&gt; ##34###34#","// --END",'Treatment-Map-1'!E62)</f>
        <v>* systemicTreatmentPerformed -&gt; ##34#TBD##34#</v>
      </c>
    </row>
    <row r="427" spans="3:3">
      <c r="C427" s="12" t="str">
        <f>IF('Treatment-Map-1'!E63="*  -&gt; ##34###34#","// --END",'Treatment-Map-1'!E63)</f>
        <v>* chooseTheSingleTreatment -&gt; ##34#TBD##34#</v>
      </c>
    </row>
    <row r="428" spans="3:3">
      <c r="C428" s="12" t="str">
        <f>IF('Treatment-Map-1'!E64="*  -&gt; ##34###34#","// --END",'Treatment-Map-1'!E64)</f>
        <v>* intent -&gt; ##34#TBD##34#</v>
      </c>
    </row>
    <row r="429" spans="3:3">
      <c r="C429" s="12" t="str">
        <f>IF('Treatment-Map-1'!E65="*  -&gt; ##34###34#","// --END",'Treatment-Map-1'!E65)</f>
        <v>* setting -&gt; ##34#TBD##34#</v>
      </c>
    </row>
    <row r="430" spans="3:3">
      <c r="C430" s="12" t="str">
        <f>IF('Treatment-Map-1'!E66="*  -&gt; ##34###34#","// --END",'Treatment-Map-1'!E66)</f>
        <v>* startDateSystemicTreatment -&gt; ##34#TBD##34#</v>
      </c>
    </row>
    <row r="431" spans="3:3">
      <c r="C431" s="12" t="str">
        <f>IF('Treatment-Map-1'!E67="*  -&gt; ##34###34#","// --END",'Treatment-Map-1'!E67)</f>
        <v>* startDateSystemicTreatmentDayUnknown -&gt; ##34#TBD##34#</v>
      </c>
    </row>
    <row r="432" spans="3:3">
      <c r="C432" s="12" t="str">
        <f>IF('Treatment-Map-1'!E68="*  -&gt; ##34###34#","// --END",'Treatment-Map-1'!E68)</f>
        <v>* endDateSystemicTreatment -&gt; ##34#TBD##34#</v>
      </c>
    </row>
    <row r="433" spans="3:3">
      <c r="C433" s="12" t="str">
        <f>IF('Treatment-Map-1'!E69="*  -&gt; ##34###34#","// --END",'Treatment-Map-1'!E69)</f>
        <v>* endDateSystemicTreatmentDayUnknown -&gt; ##34#TBD##34#</v>
      </c>
    </row>
    <row r="434" spans="3:3">
      <c r="C434" s="12" t="str">
        <f>IF('Treatment-Map-1'!E70="*  -&gt; ##34###34#","// --END",'Treatment-Map-1'!E70)</f>
        <v>* numberOfCyclesAdministrations -&gt; ##34#TBD##34#</v>
      </c>
    </row>
    <row r="435" spans="3:3">
      <c r="C435" s="12" t="str">
        <f>IF('Treatment-Map-1'!E71="*  -&gt; ##34###34#","// --END",'Treatment-Map-1'!E71)</f>
        <v>* regimen -&gt; ##34#TBD##34#</v>
      </c>
    </row>
    <row r="436" spans="3:3">
      <c r="C436" s="12" t="str">
        <f>IF('Treatment-Map-1'!E72="*  -&gt; ##34###34#","// --END",'Treatment-Map-1'!E72)</f>
        <v>* drugs1 -&gt; ##34#TBD##34#</v>
      </c>
    </row>
    <row r="437" spans="3:3">
      <c r="C437" s="12" t="str">
        <f>IF('Treatment-Map-1'!E73="*  -&gt; ##34###34#","// --END",'Treatment-Map-1'!E73)</f>
        <v>* drugs2 -&gt; ##34#TBD##34#</v>
      </c>
    </row>
    <row r="438" spans="3:3">
      <c r="C438" s="12" t="str">
        <f>IF('Treatment-Map-1'!E74="*  -&gt; ##34###34#","// --END",'Treatment-Map-1'!E74)</f>
        <v>* drugs3 -&gt; ##34#TBD##34#</v>
      </c>
    </row>
    <row r="439" spans="3:3">
      <c r="C439" s="12" t="str">
        <f>IF('Treatment-Map-1'!E75="*  -&gt; ##34###34#","// --END",'Treatment-Map-1'!E75)</f>
        <v>* plasmaticEbvDnaDuringSystemicTreatment -&gt; ##34#TBD##34#</v>
      </c>
    </row>
    <row r="440" spans="3:3">
      <c r="C440" s="12" t="str">
        <f>IF('Treatment-Map-1'!E76="*  -&gt; ##34###34#","// --END",'Treatment-Map-1'!E76)</f>
        <v>* primerType -&gt; ##34#TBD##34#</v>
      </c>
    </row>
    <row r="441" spans="3:3">
      <c r="C441" s="12" t="str">
        <f>IF('Treatment-Map-1'!E77="*  -&gt; ##34###34#","// --END",'Treatment-Map-1'!E77)</f>
        <v>* copyNumber -&gt; ##34#TBD##34#</v>
      </c>
    </row>
    <row r="442" spans="3:3">
      <c r="C442" s="12" t="str">
        <f>IF('Treatment-Map-1'!E78="*  -&gt; ##34###34#","// --END",'Treatment-Map-1'!E78)</f>
        <v>* plasmaticEbvDnaAfterSystemicTreatment -&gt; ##34#TBD##34#</v>
      </c>
    </row>
    <row r="443" spans="3:3">
      <c r="C443" s="12" t="str">
        <f>IF('Treatment-Map-1'!E79="*  -&gt; ##34###34#","// --END",'Treatment-Map-1'!E79)</f>
        <v>* afterTreatment-primerType -&gt; ##34#TBD##34#</v>
      </c>
    </row>
    <row r="444" spans="3:3">
      <c r="C444" s="12" t="str">
        <f>IF('Treatment-Map-1'!E80="*  -&gt; ##34###34#","// --END",'Treatment-Map-1'!E80)</f>
        <v>* copyNumber -&gt; ##34#TBD##34#</v>
      </c>
    </row>
    <row r="445" spans="3:3">
      <c r="C445" s="12" t="str">
        <f>IF('Treatment-Map-1'!E81="*  -&gt; ##34###34#","// --END",'Treatment-Map-1'!E81)</f>
        <v>* reasonForEndOfTreatment -&gt; ##34#TBD##34#</v>
      </c>
    </row>
    <row r="446" spans="3:3">
      <c r="C446" s="12" t="str">
        <f>IF('Treatment-Map-1'!E82="*  -&gt; ##34###34#","// --END",'Treatment-Map-1'!E82)</f>
        <v>* regimenChanged -&gt; ##34#TBD##34#</v>
      </c>
    </row>
    <row r="447" spans="3:3">
      <c r="C447" s="12" t="str">
        <f>IF('Treatment-Map-1'!E83="*  -&gt; ##34###34#","// --END",'Treatment-Map-1'!E83)</f>
        <v>* regimenChanged-regimen -&gt; ##34#TBD##34#</v>
      </c>
    </row>
    <row r="448" spans="3:3">
      <c r="C448" s="12" t="str">
        <f>IF('Treatment-Map-1'!E84="*  -&gt; ##34###34#","// --END",'Treatment-Map-1'!E84)</f>
        <v>* regimenChanged-otherDrug1 -&gt; ##34#TBD##34#</v>
      </c>
    </row>
    <row r="449" spans="3:3">
      <c r="C449" s="12" t="str">
        <f>IF('Treatment-Map-1'!E85="*  -&gt; ##34###34#","// --END",'Treatment-Map-1'!E85)</f>
        <v>* regimenChanged-otherDrug2 -&gt; ##34#TBD##34#</v>
      </c>
    </row>
    <row r="450" spans="3:3">
      <c r="C450" s="12" t="str">
        <f>IF('Treatment-Map-1'!E86="*  -&gt; ##34###34#","// --END",'Treatment-Map-1'!E86)</f>
        <v>* regimenChanged-otherDrug3 -&gt; ##34#TBD##34#</v>
      </c>
    </row>
    <row r="451" spans="3:3">
      <c r="C451" s="12" t="str">
        <f>IF('Treatment-Map-1'!E87="*  -&gt; ##34###34#","// --END",'Treatment-Map-1'!E87)</f>
        <v>* startDateRegimenChanged -&gt; ##34#TBD##34#</v>
      </c>
    </row>
    <row r="452" spans="3:3">
      <c r="C452" s="12" t="str">
        <f>IF('Treatment-Map-1'!E88="*  -&gt; ##34###34#","// --END",'Treatment-Map-1'!E88)</f>
        <v>* startDateRegimenChangedDayUnknown -&gt; ##34#TBD##34#</v>
      </c>
    </row>
    <row r="453" spans="3:3">
      <c r="C453" s="12" t="str">
        <f>IF('Treatment-Map-1'!E89="*  -&gt; ##34###34#","// --END",'Treatment-Map-1'!E89)</f>
        <v>* endDateRegimenChanged -&gt; ##34#TBD##34#</v>
      </c>
    </row>
    <row r="454" spans="3:3">
      <c r="C454" s="12" t="str">
        <f>IF('Treatment-Map-1'!E90="*  -&gt; ##34###34#","// --END",'Treatment-Map-1'!E90)</f>
        <v>* endDateRegimenChangedDayUnknown -&gt; ##34#TBD##34#</v>
      </c>
    </row>
    <row r="455" spans="3:3">
      <c r="C455" s="12" t="str">
        <f>IF('Treatment-Map-1'!E91="*  -&gt; ##34###34#","// --END",'Treatment-Map-1'!E91)</f>
        <v>* regimenChanged-reasonForEndOfTreatment -&gt; ##34#TBD##34#</v>
      </c>
    </row>
    <row r="456" spans="3:3">
      <c r="C456" s="12" t="str">
        <f>IF('Treatment-Map-1'!E92="*  -&gt; ##34###34#","// --END",'Treatment-Map-1'!E92)</f>
        <v>* treatmentResponseBasedOnImagingAloneNoRecistOrOtherCriteria -&gt; ##34#TBD##34#</v>
      </c>
    </row>
    <row r="457" spans="3:3">
      <c r="C457" s="12" t="str">
        <f>IF('Treatment-Map-1'!E93="*  -&gt; ##34###34#","// --END",'Treatment-Map-1'!E93)</f>
        <v>* treatmentResponseDefinedDone -&gt; ##34#TBD##34#</v>
      </c>
    </row>
    <row r="458" spans="3:3">
      <c r="C458" s="12" t="str">
        <f>IF('Treatment-Map-1'!E94="*  -&gt; ##34###34#","// --END",'Treatment-Map-1'!E94)</f>
        <v>* systemicTreatment2 -&gt; ##34#TBD##34#</v>
      </c>
    </row>
    <row r="459" spans="3:3">
      <c r="C459" s="12" t="str">
        <f>IF('Treatment-Map-1'!E95="*  -&gt; ##34###34#","// --END",'Treatment-Map-1'!E95)</f>
        <v>* radiotherapy -&gt; ##34#TBD##34#</v>
      </c>
    </row>
    <row r="460" spans="3:3">
      <c r="C460" s="12" t="str">
        <f>IF('Treatment-Map-1'!E96="*  -&gt; ##34###34#","// --END",'Treatment-Map-1'!E96)</f>
        <v>* radiotherapywhere -&gt; ##34#TBD##34#</v>
      </c>
    </row>
    <row r="461" spans="3:3">
      <c r="C461" s="12" t="str">
        <f>IF('Treatment-Map-1'!E97="*  -&gt; ##34###34#","// --END",'Treatment-Map-1'!E97)</f>
        <v>* intent -&gt; ##34#TBD##34#</v>
      </c>
    </row>
    <row r="462" spans="3:3">
      <c r="C462" s="12" t="str">
        <f>IF('Treatment-Map-1'!E98="*  -&gt; ##34###34#","// --END",'Treatment-Map-1'!E98)</f>
        <v>* setting-2 -&gt; ##34#TBD##34#</v>
      </c>
    </row>
    <row r="463" spans="3:3">
      <c r="C463" s="12" t="str">
        <f>IF('Treatment-Map-1'!E99="*  -&gt; ##34###34#","// --END",'Treatment-Map-1'!E99)</f>
        <v>* postoperativeRadiotherapyIndications -&gt; ##34#TBD##34#</v>
      </c>
    </row>
    <row r="464" spans="3:3">
      <c r="C464" s="12" t="str">
        <f>IF('Treatment-Map-1'!E100="*  -&gt; ##34###34#","// --END",'Treatment-Map-1'!E100)</f>
        <v>* beamQuality -&gt; ##34#TBD##34#</v>
      </c>
    </row>
    <row r="465" spans="3:3">
      <c r="C465" s="12" t="str">
        <f>IF('Treatment-Map-1'!E101="*  -&gt; ##34###34#","// --END",'Treatment-Map-1'!E101)</f>
        <v>* beamQuality-otherSpecify -&gt; ##34#TBD##34#</v>
      </c>
    </row>
    <row r="466" spans="3:3">
      <c r="C466" s="12" t="str">
        <f>IF('Treatment-Map-1'!E102="*  -&gt; ##34###34#","// --END",'Treatment-Map-1'!E102)</f>
        <v>* treatmentTechnique -&gt; ##34#TBD##34#</v>
      </c>
    </row>
    <row r="467" spans="3:3">
      <c r="C467" s="12" t="str">
        <f>IF('Treatment-Map-1'!E103="*  -&gt; ##34###34#","// --END",'Treatment-Map-1'!E103)</f>
        <v>* treatmentTechnique-otherSpecify -&gt; ##34#TBD##34#</v>
      </c>
    </row>
    <row r="468" spans="3:3">
      <c r="C468" s="12" t="str">
        <f>IF('Treatment-Map-1'!E104="*  -&gt; ##34###34#","// --END",'Treatment-Map-1'!E104)</f>
        <v>* boostType -&gt; ##34#TBD##34#</v>
      </c>
    </row>
    <row r="469" spans="3:3">
      <c r="C469" s="12" t="str">
        <f>IF('Treatment-Map-1'!E105="*  -&gt; ##34###34#","// --END",'Treatment-Map-1'!E105)</f>
        <v>* treatmentPlan -&gt; ##34#TBD##34#</v>
      </c>
    </row>
    <row r="470" spans="3:3">
      <c r="C470" s="12" t="str">
        <f>IF('Treatment-Map-1'!E106="*  -&gt; ##34###34#","// --END",'Treatment-Map-1'!E106)</f>
        <v>* totalDoseTdGy -&gt; ##34#TBD##34#</v>
      </c>
    </row>
    <row r="471" spans="3:3">
      <c r="C471" s="12" t="str">
        <f>IF('Treatment-Map-1'!E107="*  -&gt; ##34###34#","// --END",'Treatment-Map-1'!E107)</f>
        <v>* fractionSizeFs -&gt; ##34#TBD##34#</v>
      </c>
    </row>
    <row r="472" spans="3:3">
      <c r="C472" s="12" t="str">
        <f>IF('Treatment-Map-1'!E108="*  -&gt; ##34###34#","// --END",'Treatment-Map-1'!E108)</f>
        <v>* numberOfFractions -&gt; ##34#TBD##34#</v>
      </c>
    </row>
    <row r="473" spans="3:3">
      <c r="C473" s="12" t="str">
        <f>IF('Treatment-Map-1'!E109="*  -&gt; ##34###34#","// --END",'Treatment-Map-1'!E109)</f>
        <v>* totalHighDoseGy -&gt; ##34#TBD##34#</v>
      </c>
    </row>
    <row r="474" spans="3:3">
      <c r="C474" s="12" t="str">
        <f>IF('Treatment-Map-1'!E110="*  -&gt; ##34###34#","// --END",'Treatment-Map-1'!E110)</f>
        <v>* totalHighDoseFraction -&gt; ##34#TBD##34#</v>
      </c>
    </row>
    <row r="475" spans="3:3">
      <c r="C475" s="12" t="str">
        <f>IF('Treatment-Map-1'!E111="*  -&gt; ##34###34#","// --END",'Treatment-Map-1'!E111)</f>
        <v>* totalIntermediateDoseGy -&gt; ##34#TBD##34#</v>
      </c>
    </row>
    <row r="476" spans="3:3">
      <c r="C476" s="12" t="str">
        <f>IF('Treatment-Map-1'!E112="*  -&gt; ##34###34#","// --END",'Treatment-Map-1'!E112)</f>
        <v>* totalIntermediateDoseFraction -&gt; ##34#TBD##34#</v>
      </c>
    </row>
    <row r="477" spans="3:3">
      <c r="C477" s="12" t="str">
        <f>IF('Treatment-Map-1'!E113="*  -&gt; ##34###34#","// --END",'Treatment-Map-1'!E113)</f>
        <v>* totalLowDoseGy -&gt; ##34#TBD##34#</v>
      </c>
    </row>
    <row r="478" spans="3:3">
      <c r="C478" s="12" t="str">
        <f>IF('Treatment-Map-1'!E114="*  -&gt; ##34###34#","// --END",'Treatment-Map-1'!E114)</f>
        <v>* totalLowDoseFraction -&gt; ##34#TBD##34#</v>
      </c>
    </row>
    <row r="479" spans="3:3">
      <c r="C479" s="12" t="str">
        <f>IF('Treatment-Map-1'!E115="*  -&gt; ##34###34#","// --END",'Treatment-Map-1'!E115)</f>
        <v>* fractionationPattern -&gt; ##34#TBD##34#</v>
      </c>
    </row>
    <row r="480" spans="3:3">
      <c r="C480" s="12" t="str">
        <f>IF('Treatment-Map-1'!E116="*  -&gt; ##34###34#","// --END",'Treatment-Map-1'!E116)</f>
        <v>* alteredFractionationScheme -&gt; ##34#TBD##34#</v>
      </c>
    </row>
    <row r="481" spans="3:3">
      <c r="C481" s="12" t="str">
        <f>IF('Treatment-Map-1'!E117="*  -&gt; ##34###34#","// --END",'Treatment-Map-1'!E117)</f>
        <v>* adaptiveRt -&gt; ##34#TBD##34#</v>
      </c>
    </row>
    <row r="482" spans="3:3">
      <c r="C482" s="12" t="str">
        <f>IF('Treatment-Map-1'!E118="*  -&gt; ##34###34#","// --END",'Treatment-Map-1'!E118)</f>
        <v>* igrtImageGuideRadiotherapy -&gt; ##34#TBD##34#</v>
      </c>
    </row>
    <row r="483" spans="3:3">
      <c r="C483" s="12" t="str">
        <f>IF('Treatment-Map-1'!E119="*  -&gt; ##34###34#","// --END",'Treatment-Map-1'!E119)</f>
        <v>* secondBeamQuality -&gt; ##34#TBD##34#</v>
      </c>
    </row>
    <row r="484" spans="3:3">
      <c r="C484" s="12" t="str">
        <f>IF('Treatment-Map-1'!E120="*  -&gt; ##34###34#","// --END",'Treatment-Map-1'!E120)</f>
        <v>* otherSpecify2 -&gt; ##34#TBD##34#</v>
      </c>
    </row>
    <row r="485" spans="3:3">
      <c r="C485" s="12" t="str">
        <f>IF('Treatment-Map-1'!E121="*  -&gt; ##34###34#","// --END",'Treatment-Map-1'!E121)</f>
        <v>* treatmentTechnique2 -&gt; ##34#TBD##34#</v>
      </c>
    </row>
    <row r="486" spans="3:3">
      <c r="C486" s="12" t="str">
        <f>IF('Treatment-Map-1'!E122="*  -&gt; ##34###34#","// --END",'Treatment-Map-1'!E122)</f>
        <v>* treatmentTechnique2OtherSpecify -&gt; ##34#TBD##34#</v>
      </c>
    </row>
    <row r="487" spans="3:3">
      <c r="C487" s="12" t="str">
        <f>IF('Treatment-Map-1'!E123="*  -&gt; ##34###34#","// --END",'Treatment-Map-1'!E123)</f>
        <v>* startDate -&gt; ##34#TBD##34#</v>
      </c>
    </row>
    <row r="488" spans="3:3">
      <c r="C488" s="12" t="str">
        <f>IF('Treatment-Map-1'!E124="*  -&gt; ##34###34#","// --END",'Treatment-Map-1'!E124)</f>
        <v>* startDateRadiotherapyDayUnknown -&gt; ##34#TBD##34#</v>
      </c>
    </row>
    <row r="489" spans="3:3">
      <c r="C489" s="12" t="str">
        <f>IF('Treatment-Map-1'!E125="*  -&gt; ##34###34#","// --END",'Treatment-Map-1'!E125)</f>
        <v>* endDate -&gt; ##34#TBD##34#</v>
      </c>
    </row>
    <row r="490" spans="3:3">
      <c r="C490" s="12" t="str">
        <f>IF('Treatment-Map-1'!E126="*  -&gt; ##34###34#","// --END",'Treatment-Map-1'!E126)</f>
        <v>* endDateRadiotherapyDayUnknown -&gt; ##34#TBD##34#</v>
      </c>
    </row>
    <row r="491" spans="3:3">
      <c r="C491" s="12" t="str">
        <f>IF('Treatment-Map-1'!E127="*  -&gt; ##34###34#","// --END",'Treatment-Map-1'!E127)</f>
        <v>* treatmentInterruption2DaysNotIncludingIntendedBreaks -&gt; ##34#TBD##34#</v>
      </c>
    </row>
    <row r="492" spans="3:3">
      <c r="C492" s="12" t="str">
        <f>IF('Treatment-Map-1'!E128="*  -&gt; ##34###34#","// --END",'Treatment-Map-1'!E128)</f>
        <v>* treatmentDaysMissed -&gt; ##34#TBD##34#</v>
      </c>
    </row>
    <row r="493" spans="3:3">
      <c r="C493" s="12" t="str">
        <f>IF('Treatment-Map-1'!E129="*  -&gt; ##34###34#","// --END",'Treatment-Map-1'!E129)</f>
        <v>* overallTreatmentTimeOtt -&gt; ##34#TBD##34#</v>
      </c>
    </row>
    <row r="494" spans="3:3">
      <c r="C494" s="12" t="str">
        <f>IF('Treatment-Map-1'!E130="*  -&gt; ##34###34#","// --END",'Treatment-Map-1'!E130)</f>
        <v>* overallTreatmentTimeOttManualInDays -&gt; ##34#TBD##34#</v>
      </c>
    </row>
    <row r="495" spans="3:3">
      <c r="C495" s="12" t="str">
        <f>IF('Treatment-Map-1'!E131="*  -&gt; ##34###34#","// --END",'Treatment-Map-1'!E131)</f>
        <v>* treatmentSites -&gt; ##34#TBD##34#</v>
      </c>
    </row>
    <row r="496" spans="3:3">
      <c r="C496" s="12" t="str">
        <f>IF('Treatment-Map-1'!E132="*  -&gt; ##34###34#","// --END",'Treatment-Map-1'!E132)</f>
        <v>* primary -&gt; ##34#TBD##34#</v>
      </c>
    </row>
    <row r="497" spans="3:3">
      <c r="C497" s="12" t="str">
        <f>IF('Treatment-Map-1'!E133="*  -&gt; ##34###34#","// --END",'Treatment-Map-1'!E133)</f>
        <v>* neck -&gt; ##34#TBD##34#</v>
      </c>
    </row>
    <row r="498" spans="3:3">
      <c r="C498" s="12" t="str">
        <f>IF('Treatment-Map-1'!E134="*  -&gt; ##34###34#","// --END",'Treatment-Map-1'!E134)</f>
        <v>* primaryAndIpsilateralNeck -&gt; ##34#TBD##34#</v>
      </c>
    </row>
    <row r="499" spans="3:3">
      <c r="C499" s="12" t="str">
        <f>IF('Treatment-Map-1'!E135="*  -&gt; ##34###34#","// --END",'Treatment-Map-1'!E135)</f>
        <v>* primaryAndBilateralNeck -&gt; ##34#TBD##34#</v>
      </c>
    </row>
    <row r="500" spans="3:3">
      <c r="C500" s="12" t="str">
        <f>IF('Treatment-Map-1'!E136="*  -&gt; ##34###34#","// --END",'Treatment-Map-1'!E136)</f>
        <v>* distantMetastasis -&gt; ##34#TBD##34#</v>
      </c>
    </row>
    <row r="501" spans="3:3">
      <c r="C501" s="12" t="str">
        <f>IF('Treatment-Map-1'!E137="*  -&gt; ##34###34#","// --END",'Treatment-Map-1'!E137)</f>
        <v>* metastaticTreatmentSites -&gt; ##34#TBD##34#</v>
      </c>
    </row>
    <row r="502" spans="3:3" ht="29.5">
      <c r="C502" s="12" t="str">
        <f>IF('Treatment-Map-1'!E138="*  -&gt; ##34###34#","// --END",'Treatment-Map-1'!E138)</f>
        <v>* lung
 -&gt; ##34#TBD##34#</v>
      </c>
    </row>
    <row r="503" spans="3:3" ht="29.5">
      <c r="C503" s="12" t="str">
        <f>IF('Treatment-Map-1'!E139="*  -&gt; ##34###34#","// --END",'Treatment-Map-1'!E139)</f>
        <v>* mediastinum
 -&gt; ##34#TBD##34#</v>
      </c>
    </row>
    <row r="504" spans="3:3" ht="29.5">
      <c r="C504" s="12" t="str">
        <f>IF('Treatment-Map-1'!E140="*  -&gt; ##34###34#","// --END",'Treatment-Map-1'!E140)</f>
        <v>* bone
 -&gt; ##34#TBD##34#</v>
      </c>
    </row>
    <row r="505" spans="3:3" ht="29.5">
      <c r="C505" s="12" t="str">
        <f>IF('Treatment-Map-1'!E141="*  -&gt; ##34###34#","// --END",'Treatment-Map-1'!E141)</f>
        <v>* softTissue
 -&gt; ##34#TBD##34#</v>
      </c>
    </row>
    <row r="506" spans="3:3" ht="29.5">
      <c r="C506" s="12" t="str">
        <f>IF('Treatment-Map-1'!E142="*  -&gt; ##34###34#","// --END",'Treatment-Map-1'!E142)</f>
        <v>* liver
 -&gt; ##34#TBD##34#</v>
      </c>
    </row>
    <row r="507" spans="3:3">
      <c r="C507" s="12" t="str">
        <f>IF('Treatment-Map-1'!E143="*  -&gt; ##34###34#","// --END",'Treatment-Map-1'!E143)</f>
        <v>* unknown -&gt; ##34#TBD##34#</v>
      </c>
    </row>
    <row r="508" spans="3:3">
      <c r="C508" s="12" t="str">
        <f>IF('Treatment-Map-1'!E144="*  -&gt; ##34###34#","// --END",'Treatment-Map-1'!E144)</f>
        <v>* other -&gt; ##34#TBD##34#</v>
      </c>
    </row>
    <row r="509" spans="3:3">
      <c r="C509" s="12" t="str">
        <f>IF('Treatment-Map-1'!E145="*  -&gt; ##34###34#","// --END",'Treatment-Map-1'!E145)</f>
        <v>* otherSpecify -&gt; ##34#TBD##34#</v>
      </c>
    </row>
    <row r="510" spans="3:3">
      <c r="C510" s="12" t="str">
        <f>IF('Treatment-Map-1'!E146="*  -&gt; ##34###34#","// --END",'Treatment-Map-1'!E146)</f>
        <v>* neckLevelsIrradiatedRight -&gt; ##34#TBD##34#</v>
      </c>
    </row>
    <row r="511" spans="3:3">
      <c r="C511" s="12" t="str">
        <f>IF('Treatment-Map-1'!E147="*  -&gt; ##34###34#","// --END",'Treatment-Map-1'!E147)</f>
        <v>* neckLevelsIrradiatedLeft -&gt; ##34#TBD##34#</v>
      </c>
    </row>
    <row r="512" spans="3:3">
      <c r="C512" s="12" t="str">
        <f>IF('Treatment-Map-1'!E148="*  -&gt; ##34###34#","// --END",'Treatment-Map-1'!E148)</f>
        <v>* ctvHighExpansion -&gt; ##34#TBD##34#</v>
      </c>
    </row>
    <row r="513" spans="3:3">
      <c r="C513" s="12" t="str">
        <f>IF('Treatment-Map-1'!E149="*  -&gt; ##34###34#","// --END",'Treatment-Map-1'!E149)</f>
        <v>* ptvHighExpansion -&gt; ##34#TBD##34#</v>
      </c>
    </row>
    <row r="514" spans="3:3">
      <c r="C514" s="12" t="str">
        <f>IF('Treatment-Map-1'!E150="*  -&gt; ##34###34#","// --END",'Treatment-Map-1'!E150)</f>
        <v>* v60OfSkin -&gt; ##34#TBD##34#</v>
      </c>
    </row>
    <row r="515" spans="3:3">
      <c r="C515" s="12" t="str">
        <f>IF('Treatment-Map-1'!E151="*  -&gt; ##34###34#","// --END",'Treatment-Map-1'!E151)</f>
        <v>* treatmentCompletedAsPlanned -&gt; ##34#TBD##34#</v>
      </c>
    </row>
    <row r="516" spans="3:3">
      <c r="C516" s="12" t="str">
        <f>IF('Treatment-Map-1'!E152="*  -&gt; ##34###34#","// --END",'Treatment-Map-1'!E152)</f>
        <v>* hospitalizedDuringRt -&gt; ##34#TBD##34#</v>
      </c>
    </row>
    <row r="517" spans="3:3">
      <c r="C517" s="12" t="str">
        <f>IF('Treatment-Map-1'!E153="*  -&gt; ##34###34#","// --END",'Treatment-Map-1'!E153)</f>
        <v>* carotidBlowout -&gt; ##34#TBD##34#</v>
      </c>
    </row>
    <row r="518" spans="3:3">
      <c r="C518" s="12" t="str">
        <f>IF('Treatment-Map-1'!E154="*  -&gt; ##34###34#","// --END",'Treatment-Map-1'!E154)</f>
        <v>* feedingTubeDuringRt -&gt; ##34#TBD##34#</v>
      </c>
    </row>
    <row r="519" spans="3:3">
      <c r="C519" s="12" t="str">
        <f>IF('Treatment-Map-1'!E155="*  -&gt; ##34###34#","// --END",'Treatment-Map-1'!E155)</f>
        <v>* feedingTubeReason -&gt; ##34#TBD##34#</v>
      </c>
    </row>
    <row r="520" spans="3:3">
      <c r="C520" s="12" t="str">
        <f>IF('Treatment-Map-1'!E156="*  -&gt; ##34###34#","// --END",'Treatment-Map-1'!E156)</f>
        <v>* smokingDuringRt -&gt; ##34#TBD##34#</v>
      </c>
    </row>
    <row r="521" spans="3:3">
      <c r="C521" s="12" t="str">
        <f>IF('Treatment-Map-1'!E157="*  -&gt; ##34###34#","// --END",'Treatment-Map-1'!E157)</f>
        <v>* alcoholDuringRt -&gt; ##34#TBD##34#</v>
      </c>
    </row>
    <row r="522" spans="3:3">
      <c r="C522" s="12" t="str">
        <f>IF('Treatment-Map-1'!E158="*  -&gt; ##34###34#","// --END",'Treatment-Map-1'!E158)</f>
        <v>* otherTypeOfTreatment -&gt; ##34#TBD##34#</v>
      </c>
    </row>
    <row r="523" spans="3:3">
      <c r="C523" s="12" t="str">
        <f>IF('Treatment-Map-1'!E159="*  -&gt; ##34###34#","// --END",'Treatment-Map-1'!E159)</f>
        <v>* otherTreatmentPerformed -&gt; ##34#TBD##34#</v>
      </c>
    </row>
    <row r="524" spans="3:3">
      <c r="C524" s="12" t="str">
        <f>IF('Treatment-Map-1'!E160="*  -&gt; ##34###34#","// --END",'Treatment-Map-1'!E160)</f>
        <v>* dateOfStart -&gt; ##34#TBD##34#</v>
      </c>
    </row>
    <row r="525" spans="3:3">
      <c r="C525" s="12" t="str">
        <f>IF('Treatment-Map-1'!E161="*  -&gt; ##34###34#","// --END",'Treatment-Map-1'!E161)</f>
        <v>* dateOfOtherTreatmentDayUnknown -&gt; ##34#TBD##34#</v>
      </c>
    </row>
    <row r="526" spans="3:3">
      <c r="C526" s="12" t="str">
        <f>IF('Treatment-Map-1'!E162="*  -&gt; ##34###34#","// --END",'Treatment-Map-1'!E162)</f>
        <v>* dateOfEnd -&gt; ##34#TBD##34#</v>
      </c>
    </row>
    <row r="527" spans="3:3">
      <c r="C527" s="12" t="str">
        <f>IF('Treatment-Map-1'!E163="*  -&gt; ##34###34#","// --END",'Treatment-Map-1'!E163)</f>
        <v>* dateOfEndOtherTreatmentDayUnknown -&gt; ##34#TBD##34#</v>
      </c>
    </row>
    <row r="528" spans="3:3">
      <c r="C528" s="12" t="str">
        <f>IF('Treatment-Map-1'!E164="*  -&gt; ##34###34#","// --END",'Treatment-Map-1'!E164)</f>
        <v>* type -&gt; ##34#TBD##34#</v>
      </c>
    </row>
    <row r="529" spans="3:3">
      <c r="C529" s="12" t="str">
        <f>IF('Treatment-Map-1'!E165="*  -&gt; ##34###34#","// --END",'Treatment-Map-1'!E165)</f>
        <v>* treatmentCompleted -&gt; ##34#TBD##34#</v>
      </c>
    </row>
    <row r="530" spans="3:3">
      <c r="C530" s="12" t="str">
        <f>IF('Treatment-Map-1'!E166="*  -&gt; ##34###34#","// --END",'Treatment-Map-1'!E166)</f>
        <v>* overallTreatmentResponse -&gt; ##34#TBD##34#</v>
      </c>
    </row>
    <row r="531" spans="3:3">
      <c r="C531" s="12" t="str">
        <f>IF('Treatment-Map-1'!E167="*  -&gt; ##34###34#","// --END",'Treatment-Map-1'!E167)</f>
        <v>* treatmentResponseBasedOnImagingAloneNoRecistOrOtherCriteria-2 -&gt; ##34#TBD##34#</v>
      </c>
    </row>
    <row r="532" spans="3:3">
      <c r="C532" s="12" t="str">
        <f>IF('Treatment-Map-1'!E168="*  -&gt; ##34###34#","// --END",'Treatment-Map-1'!E168)</f>
        <v>* treatmentResponseDefineddone -&gt; ##34#TBD##34#</v>
      </c>
    </row>
    <row r="533" spans="3:3">
      <c r="C533" s="12" t="str">
        <f>IF('Treatment-Map-1'!E169="*  -&gt; ##34###34#","// --END",'Treatment-Map-1'!E169)</f>
        <v>* patientIncludedInClinicalTrial -&gt; ##34#TBD##34#</v>
      </c>
    </row>
    <row r="534" spans="3:3">
      <c r="C534" s="12" t="str">
        <f>IF('Treatment-Map-1'!E170="*  -&gt; ##34###34#","// --END",'Treatment-Map-1'!E170)</f>
        <v>* patientIncludedInAClinicalTrial -&gt; ##34#TBD##34#</v>
      </c>
    </row>
    <row r="535" spans="3:3">
      <c r="C535" s="12" t="str">
        <f>IF('Treatment-Map-1'!E171="*  -&gt; ##34###34#","// --END",'Treatment-Map-1'!E171)</f>
        <v>* clinicalTrialCode -&gt; ##34#TBD##34#</v>
      </c>
    </row>
    <row r="536" spans="3:3">
      <c r="C536" s="12" t="str">
        <f>IF('Treatment-Map-1'!E172="*  -&gt; ##34###34#","// --END",'Treatment-Map-1'!E172)</f>
        <v>* instrumentStatus -&gt; ##34#TBD##34#</v>
      </c>
    </row>
    <row r="537" spans="3:3">
      <c r="C537" s="12" t="str">
        <f>IF('Treatment-Map-1'!E173="*  -&gt; ##34###34#","// --END",'Treatment-Map-1'!E173)</f>
        <v>// --END</v>
      </c>
    </row>
    <row r="538" spans="3:3">
      <c r="C538" s="12" t="str">
        <f>IF('Treatment-Map-1'!E174="*  -&gt; ##34###34#","// --END",'Treatment-Map-1'!E174)</f>
        <v>// --END</v>
      </c>
    </row>
    <row r="539" spans="3:3">
      <c r="C539" s="12" t="str">
        <f>IF('Treatment-Map-1'!E175="*  -&gt; ##34###34#","// --END",'Treatment-Map-1'!E175)</f>
        <v>// --END</v>
      </c>
    </row>
    <row r="540" spans="3:3">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c r="E4" s="54"/>
      <c r="H4" s="12"/>
      <c r="I4" s="11"/>
      <c r="J4" s="11"/>
      <c r="K4" s="11"/>
      <c r="L4" s="11"/>
    </row>
    <row r="5" spans="1:17" ht="15.5" thickBot="1">
      <c r="B5" s="10" t="s">
        <v>16</v>
      </c>
      <c r="C5" s="13"/>
      <c r="E5" s="55"/>
      <c r="H5" s="12"/>
      <c r="I5" s="11"/>
      <c r="J5" s="11"/>
      <c r="K5" s="11"/>
      <c r="L5" s="11"/>
    </row>
    <row r="6" spans="1:17" ht="15.5" thickBot="1">
      <c r="B6" s="10" t="s">
        <v>10</v>
      </c>
      <c r="C6" s="7"/>
      <c r="E6" s="7"/>
      <c r="H6" s="16" t="s">
        <v>1444</v>
      </c>
      <c r="I6" s="67" t="s">
        <v>1445</v>
      </c>
      <c r="J6" s="16" t="s">
        <v>1442</v>
      </c>
      <c r="K6" s="67" t="s">
        <v>1443</v>
      </c>
      <c r="L6" s="63" t="s">
        <v>1437</v>
      </c>
    </row>
    <row r="7" spans="1:17">
      <c r="B7" s="60" t="s">
        <v>18</v>
      </c>
      <c r="C7" s="56"/>
      <c r="E7" s="56"/>
      <c r="H7" s="12"/>
      <c r="I7" s="11"/>
      <c r="J7" s="11"/>
      <c r="K7" s="11"/>
      <c r="L7" s="11"/>
    </row>
    <row r="8" spans="1:17">
      <c r="B8" s="62" t="s">
        <v>15</v>
      </c>
      <c r="C8" s="11"/>
      <c r="D8" s="12"/>
      <c r="E8" s="11"/>
      <c r="F8" s="63" t="s">
        <v>1437</v>
      </c>
      <c r="G8" s="66"/>
      <c r="H8" s="12"/>
      <c r="I8" s="11"/>
      <c r="J8" s="63"/>
      <c r="K8" s="63"/>
      <c r="L8" s="63"/>
    </row>
    <row r="9" spans="1:17">
      <c r="A9" s="59"/>
      <c r="B9" s="6"/>
      <c r="C9" s="11"/>
      <c r="D9" s="6" t="s">
        <v>1396</v>
      </c>
      <c r="E9" s="6"/>
      <c r="F9" s="11"/>
      <c r="H9" s="12"/>
      <c r="I9" s="11"/>
      <c r="J9" s="11"/>
      <c r="K9" s="11"/>
      <c r="L9" s="63"/>
    </row>
    <row r="10" spans="1:17" ht="44.25">
      <c r="A10" s="59"/>
      <c r="B10" s="6" t="str">
        <f>Treatment!B5</f>
        <v>Treatment</v>
      </c>
      <c r="C10" s="6" t="str">
        <f>Treatment!B6</f>
        <v>Treatment</v>
      </c>
      <c r="D10" s="57" t="str">
        <f>ConvertOsiris!I2</f>
        <v>Patient</v>
      </c>
      <c r="E10" s="57" t="str">
        <f>ConvertOsiris!J2</f>
        <v>Patient</v>
      </c>
      <c r="F10" s="64" t="s">
        <v>1429</v>
      </c>
      <c r="G10" s="58"/>
      <c r="H10" s="12" t="str">
        <f>"* group[=].element[+].code = #"&amp;B10</f>
        <v>* group[=].element[+].code = #Treatment</v>
      </c>
      <c r="I10" s="12" t="str">
        <f>"* group[=].element[=].display = ##34#"&amp;C10&amp;"##34#"</f>
        <v>* group[=].element[=].display = ##34#Treatment##34#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c r="A11" s="59"/>
      <c r="B11" s="11" t="str">
        <f>$B$10&amp;"."&amp;Treatment!B8</f>
        <v>Treatment.surgery</v>
      </c>
      <c r="C11" s="11" t="str">
        <f>Treatment!C8</f>
        <v xml:space="preserve">Surgery </v>
      </c>
      <c r="D11" s="11" t="str">
        <f>ConvertOsiris!I6</f>
        <v>Patient.BirthDate</v>
      </c>
      <c r="E11" s="11" t="str">
        <f>ConvertOsiris!J6</f>
        <v>Birth Date [C4]</v>
      </c>
      <c r="F11" s="64" t="s">
        <v>1407</v>
      </c>
      <c r="G11" s="58"/>
      <c r="H11" s="12" t="str">
        <f t="shared" ref="H11:H17" si="0">"* group[=].element[+].code = #"&amp;B11</f>
        <v>* group[=].element[+].code = #Treatment.surgery</v>
      </c>
      <c r="I11" s="12" t="str">
        <f t="shared" ref="I11:I17" si="1">"* group[=].element[=].display = ##34#"&amp;C11&amp;"##34#"</f>
        <v>* group[=].element[=].display = ##34#Surgery ##34#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c r="A12" s="59"/>
      <c r="B12" s="11" t="str">
        <f>$B$10&amp;"."&amp;Treatment!B9</f>
        <v>Treatment.surgeryPerformed</v>
      </c>
      <c r="C12" s="11" t="str">
        <f>Treatment!C9</f>
        <v>Surgery performed</v>
      </c>
      <c r="D12" s="11" t="str">
        <f>ConvertOsiris!I6</f>
        <v>Patient.BirthDate</v>
      </c>
      <c r="E12" s="11" t="str">
        <f>ConvertOsiris!J6</f>
        <v>Birth Date [C4]</v>
      </c>
      <c r="F12" s="64" t="s">
        <v>1429</v>
      </c>
      <c r="G12" s="58"/>
      <c r="H12" s="12" t="str">
        <f t="shared" si="0"/>
        <v>* group[=].element[+].code = #Treatment.surgeryPerformed</v>
      </c>
      <c r="I12" s="12" t="str">
        <f t="shared" si="1"/>
        <v>* group[=].element[=].display = ##34#Surgery performed##34#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INDEX('Treatment-ConceptMap'!$H$10:$L$264,O12+1,P12)</f>
        <v>* group[=].element[=].target.code = #Osiris.Patient</v>
      </c>
    </row>
    <row r="13" spans="1:17" ht="44.25">
      <c r="A13" s="59"/>
      <c r="B13" s="11" t="str">
        <f>$B$10&amp;"."&amp;Treatment!B11</f>
        <v>Treatment.surgeryIntention</v>
      </c>
      <c r="C13" s="11" t="str">
        <f>Treatment!C11</f>
        <v>Surgery intention</v>
      </c>
      <c r="D13" s="11"/>
      <c r="E13" s="11"/>
      <c r="F13" s="64" t="s">
        <v>1424</v>
      </c>
      <c r="G13" s="58"/>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INDEX('Treatment-ConceptMap'!$H$10:$L$264,O13+1,P13)</f>
        <v>* group[=].element[=].target.display = ##34#Patient##34#</v>
      </c>
    </row>
    <row r="14" spans="1:17" ht="44.25">
      <c r="A14" s="59"/>
      <c r="B14" s="11" t="str">
        <f>$B$10&amp;"."&amp;Treatment!B12</f>
        <v>Treatment.tumorSurgeryApproach</v>
      </c>
      <c r="C14" s="11" t="str">
        <f>Treatment!C12</f>
        <v>Tumor surgery approach</v>
      </c>
      <c r="D14" s="11"/>
      <c r="E14" s="11"/>
      <c r="F14" s="64" t="s">
        <v>1424</v>
      </c>
      <c r="G14" s="58"/>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c r="A15" s="59"/>
      <c r="B15" s="11" t="str">
        <f>$B$10&amp;"."&amp;Treatment!B13</f>
        <v>Treatment.tumorSurgeryDevice</v>
      </c>
      <c r="C15" s="11" t="str">
        <f>Treatment!C13</f>
        <v>Tumor surgery device</v>
      </c>
      <c r="D15" s="11" t="str">
        <f>ConvertOsiris!I4</f>
        <v>Patient.Gender</v>
      </c>
      <c r="E15" s="11" t="str">
        <f>ConvertOsiris!J4</f>
        <v>Gender [C2]</v>
      </c>
      <c r="F15" s="64" t="s">
        <v>1433</v>
      </c>
      <c r="G15" s="58"/>
      <c r="H15" s="12" t="str">
        <f t="shared" si="0"/>
        <v>* group[=].element[+].code = #Treatment.tumorSurgeryDevice</v>
      </c>
      <c r="I15" s="12" t="str">
        <f t="shared" si="1"/>
        <v>* group[=].element[=].display = ##34#Tumor surgery device##34#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c r="A16" s="59"/>
      <c r="B16" s="11" t="str">
        <f>$B$10&amp;"."&amp;Treatment!B14</f>
        <v>Treatment.surgicalProcedure</v>
      </c>
      <c r="C16" s="11" t="str">
        <f>Treatment!C14</f>
        <v>Surgical procedure</v>
      </c>
      <c r="D16" s="11" t="str">
        <f>ConvertOsiris!I5</f>
        <v>Patient.Ethnicity</v>
      </c>
      <c r="E16" s="11" t="str">
        <f>ConvertOsiris!J5</f>
        <v>Ethnicity [C3]</v>
      </c>
      <c r="F16" s="64" t="s">
        <v>1431</v>
      </c>
      <c r="G16" s="58"/>
      <c r="H16" s="12" t="str">
        <f t="shared" si="0"/>
        <v>* group[=].element[+].code = #Treatment.surgicalProcedure</v>
      </c>
      <c r="I16" s="12" t="str">
        <f t="shared" si="1"/>
        <v>* group[=].element[=].display = ##34#Surgical procedure##34#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c r="A17" s="59"/>
      <c r="B17" s="11" t="str">
        <f>$B$10&amp;"."&amp;Treatment!B15</f>
        <v>Treatment.surgicalProcedure.surgicalProcedureNasopharynx</v>
      </c>
      <c r="C17" s="11" t="str">
        <f>Treatment!C15</f>
        <v>Surgical procedure Nasopharynx</v>
      </c>
      <c r="D17" s="11"/>
      <c r="E17" s="12"/>
      <c r="F17" s="64" t="s">
        <v>1424</v>
      </c>
      <c r="G17" s="58"/>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INDEX('Treatment-ConceptMap'!$H$10:$L$264,O17+1,P17)</f>
        <v>* group[=].element[=].target.code = #Osiris.Patient.BirthDate</v>
      </c>
    </row>
    <row r="18" spans="1:17">
      <c r="A18" s="59"/>
      <c r="B18" s="11"/>
      <c r="C18" s="11"/>
      <c r="D18" s="11"/>
      <c r="E18" s="12"/>
      <c r="F18" s="64"/>
      <c r="G18" s="58"/>
      <c r="H18" s="12"/>
      <c r="I18" s="12"/>
      <c r="J18" s="12"/>
      <c r="K18" s="12"/>
      <c r="L18" s="12"/>
      <c r="N18" s="11">
        <v>9</v>
      </c>
      <c r="O18" s="11">
        <f t="shared" si="5"/>
        <v>1</v>
      </c>
      <c r="P18" s="11">
        <f t="shared" si="6"/>
        <v>4</v>
      </c>
      <c r="Q18" s="12" t="str" cm="1">
        <f t="array" ref="Q18">INDEX('Treatment-ConceptMap'!$H$10:$L$264,O18+1,P18)</f>
        <v>* group[=].element[=].target.display = ##34#Birth Date [C4]##34#</v>
      </c>
    </row>
    <row r="19" spans="1:17">
      <c r="B19" s="11"/>
      <c r="C19" s="11"/>
      <c r="D19" s="11"/>
      <c r="E19" s="12"/>
      <c r="F19" s="64"/>
      <c r="G19" s="58"/>
      <c r="H19" s="12"/>
      <c r="I19" s="12"/>
      <c r="J19" s="12"/>
      <c r="K19" s="12"/>
      <c r="L19" s="12"/>
      <c r="N19" s="11">
        <v>10</v>
      </c>
      <c r="O19" s="11">
        <f t="shared" si="5"/>
        <v>1</v>
      </c>
      <c r="P19" s="11">
        <f t="shared" si="6"/>
        <v>5</v>
      </c>
      <c r="Q19" s="12" t="str" cm="1">
        <f t="array" ref="Q19">INDEX('Treatment-ConceptMap'!$H$10:$L$264,O19+1,P19)</f>
        <v>* group[=].element[=].target.equivalence = #relatedto</v>
      </c>
    </row>
    <row r="20" spans="1:17">
      <c r="B20" s="11"/>
      <c r="C20" s="11"/>
      <c r="D20" s="11"/>
      <c r="E20" s="12"/>
      <c r="F20" s="64"/>
      <c r="G20" s="58"/>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c r="B21" s="11"/>
      <c r="C21" s="11"/>
      <c r="D21" s="11"/>
      <c r="E21" s="12"/>
      <c r="F21" s="64"/>
      <c r="G21" s="58"/>
      <c r="J21" s="58"/>
      <c r="K21" s="58"/>
      <c r="L21" s="66"/>
      <c r="N21" s="11">
        <v>12</v>
      </c>
      <c r="O21" s="11">
        <f t="shared" si="5"/>
        <v>2</v>
      </c>
      <c r="P21" s="11">
        <f t="shared" si="6"/>
        <v>2</v>
      </c>
      <c r="Q21" s="12" t="str" cm="1">
        <f t="array" ref="Q21">INDEX('Treatment-ConceptMap'!$H$10:$L$264,O21+1,P21)</f>
        <v>* group[=].element[=].display = ##34#Surgery performed##34#</v>
      </c>
    </row>
    <row r="22" spans="1:17">
      <c r="B22" s="11"/>
      <c r="C22" s="11"/>
      <c r="D22" s="11"/>
      <c r="E22" s="12"/>
      <c r="F22" s="64"/>
      <c r="G22" s="58"/>
      <c r="J22" s="58"/>
      <c r="K22" s="58"/>
      <c r="L22" s="66"/>
      <c r="N22" s="11">
        <v>13</v>
      </c>
      <c r="O22" s="11">
        <f t="shared" si="5"/>
        <v>2</v>
      </c>
      <c r="P22" s="11">
        <f t="shared" si="6"/>
        <v>3</v>
      </c>
      <c r="Q22" s="12" t="str" cm="1">
        <f t="array" ref="Q22">INDEX('Treatment-ConceptMap'!$H$10:$L$264,O22+1,P22)</f>
        <v>* group[=].element[=].target.code = #Osiris.Patient.BirthDate</v>
      </c>
    </row>
    <row r="23" spans="1:17">
      <c r="B23" s="11"/>
      <c r="C23" s="11"/>
      <c r="D23" s="11"/>
      <c r="E23" s="12"/>
      <c r="F23" s="64"/>
      <c r="G23" s="58"/>
      <c r="J23" s="58"/>
      <c r="K23" s="58"/>
      <c r="L23" s="66"/>
      <c r="N23" s="11">
        <v>14</v>
      </c>
      <c r="O23" s="11">
        <f t="shared" si="5"/>
        <v>2</v>
      </c>
      <c r="P23" s="11">
        <f t="shared" si="6"/>
        <v>4</v>
      </c>
      <c r="Q23" s="12" t="str" cm="1">
        <f t="array" ref="Q23">INDEX('Treatment-ConceptMap'!$H$10:$L$264,O23+1,P23)</f>
        <v>* group[=].element[=].target.display = ##34#Birth Date [C4]##34#</v>
      </c>
    </row>
    <row r="24" spans="1:17">
      <c r="B24" s="11"/>
      <c r="C24" s="11"/>
      <c r="D24" s="11"/>
      <c r="E24" s="12"/>
      <c r="F24" s="64"/>
      <c r="G24" s="58"/>
      <c r="J24" s="58"/>
      <c r="K24" s="58"/>
      <c r="L24" s="66"/>
      <c r="N24" s="11">
        <v>15</v>
      </c>
      <c r="O24" s="11">
        <f t="shared" si="5"/>
        <v>2</v>
      </c>
      <c r="P24" s="11">
        <f t="shared" si="6"/>
        <v>5</v>
      </c>
      <c r="Q24" s="12" t="str" cm="1">
        <f t="array" ref="Q24">INDEX('Treatment-ConceptMap'!$H$10:$L$264,O24+1,P24)</f>
        <v>* group[=].element[=].target.equivalence = #equivalent</v>
      </c>
    </row>
    <row r="25" spans="1:17">
      <c r="B25" s="11"/>
      <c r="C25" s="11"/>
      <c r="D25" s="11"/>
      <c r="E25" s="12"/>
      <c r="F25" s="64"/>
      <c r="G25" s="58"/>
      <c r="J25" s="58"/>
      <c r="K25" s="58"/>
      <c r="L25" s="66"/>
      <c r="N25" s="11">
        <v>16</v>
      </c>
      <c r="O25" s="11">
        <f t="shared" si="5"/>
        <v>3</v>
      </c>
      <c r="P25" s="11">
        <f t="shared" si="6"/>
        <v>1</v>
      </c>
      <c r="Q25" s="12" t="str" cm="1">
        <f t="array" ref="Q25">INDEX('Treatment-ConceptMap'!$H$10:$L$264,O25+1,P25)</f>
        <v>* group[=].element[+].code = #Treatment.surgeryIntention</v>
      </c>
    </row>
    <row r="26" spans="1:17">
      <c r="B26" s="11"/>
      <c r="C26" s="11"/>
      <c r="D26" s="11"/>
      <c r="E26" s="12"/>
      <c r="F26" s="64"/>
      <c r="G26" s="58"/>
      <c r="J26" s="58"/>
      <c r="K26" s="58"/>
      <c r="L26" s="66"/>
      <c r="N26" s="11">
        <v>17</v>
      </c>
      <c r="O26" s="11">
        <f t="shared" si="5"/>
        <v>3</v>
      </c>
      <c r="P26" s="11">
        <f t="shared" si="6"/>
        <v>2</v>
      </c>
      <c r="Q26" s="12" t="str" cm="1">
        <f t="array" ref="Q26">INDEX('Treatment-ConceptMap'!$H$10:$L$264,O26+1,P26)</f>
        <v>* group[=].element[=].display = ##34#Surgery intention##34#</v>
      </c>
    </row>
    <row r="27" spans="1:17">
      <c r="B27" s="11"/>
      <c r="C27" s="11"/>
      <c r="D27" s="11"/>
      <c r="E27" s="12"/>
      <c r="F27" s="64"/>
      <c r="G27" s="58"/>
      <c r="J27" s="58"/>
      <c r="K27" s="58"/>
      <c r="L27" s="66"/>
      <c r="N27" s="11">
        <v>18</v>
      </c>
      <c r="O27" s="11">
        <f t="shared" si="5"/>
        <v>3</v>
      </c>
      <c r="P27" s="11">
        <f t="shared" si="6"/>
        <v>3</v>
      </c>
      <c r="Q27" s="12" t="str" cm="1">
        <f t="array" ref="Q27">INDEX('Treatment-ConceptMap'!$H$10:$L$264,O27+1,P27)</f>
        <v>//-- unmatched</v>
      </c>
    </row>
    <row r="28" spans="1:17">
      <c r="B28" s="11"/>
      <c r="C28" s="11"/>
      <c r="D28" s="11"/>
      <c r="E28" s="12"/>
      <c r="F28" s="64"/>
      <c r="G28" s="58"/>
      <c r="J28" s="58"/>
      <c r="K28" s="58"/>
      <c r="L28" s="66"/>
      <c r="N28" s="11">
        <v>19</v>
      </c>
      <c r="O28" s="11">
        <f t="shared" si="5"/>
        <v>3</v>
      </c>
      <c r="P28" s="11">
        <f t="shared" si="6"/>
        <v>4</v>
      </c>
      <c r="Q28" s="12" t="str" cm="1">
        <f t="array" ref="Q28">INDEX('Treatment-ConceptMap'!$H$10:$L$264,O28+1,P28)</f>
        <v>//-- unmatched</v>
      </c>
    </row>
    <row r="29" spans="1:17">
      <c r="B29" s="11"/>
      <c r="C29" s="11"/>
      <c r="D29" s="11"/>
      <c r="E29" s="12"/>
      <c r="F29" s="64"/>
      <c r="G29" s="58"/>
      <c r="J29" s="58"/>
      <c r="K29" s="58"/>
      <c r="L29" s="66"/>
      <c r="N29" s="11">
        <v>20</v>
      </c>
      <c r="O29" s="11">
        <f t="shared" si="5"/>
        <v>3</v>
      </c>
      <c r="P29" s="11">
        <f t="shared" si="6"/>
        <v>5</v>
      </c>
      <c r="Q29" s="12" t="str" cm="1">
        <f t="array" ref="Q29">INDEX('Treatment-ConceptMap'!$H$10:$L$264,O29+1,P29)</f>
        <v>* group[=].element[=].target.equivalence = #unmatched</v>
      </c>
    </row>
    <row r="30" spans="1:17">
      <c r="B30" s="11"/>
      <c r="C30" s="11"/>
      <c r="D30" s="11"/>
      <c r="E30" s="12"/>
      <c r="F30" s="64"/>
      <c r="G30" s="58"/>
      <c r="J30" s="58"/>
      <c r="K30" s="58"/>
      <c r="L30" s="66"/>
      <c r="N30" s="11">
        <v>21</v>
      </c>
      <c r="O30" s="11">
        <f t="shared" si="5"/>
        <v>4</v>
      </c>
      <c r="P30" s="11">
        <f t="shared" si="6"/>
        <v>1</v>
      </c>
      <c r="Q30" s="12" t="str" cm="1">
        <f t="array" ref="Q30">INDEX('Treatment-ConceptMap'!$H$10:$L$264,O30+1,P30)</f>
        <v>* group[=].element[+].code = #Treatment.tumorSurgeryApproach</v>
      </c>
    </row>
    <row r="31" spans="1:17" s="2" customFormat="1">
      <c r="A31"/>
      <c r="B31" s="11"/>
      <c r="C31" s="11"/>
      <c r="D31" s="11"/>
      <c r="E31" s="12"/>
      <c r="F31" s="64"/>
      <c r="G31" s="58"/>
      <c r="I31"/>
      <c r="J31" s="58"/>
      <c r="K31" s="58"/>
      <c r="L31" s="66"/>
      <c r="N31" s="11">
        <v>22</v>
      </c>
      <c r="O31" s="11">
        <f t="shared" si="5"/>
        <v>4</v>
      </c>
      <c r="P31" s="11">
        <f t="shared" si="6"/>
        <v>2</v>
      </c>
      <c r="Q31" s="12" t="str" cm="1">
        <f t="array" ref="Q31">INDEX('Treatment-ConceptMap'!$H$10:$L$264,O31+1,P31)</f>
        <v>* group[=].element[=].display = ##34#Tumor surgery approach##34#</v>
      </c>
    </row>
    <row r="32" spans="1:17" s="2" customFormat="1">
      <c r="A32"/>
      <c r="B32" s="61"/>
      <c r="C32" s="61"/>
      <c r="D32" s="61"/>
      <c r="F32" s="58"/>
      <c r="G32" s="58"/>
      <c r="I32"/>
      <c r="J32" s="58"/>
      <c r="K32" s="58"/>
      <c r="L32" s="66"/>
      <c r="N32" s="11">
        <v>23</v>
      </c>
      <c r="O32" s="11">
        <f t="shared" si="5"/>
        <v>4</v>
      </c>
      <c r="P32" s="11">
        <f t="shared" si="6"/>
        <v>3</v>
      </c>
      <c r="Q32" s="12" t="str" cm="1">
        <f t="array" ref="Q32">INDEX('Treatment-ConceptMap'!$H$10:$L$264,O32+1,P32)</f>
        <v>//-- unmatched</v>
      </c>
    </row>
    <row r="33" spans="1:17" s="2" customFormat="1">
      <c r="A33"/>
      <c r="B33" s="11"/>
      <c r="C33" s="11"/>
      <c r="F33" s="58"/>
      <c r="G33" s="58"/>
      <c r="I33"/>
      <c r="J33" s="58"/>
      <c r="K33" s="58"/>
      <c r="L33" s="66"/>
      <c r="N33" s="11">
        <v>24</v>
      </c>
      <c r="O33" s="11">
        <f t="shared" si="5"/>
        <v>4</v>
      </c>
      <c r="P33" s="11">
        <f t="shared" si="6"/>
        <v>4</v>
      </c>
      <c r="Q33" s="12" t="str" cm="1">
        <f t="array" ref="Q33">INDEX('Treatment-ConceptMap'!$H$10:$L$264,O33+1,P33)</f>
        <v>//-- unmatched</v>
      </c>
    </row>
    <row r="34" spans="1:17" s="2" customFormat="1">
      <c r="A34"/>
      <c r="B34" s="11"/>
      <c r="C34"/>
      <c r="F34" s="58"/>
      <c r="G34" s="58"/>
      <c r="I34" s="58"/>
      <c r="J34" s="58"/>
      <c r="K34" s="58"/>
      <c r="L34" s="66"/>
      <c r="N34" s="11">
        <v>25</v>
      </c>
      <c r="O34" s="11">
        <f t="shared" si="5"/>
        <v>4</v>
      </c>
      <c r="P34" s="11">
        <f t="shared" si="6"/>
        <v>5</v>
      </c>
      <c r="Q34" s="12" t="str" cm="1">
        <f t="array" ref="Q34">INDEX('Treatment-ConceptMap'!$H$10:$L$264,O34+1,P34)</f>
        <v>* group[=].element[=].target.equivalence = #unmatched</v>
      </c>
    </row>
    <row r="35" spans="1:17" s="2" customFormat="1">
      <c r="A35"/>
      <c r="B35" s="11"/>
      <c r="C35"/>
      <c r="F35" s="58"/>
      <c r="G35" s="58"/>
      <c r="I35" s="58"/>
      <c r="J35" s="58"/>
      <c r="K35" s="58"/>
      <c r="L35" s="66"/>
      <c r="N35" s="11">
        <v>26</v>
      </c>
      <c r="O35" s="11">
        <f t="shared" si="5"/>
        <v>5</v>
      </c>
      <c r="P35" s="11">
        <f t="shared" si="6"/>
        <v>1</v>
      </c>
      <c r="Q35" s="12" t="str" cm="1">
        <f t="array" ref="Q35">INDEX('Treatment-ConceptMap'!$H$10:$L$264,O35+1,P35)</f>
        <v>* group[=].element[+].code = #Treatment.tumorSurgeryDevice</v>
      </c>
    </row>
    <row r="36" spans="1:17" s="2" customFormat="1">
      <c r="A36"/>
      <c r="B36" s="11"/>
      <c r="C36"/>
      <c r="F36" s="58"/>
      <c r="G36" s="58"/>
      <c r="I36" s="58"/>
      <c r="J36" s="58"/>
      <c r="K36" s="58"/>
      <c r="L36" s="66"/>
      <c r="N36" s="11">
        <v>27</v>
      </c>
      <c r="O36" s="11">
        <f t="shared" si="5"/>
        <v>5</v>
      </c>
      <c r="P36" s="11">
        <f t="shared" si="6"/>
        <v>2</v>
      </c>
      <c r="Q36" s="12" t="str" cm="1">
        <f t="array" ref="Q36">INDEX('Treatment-ConceptMap'!$H$10:$L$264,O36+1,P36)</f>
        <v>* group[=].element[=].display = ##34#Tumor surgery device##34#</v>
      </c>
    </row>
    <row r="37" spans="1:17" s="2" customFormat="1">
      <c r="A37"/>
      <c r="B37" s="11"/>
      <c r="C37"/>
      <c r="F37" s="58"/>
      <c r="G37" s="58"/>
      <c r="I37" s="58"/>
      <c r="J37" s="58"/>
      <c r="K37" s="58"/>
      <c r="L37" s="58"/>
      <c r="N37" s="11">
        <v>28</v>
      </c>
      <c r="O37" s="11">
        <f t="shared" si="5"/>
        <v>5</v>
      </c>
      <c r="P37" s="11">
        <f t="shared" si="6"/>
        <v>3</v>
      </c>
      <c r="Q37" s="12" t="str" cm="1">
        <f t="array" ref="Q37">INDEX('Treatment-ConceptMap'!$H$10:$L$264,O37+1,P37)</f>
        <v>* group[=].element[=].target.code = #Osiris.Patient.Gender</v>
      </c>
    </row>
    <row r="38" spans="1:17" s="2" customFormat="1">
      <c r="A38"/>
      <c r="B38" s="11"/>
      <c r="C38"/>
      <c r="F38" s="58"/>
      <c r="G38" s="58"/>
      <c r="I38" s="58"/>
      <c r="J38" s="58"/>
      <c r="K38" s="58"/>
      <c r="L38" s="58"/>
      <c r="N38" s="11">
        <v>29</v>
      </c>
      <c r="O38" s="11">
        <f t="shared" si="5"/>
        <v>5</v>
      </c>
      <c r="P38" s="11">
        <f t="shared" si="6"/>
        <v>4</v>
      </c>
      <c r="Q38" s="12" t="str" cm="1">
        <f t="array" ref="Q38">INDEX('Treatment-ConceptMap'!$H$10:$L$264,O38+1,P38)</f>
        <v>* group[=].element[=].target.display = ##34#Gender [C2]##34#</v>
      </c>
    </row>
    <row r="39" spans="1:17" s="2" customFormat="1">
      <c r="A39"/>
      <c r="B39" s="11"/>
      <c r="C39"/>
      <c r="F39" s="58"/>
      <c r="G39" s="58"/>
      <c r="I39" s="58"/>
      <c r="J39" s="58"/>
      <c r="K39" s="58"/>
      <c r="L39" s="58"/>
      <c r="N39" s="11">
        <v>30</v>
      </c>
      <c r="O39" s="11">
        <f t="shared" si="5"/>
        <v>5</v>
      </c>
      <c r="P39" s="11">
        <f t="shared" si="6"/>
        <v>5</v>
      </c>
      <c r="Q39" s="12" t="str" cm="1">
        <f t="array" ref="Q39">INDEX('Treatment-ConceptMap'!$H$10:$L$264,O39+1,P39)</f>
        <v>* group[=].element[=].target.equivalence = #narrower</v>
      </c>
    </row>
    <row r="40" spans="1:17" s="2" customFormat="1">
      <c r="A40"/>
      <c r="B40" s="11"/>
      <c r="C40"/>
      <c r="F40" s="58"/>
      <c r="G40" s="58"/>
      <c r="I40" s="58"/>
      <c r="J40" s="58"/>
      <c r="K40" s="58"/>
      <c r="L40" s="58"/>
      <c r="N40" s="11">
        <v>31</v>
      </c>
      <c r="O40" s="11">
        <f t="shared" si="5"/>
        <v>6</v>
      </c>
      <c r="P40" s="11">
        <f t="shared" si="6"/>
        <v>1</v>
      </c>
      <c r="Q40" s="12" t="str" cm="1">
        <f t="array" ref="Q40">INDEX('Treatment-ConceptMap'!$H$10:$L$264,O40+1,P40)</f>
        <v>* group[=].element[+].code = #Treatment.surgicalProcedure</v>
      </c>
    </row>
    <row r="41" spans="1:17" s="2" customFormat="1">
      <c r="A41"/>
      <c r="B41" s="11"/>
      <c r="C41"/>
      <c r="F41" s="58"/>
      <c r="G41" s="58"/>
      <c r="I41" s="58"/>
      <c r="J41" s="58"/>
      <c r="K41" s="58"/>
      <c r="L41" s="58"/>
      <c r="N41" s="11">
        <v>32</v>
      </c>
      <c r="O41" s="11">
        <f t="shared" si="5"/>
        <v>6</v>
      </c>
      <c r="P41" s="11">
        <f t="shared" si="6"/>
        <v>2</v>
      </c>
      <c r="Q41" s="12" t="str" cm="1">
        <f t="array" ref="Q41">INDEX('Treatment-ConceptMap'!$H$10:$L$264,O41+1,P41)</f>
        <v>* group[=].element[=].display = ##34#Surgical procedure##34#</v>
      </c>
    </row>
    <row r="42" spans="1:17" s="2" customFormat="1">
      <c r="A42"/>
      <c r="B42" s="11"/>
      <c r="C42"/>
      <c r="F42" s="58"/>
      <c r="G42" s="58"/>
      <c r="I42" s="58"/>
      <c r="J42" s="58"/>
      <c r="K42" s="58"/>
      <c r="L42" s="58"/>
      <c r="N42" s="11">
        <v>33</v>
      </c>
      <c r="O42" s="11">
        <f t="shared" si="5"/>
        <v>6</v>
      </c>
      <c r="P42" s="11">
        <f t="shared" si="6"/>
        <v>3</v>
      </c>
      <c r="Q42" s="12" t="str" cm="1">
        <f t="array" ref="Q42">INDEX('Treatment-ConceptMap'!$H$10:$L$264,O42+1,P42)</f>
        <v>* group[=].element[=].target.code = #Osiris.Patient.Ethnicity</v>
      </c>
    </row>
    <row r="43" spans="1:17">
      <c r="F43" s="58"/>
      <c r="G43" s="58"/>
      <c r="I43" s="58"/>
      <c r="J43" s="58"/>
      <c r="K43" s="58"/>
      <c r="L43" s="58"/>
      <c r="N43" s="11">
        <v>34</v>
      </c>
      <c r="O43" s="11">
        <f t="shared" si="5"/>
        <v>6</v>
      </c>
      <c r="P43" s="11">
        <f t="shared" si="6"/>
        <v>4</v>
      </c>
      <c r="Q43" s="12" t="str" cm="1">
        <f t="array" ref="Q43">INDEX('Treatment-ConceptMap'!$H$10:$L$264,O43+1,P43)</f>
        <v>* group[=].element[=].target.display = ##34#Ethnicity [C3]##34#</v>
      </c>
    </row>
    <row r="44" spans="1:17">
      <c r="F44" s="58"/>
      <c r="G44" s="58"/>
      <c r="I44" s="58"/>
      <c r="J44" s="58"/>
      <c r="K44" s="58"/>
      <c r="L44" s="58"/>
      <c r="N44" s="11">
        <v>35</v>
      </c>
      <c r="O44" s="11">
        <f t="shared" si="5"/>
        <v>6</v>
      </c>
      <c r="P44" s="11">
        <f t="shared" si="6"/>
        <v>5</v>
      </c>
      <c r="Q44" s="12" t="str" cm="1">
        <f t="array" ref="Q44">INDEX('Treatment-ConceptMap'!$H$10:$L$264,O44+1,P44)</f>
        <v>* group[=].element[=].target.equivalence = #wider</v>
      </c>
    </row>
    <row r="45" spans="1:17" ht="29.5">
      <c r="F45" s="58"/>
      <c r="G45" s="58"/>
      <c r="I45" s="58"/>
      <c r="J45" s="58"/>
      <c r="K45" s="58"/>
      <c r="L45" s="58"/>
      <c r="N45" s="11">
        <v>36</v>
      </c>
      <c r="O45" s="11">
        <f t="shared" si="5"/>
        <v>7</v>
      </c>
      <c r="P45" s="11">
        <f t="shared" si="6"/>
        <v>1</v>
      </c>
      <c r="Q45" s="12" t="str" cm="1">
        <f t="array" ref="Q45">INDEX('Treatment-ConceptMap'!$H$10:$L$264,O45+1,P45)</f>
        <v>* group[=].element[+].code = #Treatment.surgicalProcedure.surgicalProcedureNasopharynx</v>
      </c>
    </row>
    <row r="46" spans="1:17">
      <c r="F46" s="58"/>
      <c r="G46" s="58"/>
      <c r="I46" s="58"/>
      <c r="J46" s="58"/>
      <c r="K46" s="58"/>
      <c r="L46" s="58"/>
      <c r="N46" s="11">
        <v>37</v>
      </c>
      <c r="O46" s="11">
        <f t="shared" si="5"/>
        <v>7</v>
      </c>
      <c r="P46" s="11">
        <f t="shared" si="6"/>
        <v>2</v>
      </c>
      <c r="Q46" s="12" t="str" cm="1">
        <f t="array" ref="Q46">INDEX('Treatment-ConceptMap'!$H$10:$L$264,O46+1,P46)</f>
        <v>* group[=].element[=].display = ##34#Surgical procedure Nasopharynx##34#</v>
      </c>
    </row>
    <row r="47" spans="1:17">
      <c r="B47" t="s">
        <v>1402</v>
      </c>
      <c r="C47" t="s">
        <v>1403</v>
      </c>
      <c r="D47" t="s">
        <v>1404</v>
      </c>
      <c r="E47" t="s">
        <v>1405</v>
      </c>
      <c r="N47" s="11">
        <v>38</v>
      </c>
      <c r="O47" s="11">
        <f t="shared" si="5"/>
        <v>7</v>
      </c>
      <c r="P47" s="11">
        <f t="shared" si="6"/>
        <v>3</v>
      </c>
      <c r="Q47" s="12" t="str" cm="1">
        <f t="array" ref="Q47">INDEX('Treatment-ConceptMap'!$H$10:$L$264,O47+1,P47)</f>
        <v>//-- unmatched</v>
      </c>
    </row>
    <row r="48" spans="1:17">
      <c r="N48" s="11">
        <v>39</v>
      </c>
      <c r="O48" s="11">
        <f t="shared" si="5"/>
        <v>7</v>
      </c>
      <c r="P48" s="11">
        <f t="shared" si="6"/>
        <v>4</v>
      </c>
      <c r="Q48" s="12" t="str" cm="1">
        <f t="array" ref="Q48">INDEX('Treatment-ConceptMap'!$H$10:$L$264,O48+1,P48)</f>
        <v>//-- unmatched</v>
      </c>
    </row>
    <row r="49" spans="14:17">
      <c r="N49" s="11">
        <v>40</v>
      </c>
      <c r="O49" s="11">
        <f t="shared" si="5"/>
        <v>7</v>
      </c>
      <c r="P49" s="11">
        <f t="shared" si="6"/>
        <v>5</v>
      </c>
      <c r="Q49" s="12" t="str" cm="1">
        <f t="array" ref="Q49">INDEX('Treatment-ConceptMap'!$H$10:$L$264,O49+1,P49)</f>
        <v>* group[=].element[=].target.equivalence = #unmatched</v>
      </c>
    </row>
    <row r="50" spans="14:17">
      <c r="N50" s="11">
        <v>41</v>
      </c>
      <c r="O50" s="11">
        <f t="shared" si="5"/>
        <v>8</v>
      </c>
      <c r="P50" s="11">
        <f t="shared" si="6"/>
        <v>1</v>
      </c>
      <c r="Q50" s="12" cm="1">
        <f t="array" ref="Q50">INDEX('Treatment-ConceptMap'!$H$10:$L$264,O50+1,P50)</f>
        <v>0</v>
      </c>
    </row>
    <row r="51" spans="14:17">
      <c r="N51" s="11">
        <v>42</v>
      </c>
      <c r="O51" s="11">
        <f t="shared" si="5"/>
        <v>8</v>
      </c>
      <c r="P51" s="11">
        <f t="shared" si="6"/>
        <v>2</v>
      </c>
      <c r="Q51" s="12" cm="1">
        <f t="array" ref="Q51">INDEX('Treatment-ConceptMap'!$H$10:$L$264,O51+1,P51)</f>
        <v>0</v>
      </c>
    </row>
    <row r="52" spans="14:17">
      <c r="N52" s="11">
        <v>43</v>
      </c>
      <c r="O52" s="11">
        <f t="shared" si="5"/>
        <v>8</v>
      </c>
      <c r="P52" s="11">
        <f t="shared" si="6"/>
        <v>3</v>
      </c>
      <c r="Q52" s="12" cm="1">
        <f t="array" ref="Q52">INDEX('Treatment-ConceptMap'!$H$10:$L$264,O52+1,P52)</f>
        <v>0</v>
      </c>
    </row>
    <row r="53" spans="14:17">
      <c r="N53" s="11">
        <v>44</v>
      </c>
      <c r="O53" s="11">
        <f t="shared" si="5"/>
        <v>8</v>
      </c>
      <c r="P53" s="11">
        <f t="shared" si="6"/>
        <v>4</v>
      </c>
      <c r="Q53" s="12" cm="1">
        <f t="array" ref="Q53">INDEX('Treatment-ConceptMap'!$H$10:$L$264,O53+1,P53)</f>
        <v>0</v>
      </c>
    </row>
    <row r="54" spans="14:17">
      <c r="N54" s="11">
        <v>45</v>
      </c>
      <c r="O54" s="11">
        <f t="shared" si="5"/>
        <v>8</v>
      </c>
      <c r="P54" s="11">
        <f t="shared" si="6"/>
        <v>5</v>
      </c>
      <c r="Q54" s="12" cm="1">
        <f t="array" ref="Q54">INDEX('Treatment-ConceptMap'!$H$10:$L$264,O54+1,P54)</f>
        <v>0</v>
      </c>
    </row>
    <row r="55" spans="14:17">
      <c r="N55" s="11">
        <v>46</v>
      </c>
      <c r="O55" s="11">
        <f t="shared" si="5"/>
        <v>9</v>
      </c>
      <c r="P55" s="11">
        <f t="shared" si="6"/>
        <v>1</v>
      </c>
      <c r="Q55" s="12" cm="1">
        <f t="array" ref="Q55">INDEX('Treatment-ConceptMap'!$H$10:$L$264,O55+1,P55)</f>
        <v>0</v>
      </c>
    </row>
    <row r="56" spans="14:17">
      <c r="N56" s="11">
        <v>47</v>
      </c>
      <c r="O56" s="11">
        <f t="shared" si="5"/>
        <v>9</v>
      </c>
      <c r="P56" s="11">
        <f t="shared" si="6"/>
        <v>2</v>
      </c>
      <c r="Q56" s="12" cm="1">
        <f t="array" ref="Q56">INDEX('Treatment-ConceptMap'!$H$10:$L$264,O56+1,P56)</f>
        <v>0</v>
      </c>
    </row>
    <row r="57" spans="14:17">
      <c r="N57" s="11">
        <v>48</v>
      </c>
      <c r="O57" s="11">
        <f t="shared" si="5"/>
        <v>9</v>
      </c>
      <c r="P57" s="11">
        <f t="shared" si="6"/>
        <v>3</v>
      </c>
      <c r="Q57" s="12" cm="1">
        <f t="array" ref="Q57">INDEX('Treatment-ConceptMap'!$H$10:$L$264,O57+1,P57)</f>
        <v>0</v>
      </c>
    </row>
    <row r="58" spans="14:17">
      <c r="N58" s="11">
        <v>49</v>
      </c>
      <c r="O58" s="11">
        <f t="shared" si="5"/>
        <v>9</v>
      </c>
      <c r="P58" s="11">
        <f t="shared" si="6"/>
        <v>4</v>
      </c>
      <c r="Q58" s="12" cm="1">
        <f t="array" ref="Q58">INDEX('Treatment-ConceptMap'!$H$10:$L$264,O58+1,P58)</f>
        <v>0</v>
      </c>
    </row>
    <row r="59" spans="14:17">
      <c r="N59" s="11">
        <v>50</v>
      </c>
      <c r="O59" s="11">
        <f t="shared" si="5"/>
        <v>9</v>
      </c>
      <c r="P59" s="11">
        <f t="shared" si="6"/>
        <v>5</v>
      </c>
      <c r="Q59" s="12" cm="1">
        <f t="array" ref="Q59">INDEX('Treatment-ConceptMap'!$H$10:$L$264,O59+1,P59)</f>
        <v>0</v>
      </c>
    </row>
    <row r="60" spans="14:17">
      <c r="N60" s="11">
        <v>51</v>
      </c>
      <c r="O60" s="11">
        <f t="shared" si="5"/>
        <v>10</v>
      </c>
      <c r="P60" s="11">
        <f t="shared" si="6"/>
        <v>1</v>
      </c>
      <c r="Q60" s="12" cm="1">
        <f t="array" ref="Q60">INDEX('Treatment-ConceptMap'!$H$10:$L$264,O60+1,P60)</f>
        <v>0</v>
      </c>
    </row>
    <row r="61" spans="14:17">
      <c r="N61" s="11">
        <v>52</v>
      </c>
      <c r="O61" s="11">
        <f t="shared" si="5"/>
        <v>10</v>
      </c>
      <c r="P61" s="11">
        <f t="shared" si="6"/>
        <v>2</v>
      </c>
      <c r="Q61" s="12" cm="1">
        <f t="array" ref="Q61">INDEX('Treatment-ConceptMap'!$H$10:$L$264,O61+1,P61)</f>
        <v>0</v>
      </c>
    </row>
    <row r="62" spans="14:17">
      <c r="N62" s="11">
        <v>53</v>
      </c>
      <c r="O62" s="11">
        <f t="shared" si="5"/>
        <v>10</v>
      </c>
      <c r="P62" s="11">
        <f t="shared" si="6"/>
        <v>3</v>
      </c>
      <c r="Q62" s="12" cm="1">
        <f t="array" ref="Q62">INDEX('Treatment-ConceptMap'!$H$10:$L$264,O62+1,P62)</f>
        <v>0</v>
      </c>
    </row>
    <row r="63" spans="14:17">
      <c r="N63" s="11">
        <v>54</v>
      </c>
      <c r="O63" s="11">
        <f t="shared" si="5"/>
        <v>10</v>
      </c>
      <c r="P63" s="11">
        <f t="shared" si="6"/>
        <v>4</v>
      </c>
      <c r="Q63" s="12" cm="1">
        <f t="array" ref="Q63">INDEX('Treatment-ConceptMap'!$H$10:$L$264,O63+1,P63)</f>
        <v>0</v>
      </c>
    </row>
    <row r="64" spans="14:17">
      <c r="N64" s="11">
        <v>55</v>
      </c>
      <c r="O64" s="11">
        <f t="shared" si="5"/>
        <v>10</v>
      </c>
      <c r="P64" s="11">
        <f t="shared" si="6"/>
        <v>5</v>
      </c>
      <c r="Q64" s="12" cm="1">
        <f t="array" ref="Q64">INDEX('Treatment-ConceptMap'!$H$10:$L$264,O64+1,P64)</f>
        <v>0</v>
      </c>
    </row>
    <row r="65" spans="14:17">
      <c r="N65" s="11">
        <v>56</v>
      </c>
      <c r="O65" s="11">
        <f t="shared" si="5"/>
        <v>11</v>
      </c>
      <c r="P65" s="11">
        <f t="shared" si="6"/>
        <v>1</v>
      </c>
      <c r="Q65" s="12" cm="1">
        <f t="array" ref="Q65">INDEX('Treatment-ConceptMap'!$H$10:$L$264,O65+1,P65)</f>
        <v>0</v>
      </c>
    </row>
    <row r="66" spans="14:17">
      <c r="N66" s="11">
        <v>57</v>
      </c>
      <c r="O66" s="11">
        <f t="shared" si="5"/>
        <v>11</v>
      </c>
      <c r="P66" s="11">
        <f t="shared" si="6"/>
        <v>2</v>
      </c>
      <c r="Q66" s="12" cm="1">
        <f t="array" ref="Q66">INDEX('Treatment-ConceptMap'!$H$10:$L$264,O66+1,P66)</f>
        <v>0</v>
      </c>
    </row>
    <row r="67" spans="14:17">
      <c r="N67" s="11">
        <v>58</v>
      </c>
      <c r="O67" s="11">
        <f t="shared" si="5"/>
        <v>11</v>
      </c>
      <c r="P67" s="11">
        <f t="shared" si="6"/>
        <v>3</v>
      </c>
      <c r="Q67" s="12" cm="1">
        <f t="array" ref="Q67">INDEX('Treatment-ConceptMap'!$H$10:$L$264,O67+1,P67)</f>
        <v>0</v>
      </c>
    </row>
    <row r="68" spans="14:17">
      <c r="N68" s="11">
        <v>59</v>
      </c>
      <c r="O68" s="11">
        <f t="shared" si="5"/>
        <v>11</v>
      </c>
      <c r="P68" s="11">
        <f t="shared" si="6"/>
        <v>4</v>
      </c>
      <c r="Q68" s="12" cm="1">
        <f t="array" ref="Q68">INDEX('Treatment-ConceptMap'!$H$10:$L$264,O68+1,P68)</f>
        <v>0</v>
      </c>
    </row>
    <row r="69" spans="14:17">
      <c r="N69" s="11">
        <v>60</v>
      </c>
      <c r="O69" s="11">
        <f t="shared" si="5"/>
        <v>11</v>
      </c>
      <c r="P69" s="11">
        <f t="shared" si="6"/>
        <v>5</v>
      </c>
      <c r="Q69" s="12" cm="1">
        <f t="array" ref="Q69">INDEX('Treatment-ConceptMap'!$H$10:$L$264,O69+1,P69)</f>
        <v>0</v>
      </c>
    </row>
    <row r="70" spans="14:17">
      <c r="N70" s="11">
        <v>61</v>
      </c>
      <c r="O70" s="11">
        <f t="shared" si="5"/>
        <v>12</v>
      </c>
      <c r="P70" s="11">
        <f t="shared" si="6"/>
        <v>1</v>
      </c>
      <c r="Q70" s="12" cm="1">
        <f t="array" ref="Q70">INDEX('Treatment-ConceptMap'!$H$10:$L$264,O70+1,P70)</f>
        <v>0</v>
      </c>
    </row>
    <row r="71" spans="14:17">
      <c r="N71" s="11">
        <v>62</v>
      </c>
      <c r="O71" s="11">
        <f t="shared" si="5"/>
        <v>12</v>
      </c>
      <c r="P71" s="11">
        <f t="shared" si="6"/>
        <v>2</v>
      </c>
      <c r="Q71" s="12" cm="1">
        <f t="array" ref="Q71">INDEX('Treatment-ConceptMap'!$H$10:$L$264,O71+1,P71)</f>
        <v>0</v>
      </c>
    </row>
    <row r="72" spans="14:17">
      <c r="N72" s="11">
        <v>63</v>
      </c>
      <c r="O72" s="11">
        <f t="shared" si="5"/>
        <v>12</v>
      </c>
      <c r="P72" s="11">
        <f t="shared" si="6"/>
        <v>3</v>
      </c>
      <c r="Q72" s="12" cm="1">
        <f t="array" ref="Q72">INDEX('Treatment-ConceptMap'!$H$10:$L$264,O72+1,P72)</f>
        <v>0</v>
      </c>
    </row>
    <row r="73" spans="14:17">
      <c r="N73" s="11">
        <v>64</v>
      </c>
      <c r="O73" s="11">
        <f t="shared" si="5"/>
        <v>12</v>
      </c>
      <c r="P73" s="11">
        <f t="shared" si="6"/>
        <v>4</v>
      </c>
      <c r="Q73" s="12" cm="1">
        <f t="array" ref="Q73">INDEX('Treatment-ConceptMap'!$H$10:$L$264,O73+1,P73)</f>
        <v>0</v>
      </c>
    </row>
    <row r="74" spans="14:17">
      <c r="N74" s="11">
        <v>65</v>
      </c>
      <c r="O74" s="11">
        <f t="shared" si="5"/>
        <v>12</v>
      </c>
      <c r="P74" s="11">
        <f t="shared" si="6"/>
        <v>5</v>
      </c>
      <c r="Q74" s="12" cm="1">
        <f t="array" ref="Q74">INDEX('Treatment-ConceptMap'!$H$10:$L$264,O74+1,P74)</f>
        <v>0</v>
      </c>
    </row>
    <row r="75" spans="14:17">
      <c r="N75" s="11">
        <v>66</v>
      </c>
      <c r="O75" s="11">
        <f t="shared" ref="O75:O138" si="7">IF(MOD(N75,$O$3)=0,N75/$O$3-1,INT(N75/$O$3))</f>
        <v>13</v>
      </c>
      <c r="P75" s="11">
        <f t="shared" ref="P75:P138" si="8">IF(MOD(N75,$O$3)=0,$O$3,MOD(N75,$O$3))</f>
        <v>1</v>
      </c>
      <c r="Q75" s="12" cm="1">
        <f t="array" ref="Q75">INDEX('Treatment-ConceptMap'!$H$10:$L$264,O75+1,P75)</f>
        <v>0</v>
      </c>
    </row>
    <row r="76" spans="14:17">
      <c r="N76" s="11">
        <v>67</v>
      </c>
      <c r="O76" s="11">
        <f t="shared" si="7"/>
        <v>13</v>
      </c>
      <c r="P76" s="11">
        <f t="shared" si="8"/>
        <v>2</v>
      </c>
      <c r="Q76" s="12" cm="1">
        <f t="array" ref="Q76">INDEX('Treatment-ConceptMap'!$H$10:$L$264,O76+1,P76)</f>
        <v>0</v>
      </c>
    </row>
    <row r="77" spans="14:17">
      <c r="N77" s="11">
        <v>68</v>
      </c>
      <c r="O77" s="11">
        <f t="shared" si="7"/>
        <v>13</v>
      </c>
      <c r="P77" s="11">
        <f t="shared" si="8"/>
        <v>3</v>
      </c>
      <c r="Q77" s="12" cm="1">
        <f t="array" ref="Q77">INDEX('Treatment-ConceptMap'!$H$10:$L$264,O77+1,P77)</f>
        <v>0</v>
      </c>
    </row>
    <row r="78" spans="14:17">
      <c r="N78" s="11">
        <v>69</v>
      </c>
      <c r="O78" s="11">
        <f t="shared" si="7"/>
        <v>13</v>
      </c>
      <c r="P78" s="11">
        <f t="shared" si="8"/>
        <v>4</v>
      </c>
      <c r="Q78" s="12" cm="1">
        <f t="array" ref="Q78">INDEX('Treatment-ConceptMap'!$H$10:$L$264,O78+1,P78)</f>
        <v>0</v>
      </c>
    </row>
    <row r="79" spans="14:17">
      <c r="N79" s="11">
        <v>70</v>
      </c>
      <c r="O79" s="11">
        <f t="shared" si="7"/>
        <v>13</v>
      </c>
      <c r="P79" s="11">
        <f t="shared" si="8"/>
        <v>5</v>
      </c>
      <c r="Q79" s="12" cm="1">
        <f t="array" ref="Q79">INDEX('Treatment-ConceptMap'!$H$10:$L$264,O79+1,P79)</f>
        <v>0</v>
      </c>
    </row>
    <row r="80" spans="14:17">
      <c r="N80" s="11">
        <v>71</v>
      </c>
      <c r="O80" s="11">
        <f t="shared" si="7"/>
        <v>14</v>
      </c>
      <c r="P80" s="11">
        <f t="shared" si="8"/>
        <v>1</v>
      </c>
      <c r="Q80" s="12" cm="1">
        <f t="array" ref="Q80">INDEX('Treatment-ConceptMap'!$H$10:$L$264,O80+1,P80)</f>
        <v>0</v>
      </c>
    </row>
    <row r="81" spans="14:17">
      <c r="N81" s="11">
        <v>72</v>
      </c>
      <c r="O81" s="11">
        <f t="shared" si="7"/>
        <v>14</v>
      </c>
      <c r="P81" s="11">
        <f t="shared" si="8"/>
        <v>2</v>
      </c>
      <c r="Q81" s="12" cm="1">
        <f t="array" ref="Q81">INDEX('Treatment-ConceptMap'!$H$10:$L$264,O81+1,P81)</f>
        <v>0</v>
      </c>
    </row>
    <row r="82" spans="14:17">
      <c r="N82" s="11">
        <v>73</v>
      </c>
      <c r="O82" s="11">
        <f t="shared" si="7"/>
        <v>14</v>
      </c>
      <c r="P82" s="11">
        <f t="shared" si="8"/>
        <v>3</v>
      </c>
      <c r="Q82" s="12" cm="1">
        <f t="array" ref="Q82">INDEX('Treatment-ConceptMap'!$H$10:$L$264,O82+1,P82)</f>
        <v>0</v>
      </c>
    </row>
    <row r="83" spans="14:17">
      <c r="N83" s="11">
        <v>74</v>
      </c>
      <c r="O83" s="11">
        <f t="shared" si="7"/>
        <v>14</v>
      </c>
      <c r="P83" s="11">
        <f t="shared" si="8"/>
        <v>4</v>
      </c>
      <c r="Q83" s="12" cm="1">
        <f t="array" ref="Q83">INDEX('Treatment-ConceptMap'!$H$10:$L$264,O83+1,P83)</f>
        <v>0</v>
      </c>
    </row>
    <row r="84" spans="14:17">
      <c r="N84" s="11">
        <v>75</v>
      </c>
      <c r="O84" s="11">
        <f t="shared" si="7"/>
        <v>14</v>
      </c>
      <c r="P84" s="11">
        <f t="shared" si="8"/>
        <v>5</v>
      </c>
      <c r="Q84" s="12" cm="1">
        <f t="array" ref="Q84">INDEX('Treatment-ConceptMap'!$H$10:$L$264,O84+1,P84)</f>
        <v>0</v>
      </c>
    </row>
    <row r="85" spans="14:17">
      <c r="N85" s="11">
        <v>76</v>
      </c>
      <c r="O85" s="11">
        <f t="shared" si="7"/>
        <v>15</v>
      </c>
      <c r="P85" s="11">
        <f t="shared" si="8"/>
        <v>1</v>
      </c>
      <c r="Q85" s="12" cm="1">
        <f t="array" ref="Q85">INDEX('Treatment-ConceptMap'!$H$10:$L$264,O85+1,P85)</f>
        <v>0</v>
      </c>
    </row>
    <row r="86" spans="14:17">
      <c r="N86" s="11">
        <v>77</v>
      </c>
      <c r="O86" s="11">
        <f t="shared" si="7"/>
        <v>15</v>
      </c>
      <c r="P86" s="11">
        <f t="shared" si="8"/>
        <v>2</v>
      </c>
      <c r="Q86" s="12" cm="1">
        <f t="array" ref="Q86">INDEX('Treatment-ConceptMap'!$H$10:$L$264,O86+1,P86)</f>
        <v>0</v>
      </c>
    </row>
    <row r="87" spans="14:17">
      <c r="N87" s="11">
        <v>78</v>
      </c>
      <c r="O87" s="11">
        <f t="shared" si="7"/>
        <v>15</v>
      </c>
      <c r="P87" s="11">
        <f t="shared" si="8"/>
        <v>3</v>
      </c>
      <c r="Q87" s="12" cm="1">
        <f t="array" ref="Q87">INDEX('Treatment-ConceptMap'!$H$10:$L$264,O87+1,P87)</f>
        <v>0</v>
      </c>
    </row>
    <row r="88" spans="14:17">
      <c r="N88" s="11">
        <v>79</v>
      </c>
      <c r="O88" s="11">
        <f t="shared" si="7"/>
        <v>15</v>
      </c>
      <c r="P88" s="11">
        <f t="shared" si="8"/>
        <v>4</v>
      </c>
      <c r="Q88" s="12" cm="1">
        <f t="array" ref="Q88">INDEX('Treatment-ConceptMap'!$H$10:$L$264,O88+1,P88)</f>
        <v>0</v>
      </c>
    </row>
    <row r="89" spans="14:17">
      <c r="N89" s="11">
        <v>80</v>
      </c>
      <c r="O89" s="11">
        <f t="shared" si="7"/>
        <v>15</v>
      </c>
      <c r="P89" s="11">
        <f t="shared" si="8"/>
        <v>5</v>
      </c>
      <c r="Q89" s="12" cm="1">
        <f t="array" ref="Q89">INDEX('Treatment-ConceptMap'!$H$10:$L$264,O89+1,P89)</f>
        <v>0</v>
      </c>
    </row>
    <row r="90" spans="14:17">
      <c r="N90" s="11">
        <v>81</v>
      </c>
      <c r="O90" s="11">
        <f t="shared" si="7"/>
        <v>16</v>
      </c>
      <c r="P90" s="11">
        <f t="shared" si="8"/>
        <v>1</v>
      </c>
      <c r="Q90" s="12" cm="1">
        <f t="array" ref="Q90">INDEX('Treatment-ConceptMap'!$H$10:$L$264,O90+1,P90)</f>
        <v>0</v>
      </c>
    </row>
    <row r="91" spans="14:17">
      <c r="N91" s="11">
        <v>82</v>
      </c>
      <c r="O91" s="11">
        <f t="shared" si="7"/>
        <v>16</v>
      </c>
      <c r="P91" s="11">
        <f t="shared" si="8"/>
        <v>2</v>
      </c>
      <c r="Q91" s="12" cm="1">
        <f t="array" ref="Q91">INDEX('Treatment-ConceptMap'!$H$10:$L$264,O91+1,P91)</f>
        <v>0</v>
      </c>
    </row>
    <row r="92" spans="14:17">
      <c r="N92" s="11">
        <v>83</v>
      </c>
      <c r="O92" s="11">
        <f t="shared" si="7"/>
        <v>16</v>
      </c>
      <c r="P92" s="11">
        <f t="shared" si="8"/>
        <v>3</v>
      </c>
      <c r="Q92" s="12" cm="1">
        <f t="array" ref="Q92">INDEX('Treatment-ConceptMap'!$H$10:$L$264,O92+1,P92)</f>
        <v>0</v>
      </c>
    </row>
    <row r="93" spans="14:17">
      <c r="N93" s="11">
        <v>84</v>
      </c>
      <c r="O93" s="11">
        <f t="shared" si="7"/>
        <v>16</v>
      </c>
      <c r="P93" s="11">
        <f t="shared" si="8"/>
        <v>4</v>
      </c>
      <c r="Q93" s="12" cm="1">
        <f t="array" ref="Q93">INDEX('Treatment-ConceptMap'!$H$10:$L$264,O93+1,P93)</f>
        <v>0</v>
      </c>
    </row>
    <row r="94" spans="14:17">
      <c r="N94" s="11">
        <v>85</v>
      </c>
      <c r="O94" s="11">
        <f t="shared" si="7"/>
        <v>16</v>
      </c>
      <c r="P94" s="11">
        <f t="shared" si="8"/>
        <v>5</v>
      </c>
      <c r="Q94" s="12" cm="1">
        <f t="array" ref="Q94">INDEX('Treatment-ConceptMap'!$H$10:$L$264,O94+1,P94)</f>
        <v>0</v>
      </c>
    </row>
    <row r="95" spans="14:17">
      <c r="N95" s="11">
        <v>86</v>
      </c>
      <c r="O95" s="11">
        <f t="shared" si="7"/>
        <v>17</v>
      </c>
      <c r="P95" s="11">
        <f t="shared" si="8"/>
        <v>1</v>
      </c>
      <c r="Q95" s="12" cm="1">
        <f t="array" ref="Q95">INDEX('Treatment-ConceptMap'!$H$10:$L$264,O95+1,P95)</f>
        <v>0</v>
      </c>
    </row>
    <row r="96" spans="14:17">
      <c r="N96" s="11">
        <v>87</v>
      </c>
      <c r="O96" s="11">
        <f t="shared" si="7"/>
        <v>17</v>
      </c>
      <c r="P96" s="11">
        <f t="shared" si="8"/>
        <v>2</v>
      </c>
      <c r="Q96" s="12" cm="1">
        <f t="array" ref="Q96">INDEX('Treatment-ConceptMap'!$H$10:$L$264,O96+1,P96)</f>
        <v>0</v>
      </c>
    </row>
    <row r="97" spans="14:17">
      <c r="N97" s="11">
        <v>88</v>
      </c>
      <c r="O97" s="11">
        <f t="shared" si="7"/>
        <v>17</v>
      </c>
      <c r="P97" s="11">
        <f t="shared" si="8"/>
        <v>3</v>
      </c>
      <c r="Q97" s="12" cm="1">
        <f t="array" ref="Q97">INDEX('Treatment-ConceptMap'!$H$10:$L$264,O97+1,P97)</f>
        <v>0</v>
      </c>
    </row>
    <row r="98" spans="14:17">
      <c r="N98" s="11">
        <v>89</v>
      </c>
      <c r="O98" s="11">
        <f t="shared" si="7"/>
        <v>17</v>
      </c>
      <c r="P98" s="11">
        <f t="shared" si="8"/>
        <v>4</v>
      </c>
      <c r="Q98" s="12" cm="1">
        <f t="array" ref="Q98">INDEX('Treatment-ConceptMap'!$H$10:$L$264,O98+1,P98)</f>
        <v>0</v>
      </c>
    </row>
    <row r="99" spans="14:17">
      <c r="N99" s="11">
        <v>90</v>
      </c>
      <c r="O99" s="11">
        <f t="shared" si="7"/>
        <v>17</v>
      </c>
      <c r="P99" s="11">
        <f t="shared" si="8"/>
        <v>5</v>
      </c>
      <c r="Q99" s="12" cm="1">
        <f t="array" ref="Q99">INDEX('Treatment-ConceptMap'!$H$10:$L$264,O99+1,P99)</f>
        <v>0</v>
      </c>
    </row>
    <row r="100" spans="14:17">
      <c r="N100" s="11">
        <v>91</v>
      </c>
      <c r="O100" s="11">
        <f t="shared" si="7"/>
        <v>18</v>
      </c>
      <c r="P100" s="11">
        <f t="shared" si="8"/>
        <v>1</v>
      </c>
      <c r="Q100" s="12" cm="1">
        <f t="array" ref="Q100">INDEX('Treatment-ConceptMap'!$H$10:$L$264,O100+1,P100)</f>
        <v>0</v>
      </c>
    </row>
    <row r="101" spans="14:17">
      <c r="N101" s="11">
        <v>92</v>
      </c>
      <c r="O101" s="11">
        <f t="shared" si="7"/>
        <v>18</v>
      </c>
      <c r="P101" s="11">
        <f t="shared" si="8"/>
        <v>2</v>
      </c>
      <c r="Q101" s="12" cm="1">
        <f t="array" ref="Q101">INDEX('Treatment-ConceptMap'!U85:Y339,1+O101,P101)</f>
        <v>0</v>
      </c>
    </row>
    <row r="102" spans="14:17">
      <c r="N102" s="11">
        <v>93</v>
      </c>
      <c r="O102" s="11">
        <f t="shared" si="7"/>
        <v>18</v>
      </c>
      <c r="P102" s="11">
        <f t="shared" si="8"/>
        <v>3</v>
      </c>
      <c r="Q102" s="12" cm="1">
        <f t="array" ref="Q102">INDEX('Treatment-ConceptMap'!U86:Y340,1+O102,P102)</f>
        <v>0</v>
      </c>
    </row>
    <row r="103" spans="14:17">
      <c r="N103" s="11">
        <v>94</v>
      </c>
      <c r="O103" s="11">
        <f t="shared" si="7"/>
        <v>18</v>
      </c>
      <c r="P103" s="11">
        <f t="shared" si="8"/>
        <v>4</v>
      </c>
      <c r="Q103" s="12" cm="1">
        <f t="array" ref="Q103">INDEX('Treatment-ConceptMap'!U87:Y341,1+O103,P103)</f>
        <v>0</v>
      </c>
    </row>
    <row r="104" spans="14:17">
      <c r="N104" s="11">
        <v>95</v>
      </c>
      <c r="O104" s="11">
        <f t="shared" si="7"/>
        <v>18</v>
      </c>
      <c r="P104" s="11">
        <f t="shared" si="8"/>
        <v>5</v>
      </c>
      <c r="Q104" s="12" cm="1">
        <f t="array" ref="Q104">INDEX('Treatment-ConceptMap'!U88:Y342,1+O104,P104)</f>
        <v>0</v>
      </c>
    </row>
    <row r="105" spans="14:17">
      <c r="N105" s="11">
        <v>96</v>
      </c>
      <c r="O105" s="11">
        <f t="shared" si="7"/>
        <v>19</v>
      </c>
      <c r="P105" s="11">
        <f t="shared" si="8"/>
        <v>1</v>
      </c>
      <c r="Q105" s="12" cm="1">
        <f t="array" ref="Q105">INDEX('Treatment-ConceptMap'!U89:Y343,1+O105,P105)</f>
        <v>0</v>
      </c>
    </row>
    <row r="106" spans="14:17">
      <c r="N106" s="11">
        <v>97</v>
      </c>
      <c r="O106" s="11">
        <f t="shared" si="7"/>
        <v>19</v>
      </c>
      <c r="P106" s="11">
        <f t="shared" si="8"/>
        <v>2</v>
      </c>
      <c r="Q106" s="12" cm="1">
        <f t="array" ref="Q106">INDEX('Treatment-ConceptMap'!U90:Y344,1+O106,P106)</f>
        <v>0</v>
      </c>
    </row>
    <row r="107" spans="14:17">
      <c r="N107" s="11">
        <v>98</v>
      </c>
      <c r="O107" s="11">
        <f t="shared" si="7"/>
        <v>19</v>
      </c>
      <c r="P107" s="11">
        <f t="shared" si="8"/>
        <v>3</v>
      </c>
      <c r="Q107" s="12" cm="1">
        <f t="array" ref="Q107">INDEX('Treatment-ConceptMap'!U91:Y345,1+O107,P107)</f>
        <v>0</v>
      </c>
    </row>
    <row r="108" spans="14:17">
      <c r="N108" s="11">
        <v>99</v>
      </c>
      <c r="O108" s="11">
        <f t="shared" si="7"/>
        <v>19</v>
      </c>
      <c r="P108" s="11">
        <f t="shared" si="8"/>
        <v>4</v>
      </c>
      <c r="Q108" s="12" cm="1">
        <f t="array" ref="Q108">INDEX('Treatment-ConceptMap'!U92:Y346,1+O108,P108)</f>
        <v>0</v>
      </c>
    </row>
    <row r="109" spans="14:17">
      <c r="N109" s="11">
        <v>100</v>
      </c>
      <c r="O109" s="11">
        <f t="shared" si="7"/>
        <v>19</v>
      </c>
      <c r="P109" s="11">
        <f t="shared" si="8"/>
        <v>5</v>
      </c>
      <c r="Q109" s="12" cm="1">
        <f t="array" ref="Q109">INDEX('Treatment-ConceptMap'!U93:Y347,1+O109,P109)</f>
        <v>0</v>
      </c>
    </row>
    <row r="110" spans="14:17">
      <c r="N110" s="11">
        <v>101</v>
      </c>
      <c r="O110" s="11">
        <f t="shared" si="7"/>
        <v>20</v>
      </c>
      <c r="P110" s="11">
        <f t="shared" si="8"/>
        <v>1</v>
      </c>
      <c r="Q110" s="12" cm="1">
        <f t="array" ref="Q110">INDEX('Treatment-ConceptMap'!U94:Y348,1+O110,P110)</f>
        <v>0</v>
      </c>
    </row>
    <row r="111" spans="14:17">
      <c r="N111" s="11">
        <v>102</v>
      </c>
      <c r="O111" s="11">
        <f t="shared" si="7"/>
        <v>20</v>
      </c>
      <c r="P111" s="11">
        <f t="shared" si="8"/>
        <v>2</v>
      </c>
      <c r="Q111" s="12" cm="1">
        <f t="array" ref="Q111">INDEX('Treatment-ConceptMap'!U95:Y349,1+O111,P111)</f>
        <v>0</v>
      </c>
    </row>
    <row r="112" spans="14:17">
      <c r="N112" s="11">
        <v>103</v>
      </c>
      <c r="O112" s="11">
        <f t="shared" si="7"/>
        <v>20</v>
      </c>
      <c r="P112" s="11">
        <f t="shared" si="8"/>
        <v>3</v>
      </c>
      <c r="Q112" s="12" cm="1">
        <f t="array" ref="Q112">INDEX('Treatment-ConceptMap'!U96:Y350,1+O112,P112)</f>
        <v>0</v>
      </c>
    </row>
    <row r="113" spans="14:17">
      <c r="N113" s="11">
        <v>104</v>
      </c>
      <c r="O113" s="11">
        <f t="shared" si="7"/>
        <v>20</v>
      </c>
      <c r="P113" s="11">
        <f t="shared" si="8"/>
        <v>4</v>
      </c>
      <c r="Q113" s="12" cm="1">
        <f t="array" ref="Q113">INDEX('Treatment-ConceptMap'!U97:Y351,1+O113,P113)</f>
        <v>0</v>
      </c>
    </row>
    <row r="114" spans="14:17">
      <c r="N114" s="11">
        <v>105</v>
      </c>
      <c r="O114" s="11">
        <f t="shared" si="7"/>
        <v>20</v>
      </c>
      <c r="P114" s="11">
        <f t="shared" si="8"/>
        <v>5</v>
      </c>
      <c r="Q114" s="12" cm="1">
        <f t="array" ref="Q114">INDEX('Treatment-ConceptMap'!U98:Y352,1+O114,P114)</f>
        <v>0</v>
      </c>
    </row>
    <row r="115" spans="14:17">
      <c r="N115" s="11">
        <v>106</v>
      </c>
      <c r="O115" s="11">
        <f t="shared" si="7"/>
        <v>21</v>
      </c>
      <c r="P115" s="11">
        <f t="shared" si="8"/>
        <v>1</v>
      </c>
      <c r="Q115" s="12" cm="1">
        <f t="array" ref="Q115">INDEX('Treatment-ConceptMap'!U99:Y353,1+O115,P115)</f>
        <v>0</v>
      </c>
    </row>
    <row r="116" spans="14:17">
      <c r="N116" s="11">
        <v>107</v>
      </c>
      <c r="O116" s="11">
        <f t="shared" si="7"/>
        <v>21</v>
      </c>
      <c r="P116" s="11">
        <f t="shared" si="8"/>
        <v>2</v>
      </c>
      <c r="Q116" s="12" cm="1">
        <f t="array" ref="Q116">INDEX('Treatment-ConceptMap'!U100:Y354,1+O116,P116)</f>
        <v>0</v>
      </c>
    </row>
    <row r="117" spans="14:17">
      <c r="N117" s="11">
        <v>108</v>
      </c>
      <c r="O117" s="11">
        <f t="shared" si="7"/>
        <v>21</v>
      </c>
      <c r="P117" s="11">
        <f t="shared" si="8"/>
        <v>3</v>
      </c>
      <c r="Q117" s="12" cm="1">
        <f t="array" ref="Q117">INDEX('Treatment-ConceptMap'!U101:Y355,1+O117,P117)</f>
        <v>0</v>
      </c>
    </row>
    <row r="118" spans="14:17">
      <c r="N118" s="11">
        <v>109</v>
      </c>
      <c r="O118" s="11">
        <f t="shared" si="7"/>
        <v>21</v>
      </c>
      <c r="P118" s="11">
        <f t="shared" si="8"/>
        <v>4</v>
      </c>
      <c r="Q118" s="12" cm="1">
        <f t="array" ref="Q118">INDEX('Treatment-ConceptMap'!U102:Y356,1+O118,P118)</f>
        <v>0</v>
      </c>
    </row>
    <row r="119" spans="14:17">
      <c r="N119" s="11">
        <v>110</v>
      </c>
      <c r="O119" s="11">
        <f t="shared" si="7"/>
        <v>21</v>
      </c>
      <c r="P119" s="11">
        <f t="shared" si="8"/>
        <v>5</v>
      </c>
      <c r="Q119" s="12" cm="1">
        <f t="array" ref="Q119">INDEX('Treatment-ConceptMap'!U103:Y357,1+O119,P119)</f>
        <v>0</v>
      </c>
    </row>
    <row r="120" spans="14:17">
      <c r="N120" s="11">
        <v>111</v>
      </c>
      <c r="O120" s="11">
        <f t="shared" si="7"/>
        <v>22</v>
      </c>
      <c r="P120" s="11">
        <f t="shared" si="8"/>
        <v>1</v>
      </c>
      <c r="Q120" s="12" cm="1">
        <f t="array" ref="Q120">INDEX('Treatment-ConceptMap'!U104:Y358,1+O120,P120)</f>
        <v>0</v>
      </c>
    </row>
    <row r="121" spans="14:17">
      <c r="N121" s="11">
        <v>112</v>
      </c>
      <c r="O121" s="11">
        <f t="shared" si="7"/>
        <v>22</v>
      </c>
      <c r="P121" s="11">
        <f t="shared" si="8"/>
        <v>2</v>
      </c>
      <c r="Q121" s="12" cm="1">
        <f t="array" ref="Q121">INDEX('Treatment-ConceptMap'!U105:Y359,1+O121,P121)</f>
        <v>0</v>
      </c>
    </row>
    <row r="122" spans="14:17">
      <c r="N122" s="11">
        <v>113</v>
      </c>
      <c r="O122" s="11">
        <f t="shared" si="7"/>
        <v>22</v>
      </c>
      <c r="P122" s="11">
        <f t="shared" si="8"/>
        <v>3</v>
      </c>
      <c r="Q122" s="12" cm="1">
        <f t="array" ref="Q122">INDEX('Treatment-ConceptMap'!U106:Y360,1+O122,P122)</f>
        <v>0</v>
      </c>
    </row>
    <row r="123" spans="14:17">
      <c r="N123" s="11">
        <v>114</v>
      </c>
      <c r="O123" s="11">
        <f t="shared" si="7"/>
        <v>22</v>
      </c>
      <c r="P123" s="11">
        <f t="shared" si="8"/>
        <v>4</v>
      </c>
      <c r="Q123" s="12" cm="1">
        <f t="array" ref="Q123">INDEX('Treatment-ConceptMap'!U107:Y361,1+O123,P123)</f>
        <v>0</v>
      </c>
    </row>
    <row r="124" spans="14:17">
      <c r="N124" s="11">
        <v>115</v>
      </c>
      <c r="O124" s="11">
        <f t="shared" si="7"/>
        <v>22</v>
      </c>
      <c r="P124" s="11">
        <f t="shared" si="8"/>
        <v>5</v>
      </c>
      <c r="Q124" s="12" cm="1">
        <f t="array" ref="Q124">INDEX('Treatment-ConceptMap'!U108:Y362,1+O124,P124)</f>
        <v>0</v>
      </c>
    </row>
    <row r="125" spans="14:17">
      <c r="N125" s="11">
        <v>116</v>
      </c>
      <c r="O125" s="11">
        <f t="shared" si="7"/>
        <v>23</v>
      </c>
      <c r="P125" s="11">
        <f t="shared" si="8"/>
        <v>1</v>
      </c>
      <c r="Q125" s="12" cm="1">
        <f t="array" ref="Q125">INDEX('Treatment-ConceptMap'!U109:Y363,1+O125,P125)</f>
        <v>0</v>
      </c>
    </row>
    <row r="126" spans="14:17">
      <c r="N126" s="11">
        <v>117</v>
      </c>
      <c r="O126" s="11">
        <f t="shared" si="7"/>
        <v>23</v>
      </c>
      <c r="P126" s="11">
        <f t="shared" si="8"/>
        <v>2</v>
      </c>
      <c r="Q126" s="12" cm="1">
        <f t="array" ref="Q126">INDEX('Treatment-ConceptMap'!U110:Y364,1+O126,P126)</f>
        <v>0</v>
      </c>
    </row>
    <row r="127" spans="14:17">
      <c r="N127" s="11">
        <v>118</v>
      </c>
      <c r="O127" s="11">
        <f t="shared" si="7"/>
        <v>23</v>
      </c>
      <c r="P127" s="11">
        <f t="shared" si="8"/>
        <v>3</v>
      </c>
      <c r="Q127" s="12" cm="1">
        <f t="array" ref="Q127">INDEX('Treatment-ConceptMap'!U111:Y365,1+O127,P127)</f>
        <v>0</v>
      </c>
    </row>
    <row r="128" spans="14:17">
      <c r="N128" s="11">
        <v>119</v>
      </c>
      <c r="O128" s="11">
        <f t="shared" si="7"/>
        <v>23</v>
      </c>
      <c r="P128" s="11">
        <f t="shared" si="8"/>
        <v>4</v>
      </c>
      <c r="Q128" s="12" cm="1">
        <f t="array" ref="Q128">INDEX('Treatment-ConceptMap'!U112:Y366,1+O128,P128)</f>
        <v>0</v>
      </c>
    </row>
    <row r="129" spans="14:17">
      <c r="N129" s="11">
        <v>120</v>
      </c>
      <c r="O129" s="11">
        <f t="shared" si="7"/>
        <v>23</v>
      </c>
      <c r="P129" s="11">
        <f t="shared" si="8"/>
        <v>5</v>
      </c>
      <c r="Q129" s="12" cm="1">
        <f t="array" ref="Q129">INDEX('Treatment-ConceptMap'!U113:Y367,1+O129,P129)</f>
        <v>0</v>
      </c>
    </row>
    <row r="130" spans="14:17">
      <c r="N130" s="11">
        <v>121</v>
      </c>
      <c r="O130" s="11">
        <f t="shared" si="7"/>
        <v>24</v>
      </c>
      <c r="P130" s="11">
        <f t="shared" si="8"/>
        <v>1</v>
      </c>
      <c r="Q130" s="12" cm="1">
        <f t="array" ref="Q130">INDEX('Treatment-ConceptMap'!U114:Y368,1+O130,P130)</f>
        <v>0</v>
      </c>
    </row>
    <row r="131" spans="14:17">
      <c r="N131" s="11">
        <v>122</v>
      </c>
      <c r="O131" s="11">
        <f t="shared" si="7"/>
        <v>24</v>
      </c>
      <c r="P131" s="11">
        <f t="shared" si="8"/>
        <v>2</v>
      </c>
      <c r="Q131" s="12" cm="1">
        <f t="array" ref="Q131">INDEX('Treatment-ConceptMap'!U115:Y369,1+O131,P131)</f>
        <v>0</v>
      </c>
    </row>
    <row r="132" spans="14:17">
      <c r="N132" s="11">
        <v>123</v>
      </c>
      <c r="O132" s="11">
        <f t="shared" si="7"/>
        <v>24</v>
      </c>
      <c r="P132" s="11">
        <f t="shared" si="8"/>
        <v>3</v>
      </c>
      <c r="Q132" s="12" cm="1">
        <f t="array" ref="Q132">INDEX('Treatment-ConceptMap'!U116:Y370,1+O132,P132)</f>
        <v>0</v>
      </c>
    </row>
    <row r="133" spans="14:17">
      <c r="N133" s="11">
        <v>124</v>
      </c>
      <c r="O133" s="11">
        <f t="shared" si="7"/>
        <v>24</v>
      </c>
      <c r="P133" s="11">
        <f t="shared" si="8"/>
        <v>4</v>
      </c>
      <c r="Q133" s="12" cm="1">
        <f t="array" ref="Q133">INDEX('Treatment-ConceptMap'!U117:Y371,1+O133,P133)</f>
        <v>0</v>
      </c>
    </row>
    <row r="134" spans="14:17">
      <c r="N134" s="11">
        <v>125</v>
      </c>
      <c r="O134" s="11">
        <f t="shared" si="7"/>
        <v>24</v>
      </c>
      <c r="P134" s="11">
        <f t="shared" si="8"/>
        <v>5</v>
      </c>
      <c r="Q134" s="12" cm="1">
        <f t="array" ref="Q134">INDEX('Treatment-ConceptMap'!U118:Y372,1+O134,P134)</f>
        <v>0</v>
      </c>
    </row>
    <row r="135" spans="14:17">
      <c r="N135" s="11">
        <v>126</v>
      </c>
      <c r="O135" s="11">
        <f t="shared" si="7"/>
        <v>25</v>
      </c>
      <c r="P135" s="11">
        <f t="shared" si="8"/>
        <v>1</v>
      </c>
      <c r="Q135" s="12" cm="1">
        <f t="array" ref="Q135">INDEX('Treatment-ConceptMap'!U119:Y373,1+O135,P135)</f>
        <v>0</v>
      </c>
    </row>
    <row r="136" spans="14:17">
      <c r="N136" s="11">
        <v>127</v>
      </c>
      <c r="O136" s="11">
        <f t="shared" si="7"/>
        <v>25</v>
      </c>
      <c r="P136" s="11">
        <f t="shared" si="8"/>
        <v>2</v>
      </c>
      <c r="Q136" s="12" cm="1">
        <f t="array" ref="Q136">INDEX('Treatment-ConceptMap'!U120:Y374,1+O136,P136)</f>
        <v>0</v>
      </c>
    </row>
    <row r="137" spans="14:17">
      <c r="N137" s="11">
        <v>128</v>
      </c>
      <c r="O137" s="11">
        <f t="shared" si="7"/>
        <v>25</v>
      </c>
      <c r="P137" s="11">
        <f t="shared" si="8"/>
        <v>3</v>
      </c>
      <c r="Q137" s="12" cm="1">
        <f t="array" ref="Q137">INDEX('Treatment-ConceptMap'!U121:Y375,1+O137,P137)</f>
        <v>0</v>
      </c>
    </row>
    <row r="138" spans="14:17">
      <c r="N138" s="11">
        <v>129</v>
      </c>
      <c r="O138" s="11">
        <f t="shared" si="7"/>
        <v>25</v>
      </c>
      <c r="P138" s="11">
        <f t="shared" si="8"/>
        <v>4</v>
      </c>
      <c r="Q138" s="12" cm="1">
        <f t="array" ref="Q138">INDEX('Treatment-ConceptMap'!U122:Y376,1+O138,P138)</f>
        <v>0</v>
      </c>
    </row>
    <row r="139" spans="14:17">
      <c r="N139" s="11">
        <v>130</v>
      </c>
      <c r="O139" s="11">
        <f t="shared" ref="O139:O184" si="9">IF(MOD(N139,$O$3)=0,N139/$O$3-1,INT(N139/$O$3))</f>
        <v>25</v>
      </c>
      <c r="P139" s="11">
        <f t="shared" ref="P139:P184" si="10">IF(MOD(N139,$O$3)=0,$O$3,MOD(N139,$O$3))</f>
        <v>5</v>
      </c>
      <c r="Q139" s="12" cm="1">
        <f t="array" ref="Q139">INDEX('Treatment-ConceptMap'!U123:Y377,1+O139,P139)</f>
        <v>0</v>
      </c>
    </row>
    <row r="140" spans="14:17">
      <c r="N140" s="11">
        <v>131</v>
      </c>
      <c r="O140" s="11">
        <f t="shared" si="9"/>
        <v>26</v>
      </c>
      <c r="P140" s="11">
        <f t="shared" si="10"/>
        <v>1</v>
      </c>
      <c r="Q140" s="12" cm="1">
        <f t="array" ref="Q140">INDEX('Treatment-ConceptMap'!U124:Y378,1+O140,P140)</f>
        <v>0</v>
      </c>
    </row>
    <row r="141" spans="14:17">
      <c r="N141" s="11">
        <v>132</v>
      </c>
      <c r="O141" s="11">
        <f t="shared" si="9"/>
        <v>26</v>
      </c>
      <c r="P141" s="11">
        <f t="shared" si="10"/>
        <v>2</v>
      </c>
      <c r="Q141" s="12" cm="1">
        <f t="array" ref="Q141">INDEX('Treatment-ConceptMap'!U125:Y379,1+O141,P141)</f>
        <v>0</v>
      </c>
    </row>
    <row r="142" spans="14:17">
      <c r="N142" s="11">
        <v>133</v>
      </c>
      <c r="O142" s="11">
        <f t="shared" si="9"/>
        <v>26</v>
      </c>
      <c r="P142" s="11">
        <f t="shared" si="10"/>
        <v>3</v>
      </c>
      <c r="Q142" s="12" cm="1">
        <f t="array" ref="Q142">INDEX('Treatment-ConceptMap'!U126:Y380,1+O142,P142)</f>
        <v>0</v>
      </c>
    </row>
    <row r="143" spans="14:17">
      <c r="N143" s="11">
        <v>134</v>
      </c>
      <c r="O143" s="11">
        <f t="shared" si="9"/>
        <v>26</v>
      </c>
      <c r="P143" s="11">
        <f t="shared" si="10"/>
        <v>4</v>
      </c>
      <c r="Q143" s="12" cm="1">
        <f t="array" ref="Q143">INDEX('Treatment-ConceptMap'!U127:Y381,1+O143,P143)</f>
        <v>0</v>
      </c>
    </row>
    <row r="144" spans="14:17">
      <c r="N144" s="11">
        <v>135</v>
      </c>
      <c r="O144" s="11">
        <f t="shared" si="9"/>
        <v>26</v>
      </c>
      <c r="P144" s="11">
        <f t="shared" si="10"/>
        <v>5</v>
      </c>
      <c r="Q144" s="12" cm="1">
        <f t="array" ref="Q144">INDEX('Treatment-ConceptMap'!U128:Y382,1+O144,P144)</f>
        <v>0</v>
      </c>
    </row>
    <row r="145" spans="14:17">
      <c r="N145" s="11">
        <v>136</v>
      </c>
      <c r="O145" s="11">
        <f t="shared" si="9"/>
        <v>27</v>
      </c>
      <c r="P145" s="11">
        <f t="shared" si="10"/>
        <v>1</v>
      </c>
      <c r="Q145" s="12" cm="1">
        <f t="array" ref="Q145">INDEX('Treatment-ConceptMap'!U129:Y383,1+O145,P145)</f>
        <v>0</v>
      </c>
    </row>
    <row r="146" spans="14:17">
      <c r="N146" s="11">
        <v>137</v>
      </c>
      <c r="O146" s="11">
        <f t="shared" si="9"/>
        <v>27</v>
      </c>
      <c r="P146" s="11">
        <f t="shared" si="10"/>
        <v>2</v>
      </c>
      <c r="Q146" s="12" cm="1">
        <f t="array" ref="Q146">INDEX('Treatment-ConceptMap'!U130:Y384,1+O146,P146)</f>
        <v>0</v>
      </c>
    </row>
    <row r="147" spans="14:17">
      <c r="N147" s="11">
        <v>138</v>
      </c>
      <c r="O147" s="11">
        <f t="shared" si="9"/>
        <v>27</v>
      </c>
      <c r="P147" s="11">
        <f t="shared" si="10"/>
        <v>3</v>
      </c>
      <c r="Q147" s="12" cm="1">
        <f t="array" ref="Q147">INDEX('Treatment-ConceptMap'!U131:Y385,1+O147,P147)</f>
        <v>0</v>
      </c>
    </row>
    <row r="148" spans="14:17">
      <c r="N148" s="11">
        <v>139</v>
      </c>
      <c r="O148" s="11">
        <f t="shared" si="9"/>
        <v>27</v>
      </c>
      <c r="P148" s="11">
        <f t="shared" si="10"/>
        <v>4</v>
      </c>
      <c r="Q148" s="12" cm="1">
        <f t="array" ref="Q148">INDEX('Treatment-ConceptMap'!U132:Y386,1+O148,P148)</f>
        <v>0</v>
      </c>
    </row>
    <row r="149" spans="14:17">
      <c r="N149" s="11">
        <v>140</v>
      </c>
      <c r="O149" s="11">
        <f t="shared" si="9"/>
        <v>27</v>
      </c>
      <c r="P149" s="11">
        <f t="shared" si="10"/>
        <v>5</v>
      </c>
      <c r="Q149" s="12" cm="1">
        <f t="array" ref="Q149">INDEX('Treatment-ConceptMap'!U133:Y387,1+O149,P149)</f>
        <v>0</v>
      </c>
    </row>
    <row r="150" spans="14:17">
      <c r="N150" s="11">
        <v>141</v>
      </c>
      <c r="O150" s="11">
        <f t="shared" si="9"/>
        <v>28</v>
      </c>
      <c r="P150" s="11">
        <f t="shared" si="10"/>
        <v>1</v>
      </c>
      <c r="Q150" s="12" cm="1">
        <f t="array" ref="Q150">INDEX('Treatment-ConceptMap'!U134:Y388,1+O150,P150)</f>
        <v>0</v>
      </c>
    </row>
    <row r="151" spans="14:17">
      <c r="N151" s="11">
        <v>142</v>
      </c>
      <c r="O151" s="11">
        <f t="shared" si="9"/>
        <v>28</v>
      </c>
      <c r="P151" s="11">
        <f t="shared" si="10"/>
        <v>2</v>
      </c>
      <c r="Q151" s="12" cm="1">
        <f t="array" ref="Q151">INDEX('Treatment-ConceptMap'!U135:Y389,1+O151,P151)</f>
        <v>0</v>
      </c>
    </row>
    <row r="152" spans="14:17">
      <c r="N152" s="11">
        <v>143</v>
      </c>
      <c r="O152" s="11">
        <f t="shared" si="9"/>
        <v>28</v>
      </c>
      <c r="P152" s="11">
        <f t="shared" si="10"/>
        <v>3</v>
      </c>
      <c r="Q152" s="12" cm="1">
        <f t="array" ref="Q152">INDEX('Treatment-ConceptMap'!U136:Y390,1+O152,P152)</f>
        <v>0</v>
      </c>
    </row>
    <row r="153" spans="14:17">
      <c r="N153" s="11">
        <v>144</v>
      </c>
      <c r="O153" s="11">
        <f t="shared" si="9"/>
        <v>28</v>
      </c>
      <c r="P153" s="11">
        <f t="shared" si="10"/>
        <v>4</v>
      </c>
      <c r="Q153" s="12" cm="1">
        <f t="array" ref="Q153">INDEX('Treatment-ConceptMap'!U137:Y391,1+O153,P153)</f>
        <v>0</v>
      </c>
    </row>
    <row r="154" spans="14:17">
      <c r="N154" s="11">
        <v>145</v>
      </c>
      <c r="O154" s="11">
        <f t="shared" si="9"/>
        <v>28</v>
      </c>
      <c r="P154" s="11">
        <f t="shared" si="10"/>
        <v>5</v>
      </c>
      <c r="Q154" s="12" cm="1">
        <f t="array" ref="Q154">INDEX('Treatment-ConceptMap'!U138:Y392,1+O154,P154)</f>
        <v>0</v>
      </c>
    </row>
    <row r="155" spans="14:17">
      <c r="N155" s="11">
        <v>146</v>
      </c>
      <c r="O155" s="11">
        <f t="shared" si="9"/>
        <v>29</v>
      </c>
      <c r="P155" s="11">
        <f t="shared" si="10"/>
        <v>1</v>
      </c>
      <c r="Q155" s="12" cm="1">
        <f t="array" ref="Q155">INDEX('Treatment-ConceptMap'!U139:Y393,1+O155,P155)</f>
        <v>0</v>
      </c>
    </row>
    <row r="156" spans="14:17">
      <c r="N156" s="11">
        <v>147</v>
      </c>
      <c r="O156" s="11">
        <f t="shared" si="9"/>
        <v>29</v>
      </c>
      <c r="P156" s="11">
        <f t="shared" si="10"/>
        <v>2</v>
      </c>
      <c r="Q156" s="12" cm="1">
        <f t="array" ref="Q156">INDEX('Treatment-ConceptMap'!U140:Y394,1+O156,P156)</f>
        <v>0</v>
      </c>
    </row>
    <row r="157" spans="14:17">
      <c r="N157" s="11">
        <v>148</v>
      </c>
      <c r="O157" s="11">
        <f t="shared" si="9"/>
        <v>29</v>
      </c>
      <c r="P157" s="11">
        <f t="shared" si="10"/>
        <v>3</v>
      </c>
      <c r="Q157" s="12" cm="1">
        <f t="array" ref="Q157">INDEX('Treatment-ConceptMap'!U141:Y395,1+O157,P157)</f>
        <v>0</v>
      </c>
    </row>
    <row r="158" spans="14:17">
      <c r="N158" s="11">
        <v>149</v>
      </c>
      <c r="O158" s="11">
        <f t="shared" si="9"/>
        <v>29</v>
      </c>
      <c r="P158" s="11">
        <f t="shared" si="10"/>
        <v>4</v>
      </c>
      <c r="Q158" s="12" cm="1">
        <f t="array" ref="Q158">INDEX('Treatment-ConceptMap'!U142:Y396,1+O158,P158)</f>
        <v>0</v>
      </c>
    </row>
    <row r="159" spans="14:17">
      <c r="N159" s="11">
        <v>150</v>
      </c>
      <c r="O159" s="11">
        <f t="shared" si="9"/>
        <v>29</v>
      </c>
      <c r="P159" s="11">
        <f t="shared" si="10"/>
        <v>5</v>
      </c>
      <c r="Q159" s="12" cm="1">
        <f t="array" ref="Q159">INDEX('Treatment-ConceptMap'!U143:Y397,1+O159,P159)</f>
        <v>0</v>
      </c>
    </row>
    <row r="160" spans="14:17">
      <c r="N160" s="11">
        <v>151</v>
      </c>
      <c r="O160" s="11">
        <f t="shared" si="9"/>
        <v>30</v>
      </c>
      <c r="P160" s="11">
        <f t="shared" si="10"/>
        <v>1</v>
      </c>
      <c r="Q160" s="12" cm="1">
        <f t="array" ref="Q160">INDEX('Treatment-ConceptMap'!U144:Y398,1+O160,P160)</f>
        <v>0</v>
      </c>
    </row>
    <row r="161" spans="14:17">
      <c r="N161" s="11">
        <v>152</v>
      </c>
      <c r="O161" s="11">
        <f t="shared" si="9"/>
        <v>30</v>
      </c>
      <c r="P161" s="11">
        <f t="shared" si="10"/>
        <v>2</v>
      </c>
      <c r="Q161" s="12" cm="1">
        <f t="array" ref="Q161">INDEX('Treatment-ConceptMap'!U145:Y399,1+O161,P161)</f>
        <v>0</v>
      </c>
    </row>
    <row r="162" spans="14:17">
      <c r="N162" s="11">
        <v>153</v>
      </c>
      <c r="O162" s="11">
        <f t="shared" si="9"/>
        <v>30</v>
      </c>
      <c r="P162" s="11">
        <f t="shared" si="10"/>
        <v>3</v>
      </c>
      <c r="Q162" s="12" cm="1">
        <f t="array" ref="Q162">INDEX('Treatment-ConceptMap'!U146:Y400,1+O162,P162)</f>
        <v>0</v>
      </c>
    </row>
    <row r="163" spans="14:17">
      <c r="N163" s="11">
        <v>154</v>
      </c>
      <c r="O163" s="11">
        <f t="shared" si="9"/>
        <v>30</v>
      </c>
      <c r="P163" s="11">
        <f t="shared" si="10"/>
        <v>4</v>
      </c>
      <c r="Q163" s="12" cm="1">
        <f t="array" ref="Q163">INDEX('Treatment-ConceptMap'!U147:Y401,1+O163,P163)</f>
        <v>0</v>
      </c>
    </row>
    <row r="164" spans="14:17">
      <c r="N164" s="11">
        <v>155</v>
      </c>
      <c r="O164" s="11">
        <f t="shared" si="9"/>
        <v>30</v>
      </c>
      <c r="P164" s="11">
        <f t="shared" si="10"/>
        <v>5</v>
      </c>
      <c r="Q164" s="12" cm="1">
        <f t="array" ref="Q164">INDEX('Treatment-ConceptMap'!U148:Y402,1+O164,P164)</f>
        <v>0</v>
      </c>
    </row>
    <row r="165" spans="14:17">
      <c r="N165" s="11">
        <v>156</v>
      </c>
      <c r="O165" s="11">
        <f t="shared" si="9"/>
        <v>31</v>
      </c>
      <c r="P165" s="11">
        <f t="shared" si="10"/>
        <v>1</v>
      </c>
      <c r="Q165" s="12" cm="1">
        <f t="array" ref="Q165">INDEX('Treatment-ConceptMap'!U149:Y403,1+O165,P165)</f>
        <v>0</v>
      </c>
    </row>
    <row r="166" spans="14:17">
      <c r="N166" s="11">
        <v>157</v>
      </c>
      <c r="O166" s="11">
        <f t="shared" si="9"/>
        <v>31</v>
      </c>
      <c r="P166" s="11">
        <f t="shared" si="10"/>
        <v>2</v>
      </c>
      <c r="Q166" s="12" cm="1">
        <f t="array" ref="Q166">INDEX('Treatment-ConceptMap'!U150:Y404,1+O166,P166)</f>
        <v>0</v>
      </c>
    </row>
    <row r="167" spans="14:17">
      <c r="N167" s="11">
        <v>158</v>
      </c>
      <c r="O167" s="11">
        <f t="shared" si="9"/>
        <v>31</v>
      </c>
      <c r="P167" s="11">
        <f t="shared" si="10"/>
        <v>3</v>
      </c>
      <c r="Q167" s="12" cm="1">
        <f t="array" ref="Q167">INDEX('Treatment-ConceptMap'!U151:Y405,1+O167,P167)</f>
        <v>0</v>
      </c>
    </row>
    <row r="168" spans="14:17">
      <c r="N168" s="11">
        <v>159</v>
      </c>
      <c r="O168" s="11">
        <f t="shared" si="9"/>
        <v>31</v>
      </c>
      <c r="P168" s="11">
        <f t="shared" si="10"/>
        <v>4</v>
      </c>
      <c r="Q168" s="12" cm="1">
        <f t="array" ref="Q168">INDEX('Treatment-ConceptMap'!U152:Y406,1+O168,P168)</f>
        <v>0</v>
      </c>
    </row>
    <row r="169" spans="14:17">
      <c r="N169" s="11">
        <v>160</v>
      </c>
      <c r="O169" s="11">
        <f t="shared" si="9"/>
        <v>31</v>
      </c>
      <c r="P169" s="11">
        <f t="shared" si="10"/>
        <v>5</v>
      </c>
      <c r="Q169" s="12" cm="1">
        <f t="array" ref="Q169">INDEX('Treatment-ConceptMap'!U153:Y407,1+O169,P169)</f>
        <v>0</v>
      </c>
    </row>
    <row r="170" spans="14:17">
      <c r="N170" s="11">
        <v>161</v>
      </c>
      <c r="O170" s="11">
        <f t="shared" si="9"/>
        <v>32</v>
      </c>
      <c r="P170" s="11">
        <f t="shared" si="10"/>
        <v>1</v>
      </c>
      <c r="Q170" s="12" cm="1">
        <f t="array" ref="Q170">INDEX('Treatment-ConceptMap'!U154:Y408,1+O170,P170)</f>
        <v>0</v>
      </c>
    </row>
    <row r="171" spans="14:17">
      <c r="N171" s="11">
        <v>162</v>
      </c>
      <c r="O171" s="11">
        <f t="shared" si="9"/>
        <v>32</v>
      </c>
      <c r="P171" s="11">
        <f t="shared" si="10"/>
        <v>2</v>
      </c>
      <c r="Q171" s="12" cm="1">
        <f t="array" ref="Q171">INDEX('Treatment-ConceptMap'!U155:Y409,1+O171,P171)</f>
        <v>0</v>
      </c>
    </row>
    <row r="172" spans="14:17">
      <c r="N172" s="11">
        <v>163</v>
      </c>
      <c r="O172" s="11">
        <f t="shared" si="9"/>
        <v>32</v>
      </c>
      <c r="P172" s="11">
        <f t="shared" si="10"/>
        <v>3</v>
      </c>
      <c r="Q172" s="12" cm="1">
        <f t="array" ref="Q172">INDEX('Treatment-ConceptMap'!U156:Y410,1+O172,P172)</f>
        <v>0</v>
      </c>
    </row>
    <row r="173" spans="14:17">
      <c r="N173" s="11">
        <v>164</v>
      </c>
      <c r="O173" s="11">
        <f t="shared" si="9"/>
        <v>32</v>
      </c>
      <c r="P173" s="11">
        <f t="shared" si="10"/>
        <v>4</v>
      </c>
      <c r="Q173" s="12" cm="1">
        <f t="array" ref="Q173">INDEX('Treatment-ConceptMap'!U157:Y411,1+O173,P173)</f>
        <v>0</v>
      </c>
    </row>
    <row r="174" spans="14:17">
      <c r="N174" s="11">
        <v>165</v>
      </c>
      <c r="O174" s="11">
        <f t="shared" si="9"/>
        <v>32</v>
      </c>
      <c r="P174" s="11">
        <f t="shared" si="10"/>
        <v>5</v>
      </c>
      <c r="Q174" s="12" cm="1">
        <f t="array" ref="Q174">INDEX('Treatment-ConceptMap'!U158:Y412,1+O174,P174)</f>
        <v>0</v>
      </c>
    </row>
    <row r="175" spans="14:17">
      <c r="N175" s="11">
        <v>166</v>
      </c>
      <c r="O175" s="11">
        <f t="shared" si="9"/>
        <v>33</v>
      </c>
      <c r="P175" s="11">
        <f t="shared" si="10"/>
        <v>1</v>
      </c>
      <c r="Q175" s="12" cm="1">
        <f t="array" ref="Q175">INDEX('Treatment-ConceptMap'!U159:Y413,1+O175,P175)</f>
        <v>0</v>
      </c>
    </row>
    <row r="176" spans="14:17">
      <c r="N176" s="11">
        <v>167</v>
      </c>
      <c r="O176" s="11">
        <f t="shared" si="9"/>
        <v>33</v>
      </c>
      <c r="P176" s="11">
        <f t="shared" si="10"/>
        <v>2</v>
      </c>
      <c r="Q176" s="12" cm="1">
        <f t="array" ref="Q176">INDEX('Treatment-ConceptMap'!U160:Y414,1+O176,P176)</f>
        <v>0</v>
      </c>
    </row>
    <row r="177" spans="14:17">
      <c r="N177" s="11">
        <v>168</v>
      </c>
      <c r="O177" s="11">
        <f t="shared" si="9"/>
        <v>33</v>
      </c>
      <c r="P177" s="11">
        <f t="shared" si="10"/>
        <v>3</v>
      </c>
      <c r="Q177" s="12" cm="1">
        <f t="array" ref="Q177">INDEX('Treatment-ConceptMap'!U161:Y415,1+O177,P177)</f>
        <v>0</v>
      </c>
    </row>
    <row r="178" spans="14:17">
      <c r="N178" s="11">
        <v>169</v>
      </c>
      <c r="O178" s="11">
        <f t="shared" si="9"/>
        <v>33</v>
      </c>
      <c r="P178" s="11">
        <f t="shared" si="10"/>
        <v>4</v>
      </c>
      <c r="Q178" s="12" cm="1">
        <f t="array" ref="Q178">INDEX('Treatment-ConceptMap'!U162:Y416,1+O178,P178)</f>
        <v>0</v>
      </c>
    </row>
    <row r="179" spans="14:17">
      <c r="N179" s="11">
        <v>170</v>
      </c>
      <c r="O179" s="11">
        <f t="shared" si="9"/>
        <v>33</v>
      </c>
      <c r="P179" s="11">
        <f t="shared" si="10"/>
        <v>5</v>
      </c>
      <c r="Q179" s="12" cm="1">
        <f t="array" ref="Q179">INDEX('Treatment-ConceptMap'!U163:Y417,1+O179,P179)</f>
        <v>0</v>
      </c>
    </row>
    <row r="180" spans="14:17">
      <c r="N180" s="11">
        <v>171</v>
      </c>
      <c r="O180" s="11">
        <f t="shared" si="9"/>
        <v>34</v>
      </c>
      <c r="P180" s="11">
        <f t="shared" si="10"/>
        <v>1</v>
      </c>
      <c r="Q180" s="12" cm="1">
        <f t="array" ref="Q180">INDEX('Treatment-ConceptMap'!U164:Y418,1+O180,P180)</f>
        <v>0</v>
      </c>
    </row>
    <row r="181" spans="14:17">
      <c r="N181" s="11">
        <v>172</v>
      </c>
      <c r="O181" s="11">
        <f t="shared" si="9"/>
        <v>34</v>
      </c>
      <c r="P181" s="11">
        <f t="shared" si="10"/>
        <v>2</v>
      </c>
      <c r="Q181" s="12" cm="1">
        <f t="array" ref="Q181">INDEX('Treatment-ConceptMap'!U165:Y419,1+O181,P181)</f>
        <v>0</v>
      </c>
    </row>
    <row r="182" spans="14:17">
      <c r="N182" s="11">
        <v>173</v>
      </c>
      <c r="O182" s="11">
        <f t="shared" si="9"/>
        <v>34</v>
      </c>
      <c r="P182" s="11">
        <f t="shared" si="10"/>
        <v>3</v>
      </c>
      <c r="Q182" s="12" cm="1">
        <f t="array" ref="Q182">INDEX('Treatment-ConceptMap'!U166:Y420,1+O182,P182)</f>
        <v>0</v>
      </c>
    </row>
    <row r="183" spans="14:17">
      <c r="N183" s="11">
        <v>174</v>
      </c>
      <c r="O183" s="11">
        <f t="shared" si="9"/>
        <v>34</v>
      </c>
      <c r="P183" s="11">
        <f t="shared" si="10"/>
        <v>4</v>
      </c>
      <c r="Q183" s="12" cm="1">
        <f t="array" ref="Q183">INDEX('Treatment-ConceptMap'!U167:Y421,1+O183,P183)</f>
        <v>0</v>
      </c>
    </row>
    <row r="184" spans="14:17">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Foglio2!$D$6:$D$15</xm:f>
          </x14:formula1>
          <xm:sqref>L37:L46 I34:I46 J21:K46 F10:G46</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1466</v>
      </c>
    </row>
    <row r="3" spans="2:7">
      <c r="B3" s="24" t="s">
        <v>20</v>
      </c>
    </row>
    <row r="4" spans="2:7">
      <c r="B4" s="65" t="s">
        <v>1467</v>
      </c>
    </row>
    <row r="5" spans="2:7">
      <c r="B5" s="65" t="s">
        <v>1447</v>
      </c>
    </row>
    <row r="6" spans="2:7">
      <c r="B6" s="65" t="s">
        <v>1438</v>
      </c>
    </row>
    <row r="7" spans="2:7">
      <c r="B7" s="65" t="s">
        <v>1468</v>
      </c>
    </row>
    <row r="8" spans="2:7">
      <c r="B8" s="65" t="s">
        <v>1469</v>
      </c>
    </row>
    <row r="9" spans="2:7">
      <c r="B9" s="65" t="s">
        <v>1470</v>
      </c>
    </row>
    <row r="10" spans="2:7">
      <c r="B10" s="65" t="s">
        <v>1439</v>
      </c>
    </row>
    <row r="11" spans="2:7">
      <c r="B11" s="65" t="s">
        <v>1440</v>
      </c>
    </row>
    <row r="12" spans="2:7">
      <c r="B12" s="65" t="s">
        <v>1471</v>
      </c>
    </row>
    <row r="13" spans="2:7">
      <c r="B13" s="65" t="s">
        <v>1472</v>
      </c>
    </row>
    <row r="14" spans="2:7">
      <c r="B14" s="69" t="s">
        <v>1462</v>
      </c>
    </row>
    <row r="15" spans="2:7">
      <c r="B15" s="69" t="s">
        <v>1463</v>
      </c>
    </row>
    <row r="16" spans="2:7">
      <c r="B16" s="65"/>
    </row>
    <row r="17" spans="2:7">
      <c r="B17" s="68" t="s">
        <v>1464</v>
      </c>
    </row>
    <row r="18" spans="2:7">
      <c r="B18" s="68" t="s">
        <v>1465</v>
      </c>
    </row>
    <row r="19" spans="2:7">
      <c r="B19" s="70"/>
    </row>
    <row r="20" spans="2:7">
      <c r="B20" s="12" t="str">
        <f>IF('Treatment-ConceptMap'!Q10=0,"//---END",'Treatment-ConceptMap'!Q10)</f>
        <v>* group[=].element[+].code = #Treatment</v>
      </c>
    </row>
    <row r="21" spans="2:7">
      <c r="B21" s="12" t="str">
        <f>IF('Treatment-ConceptMap'!Q11=0,"//---END",'Treatment-ConceptMap'!Q11)</f>
        <v>* group[=].element[=].display = ##34#Treatment##34#</v>
      </c>
    </row>
    <row r="22" spans="2:7">
      <c r="B22" s="12" t="str">
        <f>IF('Treatment-ConceptMap'!Q12=0,"//---END",'Treatment-ConceptMap'!Q12)</f>
        <v>* group[=].element[=].target.code = #Osiris.Patient</v>
      </c>
    </row>
    <row r="23" spans="2:7">
      <c r="B23" s="12" t="str">
        <f>IF('Treatment-ConceptMap'!Q13=0,"//---END",'Treatment-ConceptMap'!Q13)</f>
        <v>* group[=].element[=].target.display = ##34#Patient##34#</v>
      </c>
    </row>
    <row r="24" spans="2:7">
      <c r="B24" s="12" t="str">
        <f>IF('Treatment-ConceptMap'!Q14=0,"//---END",'Treatment-ConceptMap'!Q14)</f>
        <v>* group[=].element[=].target.equivalence = #equivalent</v>
      </c>
    </row>
    <row r="25" spans="2:7">
      <c r="B25" s="12" t="str">
        <f>IF('Treatment-ConceptMap'!Q15=0,"//---END",'Treatment-ConceptMap'!Q15)</f>
        <v>* group[=].element[+].code = #Treatment.surgery</v>
      </c>
      <c r="G25" s="7"/>
    </row>
    <row r="26" spans="2:7">
      <c r="B26" s="12" t="str">
        <f>IF('Treatment-ConceptMap'!Q16=0,"//---END",'Treatment-ConceptMap'!Q16)</f>
        <v>* group[=].element[=].display = ##34#Surgery ##34#</v>
      </c>
    </row>
    <row r="27" spans="2:7">
      <c r="B27" s="12" t="str">
        <f>IF('Treatment-ConceptMap'!Q17=0,"//---END",'Treatment-ConceptMap'!Q17)</f>
        <v>* group[=].element[=].target.code = #Osiris.Patient.BirthDate</v>
      </c>
    </row>
    <row r="28" spans="2:7">
      <c r="B28" s="12" t="str">
        <f>IF('Treatment-ConceptMap'!Q18=0,"//---END",'Treatment-ConceptMap'!Q18)</f>
        <v>* group[=].element[=].target.display = ##34#Birth Date [C4]##34#</v>
      </c>
    </row>
    <row r="29" spans="2:7">
      <c r="B29" s="12" t="str">
        <f>IF('Treatment-ConceptMap'!Q19=0,"//---END",'Treatment-ConceptMap'!Q19)</f>
        <v>* group[=].element[=].target.equivalence = #relatedto</v>
      </c>
    </row>
    <row r="30" spans="2:7">
      <c r="B30" s="12" t="str">
        <f>IF('Treatment-ConceptMap'!Q20=0,"//---END",'Treatment-ConceptMap'!Q20)</f>
        <v>* group[=].element[+].code = #Treatment.surgeryPerformed</v>
      </c>
    </row>
    <row r="31" spans="2:7">
      <c r="B31" s="12" t="str">
        <f>IF('Treatment-ConceptMap'!Q21=0,"//---END",'Treatment-ConceptMap'!Q21)</f>
        <v>* group[=].element[=].display = ##34#Surgery performed##34#</v>
      </c>
    </row>
    <row r="32" spans="2:7">
      <c r="B32" s="12" t="str">
        <f>IF('Treatment-ConceptMap'!Q22=0,"//---END",'Treatment-ConceptMap'!Q22)</f>
        <v>* group[=].element[=].target.code = #Osiris.Patient.BirthDate</v>
      </c>
    </row>
    <row r="33" spans="2:2">
      <c r="B33" s="12" t="str">
        <f>IF('Treatment-ConceptMap'!Q23=0,"//---END",'Treatment-ConceptMap'!Q23)</f>
        <v>* group[=].element[=].target.display = ##34#Birth Date [C4]##34#</v>
      </c>
    </row>
    <row r="34" spans="2:2">
      <c r="B34" s="12" t="str">
        <f>IF('Treatment-ConceptMap'!Q24=0,"//---END",'Treatment-ConceptMap'!Q24)</f>
        <v>* group[=].element[=].target.equivalence = #equivalent</v>
      </c>
    </row>
    <row r="35" spans="2:2">
      <c r="B35" s="12" t="str">
        <f>IF('Treatment-ConceptMap'!Q25=0,"//---END",'Treatment-ConceptMap'!Q25)</f>
        <v>* group[=].element[+].code = #Treatment.surgeryIntention</v>
      </c>
    </row>
    <row r="36" spans="2:2">
      <c r="B36" s="12" t="str">
        <f>IF('Treatment-ConceptMap'!Q26=0,"//---END",'Treatment-ConceptMap'!Q26)</f>
        <v>* group[=].element[=].display = ##34#Surgery intention##34#</v>
      </c>
    </row>
    <row r="37" spans="2:2">
      <c r="B37" s="12" t="str">
        <f>IF('Treatment-ConceptMap'!Q27=0,"//---END",'Treatment-ConceptMap'!Q27)</f>
        <v>//-- unmatched</v>
      </c>
    </row>
    <row r="38" spans="2:2">
      <c r="B38" s="12" t="str">
        <f>IF('Treatment-ConceptMap'!Q28=0,"//---END",'Treatment-ConceptMap'!Q28)</f>
        <v>//-- unmatched</v>
      </c>
    </row>
    <row r="39" spans="2:2">
      <c r="B39" s="12" t="str">
        <f>IF('Treatment-ConceptMap'!Q29=0,"//---END",'Treatment-ConceptMap'!Q29)</f>
        <v>* group[=].element[=].target.equivalence = #unmatched</v>
      </c>
    </row>
    <row r="40" spans="2:2">
      <c r="B40" s="12" t="str">
        <f>IF('Treatment-ConceptMap'!Q30=0,"//---END",'Treatment-ConceptMap'!Q30)</f>
        <v>* group[=].element[+].code = #Treatment.tumorSurgeryApproach</v>
      </c>
    </row>
    <row r="41" spans="2:2">
      <c r="B41" s="12" t="str">
        <f>IF('Treatment-ConceptMap'!Q31=0,"//---END",'Treatment-ConceptMap'!Q31)</f>
        <v>* group[=].element[=].display = ##34#Tumor surgery approach##34#</v>
      </c>
    </row>
    <row r="42" spans="2:2">
      <c r="B42" s="12" t="str">
        <f>IF('Treatment-ConceptMap'!Q32=0,"//---END",'Treatment-ConceptMap'!Q32)</f>
        <v>//-- unmatched</v>
      </c>
    </row>
    <row r="43" spans="2:2">
      <c r="B43" s="12" t="str">
        <f>IF('Treatment-ConceptMap'!Q33=0,"//---END",'Treatment-ConceptMap'!Q33)</f>
        <v>//-- unmatched</v>
      </c>
    </row>
    <row r="44" spans="2:2">
      <c r="B44" s="12" t="str">
        <f>IF('Treatment-ConceptMap'!Q34=0,"//---END",'Treatment-ConceptMap'!Q34)</f>
        <v>* group[=].element[=].target.equivalence = #unmatched</v>
      </c>
    </row>
    <row r="45" spans="2:2">
      <c r="B45" s="12" t="str">
        <f>IF('Treatment-ConceptMap'!Q35=0,"//---END",'Treatment-ConceptMap'!Q35)</f>
        <v>* group[=].element[+].code = #Treatment.tumorSurgeryDevice</v>
      </c>
    </row>
    <row r="46" spans="2:2">
      <c r="B46" s="12" t="str">
        <f>IF('Treatment-ConceptMap'!Q36=0,"//---END",'Treatment-ConceptMap'!Q36)</f>
        <v>* group[=].element[=].display = ##34#Tumor surgery device##34#</v>
      </c>
    </row>
    <row r="47" spans="2:2">
      <c r="B47" s="12" t="str">
        <f>IF('Treatment-ConceptMap'!Q37=0,"//---END",'Treatment-ConceptMap'!Q37)</f>
        <v>* group[=].element[=].target.code = #Osiris.Patient.Gender</v>
      </c>
    </row>
    <row r="48" spans="2:2">
      <c r="B48" s="12" t="str">
        <f>IF('Treatment-ConceptMap'!Q38=0,"//---END",'Treatment-ConceptMap'!Q38)</f>
        <v>* group[=].element[=].target.display = ##34#Gender [C2]##34#</v>
      </c>
    </row>
    <row r="49" spans="2:2">
      <c r="B49" s="12" t="str">
        <f>IF('Treatment-ConceptMap'!Q39=0,"//---END",'Treatment-ConceptMap'!Q39)</f>
        <v>* group[=].element[=].target.equivalence = #narrower</v>
      </c>
    </row>
    <row r="50" spans="2:2">
      <c r="B50" s="12" t="str">
        <f>IF('Treatment-ConceptMap'!Q40=0,"//---END",'Treatment-ConceptMap'!Q40)</f>
        <v>* group[=].element[+].code = #Treatment.surgicalProcedure</v>
      </c>
    </row>
    <row r="51" spans="2:2">
      <c r="B51" s="12" t="str">
        <f>IF('Treatment-ConceptMap'!Q41=0,"//---END",'Treatment-ConceptMap'!Q41)</f>
        <v>* group[=].element[=].display = ##34#Surgical procedure##34#</v>
      </c>
    </row>
    <row r="52" spans="2:2">
      <c r="B52" s="12" t="str">
        <f>IF('Treatment-ConceptMap'!Q42=0,"//---END",'Treatment-ConceptMap'!Q42)</f>
        <v>* group[=].element[=].target.code = #Osiris.Patient.Ethnicity</v>
      </c>
    </row>
    <row r="53" spans="2:2">
      <c r="B53" s="12" t="str">
        <f>IF('Treatment-ConceptMap'!Q43=0,"//---END",'Treatment-ConceptMap'!Q43)</f>
        <v>* group[=].element[=].target.display = ##34#Ethnicity [C3]##34#</v>
      </c>
    </row>
    <row r="54" spans="2:2">
      <c r="B54" s="12" t="str">
        <f>IF('Treatment-ConceptMap'!Q44=0,"//---END",'Treatment-ConceptMap'!Q44)</f>
        <v>* group[=].element[=].target.equivalence = #wider</v>
      </c>
    </row>
    <row r="55" spans="2:2">
      <c r="B55" s="12" t="str">
        <f>IF('Treatment-ConceptMap'!Q45=0,"//---END",'Treatment-ConceptMap'!Q45)</f>
        <v>* group[=].element[+].code = #Treatment.surgicalProcedure.surgicalProcedureNasopharynx</v>
      </c>
    </row>
    <row r="56" spans="2:2">
      <c r="B56" s="12" t="str">
        <f>IF('Treatment-ConceptMap'!Q46=0,"//---END",'Treatment-ConceptMap'!Q46)</f>
        <v>* group[=].element[=].display = ##34#Surgical procedure Nasopharynx##34#</v>
      </c>
    </row>
    <row r="57" spans="2:2">
      <c r="B57" s="12" t="str">
        <f>IF('Treatment-ConceptMap'!Q47=0,"//---END",'Treatment-ConceptMap'!Q47)</f>
        <v>//-- unmatched</v>
      </c>
    </row>
    <row r="58" spans="2:2">
      <c r="B58" s="12" t="str">
        <f>IF('Treatment-ConceptMap'!Q48=0,"//---END",'Treatment-ConceptMap'!Q48)</f>
        <v>//-- unmatched</v>
      </c>
    </row>
    <row r="59" spans="2:2">
      <c r="B59" s="12" t="str">
        <f>IF('Treatment-ConceptMap'!Q49=0,"//---END",'Treatment-ConceptMap'!Q49)</f>
        <v>* group[=].element[=].target.equivalence = #unmatched</v>
      </c>
    </row>
    <row r="60" spans="2:2">
      <c r="B60" s="12" t="str">
        <f>IF('Treatment-ConceptMap'!Q50=0,"//---END",'Treatment-ConceptMap'!Q50)</f>
        <v>//---END</v>
      </c>
    </row>
    <row r="61" spans="2:2">
      <c r="B61" s="12" t="str">
        <f>IF('Treatment-ConceptMap'!Q51=0,"//---END",'Treatment-ConceptMap'!Q51)</f>
        <v>//---END</v>
      </c>
    </row>
    <row r="62" spans="2:2">
      <c r="B62" s="12" t="str">
        <f>IF('Treatment-ConceptMap'!Q52=0,"//---END",'Treatment-ConceptMap'!Q52)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58"/>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M25" sqref="M25"/>
    </sheetView>
  </sheetViews>
  <sheetFormatPr defaultRowHeight="14.75"/>
  <cols>
    <col min="4" max="4" width="18"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47</vt:i4>
      </vt:variant>
    </vt:vector>
  </HeadingPairs>
  <TitlesOfParts>
    <vt:vector size="47" baseType="lpstr">
      <vt:lpstr> 4. Cancer under study</vt:lpstr>
      <vt:lpstr>2.Demographic &amp; life style</vt:lpstr>
      <vt:lpstr>OsirisDataElementConcept</vt:lpstr>
      <vt:lpstr>Common</vt:lpstr>
      <vt:lpstr>CancerEpisode-src</vt:lpstr>
      <vt:lpstr>CancerEpisode</vt:lpstr>
      <vt:lpstr>CancerEpisode-Map-1</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ClinicalStage-src</vt:lpstr>
      <vt:lpstr>ClinicalStage</vt:lpstr>
      <vt:lpstr>ClinicalStage-Map-1</vt:lpstr>
      <vt:lpstr>ClinicalStage-fsh</vt:lpstr>
      <vt:lpstr>ClinicalStage-ConceptMap</vt:lpstr>
      <vt:lpstr>ClinicalStage-CM-fsh</vt:lpstr>
      <vt:lpstr>PathologicalStage-src</vt:lpstr>
      <vt:lpstr>PathologicalStage</vt:lpstr>
      <vt:lpstr>PathologicalStage-Map-1</vt:lpstr>
      <vt:lpstr>PathologicalStage-fsh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2023-07-12T18:27:31Z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