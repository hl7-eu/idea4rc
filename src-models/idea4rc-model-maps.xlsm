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72F7D356-8374-4C9A-97C8-8251450E3252}" xr6:coauthVersionLast="47" xr6:coauthVersionMax="47" xr10:uidLastSave="{00000000-0000-0000-0000-000000000000}"/>
  <bookViews>
    <workbookView xWindow="-90" yWindow="-21710" windowWidth="38620" windowHeight="21100" tabRatio="819" firstSheet="54" activeTab="59"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 sheetId="193" r:id="rId19"/>
    <sheet name="EpisodeEvent-Map-1" sheetId="194" r:id="rId20"/>
    <sheet name="EpisodeEvent-fsh" sheetId="195" r:id="rId21"/>
    <sheet name="EpisodeEvent-ConceptMap-1" sheetId="196" r:id="rId22"/>
    <sheet name="EpisodeEvent-CM-fsh" sheetId="198" r:id="rId23"/>
    <sheet name="ClinicalStage" sheetId="159" r:id="rId24"/>
    <sheet name="ClinicalStage-Map-1" sheetId="160" r:id="rId25"/>
    <sheet name="ClinicalStage-fsh" sheetId="161" r:id="rId26"/>
    <sheet name="ClinicalStage-ConceptMap-1" sheetId="199" r:id="rId27"/>
    <sheet name="ClinicalStage-ConceptMap-2" sheetId="201" r:id="rId28"/>
    <sheet name="ClinicalStage-ConceptMap-3" sheetId="202" r:id="rId29"/>
    <sheet name="ClinicalStage-ConceptMap-4" sheetId="203" r:id="rId30"/>
    <sheet name="ClinicalStage-CM-fsh" sheetId="200" r:id="rId31"/>
    <sheet name="PathologicalStage" sheetId="189" r:id="rId32"/>
    <sheet name="PathologicalStage-fsh" sheetId="191" r:id="rId33"/>
    <sheet name="PathStage-ConceptMap-1" sheetId="204" r:id="rId34"/>
    <sheet name="PathStage-ConceptMap-2" sheetId="205" r:id="rId35"/>
    <sheet name="PathStage-ConceptMap-3" sheetId="206" r:id="rId36"/>
    <sheet name="PathStage-ConceptMap-4" sheetId="207" r:id="rId37"/>
    <sheet name="PathStage-CM-fsh" sheetId="208" r:id="rId38"/>
    <sheet name="SystemicTreatment" sheetId="164" r:id="rId39"/>
    <sheet name="SystemicTreatment-fsh" sheetId="166" r:id="rId40"/>
    <sheet name="SystemicTreatm-ConceptMap-1" sheetId="217" r:id="rId41"/>
    <sheet name="SystemicTreatment-CM-fsh" sheetId="218" r:id="rId42"/>
    <sheet name="Surgery" sheetId="209" r:id="rId43"/>
    <sheet name="Surgery-fsh" sheetId="210" r:id="rId44"/>
    <sheet name="Surgery-ConceptMap-1" sheetId="213" r:id="rId45"/>
    <sheet name="Surgery-CM-fsh" sheetId="214" r:id="rId46"/>
    <sheet name="Radiotherapy" sheetId="211" r:id="rId47"/>
    <sheet name="Radiotherapy-fsh" sheetId="212" r:id="rId48"/>
    <sheet name="Radiotherapy-ConceptMap-1" sheetId="215" r:id="rId49"/>
    <sheet name="Radiotherapy-CM-fsh" sheetId="216" r:id="rId50"/>
    <sheet name="ConvertOsiris" sheetId="138" r:id="rId51"/>
    <sheet name="HospitalPatientRecords" sheetId="225" r:id="rId52"/>
    <sheet name="HospitalPatientRecords-fsh" sheetId="226" r:id="rId53"/>
    <sheet name="HospitalPatientRec-ConceptMap-1" sheetId="227" r:id="rId54"/>
    <sheet name="HospitalPatientRecor-CM-fsh" sheetId="228" r:id="rId55"/>
    <sheet name="PatientFollowUp" sheetId="229" r:id="rId56"/>
    <sheet name="PatientFollowUp-fsh" sheetId="230" r:id="rId57"/>
    <sheet name="PatientFollowUp-ConceptMap-1" sheetId="231" r:id="rId58"/>
    <sheet name="PatientFollowUp-ConceptMap-2" sheetId="245" r:id="rId59"/>
    <sheet name="PatientFollowUp-CM-fsh" sheetId="232"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GeneticTestExpression" sheetId="241" r:id="rId69"/>
    <sheet name="GeneticTestExpression-fsh" sheetId="242" r:id="rId70"/>
    <sheet name="GeneticTestExp-ConceptMap-1" sheetId="243" r:id="rId71"/>
    <sheet name="GeneticTestExpressio-CM-fsh" sheetId="244" r:id="rId72"/>
    <sheet name="Osiris" sheetId="141" r:id="rId73"/>
    <sheet name="Osiris-Map" sheetId="142" r:id="rId74"/>
    <sheet name="Osiris-fsh-noMap" sheetId="144" r:id="rId75"/>
    <sheet name="Osiris-fsh" sheetId="143" r:id="rId76"/>
    <sheet name="Osiris-ConceptMap" sheetId="145" r:id="rId77"/>
    <sheet name="Osiris-CM-fsh" sheetId="147" r:id="rId78"/>
    <sheet name="equivalence" sheetId="146" r:id="rId79"/>
  </sheets>
  <externalReferences>
    <externalReference r:id="rId80"/>
  </externalReferences>
  <definedNames>
    <definedName name="_xlnm._FilterDatabase" localSheetId="1" hidden="1">'2.Demographic &amp; life style'!$A$2:$S$47</definedName>
    <definedName name="_xlnm._FilterDatabase" localSheetId="64" hidden="1">AdverseEvent!$A$7:$M$35</definedName>
    <definedName name="_xlnm._FilterDatabase" localSheetId="4" hidden="1">CancerEpisode!$A$7:$M$39</definedName>
    <definedName name="_xlnm._FilterDatabase" localSheetId="50" hidden="1">ConvertOsiris!$D$2:$U$232</definedName>
    <definedName name="_xlnm._FilterDatabase" localSheetId="68" hidden="1">GeneticTestExpression!$A$7:$M$35</definedName>
    <definedName name="_xlnm._FilterDatabase" localSheetId="51" hidden="1">HospitalPatientRecords!$A$7:$M$35</definedName>
    <definedName name="_xlnm._FilterDatabase" localSheetId="55" hidden="1">PatientFollowUp!$A$7:$M$35</definedName>
    <definedName name="_xlnm._FilterDatabase" localSheetId="46" hidden="1">Radiotherapy!$A$7:$M$34</definedName>
    <definedName name="_xlnm._FilterDatabase" localSheetId="9" hidden="1">Subject!$A$7:$M$38</definedName>
    <definedName name="_xlnm._FilterDatabase" localSheetId="60"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 i="231" l="1"/>
  <c r="B17" i="232" s="1"/>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B113" i="244"/>
  <c r="B114" i="244"/>
  <c r="B115" i="244"/>
  <c r="B116" i="244"/>
  <c r="B117" i="244"/>
  <c r="Q16" i="243"/>
  <c r="S16" i="243" s="1" a="1"/>
  <c r="S16" i="243" s="1"/>
  <c r="R16" i="243"/>
  <c r="Q17" i="243"/>
  <c r="R17" i="243"/>
  <c r="S17" i="243" a="1"/>
  <c r="S17" i="243" s="1"/>
  <c r="Q18" i="243"/>
  <c r="S18" i="243" s="1" a="1"/>
  <c r="S18" i="243" s="1"/>
  <c r="R18" i="243"/>
  <c r="Q19" i="243"/>
  <c r="R19" i="243"/>
  <c r="S19" i="243" a="1"/>
  <c r="S19" i="243" s="1"/>
  <c r="Q20" i="243"/>
  <c r="S20" i="243" s="1" a="1"/>
  <c r="S20" i="243" s="1"/>
  <c r="R20" i="243"/>
  <c r="Q21" i="243"/>
  <c r="R21" i="243"/>
  <c r="S21" i="243" a="1"/>
  <c r="S21" i="243" s="1"/>
  <c r="Q22" i="243"/>
  <c r="S22" i="243" s="1" a="1"/>
  <c r="S22" i="243" s="1"/>
  <c r="R22" i="243"/>
  <c r="Q23" i="243"/>
  <c r="R23" i="243"/>
  <c r="S23" i="243" a="1"/>
  <c r="S23" i="243"/>
  <c r="Q24" i="243"/>
  <c r="S24" i="243" s="1" a="1"/>
  <c r="S24" i="243" s="1"/>
  <c r="R24" i="243"/>
  <c r="Q25" i="243"/>
  <c r="R25" i="243"/>
  <c r="S25" i="243" a="1"/>
  <c r="S25" i="243" s="1"/>
  <c r="Q26" i="243"/>
  <c r="S26" i="243" s="1" a="1"/>
  <c r="S26" i="243" s="1"/>
  <c r="R26" i="243"/>
  <c r="Q27" i="243"/>
  <c r="R27" i="243"/>
  <c r="S27" i="243" a="1"/>
  <c r="S27" i="243" s="1"/>
  <c r="Q28" i="243"/>
  <c r="S28" i="243" s="1" a="1"/>
  <c r="S28" i="243" s="1"/>
  <c r="R28" i="243"/>
  <c r="Q29" i="243"/>
  <c r="R29" i="243"/>
  <c r="S29" i="243" a="1"/>
  <c r="S29" i="243" s="1"/>
  <c r="Q30" i="243"/>
  <c r="S30" i="243" s="1" a="1"/>
  <c r="S30" i="243" s="1"/>
  <c r="R30" i="243"/>
  <c r="Q31" i="243"/>
  <c r="R31" i="243"/>
  <c r="S31" i="243" a="1"/>
  <c r="S31" i="243"/>
  <c r="Q32" i="243"/>
  <c r="S32" i="243" s="1" a="1"/>
  <c r="S32" i="243" s="1"/>
  <c r="R32" i="243"/>
  <c r="Q33" i="243"/>
  <c r="R33" i="243"/>
  <c r="S33" i="243" a="1"/>
  <c r="S33" i="243" s="1"/>
  <c r="Q34" i="243"/>
  <c r="S34" i="243" s="1" a="1"/>
  <c r="S34" i="243" s="1"/>
  <c r="R34" i="243"/>
  <c r="Q35" i="243"/>
  <c r="R35" i="243"/>
  <c r="S35" i="243" a="1"/>
  <c r="S35" i="243" s="1"/>
  <c r="Q36" i="243"/>
  <c r="S36" i="243" s="1" a="1"/>
  <c r="S36" i="243" s="1"/>
  <c r="R36" i="243"/>
  <c r="Q37" i="243"/>
  <c r="R37" i="243"/>
  <c r="S37" i="243" a="1"/>
  <c r="S37" i="243" s="1"/>
  <c r="Q38" i="243"/>
  <c r="S38" i="243" s="1" a="1"/>
  <c r="S38" i="243" s="1"/>
  <c r="R38" i="243"/>
  <c r="Q39" i="243"/>
  <c r="R39" i="243"/>
  <c r="S39" i="243" a="1"/>
  <c r="S39" i="243"/>
  <c r="Q40" i="243"/>
  <c r="S40" i="243" s="1" a="1"/>
  <c r="S40" i="243" s="1"/>
  <c r="R40" i="243"/>
  <c r="Q41" i="243"/>
  <c r="R41" i="243"/>
  <c r="S41" i="243" a="1"/>
  <c r="S41" i="243" s="1"/>
  <c r="Q42" i="243"/>
  <c r="S42" i="243" s="1" a="1"/>
  <c r="S42" i="243" s="1"/>
  <c r="R42" i="243"/>
  <c r="Q43" i="243"/>
  <c r="R43" i="243"/>
  <c r="S43" i="243" a="1"/>
  <c r="S43" i="243" s="1"/>
  <c r="Q44" i="243"/>
  <c r="S44" i="243" s="1" a="1"/>
  <c r="S44" i="243" s="1"/>
  <c r="R44" i="243"/>
  <c r="Q45" i="243"/>
  <c r="S45" i="243" s="1" a="1"/>
  <c r="S45" i="243" s="1"/>
  <c r="R45" i="243"/>
  <c r="Q46" i="243"/>
  <c r="S46" i="243" s="1" a="1"/>
  <c r="S46" i="243" s="1"/>
  <c r="R46" i="243"/>
  <c r="Q47" i="243"/>
  <c r="R47" i="243"/>
  <c r="S47" i="243" a="1"/>
  <c r="S47" i="243"/>
  <c r="Q48" i="243"/>
  <c r="S48" i="243" s="1" a="1"/>
  <c r="S48" i="243" s="1"/>
  <c r="R48" i="243"/>
  <c r="Q49" i="243"/>
  <c r="S49" i="243" s="1" a="1"/>
  <c r="S49" i="243" s="1"/>
  <c r="R49" i="243"/>
  <c r="Q50" i="243"/>
  <c r="S50" i="243" s="1" a="1"/>
  <c r="S50" i="243" s="1"/>
  <c r="R50" i="243"/>
  <c r="Q51" i="243"/>
  <c r="R51" i="243"/>
  <c r="S51" i="243" a="1"/>
  <c r="S51" i="243" s="1"/>
  <c r="Q52" i="243"/>
  <c r="S52" i="243" s="1" a="1"/>
  <c r="S52" i="243" s="1"/>
  <c r="R52" i="243"/>
  <c r="Q53" i="243"/>
  <c r="S53" i="243" s="1" a="1"/>
  <c r="S53" i="243" s="1"/>
  <c r="R53" i="243"/>
  <c r="Q54" i="243"/>
  <c r="S54" i="243" s="1" a="1"/>
  <c r="S54" i="243" s="1"/>
  <c r="R54" i="243"/>
  <c r="Q55" i="243"/>
  <c r="R55" i="243"/>
  <c r="S55" i="243" a="1"/>
  <c r="S55" i="243"/>
  <c r="Q56" i="243"/>
  <c r="S56" i="243" s="1" a="1"/>
  <c r="S56" i="243" s="1"/>
  <c r="R56" i="243"/>
  <c r="Q57" i="243"/>
  <c r="S57" i="243" s="1" a="1"/>
  <c r="S57" i="243" s="1"/>
  <c r="R57" i="243"/>
  <c r="Q58" i="243"/>
  <c r="S58" i="243" s="1" a="1"/>
  <c r="S58" i="243" s="1"/>
  <c r="R58" i="243"/>
  <c r="Q59" i="243"/>
  <c r="R59" i="243"/>
  <c r="S59" i="243" a="1"/>
  <c r="S59" i="243" s="1"/>
  <c r="Q60" i="243"/>
  <c r="S60" i="243" s="1" a="1"/>
  <c r="S60" i="243" s="1"/>
  <c r="R60" i="243"/>
  <c r="Q61" i="243"/>
  <c r="S61" i="243" s="1" a="1"/>
  <c r="S61" i="243" s="1"/>
  <c r="R61" i="243"/>
  <c r="Q62" i="243"/>
  <c r="S62" i="243" s="1" a="1"/>
  <c r="S62" i="243" s="1"/>
  <c r="R62" i="243"/>
  <c r="Q63" i="243"/>
  <c r="R63" i="243"/>
  <c r="S63" i="243" a="1"/>
  <c r="S63" i="243"/>
  <c r="Q64" i="243"/>
  <c r="S64" i="243" s="1" a="1"/>
  <c r="S64" i="243" s="1"/>
  <c r="R64" i="243"/>
  <c r="Q65" i="243"/>
  <c r="S65" i="243" s="1" a="1"/>
  <c r="S65" i="243" s="1"/>
  <c r="R65" i="243"/>
  <c r="Q66" i="243"/>
  <c r="R66" i="243"/>
  <c r="Q67" i="243"/>
  <c r="R67" i="243"/>
  <c r="S67" i="243" a="1"/>
  <c r="S67" i="243" s="1"/>
  <c r="Q68" i="243"/>
  <c r="S68" i="243" s="1" a="1"/>
  <c r="S68" i="243" s="1"/>
  <c r="R68" i="243"/>
  <c r="Q69" i="243"/>
  <c r="S69" i="243" s="1" a="1"/>
  <c r="S69" i="243" s="1"/>
  <c r="R69" i="243"/>
  <c r="Q70" i="243"/>
  <c r="S70" i="243" s="1" a="1"/>
  <c r="S70" i="243" s="1"/>
  <c r="R70" i="243"/>
  <c r="Q71" i="243"/>
  <c r="R71" i="243"/>
  <c r="S71" i="243" a="1"/>
  <c r="S71" i="243"/>
  <c r="Q72" i="243"/>
  <c r="S72" i="243" s="1" a="1"/>
  <c r="S72" i="243" s="1"/>
  <c r="R72" i="243"/>
  <c r="Q73" i="243"/>
  <c r="S73" i="243" s="1" a="1"/>
  <c r="S73" i="243" s="1"/>
  <c r="R73" i="243"/>
  <c r="Q74" i="243"/>
  <c r="R74" i="243"/>
  <c r="Q75" i="243"/>
  <c r="R75" i="243"/>
  <c r="S75" i="243" a="1"/>
  <c r="S75" i="243" s="1"/>
  <c r="Q76" i="243"/>
  <c r="S76" i="243" s="1" a="1"/>
  <c r="S76" i="243" s="1"/>
  <c r="R76" i="243"/>
  <c r="Q77" i="243"/>
  <c r="S77" i="243" s="1" a="1"/>
  <c r="S77" i="243" s="1"/>
  <c r="R77" i="243"/>
  <c r="Q78" i="243"/>
  <c r="S78" i="243" s="1" a="1"/>
  <c r="S78" i="243" s="1"/>
  <c r="R78" i="243"/>
  <c r="Q79" i="243"/>
  <c r="R79" i="243"/>
  <c r="S79" i="243" a="1"/>
  <c r="S79" i="243"/>
  <c r="Q80" i="243"/>
  <c r="S80" i="243" s="1" a="1"/>
  <c r="S80" i="243" s="1"/>
  <c r="R80" i="243"/>
  <c r="Q81" i="243"/>
  <c r="S81" i="243" s="1" a="1"/>
  <c r="S81" i="243" s="1"/>
  <c r="R81" i="243"/>
  <c r="Q82" i="243"/>
  <c r="R82" i="243"/>
  <c r="Q83" i="243"/>
  <c r="R83" i="243"/>
  <c r="S83" i="243" a="1"/>
  <c r="S83" i="243" s="1"/>
  <c r="Q84" i="243"/>
  <c r="S84" i="243" s="1" a="1"/>
  <c r="S84" i="243" s="1"/>
  <c r="R84" i="243"/>
  <c r="Q85" i="243"/>
  <c r="S85" i="243" s="1" a="1"/>
  <c r="S85" i="243" s="1"/>
  <c r="R85" i="243"/>
  <c r="Q86" i="243"/>
  <c r="S86" i="243" s="1" a="1"/>
  <c r="S86" i="243" s="1"/>
  <c r="R86" i="243"/>
  <c r="Q87" i="243"/>
  <c r="R87" i="243"/>
  <c r="S87" i="243" a="1"/>
  <c r="S87" i="243"/>
  <c r="Q88" i="243"/>
  <c r="R88" i="243"/>
  <c r="S88" i="243" a="1"/>
  <c r="S88" i="243" s="1"/>
  <c r="Q89" i="243"/>
  <c r="S89" i="243" s="1" a="1"/>
  <c r="S89" i="243" s="1"/>
  <c r="R89" i="243"/>
  <c r="Q90" i="243"/>
  <c r="S90" i="243" s="1" a="1"/>
  <c r="S90" i="243" s="1"/>
  <c r="R90" i="243"/>
  <c r="Q91" i="243"/>
  <c r="S91" i="243" s="1" a="1"/>
  <c r="S91" i="243" s="1"/>
  <c r="R91" i="243"/>
  <c r="Q92" i="243"/>
  <c r="S92" i="243" s="1" a="1"/>
  <c r="S92" i="243" s="1"/>
  <c r="R92" i="243"/>
  <c r="Q93" i="243"/>
  <c r="R93" i="243"/>
  <c r="S93" i="243" s="1" a="1"/>
  <c r="S93" i="243" s="1"/>
  <c r="Q94" i="243"/>
  <c r="R94" i="243"/>
  <c r="S94" i="243" a="1"/>
  <c r="S94" i="243" s="1"/>
  <c r="Q95" i="243"/>
  <c r="R95" i="243"/>
  <c r="S95" i="243" a="1"/>
  <c r="S95" i="243" s="1"/>
  <c r="Q96" i="243"/>
  <c r="R96" i="243"/>
  <c r="S96" i="243" a="1"/>
  <c r="S96" i="243" s="1"/>
  <c r="Q97" i="243"/>
  <c r="S97" i="243" s="1" a="1"/>
  <c r="S97" i="243" s="1"/>
  <c r="R97" i="243"/>
  <c r="Q98" i="243"/>
  <c r="S98" i="243" s="1" a="1"/>
  <c r="S98" i="243" s="1"/>
  <c r="R98" i="243"/>
  <c r="Q99" i="243"/>
  <c r="S99" i="243" s="1" a="1"/>
  <c r="S99" i="243" s="1"/>
  <c r="R99" i="243"/>
  <c r="Q100" i="243"/>
  <c r="S100" i="243" s="1" a="1"/>
  <c r="S100" i="243" s="1"/>
  <c r="R100" i="243"/>
  <c r="Q101" i="243"/>
  <c r="R101" i="243"/>
  <c r="S101" i="243" a="1"/>
  <c r="S101" i="243" s="1"/>
  <c r="Q102" i="243"/>
  <c r="R102" i="243"/>
  <c r="S102" i="243" s="1" a="1"/>
  <c r="S102" i="243" s="1"/>
  <c r="Q103" i="243"/>
  <c r="R103" i="243"/>
  <c r="S103" i="243" a="1"/>
  <c r="S103" i="243"/>
  <c r="Q104" i="243"/>
  <c r="R104" i="243"/>
  <c r="S104" i="243" a="1"/>
  <c r="S104" i="243" s="1"/>
  <c r="Q105" i="243"/>
  <c r="S105" i="243" s="1" a="1"/>
  <c r="S105" i="243" s="1"/>
  <c r="R105" i="243"/>
  <c r="Q106" i="243"/>
  <c r="S106" i="243" s="1" a="1"/>
  <c r="S106" i="243" s="1"/>
  <c r="R106" i="243"/>
  <c r="Q107" i="243"/>
  <c r="S107" i="243" s="1" a="1"/>
  <c r="S107" i="243" s="1"/>
  <c r="R107" i="243"/>
  <c r="Q108" i="243"/>
  <c r="S108" i="243" s="1" a="1"/>
  <c r="S108" i="243" s="1"/>
  <c r="R108" i="243"/>
  <c r="Q109" i="243"/>
  <c r="R109" i="243"/>
  <c r="S109" i="243" s="1" a="1"/>
  <c r="S109" i="243" s="1"/>
  <c r="Q110" i="243"/>
  <c r="R110" i="243"/>
  <c r="S110" i="243" a="1"/>
  <c r="S110" i="243" s="1"/>
  <c r="Q111" i="243"/>
  <c r="R111" i="243"/>
  <c r="S111" i="243" a="1"/>
  <c r="S111" i="243" s="1"/>
  <c r="Q112" i="243"/>
  <c r="R112" i="243"/>
  <c r="S112" i="243" a="1"/>
  <c r="S112" i="243" s="1"/>
  <c r="Q113" i="243"/>
  <c r="S113" i="243" s="1" a="1"/>
  <c r="S113" i="243" s="1"/>
  <c r="R113" i="243"/>
  <c r="Q114" i="243"/>
  <c r="S114" i="243" s="1" a="1"/>
  <c r="S114" i="243" s="1"/>
  <c r="R114" i="243"/>
  <c r="Q115" i="243"/>
  <c r="S115" i="243" s="1" a="1"/>
  <c r="S115" i="243" s="1"/>
  <c r="R115" i="243"/>
  <c r="Q116" i="243"/>
  <c r="S116" i="243" s="1" a="1"/>
  <c r="S116" i="243" s="1"/>
  <c r="R116" i="243"/>
  <c r="Q117" i="243"/>
  <c r="R117" i="243"/>
  <c r="S117" i="243" a="1"/>
  <c r="S117" i="243" s="1"/>
  <c r="Q118" i="243"/>
  <c r="R118" i="243"/>
  <c r="S118" i="243" s="1" a="1"/>
  <c r="S118" i="243" s="1"/>
  <c r="Q119" i="243"/>
  <c r="R119" i="243"/>
  <c r="S119" i="243" a="1"/>
  <c r="S119" i="243"/>
  <c r="Q120" i="243"/>
  <c r="R120" i="243"/>
  <c r="S120" i="243" a="1"/>
  <c r="S120" i="243" s="1"/>
  <c r="Q121" i="243"/>
  <c r="S121" i="243" s="1" a="1"/>
  <c r="S121" i="243" s="1"/>
  <c r="R121" i="243"/>
  <c r="Q122" i="243"/>
  <c r="S122" i="243" s="1" a="1"/>
  <c r="S122" i="243" s="1"/>
  <c r="R122" i="243"/>
  <c r="Q123" i="243"/>
  <c r="S123" i="243" s="1" a="1"/>
  <c r="S123" i="243" s="1"/>
  <c r="R123" i="243"/>
  <c r="Q124" i="243"/>
  <c r="S124" i="243" s="1" a="1"/>
  <c r="S124" i="243" s="1"/>
  <c r="R124" i="243"/>
  <c r="Q125" i="243"/>
  <c r="R125" i="243"/>
  <c r="S125" i="243" s="1" a="1"/>
  <c r="S125" i="243" s="1"/>
  <c r="Q126" i="243"/>
  <c r="R126" i="243"/>
  <c r="S126" i="243" a="1"/>
  <c r="S126" i="243" s="1"/>
  <c r="Q127" i="243"/>
  <c r="R127" i="243"/>
  <c r="S127" i="243" a="1"/>
  <c r="S127" i="243" s="1"/>
  <c r="Q128" i="243"/>
  <c r="R128" i="243"/>
  <c r="S128" i="243" a="1"/>
  <c r="S128" i="243" s="1"/>
  <c r="Q129" i="243"/>
  <c r="S129" i="243" s="1" a="1"/>
  <c r="S129" i="243" s="1"/>
  <c r="R129" i="243"/>
  <c r="Q130" i="243"/>
  <c r="R130" i="243"/>
  <c r="S130" i="243" a="1"/>
  <c r="S130" i="243" s="1"/>
  <c r="Q131" i="243"/>
  <c r="S131" i="243" s="1" a="1"/>
  <c r="S131" i="243" s="1"/>
  <c r="R131" i="243"/>
  <c r="Q132" i="243"/>
  <c r="S132" i="243" s="1" a="1"/>
  <c r="S132" i="243" s="1"/>
  <c r="R132" i="243"/>
  <c r="Q133" i="243"/>
  <c r="R133" i="243"/>
  <c r="S133" i="243" a="1"/>
  <c r="S133" i="243" s="1"/>
  <c r="Q134" i="243"/>
  <c r="R134" i="243"/>
  <c r="S134" i="243" s="1" a="1"/>
  <c r="S134" i="243" s="1"/>
  <c r="Q135" i="243"/>
  <c r="R135" i="243"/>
  <c r="S135" i="243" a="1"/>
  <c r="S135" i="243"/>
  <c r="Q136" i="243"/>
  <c r="R136" i="243"/>
  <c r="S136" i="243" a="1"/>
  <c r="S136" i="243" s="1"/>
  <c r="Q137" i="243"/>
  <c r="R137" i="243"/>
  <c r="S137" i="243" a="1"/>
  <c r="S137" i="243"/>
  <c r="Q138" i="243"/>
  <c r="S138" i="243" s="1" a="1"/>
  <c r="S138" i="243" s="1"/>
  <c r="R138" i="243"/>
  <c r="Q139" i="243"/>
  <c r="S139" i="243" s="1" a="1"/>
  <c r="S139" i="243" s="1"/>
  <c r="R139" i="243"/>
  <c r="Q140" i="243"/>
  <c r="S140" i="243" s="1" a="1"/>
  <c r="S140" i="243" s="1"/>
  <c r="R140" i="243"/>
  <c r="Q141" i="243"/>
  <c r="R141" i="243"/>
  <c r="S141" i="243" s="1" a="1"/>
  <c r="S141" i="243" s="1"/>
  <c r="Q142" i="243"/>
  <c r="R142" i="243"/>
  <c r="S142" i="243" a="1"/>
  <c r="S142" i="243" s="1"/>
  <c r="Q143" i="243"/>
  <c r="R143" i="243"/>
  <c r="S143" i="243" a="1"/>
  <c r="S143" i="243" s="1"/>
  <c r="Q144" i="243"/>
  <c r="R144" i="243"/>
  <c r="S144" i="243" a="1"/>
  <c r="S144" i="243" s="1"/>
  <c r="Q145" i="243"/>
  <c r="S145" i="243" s="1" a="1"/>
  <c r="S145" i="243" s="1"/>
  <c r="R145" i="243"/>
  <c r="Q146" i="243"/>
  <c r="R146" i="243"/>
  <c r="S146" i="243" a="1"/>
  <c r="S146" i="243" s="1"/>
  <c r="Q147" i="243"/>
  <c r="S147" i="243" s="1" a="1"/>
  <c r="S147" i="243" s="1"/>
  <c r="R147" i="243"/>
  <c r="Q148" i="243"/>
  <c r="S148" i="243" s="1" a="1"/>
  <c r="S148" i="243" s="1"/>
  <c r="R148" i="243"/>
  <c r="Q149" i="243"/>
  <c r="R149" i="243"/>
  <c r="S149" i="243" a="1"/>
  <c r="S149" i="243" s="1"/>
  <c r="Q150" i="243"/>
  <c r="R150" i="243"/>
  <c r="S150" i="243" s="1" a="1"/>
  <c r="S150" i="243" s="1"/>
  <c r="Q151" i="243"/>
  <c r="R151" i="243"/>
  <c r="S151" i="243" a="1"/>
  <c r="S151" i="243"/>
  <c r="Q152" i="243"/>
  <c r="R152" i="243"/>
  <c r="S152" i="243" a="1"/>
  <c r="S152" i="243" s="1"/>
  <c r="Q153" i="243"/>
  <c r="R153" i="243"/>
  <c r="S153" i="243" a="1"/>
  <c r="S153" i="243"/>
  <c r="Q154" i="243"/>
  <c r="S154" i="243" s="1" a="1"/>
  <c r="S154" i="243" s="1"/>
  <c r="R154" i="243"/>
  <c r="Q155" i="243"/>
  <c r="S155" i="243" s="1" a="1"/>
  <c r="S155" i="243" s="1"/>
  <c r="R155" i="243"/>
  <c r="Q156" i="243"/>
  <c r="S156" i="243" s="1" a="1"/>
  <c r="S156" i="243" s="1"/>
  <c r="R156" i="243"/>
  <c r="Q157" i="243"/>
  <c r="R157" i="243"/>
  <c r="S157" i="243" s="1" a="1"/>
  <c r="S157" i="243" s="1"/>
  <c r="Q158" i="243"/>
  <c r="R158" i="243"/>
  <c r="S158" i="243" a="1"/>
  <c r="S158" i="243" s="1"/>
  <c r="Q159" i="243"/>
  <c r="R159" i="243"/>
  <c r="S159" i="243" a="1"/>
  <c r="S159" i="243" s="1"/>
  <c r="Q160" i="243"/>
  <c r="R160" i="243"/>
  <c r="S160" i="243" a="1"/>
  <c r="S160" i="243" s="1"/>
  <c r="Q161" i="243"/>
  <c r="S161" i="243" s="1" a="1"/>
  <c r="S161" i="243" s="1"/>
  <c r="R161" i="243"/>
  <c r="Q162" i="243"/>
  <c r="R162" i="243"/>
  <c r="S162" i="243" a="1"/>
  <c r="S162" i="243" s="1"/>
  <c r="Q163" i="243"/>
  <c r="S163" i="243" s="1" a="1"/>
  <c r="S163" i="243" s="1"/>
  <c r="R163" i="243"/>
  <c r="Q164" i="243"/>
  <c r="S164" i="243" s="1" a="1"/>
  <c r="S164" i="243" s="1"/>
  <c r="R164" i="243"/>
  <c r="Q165" i="243"/>
  <c r="R165" i="243"/>
  <c r="S165" i="243" a="1"/>
  <c r="S165" i="243" s="1"/>
  <c r="Q166" i="243"/>
  <c r="R166" i="243"/>
  <c r="S166" i="243" s="1" a="1"/>
  <c r="S166" i="243" s="1"/>
  <c r="Q167" i="243"/>
  <c r="R167" i="243"/>
  <c r="S167" i="243" a="1"/>
  <c r="S167" i="243"/>
  <c r="Q168" i="243"/>
  <c r="R168" i="243"/>
  <c r="S168" i="243" a="1"/>
  <c r="S168" i="243" s="1"/>
  <c r="Q169" i="243"/>
  <c r="R169" i="243"/>
  <c r="S169" i="243" a="1"/>
  <c r="S169" i="243"/>
  <c r="Q170" i="243"/>
  <c r="S170" i="243" s="1" a="1"/>
  <c r="S170" i="243" s="1"/>
  <c r="R170" i="243"/>
  <c r="Q171" i="243"/>
  <c r="S171" i="243" s="1" a="1"/>
  <c r="S171" i="243" s="1"/>
  <c r="R171" i="243"/>
  <c r="Q172" i="243"/>
  <c r="S172" i="243" s="1" a="1"/>
  <c r="S172" i="243" s="1"/>
  <c r="R172" i="243"/>
  <c r="Q173" i="243"/>
  <c r="R173" i="243"/>
  <c r="S173" i="243" s="1" a="1"/>
  <c r="S173" i="243" s="1"/>
  <c r="Q174" i="243"/>
  <c r="R174" i="243"/>
  <c r="S174" i="243" a="1"/>
  <c r="S174" i="243" s="1"/>
  <c r="Q175" i="243"/>
  <c r="R175" i="243"/>
  <c r="S175" i="243" a="1"/>
  <c r="S175" i="243" s="1"/>
  <c r="Q176" i="243"/>
  <c r="R176" i="243"/>
  <c r="S176" i="243" a="1"/>
  <c r="S176" i="243" s="1"/>
  <c r="Q177" i="243"/>
  <c r="S177" i="243" s="1" a="1"/>
  <c r="S177" i="243" s="1"/>
  <c r="R177" i="243"/>
  <c r="Q178" i="243"/>
  <c r="R178" i="243"/>
  <c r="S178" i="243" a="1"/>
  <c r="S178" i="243" s="1"/>
  <c r="Q179" i="243"/>
  <c r="S179" i="243" s="1" a="1"/>
  <c r="S179" i="243" s="1"/>
  <c r="R179" i="243"/>
  <c r="Q180" i="243"/>
  <c r="S180" i="243" s="1" a="1"/>
  <c r="S180" i="243" s="1"/>
  <c r="R180" i="243"/>
  <c r="Q181" i="243"/>
  <c r="R181" i="243"/>
  <c r="S181" i="243" a="1"/>
  <c r="S181" i="243" s="1"/>
  <c r="Q182" i="243"/>
  <c r="R182" i="243"/>
  <c r="S182" i="243" s="1" a="1"/>
  <c r="S182" i="243" s="1"/>
  <c r="Q183" i="243"/>
  <c r="R183" i="243"/>
  <c r="S183" i="243" a="1"/>
  <c r="S183" i="243"/>
  <c r="Q184" i="243"/>
  <c r="R184" i="243"/>
  <c r="S184" i="243"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9" i="243"/>
  <c r="C29" i="243"/>
  <c r="B27" i="243"/>
  <c r="C27" i="243"/>
  <c r="B28" i="243"/>
  <c r="C28" i="243"/>
  <c r="B25" i="243"/>
  <c r="C25" i="243"/>
  <c r="B26" i="243"/>
  <c r="C26" i="243"/>
  <c r="B23" i="243"/>
  <c r="C23" i="243"/>
  <c r="B24" i="243"/>
  <c r="C24" i="243"/>
  <c r="C15" i="243"/>
  <c r="C16" i="243"/>
  <c r="C17" i="243"/>
  <c r="C18" i="243"/>
  <c r="C19" i="243"/>
  <c r="C20" i="243"/>
  <c r="C21" i="243"/>
  <c r="C22" i="243"/>
  <c r="B16" i="243"/>
  <c r="B17" i="243"/>
  <c r="B18" i="243"/>
  <c r="B19" i="243"/>
  <c r="B20" i="243"/>
  <c r="B21" i="243"/>
  <c r="B22" i="243"/>
  <c r="B15" i="243"/>
  <c r="B14" i="243"/>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8" i="242"/>
  <c r="C49" i="242"/>
  <c r="C50" i="242"/>
  <c r="C51" i="242"/>
  <c r="C52" i="242"/>
  <c r="C53" i="242"/>
  <c r="C54" i="242"/>
  <c r="C36" i="242"/>
  <c r="C38" i="242"/>
  <c r="C39" i="242"/>
  <c r="C40" i="242"/>
  <c r="C41" i="242"/>
  <c r="C42" i="242"/>
  <c r="C43" i="242"/>
  <c r="C25" i="242"/>
  <c r="C26" i="242"/>
  <c r="C27" i="242"/>
  <c r="C10" i="242"/>
  <c r="C12" i="242"/>
  <c r="C13" i="242"/>
  <c r="C14" i="242"/>
  <c r="C15" i="242"/>
  <c r="C16" i="242"/>
  <c r="C17" i="242"/>
  <c r="C18" i="242"/>
  <c r="C19" i="242"/>
  <c r="C20" i="242"/>
  <c r="C22" i="242"/>
  <c r="C23" i="242"/>
  <c r="C24" i="242"/>
  <c r="L10" i="241"/>
  <c r="L12" i="241"/>
  <c r="L13" i="241"/>
  <c r="L14" i="241"/>
  <c r="L15" i="241"/>
  <c r="L16" i="241"/>
  <c r="L17" i="241"/>
  <c r="L18" i="241"/>
  <c r="L19" i="241"/>
  <c r="L20" i="241"/>
  <c r="L22" i="241"/>
  <c r="L23" i="241"/>
  <c r="L24" i="241"/>
  <c r="L25" i="241"/>
  <c r="L26" i="241"/>
  <c r="L27" i="241"/>
  <c r="L28" i="241"/>
  <c r="L29" i="241"/>
  <c r="L30" i="241"/>
  <c r="L31" i="241"/>
  <c r="L32" i="241"/>
  <c r="L33" i="241"/>
  <c r="L34" i="241"/>
  <c r="L35" i="241"/>
  <c r="L36" i="241"/>
  <c r="L37" i="241"/>
  <c r="L38" i="241"/>
  <c r="L39" i="241"/>
  <c r="L40" i="241"/>
  <c r="J9" i="241"/>
  <c r="L9" i="241" s="1"/>
  <c r="C35" i="242" s="1"/>
  <c r="J10" i="241"/>
  <c r="J11" i="241"/>
  <c r="C11" i="242" s="1"/>
  <c r="J12" i="241"/>
  <c r="J13" i="241"/>
  <c r="J14" i="241"/>
  <c r="J15" i="241"/>
  <c r="J16" i="241"/>
  <c r="J17" i="241"/>
  <c r="J18" i="241"/>
  <c r="J19" i="241"/>
  <c r="J20" i="241"/>
  <c r="J21" i="241"/>
  <c r="L21" i="241" s="1"/>
  <c r="C47" i="242" s="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5" i="243"/>
  <c r="Q15" i="243"/>
  <c r="N15" i="243"/>
  <c r="M15" i="243"/>
  <c r="L15" i="243"/>
  <c r="K15" i="243"/>
  <c r="J15"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R119" i="178"/>
  <c r="Q120" i="178"/>
  <c r="S120" i="178" s="1" a="1"/>
  <c r="S120" i="178" s="1"/>
  <c r="B124" i="179" s="1"/>
  <c r="R120" i="178"/>
  <c r="Q121" i="178"/>
  <c r="S121" i="178" s="1" a="1"/>
  <c r="S121" i="178" s="1"/>
  <c r="B125" i="179" s="1"/>
  <c r="R121" i="178"/>
  <c r="Q122" i="178"/>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R101" i="178"/>
  <c r="Q102" i="178"/>
  <c r="R102" i="178"/>
  <c r="S102" i="178" a="1"/>
  <c r="S102" i="178" s="1"/>
  <c r="B106" i="179" s="1"/>
  <c r="Q103" i="178"/>
  <c r="S103" i="178" s="1" a="1"/>
  <c r="S103" i="178" s="1"/>
  <c r="B107" i="179" s="1"/>
  <c r="R103" i="178"/>
  <c r="Q104" i="178"/>
  <c r="R104" i="178"/>
  <c r="Q105" i="178"/>
  <c r="S105" i="178" s="1" a="1"/>
  <c r="S105" i="178" s="1"/>
  <c r="B109" i="179" s="1"/>
  <c r="R105" i="178"/>
  <c r="Q106" i="178"/>
  <c r="R106" i="178"/>
  <c r="S106" i="178" a="1"/>
  <c r="S106" i="178" s="1"/>
  <c r="B110" i="179" s="1"/>
  <c r="Q107" i="178"/>
  <c r="R107" i="178"/>
  <c r="Q108" i="178"/>
  <c r="R108" i="178"/>
  <c r="S108" i="178" a="1"/>
  <c r="S108" i="178" s="1"/>
  <c r="B112" i="179" s="1"/>
  <c r="Q109" i="178"/>
  <c r="S109" i="178" s="1" a="1"/>
  <c r="S109" i="178" s="1"/>
  <c r="B113" i="179" s="1"/>
  <c r="R109" i="178"/>
  <c r="Q110" i="178"/>
  <c r="R110" i="178"/>
  <c r="Q111" i="178"/>
  <c r="S111" i="178" s="1" a="1"/>
  <c r="S111" i="178" s="1"/>
  <c r="B115" i="179" s="1"/>
  <c r="R111" i="178"/>
  <c r="Q112" i="178"/>
  <c r="R112" i="178"/>
  <c r="S112" i="178" a="1"/>
  <c r="S112" i="178" s="1"/>
  <c r="B116" i="179" s="1"/>
  <c r="Q113" i="178"/>
  <c r="R113" i="178"/>
  <c r="Q114" i="178"/>
  <c r="R114" i="178"/>
  <c r="S114" i="178" a="1"/>
  <c r="S114" i="178" s="1"/>
  <c r="B118" i="179" s="1"/>
  <c r="Q115" i="178"/>
  <c r="S115" i="178" s="1" a="1"/>
  <c r="S115" i="178" s="1"/>
  <c r="B119" i="179" s="1"/>
  <c r="R115" i="178"/>
  <c r="Q116" i="178"/>
  <c r="R116" i="178"/>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R95" i="178"/>
  <c r="Q96" i="178"/>
  <c r="S96" i="178" s="1" a="1"/>
  <c r="S96" i="178" s="1"/>
  <c r="B100" i="179" s="1"/>
  <c r="R96" i="178"/>
  <c r="Q97" i="178"/>
  <c r="S97" i="178" s="1" a="1"/>
  <c r="S97" i="178" s="1"/>
  <c r="B101" i="179" s="1"/>
  <c r="R97" i="178"/>
  <c r="Q98" i="178"/>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R74" i="178"/>
  <c r="Q75" i="178"/>
  <c r="S75" i="178" s="1" a="1"/>
  <c r="S75" i="178" s="1"/>
  <c r="B79" i="179" s="1"/>
  <c r="R75" i="178"/>
  <c r="Q76" i="178"/>
  <c r="S76" i="178" s="1" a="1"/>
  <c r="S76" i="178" s="1"/>
  <c r="B80" i="179" s="1"/>
  <c r="R76" i="178"/>
  <c r="Q77" i="178"/>
  <c r="R77" i="178"/>
  <c r="Q78" i="178"/>
  <c r="S78" i="178" s="1" a="1"/>
  <c r="S78" i="178" s="1"/>
  <c r="B82" i="179" s="1"/>
  <c r="R78" i="178"/>
  <c r="Q79" i="178"/>
  <c r="S79" i="178" s="1" a="1"/>
  <c r="S79" i="178" s="1"/>
  <c r="B83" i="179" s="1"/>
  <c r="R79" i="178"/>
  <c r="Q80" i="178"/>
  <c r="R80" i="178"/>
  <c r="Q81" i="178"/>
  <c r="S81" i="178" s="1" a="1"/>
  <c r="S81" i="178" s="1"/>
  <c r="B85" i="179" s="1"/>
  <c r="R81" i="178"/>
  <c r="Q82" i="178"/>
  <c r="S82" i="178" s="1" a="1"/>
  <c r="S82" i="178" s="1"/>
  <c r="B86" i="179" s="1"/>
  <c r="R82" i="178"/>
  <c r="Q83" i="178"/>
  <c r="R83" i="178"/>
  <c r="Q84" i="178"/>
  <c r="S84" i="178" s="1" a="1"/>
  <c r="S84" i="178" s="1"/>
  <c r="B88" i="179" s="1"/>
  <c r="R84" i="178"/>
  <c r="Q85" i="178"/>
  <c r="S85" i="178" s="1" a="1"/>
  <c r="S85" i="178" s="1"/>
  <c r="B89" i="179" s="1"/>
  <c r="R85" i="178"/>
  <c r="Q86" i="178"/>
  <c r="R86" i="178"/>
  <c r="Q87" i="178"/>
  <c r="S87" i="178" s="1" a="1"/>
  <c r="S87" i="178" s="1"/>
  <c r="B91" i="179" s="1"/>
  <c r="R87" i="178"/>
  <c r="Q88" i="178"/>
  <c r="S88" i="178" s="1" a="1"/>
  <c r="S88" i="178" s="1"/>
  <c r="B92" i="179" s="1"/>
  <c r="R88" i="178"/>
  <c r="Q89" i="178"/>
  <c r="R89" i="178"/>
  <c r="Q90" i="178"/>
  <c r="S90" i="178" s="1" a="1"/>
  <c r="S90" i="178" s="1"/>
  <c r="B94" i="179" s="1"/>
  <c r="R90" i="178"/>
  <c r="Q62" i="178"/>
  <c r="R62" i="178"/>
  <c r="Q63" i="178"/>
  <c r="S63" i="178" s="1" a="1"/>
  <c r="S63" i="178" s="1"/>
  <c r="B67" i="179" s="1"/>
  <c r="R63" i="178"/>
  <c r="Q64" i="178"/>
  <c r="S64" i="178" s="1" a="1"/>
  <c r="S64" i="178" s="1"/>
  <c r="B68" i="179" s="1"/>
  <c r="R64" i="178"/>
  <c r="Q65" i="178"/>
  <c r="R65" i="178"/>
  <c r="Q66" i="178"/>
  <c r="S66" i="178" s="1" a="1"/>
  <c r="S66" i="178" s="1"/>
  <c r="B70" i="179" s="1"/>
  <c r="R66" i="178"/>
  <c r="Q67" i="178"/>
  <c r="S67" i="178" s="1" a="1"/>
  <c r="S67" i="178" s="1"/>
  <c r="B71" i="179" s="1"/>
  <c r="R67" i="178"/>
  <c r="Q68" i="178"/>
  <c r="R68" i="178"/>
  <c r="Q69" i="178"/>
  <c r="S69" i="178" s="1" a="1"/>
  <c r="S69" i="178" s="1"/>
  <c r="B73" i="179" s="1"/>
  <c r="R69" i="178"/>
  <c r="Q70" i="178"/>
  <c r="S70" i="178" s="1" a="1"/>
  <c r="S70" i="178" s="1"/>
  <c r="B74" i="179" s="1"/>
  <c r="R70" i="178"/>
  <c r="Q71" i="178"/>
  <c r="R71" i="178"/>
  <c r="Q53" i="178"/>
  <c r="R53" i="178"/>
  <c r="Q54" i="178"/>
  <c r="R54" i="178"/>
  <c r="S54" i="178" a="1"/>
  <c r="S54" i="178" s="1"/>
  <c r="B58" i="179" s="1"/>
  <c r="Q55" i="178"/>
  <c r="S55" i="178" s="1" a="1"/>
  <c r="S55" i="178" s="1"/>
  <c r="B59" i="179" s="1"/>
  <c r="R55" i="178"/>
  <c r="Q56" i="178"/>
  <c r="R56" i="178"/>
  <c r="Q57" i="178"/>
  <c r="S57" i="178" s="1" a="1"/>
  <c r="S57" i="178" s="1"/>
  <c r="B61" i="179" s="1"/>
  <c r="R57" i="178"/>
  <c r="Q58" i="178"/>
  <c r="R58" i="178"/>
  <c r="Q59" i="178"/>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S104" i="178" s="1" a="1"/>
  <c r="S104" i="178" s="1"/>
  <c r="B108" i="179" s="1"/>
  <c r="I30" i="178"/>
  <c r="J30" i="178"/>
  <c r="K30" i="178"/>
  <c r="L30" i="178"/>
  <c r="M30" i="178"/>
  <c r="N30" i="178"/>
  <c r="S110" i="178" s="1" a="1"/>
  <c r="S110" i="178" s="1"/>
  <c r="B114" i="179" s="1"/>
  <c r="I31" i="178"/>
  <c r="J31" i="178"/>
  <c r="K31" i="178"/>
  <c r="L31" i="178"/>
  <c r="M31" i="178"/>
  <c r="N31" i="178"/>
  <c r="S116" i="178" s="1" a="1"/>
  <c r="S116" i="178" s="1"/>
  <c r="B120" i="179" s="1"/>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S56" i="178" s="1" a="1"/>
  <c r="S56" i="178" s="1"/>
  <c r="B60" i="179" s="1"/>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82" i="243" l="1" a="1"/>
  <c r="S82" i="243" s="1"/>
  <c r="S74" i="243" a="1"/>
  <c r="S74" i="243" s="1"/>
  <c r="S66" i="243" a="1"/>
  <c r="S66" i="243" s="1"/>
  <c r="C21" i="242"/>
  <c r="C9" i="242"/>
  <c r="L11" i="241"/>
  <c r="C37" i="24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0" i="178" a="1"/>
  <c r="S80" i="178" s="1"/>
  <c r="B84" i="179" s="1"/>
  <c r="S122" i="178" a="1"/>
  <c r="S122" i="178" s="1"/>
  <c r="B126" i="179" s="1"/>
  <c r="S62" i="178" a="1"/>
  <c r="S62" i="178" s="1"/>
  <c r="B66" i="179" s="1"/>
  <c r="S86" i="178" a="1"/>
  <c r="S86" i="178" s="1"/>
  <c r="B90" i="179" s="1"/>
  <c r="S74" i="178" a="1"/>
  <c r="S74" i="178" s="1"/>
  <c r="B78" i="179" s="1"/>
  <c r="S128" i="178" a="1"/>
  <c r="S128" i="178" s="1"/>
  <c r="B132" i="179" s="1"/>
  <c r="S68" i="178" a="1"/>
  <c r="S68" i="178" s="1"/>
  <c r="B72" i="179" s="1"/>
  <c r="S98" i="178" a="1"/>
  <c r="S98" i="178" s="1"/>
  <c r="B102" i="179" s="1"/>
  <c r="S59" i="178" a="1"/>
  <c r="S59" i="178" s="1"/>
  <c r="B63" i="179" s="1"/>
  <c r="S71" i="178" a="1"/>
  <c r="S71" i="178" s="1"/>
  <c r="B75" i="179" s="1"/>
  <c r="S83" i="178" a="1"/>
  <c r="S83" i="178" s="1"/>
  <c r="B87" i="179" s="1"/>
  <c r="S65" i="178" a="1"/>
  <c r="S65" i="178" s="1"/>
  <c r="B69" i="179" s="1"/>
  <c r="S95" i="178" a="1"/>
  <c r="S95" i="178" s="1"/>
  <c r="B99" i="179" s="1"/>
  <c r="S101" i="178" a="1"/>
  <c r="S101" i="178" s="1"/>
  <c r="B105" i="179" s="1"/>
  <c r="S107" i="178" a="1"/>
  <c r="S107" i="178" s="1"/>
  <c r="B111" i="179" s="1"/>
  <c r="S89" i="178" a="1"/>
  <c r="S89" i="178" s="1"/>
  <c r="B93" i="179" s="1"/>
  <c r="S77" i="178" a="1"/>
  <c r="S77" i="178" s="1"/>
  <c r="B81" i="179" s="1"/>
  <c r="S113" i="178" a="1"/>
  <c r="S113" i="178" s="1"/>
  <c r="B117" i="179" s="1"/>
  <c r="S119" i="178" a="1"/>
  <c r="S119" i="178" s="1"/>
  <c r="B123" i="179" s="1"/>
  <c r="S53" i="178" a="1"/>
  <c r="S53"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E3" i="243"/>
  <c r="I15" i="243"/>
  <c r="S15" i="243" s="1" a="1"/>
  <c r="S15" i="243" s="1"/>
  <c r="B19" i="244" s="1"/>
  <c r="C8" i="242"/>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B14" i="244" l="1"/>
  <c r="E6" i="243"/>
  <c r="B16" i="244" s="1"/>
  <c r="B14" i="236"/>
  <c r="E6" i="235"/>
  <c r="B16" i="236" s="1"/>
  <c r="B14" i="232"/>
  <c r="E6" i="231"/>
  <c r="S32" i="20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0"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tc={0FDB24EF-BC00-4E58-A761-DBCB1D8917C0}</author>
    <author>tc={999240A4-7C49-4F16-8B94-1BA65D434390}</author>
    <author>tc={29643A9C-9B94-4168-BAA6-9AB9F9338EF6}</author>
    <author>tc={F0495FF9-6635-4A8C-BA97-2ED774EE03FE}</author>
  </authors>
  <commentList>
    <comment ref="B8" authorId="0" shapeId="0" xr:uid="{0FDB24EF-BC00-4E58-A761-DBCB1D8917C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Clarify is the scope is that of tracking is any of these tests have been performed (indipendently by the results); or if some of these tests have been used as evidence for the diagnosis</t>
      </text>
    </comment>
    <comment ref="B10" authorId="1" shapeId="0" xr:uid="{999240A4-7C49-4F16-8B94-1BA65D43439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 have a very little knowledge of this part, but searching for what is incldued in the gene expression analysis I found that it includes techniques like PCR (Polymerase Chain Reaction), microarray analysis, RNA sequencing (RNA-seq), and quantitative PCR (qPCR). 
Rispondi:
PCR is mentioned below.. Is this a super-class of the following ? That is if a PCR is perfomed than this and the PCr elements are ste to true</t>
      </text>
    </comment>
    <comment ref="B11" authorId="2" shapeId="0" xr:uid="{29643A9C-9B94-4168-BAA6-9AB9F9338EF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 above in the gene mutation analysis: I found that it includes - among the others - 
Polymerase Chain Reaction (PCR):
Next-Generation Sequencing (NGS):
Rispondi:
Are these classes overlapping ?</t>
      </text>
    </comment>
    <comment ref="B21" authorId="3" shapeId="0" xr:uid="{F0495FF9-6635-4A8C-BA97-2ED774EE03F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Searching I found that ctDNA ( is associated with gene mutation analysis … smilaer question as those made above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<sst xmlns="http://schemas.openxmlformats.org/spreadsheetml/2006/main" count="7311" uniqueCount="2422">
  <si>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</si>
  <si>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</si>
  <si>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</si>
  <si>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</si>
  <si>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</si>
  <si>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</si>
  <si>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</si>
  <si>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</si>
  <si>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</si>
  <si>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</si>
  <si>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</si>
  <si>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</si>
  <si>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</si>
  <si>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</si>
  <si>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</si>
  <si>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</si>
  <si>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</si>
  <si>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</si>
  <si>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</si>
  <si>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</si>
  <si>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</si>
  <si>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</si>
  <si>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</si>
  <si>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</si>
  <si>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</si>
  <si>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</si>
  <si>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</si>
  <si>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</si>
  <si>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</si>
  <si>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</si>
  <si>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</si>
  <si>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</si>
  <si>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</si>
  <si>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</si>
  <si>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</si>
  <si>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</si>
  <si>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</si>
  <si>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</si>
  <si>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</si>
  <si>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</si>
  <si>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</si>
  <si>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</si>
  <si>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</si>
  <si>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</si>
  <si>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</si>
  <si>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</si>
  <si>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</si>
  <si>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</si>
  <si>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</si>
  <si>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</si>
  <si>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</si>
  <si>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</si>
  <si>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</si>
  <si>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</si>
  <si>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</si>
  <si>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</si>
  <si>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</si>
  <si>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</si>
  <si>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</si>
  <si>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</si>
  <si>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</si>
  <si>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</si>
  <si>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</si>
  <si>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</si>
  <si>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</si>
  <si>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</si>
  <si>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</si>
  <si>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</si>
  <si>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</si>
  <si>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</si>
  <si>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</si>
  <si>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</si>
  <si>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</si>
  <si>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</si>
  <si>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</si>
  <si>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</si>
  <si>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</si>
  <si>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</si>
  <si>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</si>
  <si>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</si>
  <si>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</si>
  <si>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</si>
  <si>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</si>
  <si>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</si>
  <si>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</si>
  <si>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</si>
  <si>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</si>
  <si>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</si>
  <si>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</si>
  <si>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</si>
  <si>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</si>
  <si>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</si>
  <si>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</si>
  <si>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</si>
  <si>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</si>
  <si>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</si>
  <si>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</si>
  <si>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</si>
  <si>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</si>
  <si>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</si>
  <si>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</si>
  <si>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</si>
  <si>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</si>
  <si>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</si>
  <si>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</si>
  <si>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</si>
  <si>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</si>
  <si>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</si>
  <si>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</si>
  <si>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</si>
  <si>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</si>
  <si>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</si>
  <si>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</si>
  <si>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</si>
  <si>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</si>
  <si>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</si>
  <si>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</si>
  <si>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</si>
  <si>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</si>
  <si>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</si>
  <si>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</si>
  <si>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</si>
  <si>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</si>
  <si>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</si>
  <si>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</si>
  <si>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</si>
  <si>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</si>
  <si>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</si>
  <si>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</si>
  <si>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</si>
  <si>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</si>
  <si>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</si>
  <si>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</si>
  <si>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</si>
  <si>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</si>
  <si>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</si>
  <si>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</si>
  <si>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</si>
  <si>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</si>
  <si>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</si>
  <si>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</si>
  <si>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</si>
  <si>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</si>
  <si>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</si>
  <si>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</si>
  <si>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</si>
  <si>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</si>
  <si>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</si>
  <si>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</si>
  <si>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</si>
  <si>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</si>
  <si>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</si>
  <si>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</si>
  <si>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</si>
  <si>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</si>
  <si>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</si>
  <si>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</si>
  <si>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</si>
  <si>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</si>
  <si>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</si>
  <si>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</si>
  <si>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</si>
  <si>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</si>
  <si>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</si>
  <si>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</si>
  <si>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</si>
  <si>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</si>
  <si>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</si>
  <si>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</si>
  <si>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</si>
  <si>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</si>
  <si>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</si>
  <si>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</si>
  <si>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</si>
  <si>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</si>
  <si>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</si>
  <si>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</si>
  <si>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</si>
  <si>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</si>
  <si>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</si>
  <si>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</si>
  <si>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</si>
  <si>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</si>
  <si>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</si>
  <si>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</si>
  <si>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</si>
  <si>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</si>
  <si>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</si>
  <si>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</si>
  <si>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</si>
  <si>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</si>
  <si>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</si>
  <si>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</si>
  <si>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</si>
  <si>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</si>
  <si>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</si>
  <si>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</si>
  <si>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</si>
  <si>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</si>
  <si>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</si>
  <si>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</si>
  <si>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</si>
  <si>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</si>
  <si>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</si>
  <si>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</si>
  <si>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</si>
  <si>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</si>
  <si>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</si>
  <si>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</si>
  <si>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</si>
  <si>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</si>
  <si>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</si>
  <si>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</si>
  <si>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</si>
  <si>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</si>
  <si>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</si>
  <si>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</si>
  <si>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</si>
  <si>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</si>
  <si>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</si>
  <si>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</si>
  <si>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</si>
  <si>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</si>
  <si>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</si>
  <si>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</si>
  <si>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</si>
  <si>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</si>
  <si>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</si>
  <si>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</si>
  <si>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</si>
  <si>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</si>
  <si>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</si>
  <si>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</si>
  <si>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</si>
  <si>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</si>
  <si>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</si>
  <si>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</si>
  <si>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</si>
  <si>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</si>
  <si>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</si>
  <si>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</si>
  <si>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</si>
  <si>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</si>
  <si>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</si>
  <si>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</si>
  <si>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</si>
  <si>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</si>
  <si>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</si>
  <si>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</si>
  <si>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</si>
  <si>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</si>
  <si>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</si>
  <si>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</si>
  <si>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</si>
  <si>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</si>
  <si>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</si>
  <si>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</si>
  <si>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</si>
  <si>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</si>
  <si>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</si>
  <si>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</si>
  <si>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</si>
  <si>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</si>
  <si>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</si>
  <si>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</si>
  <si>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</si>
  <si>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</si>
  <si>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</si>
  <si>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</si>
  <si>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</si>
  <si>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</si>
  <si>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</si>
  <si>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</si>
  <si>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</si>
  <si>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</si>
  <si>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</si>
  <si>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</si>
  <si>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</si>
  <si>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</si>
  <si>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</si>
  <si>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</si>
  <si>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</si>
  <si>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</si>
  <si>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</si>
  <si>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</si>
  <si>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</si>
  <si>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</si>
  <si>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</si>
  <si>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</si>
  <si>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</si>
  <si>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</si>
  <si>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</si>
  <si>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</si>
  <si>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</si>
  <si>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</si>
  <si>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</si>
  <si>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</si>
  <si>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</si>
  <si>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</si>
  <si>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</si>
  <si>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</si>
  <si>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</si>
  <si>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</si>
  <si>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</si>
  <si>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</si>
  <si>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</si>
  <si>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</si>
  <si>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</si>
  <si>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</si>
  <si>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</si>
  <si>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</si>
  <si>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</si>
  <si>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</si>
  <si>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</si>
  <si>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</si>
  <si>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</si>
  <si>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</si>
  <si>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</si>
  <si>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</si>
  <si>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</si>
  <si>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</si>
  <si>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</si>
  <si>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</si>
  <si>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</si>
  <si>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</si>
  <si>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</si>
  <si>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</si>
  <si>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</si>
  <si>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</si>
  <si>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</si>
  <si>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</si>
  <si>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</si>
  <si>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</si>
  <si>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</si>
  <si>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</si>
  <si>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</si>
  <si>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</si>
  <si>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</si>
  <si>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</si>
  <si>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</si>
  <si>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</si>
  <si>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</si>
  <si>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</si>
  <si>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</si>
  <si>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</si>
  <si>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</si>
  <si>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</si>
  <si>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</si>
  <si>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</si>
  <si>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</si>
  <si>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</si>
  <si>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</si>
  <si>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</si>
  <si>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</si>
  <si>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</si>
  <si>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</si>
  <si>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</si>
  <si>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</si>
  <si>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</si>
  <si>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</si>
  <si>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</si>
  <si>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</si>
  <si>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</si>
  <si>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</si>
  <si>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</si>
  <si>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</si>
  <si>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</si>
  <si>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</si>
  <si>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</si>
  <si>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</si>
  <si>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</si>
  <si>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</si>
  <si>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</si>
  <si>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</si>
  <si>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</si>
  <si>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</si>
  <si>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</si>
  <si>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</si>
  <si>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</si>
  <si>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</si>
  <si>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</si>
  <si>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</si>
  <si>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</si>
  <si>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</si>
  <si>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</si>
  <si>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</si>
  <si>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</si>
  <si>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</si>
  <si>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</si>
  <si>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</si>
  <si>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</si>
  <si>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</si>
  <si>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</si>
  <si>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</si>
  <si>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</si>
  <si>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</si>
  <si>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</si>
  <si>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</si>
  <si>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</si>
  <si>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</si>
  <si>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</si>
  <si>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</si>
  <si>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</si>
  <si>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</si>
  <si>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</si>
  <si>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</si>
  <si>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</si>
  <si>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</si>
  <si>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</si>
  <si>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</si>
  <si>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</si>
  <si>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</si>
  <si>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</si>
  <si>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</si>
  <si>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</si>
  <si>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</si>
  <si>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</si>
  <si>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</si>
  <si>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</si>
  <si>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</si>
  <si>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</si>
  <si>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</si>
  <si>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</si>
  <si>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</si>
  <si>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</si>
  <si>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</si>
  <si>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</si>
  <si>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</si>
  <si>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</si>
  <si>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</si>
  <si>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</si>
  <si>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</si>
  <si>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</si>
  <si>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</si>
  <si>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</si>
  <si>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</si>
  <si>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</si>
  <si>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</si>
  <si>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</si>
  <si>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</si>
  <si>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</si>
  <si>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</si>
  <si>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</si>
  <si>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</si>
  <si>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</si>
  <si>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</si>
  <si>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</si>
  <si>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</si>
  <si>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</si>
  <si>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</si>
  <si>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</si>
  <si>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</si>
  <si>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</si>
  <si>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</si>
  <si>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</si>
  <si>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</si>
  <si>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</si>
  <si>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</si>
  <si>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</si>
  <si>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</si>
  <si>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</si>
  <si>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</si>
  <si>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</si>
  <si>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</si>
  <si>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</si>
  <si>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</si>
  <si>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</si>
  <si>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</si>
  <si>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</si>
  <si>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</si>
  <si>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</si>
  <si>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</si>
  <si>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</si>
  <si>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</si>
  <si>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</si>
  <si>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</si>
  <si>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</si>
  <si>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</si>
  <si>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</si>
  <si>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</si>
  <si>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</si>
  <si>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</si>
  <si>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</si>
  <si>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</si>
  <si>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</si>
  <si>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</si>
  <si>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</si>
  <si>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</si>
  <si>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</si>
  <si>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</si>
  <si>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</si>
  <si>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</si>
  <si>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</si>
  <si>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</si>
  <si>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</si>
  <si>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</si>
  <si>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</si>
  <si>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</si>
  <si>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</si>
  <si>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</si>
  <si>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</si>
  <si>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</si>
  <si>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</si>
  <si>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</si>
  <si>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</si>
  <si>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</si>
  <si>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</si>
  <si>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</si>
  <si>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</si>
  <si>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</si>
  <si>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</si>
  <si>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</si>
  <si>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</si>
  <si>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</si>
  <si>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</si>
  <si>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</si>
  <si>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</si>
  <si>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</si>
  <si>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</si>
  <si>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</si>
  <si>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</si>
  <si>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</si>
  <si>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</si>
  <si>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</si>
  <si>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</si>
  <si>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</si>
  <si>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</si>
  <si>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</si>
  <si>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</si>
  <si>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</si>
  <si>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</si>
  <si>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</si>
  <si>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</si>
  <si>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</si>
  <si>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</si>
  <si>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</si>
  <si>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</si>
  <si>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</si>
  <si>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</si>
  <si>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</si>
  <si>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</si>
  <si>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</si>
  <si>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</si>
  <si>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</si>
  <si>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</si>
  <si>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</si>
  <si>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</si>
  <si>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</si>
  <si>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</si>
  <si>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</si>
  <si>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</si>
  <si>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</si>
  <si>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</si>
  <si>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</si>
  <si>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</si>
  <si>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</si>
  <si>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</si>
  <si>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</si>
  <si>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</si>
  <si>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</si>
  <si>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</si>
  <si>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</si>
  <si>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</si>
  <si>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</si>
  <si>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</si>
  <si>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</si>
  <si>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</si>
  <si>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</si>
  <si>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</si>
  <si>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</si>
  <si>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</si>
  <si>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</si>
  <si>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</si>
  <si>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</si>
  <si>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</si>
  <si>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</si>
  <si>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</si>
  <si>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</si>
  <si>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</si>
  <si>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</si>
  <si>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</si>
  <si>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</si>
  <si>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</si>
  <si>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</si>
  <si>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</si>
  <si>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</si>
  <si>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</si>
  <si>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</si>
  <si>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</si>
  <si>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</si>
  <si>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</si>
  <si>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</si>
  <si>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</si>
  <si>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</si>
  <si>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</si>
  <si>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</si>
  <si>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</si>
  <si>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</si>
  <si>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</si>
  <si>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</si>
  <si>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</si>
  <si>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</si>
  <si>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</si>
  <si>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</si>
  <si>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</si>
  <si>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</si>
  <si>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</si>
  <si>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</si>
  <si>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</si>
  <si>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</si>
  <si>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</si>
  <si>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</si>
  <si>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</si>
  <si>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</si>
  <si>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</si>
  <si>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</si>
  <si>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</si>
  <si>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</si>
  <si>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</si>
  <si>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</si>
  <si>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</si>
  <si>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</si>
  <si>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</si>
  <si>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</si>
  <si>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</si>
  <si>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</si>
  <si>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</si>
  <si>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</si>
  <si>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</si>
  <si>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</si>
  <si>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</si>
  <si>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</si>
  <si>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</si>
  <si>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</si>
  <si>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</si>
  <si>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</si>
  <si>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</si>
  <si>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</si>
  <si>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</si>
  <si>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</si>
  <si>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</si>
  <si>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</si>
  <si>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</si>
  <si>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</si>
  <si>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</si>
  <si>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</si>
  <si>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</si>
  <si>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</si>
  <si>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</si>
  <si>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</si>
  <si>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</si>
  <si>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</si>
  <si>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</si>
  <si>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</si>
  <si>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</si>
  <si>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</si>
  <si>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</si>
  <si>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</si>
  <si>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</si>
  <si>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</si>
  <si>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</si>
  <si>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</si>
  <si>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</si>
  <si>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</si>
  <si>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</si>
  <si>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</si>
  <si>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</si>
  <si>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</si>
  <si>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</si>
  <si>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</si>
  <si>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</si>
  <si>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</si>
  <si>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</si>
  <si>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</si>
  <si>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</si>
  <si>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</si>
  <si>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</si>
  <si>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</si>
  <si>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</si>
  <si>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</si>
  <si>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</si>
  <si>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</si>
  <si>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</si>
  <si>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</si>
  <si>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</si>
  <si>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</si>
  <si>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</si>
  <si>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</si>
  <si>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</si>
  <si>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</si>
  <si>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</si>
  <si>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</si>
  <si>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</si>
  <si>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</si>
  <si>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</si>
  <si>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</si>
  <si>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</si>
  <si>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</si>
  <si>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</si>
  <si>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</si>
  <si>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</si>
  <si>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</si>
  <si>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</si>
  <si>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</si>
  <si>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</si>
  <si>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</si>
  <si>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</si>
  <si>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</si>
  <si>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</si>
  <si>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</si>
  <si>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</si>
  <si>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</si>
  <si>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</si>
  <si>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</si>
  <si>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</si>
  <si>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</si>
  <si>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</si>
  <si>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</si>
  <si>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</si>
  <si>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</si>
  <si>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</si>
  <si>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</si>
  <si>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</si>
  <si>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</si>
  <si>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</si>
  <si>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</si>
  <si>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</si>
  <si>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</si>
  <si>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</si>
  <si>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</si>
  <si>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</si>
  <si>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</si>
  <si>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</si>
  <si>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</si>
  <si>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</si>
  <si>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</si>
  <si>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</si>
  <si>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</si>
  <si>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</si>
  <si>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</si>
  <si>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</si>
  <si>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</si>
  <si>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</si>
  <si>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</si>
  <si>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</si>
  <si>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</si>
  <si>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</si>
  <si>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</si>
  <si>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</si>
  <si>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</si>
  <si>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</si>
  <si>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</si>
  <si>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</si>
  <si>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</si>
  <si>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</si>
  <si>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</si>
  <si>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</si>
  <si>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</si>
  <si>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</si>
  <si>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</si>
  <si>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</si>
  <si>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</si>
  <si>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</si>
  <si>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</si>
  <si>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</si>
  <si>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</si>
  <si>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</si>
  <si>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</si>
  <si>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</si>
  <si>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</si>
  <si>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</si>
  <si>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</si>
  <si>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</si>
  <si>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</si>
  <si>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</si>
  <si>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</si>
  <si>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</si>
  <si>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</si>
  <si>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</si>
  <si>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</si>
  <si>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</si>
  <si>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</si>
  <si>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</si>
  <si>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</si>
  <si>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</si>
  <si>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</si>
  <si>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</si>
  <si>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</si>
  <si>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</si>
  <si>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</si>
  <si>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</si>
  <si>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</si>
  <si>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</si>
  <si>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</si>
  <si>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</si>
  <si>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</si>
  <si>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</si>
  <si>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</si>
  <si>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</si>
  <si>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</si>
  <si>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</si>
  <si>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</si>
  <si>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</si>
  <si>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</si>
  <si>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</si>
  <si>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</si>
  <si>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</si>
  <si>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</si>
  <si>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</si>
  <si>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</si>
  <si>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</si>
  <si>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</si>
  <si>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</si>
  <si>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</si>
  <si>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</si>
  <si>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</si>
  <si>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</si>
  <si>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</si>
  <si>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</si>
  <si>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</si>
  <si>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</si>
  <si>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</si>
  <si>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</si>
  <si>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</si>
  <si>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</si>
  <si>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</si>
  <si>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</si>
  <si>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</si>
  <si>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</si>
  <si>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</si>
  <si>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</si>
  <si>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</si>
  <si>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</si>
  <si>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</si>
  <si>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</si>
  <si>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</si>
  <si>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</si>
  <si>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</si>
  <si>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</si>
  <si>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</si>
  <si>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</si>
  <si>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</si>
  <si>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</si>
  <si>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</si>
  <si>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</si>
  <si>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</si>
  <si>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</si>
  <si>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</si>
  <si>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</si>
  <si>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</si>
  <si>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</si>
  <si>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</si>
  <si>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</si>
  <si>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</si>
  <si>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</si>
  <si>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</si>
  <si>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</si>
  <si>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</si>
  <si>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</si>
  <si>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</si>
  <si>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</si>
  <si>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</si>
  <si>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</si>
  <si>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</si>
  <si>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</si>
  <si>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</si>
  <si>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</si>
  <si>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</si>
  <si>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</si>
  <si>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</si>
  <si>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</si>
  <si>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</si>
  <si>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</si>
  <si>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</si>
  <si>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</si>
  <si>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</si>
  <si>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</si>
  <si>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</si>
  <si>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</si>
  <si>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</si>
  <si>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</si>
  <si>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</si>
  <si>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</si>
  <si>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</si>
  <si>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</si>
  <si>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</si>
  <si>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</si>
  <si>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</si>
  <si>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</si>
  <si>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</si>
  <si>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</si>
  <si>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</si>
  <si>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</si>
  <si>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</si>
  <si>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</si>
  <si>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</si>
  <si>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</si>
  <si>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</si>
  <si>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</si>
  <si>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</si>
  <si>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</si>
  <si>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</si>
  <si>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</si>
  <si>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</si>
  <si>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</si>
  <si>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</si>
  <si>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</si>
  <si>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</si>
  <si>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</si>
  <si>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</si>
  <si>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</si>
  <si>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</si>
  <si>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</si>
  <si>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</si>
  <si>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</si>
  <si>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</si>
  <si>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</si>
  <si>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</si>
  <si>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</si>
  <si>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</si>
  <si>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</si>
  <si>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</si>
  <si>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</si>
  <si>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</si>
  <si>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</si>
  <si>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</si>
  <si>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</si>
  <si>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</si>
  <si>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</si>
  <si>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</si>
  <si>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</si>
  <si>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</si>
  <si>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</si>
  <si>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</si>
  <si>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</si>
  <si>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</si>
  <si>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</si>
  <si>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</si>
  <si>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</si>
  <si>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</si>
  <si>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</si>
  <si>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</si>
  <si>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</si>
  <si>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</si>
  <si>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</si>
  <si>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</si>
  <si>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</si>
  <si>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</si>
  <si>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</si>
  <si>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</si>
  <si>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</si>
  <si>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</si>
  <si>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</si>
  <si>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</si>
  <si>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</si>
  <si>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</si>
  <si>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</si>
  <si>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</si>
  <si>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</si>
  <si>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</si>
  <si>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</si>
  <si>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</si>
  <si>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</si>
  <si>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</si>
  <si>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</si>
  <si>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</si>
  <si>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</si>
  <si>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</si>
  <si>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</si>
  <si>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</si>
  <si>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</si>
  <si>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</si>
  <si>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</si>
  <si>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</si>
  <si>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</si>
  <si>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</si>
  <si>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</si>
  <si>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</si>
  <si>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</si>
  <si>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</si>
  <si>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</si>
  <si>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</si>
  <si>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</si>
  <si>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</si>
  <si>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</si>
  <si>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</si>
  <si>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</si>
  <si>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</si>
  <si>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</si>
  <si>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</si>
  <si>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</si>
  <si>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</si>
  <si>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</si>
  <si>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</si>
  <si>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</si>
  <si>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</si>
  <si>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</si>
  <si>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</si>
  <si>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</si>
  <si>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</si>
  <si>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</si>
  <si>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</si>
  <si>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</si>
  <si>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</si>
  <si>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</si>
  <si>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</si>
  <si>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</si>
  <si>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</si>
  <si>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</si>
  <si>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</si>
  <si>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</si>
  <si>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</si>
  <si>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</si>
  <si>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</si>
  <si>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</si>
  <si>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</si>
  <si>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</si>
  <si>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</si>
  <si>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</si>
  <si>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</si>
  <si>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</si>
  <si>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</si>
  <si>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</si>
  <si>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</si>
  <si>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</si>
  <si>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</si>
  <si>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</si>
  <si>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</si>
  <si>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</si>
  <si>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</si>
  <si>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</si>
  <si>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</si>
  <si>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</si>
  <si>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</si>
  <si>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</si>
  <si>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</si>
  <si>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</si>
  <si>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</si>
  <si>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</si>
  <si>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</si>
  <si>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</si>
  <si>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</si>
  <si>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</si>
  <si>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</si>
  <si>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</si>
  <si>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</si>
  <si>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</si>
  <si>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</si>
  <si>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</si>
  <si>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</si>
  <si>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</si>
  <si>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</si>
  <si>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</si>
  <si>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</si>
  <si>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</si>
  <si>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</si>
  <si>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</si>
  <si>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</si>
  <si>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</si>
  <si>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</si>
  <si>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</si>
  <si>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</si>
  <si>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</si>
  <si>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</si>
  <si>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</si>
  <si>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</si>
  <si>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</si>
  <si>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</si>
  <si>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</si>
  <si>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</si>
  <si>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</si>
  <si>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</si>
  <si>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</si>
  <si>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</si>
  <si>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</si>
  <si>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</si>
  <si>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</si>
  <si>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</si>
  <si>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</si>
  <si>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</si>
  <si>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</si>
  <si>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</si>
  <si>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</si>
  <si>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</si>
  <si>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</si>
  <si>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</si>
  <si>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</si>
  <si>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</si>
  <si>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</si>
  <si>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</si>
  <si>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</si>
  <si>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</si>
  <si>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</si>
  <si>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</si>
  <si>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</si>
  <si>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</si>
  <si>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</si>
  <si>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</si>
  <si>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</si>
  <si>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</si>
  <si>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</si>
  <si>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</si>
  <si>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</si>
  <si>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</si>
  <si>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</si>
  <si>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</si>
  <si>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</si>
  <si>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</si>
  <si>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</si>
  <si>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</si>
  <si>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</si>
  <si>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</si>
  <si>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</si>
  <si>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</si>
  <si>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</si>
  <si>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</si>
  <si>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</si>
  <si>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</si>
  <si>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</si>
  <si>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</si>
  <si>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</si>
  <si>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</si>
  <si>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</si>
  <si>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</si>
  <si>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</si>
  <si>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</si>
  <si>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</si>
  <si>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</si>
  <si>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</si>
  <si>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</si>
  <si>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</si>
  <si>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</si>
  <si>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</si>
  <si>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</si>
  <si>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</si>
  <si>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</si>
  <si>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</si>
  <si>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</si>
  <si>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</si>
  <si>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</si>
  <si>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</si>
  <si>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</si>
  <si>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</si>
  <si>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</si>
  <si>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</si>
  <si>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</si>
  <si>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</si>
  <si>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</si>
  <si>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</si>
  <si>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</si>
  <si>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</si>
  <si>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</si>
  <si>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</si>
  <si>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</si>
  <si>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</si>
  <si>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</si>
  <si>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</si>
  <si>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</si>
  <si>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</si>
  <si>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</si>
  <si>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</si>
  <si>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</si>
  <si>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</si>
  <si>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</si>
  <si>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</si>
  <si>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</si>
  <si>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</si>
  <si>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</si>
  <si>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</si>
  <si>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</si>
  <si>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</si>
  <si>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</si>
  <si>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</si>
  <si>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</si>
  <si>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</si>
  <si>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</si>
  <si>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</si>
  <si>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</si>
  <si>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</si>
  <si>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</si>
  <si>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</si>
  <si>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</si>
  <si>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</si>
  <si>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</si>
  <si>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</si>
  <si>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</si>
  <si>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</si>
  <si>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</si>
  <si>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</si>
  <si>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</si>
  <si>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</si>
  <si>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</si>
  <si>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</si>
  <si>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</si>
  <si>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</si>
  <si>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</si>
  <si>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</si>
  <si>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</si>
  <si>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</si>
  <si>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</si>
  <si>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</si>
  <si>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</si>
  <si>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</si>
  <si>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</si>
  <si>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</si>
  <si>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</si>
  <si>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</si>
  <si>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</si>
  <si>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</si>
  <si>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</si>
  <si>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</si>
  <si>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</si>
  <si>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</si>
  <si>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</si>
  <si>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</si>
  <si>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</si>
  <si>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</si>
  <si>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</si>
  <si>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</si>
  <si>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</si>
  <si>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</si>
  <si>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</si>
  <si>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</si>
  <si>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</si>
  <si>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</si>
  <si>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</si>
  <si>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</si>
  <si>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</si>
  <si>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</si>
  <si>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</si>
  <si>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</si>
  <si>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</si>
  <si>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</si>
  <si>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</si>
  <si>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</si>
  <si>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</si>
  <si>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</si>
  <si>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</si>
  <si>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</si>
  <si>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</si>
  <si>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</si>
  <si>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</si>
  <si>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</si>
  <si>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</si>
  <si>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</si>
  <si>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</si>
  <si>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</si>
  <si>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</si>
  <si>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</si>
  <si>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</si>
  <si>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</si>
  <si>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</si>
  <si>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</si>
  <si>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</si>
  <si>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</si>
  <si>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</si>
  <si>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</si>
  <si>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</si>
  <si>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</si>
  <si>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</si>
  <si>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</si>
  <si>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</si>
  <si>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</si>
  <si>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</si>
  <si>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</si>
  <si>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</si>
  <si>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</si>
  <si>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</si>
  <si>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</si>
  <si>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</si>
  <si>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</si>
  <si>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</si>
  <si>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</si>
  <si>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</si>
  <si>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</si>
  <si>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</si>
  <si>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</si>
  <si>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</si>
  <si>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</si>
  <si>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</si>
  <si>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</si>
  <si>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</si>
  <si>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</si>
  <si>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</si>
  <si>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</si>
  <si>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</si>
  <si>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</si>
  <si>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</si>
  <si>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</si>
  <si>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</si>
  <si>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</si>
  <si>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</si>
  <si>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</si>
  <si>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</si>
  <si>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</si>
  <si>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</si>
  <si>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</si>
  <si>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</si>
  <si>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</si>
  <si>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</si>
  <si>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</si>
  <si>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</si>
  <si>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</si>
  <si>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</si>
  <si>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</si>
  <si>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</si>
  <si>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</si>
  <si>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</si>
  <si>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</si>
  <si>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</si>
  <si>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</si>
  <si>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</si>
  <si>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</si>
  <si>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</si>
  <si>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</si>
  <si>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</si>
  <si>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</si>
  <si>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</si>
  <si>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</si>
  <si>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</si>
  <si>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</si>
  <si>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</si>
  <si>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</si>
  <si>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</si>
  <si>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</si>
  <si>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</si>
  <si>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</si>
  <si>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</si>
  <si>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</si>
  <si>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</si>
  <si>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</si>
  <si>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</si>
  <si>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</si>
  <si>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</si>
  <si>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</si>
  <si>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</si>
  <si>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</si>
  <si>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</si>
  <si>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</si>
  <si>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</si>
  <si>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</si>
  <si>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</si>
  <si>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</si>
  <si>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</si>
  <si>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</si>
  <si>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</si>
  <si>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</si>
  <si>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</si>
  <si>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</si>
  <si>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</si>
  <si>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</si>
  <si>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</si>
  <si>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</si>
  <si>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</si>
  <si>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</si>
  <si>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</si>
  <si>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</si>
  <si>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</si>
  <si>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</si>
  <si>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</si>
  <si>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</si>
  <si>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</si>
  <si>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</si>
  <si>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</si>
  <si>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</si>
  <si>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</si>
  <si>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</si>
  <si>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</si>
  <si>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</si>
  <si>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</si>
  <si>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</si>
  <si>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</si>
  <si>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</si>
  <si>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</si>
  <si>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</si>
  <si>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</si>
  <si>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</si>
  <si>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</si>
  <si>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</si>
  <si>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</si>
  <si>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</si>
  <si>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</si>
  <si>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</si>
  <si>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</si>
  <si>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</si>
  <si>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</si>
  <si>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</si>
  <si>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</si>
  <si>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</si>
  <si>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</si>
  <si>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</si>
  <si>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</si>
  <si>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</si>
  <si>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</si>
  <si>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</si>
  <si>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</si>
  <si>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</si>
  <si>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</si>
  <si>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</si>
  <si>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</si>
  <si>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</si>
  <si>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</si>
  <si>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</si>
  <si>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</si>
  <si>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</si>
  <si>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</si>
  <si>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</si>
  <si>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</si>
  <si>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</si>
  <si>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</si>
  <si>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</si>
  <si>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</si>
  <si>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</si>
  <si>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</si>
  <si>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</si>
  <si>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</si>
  <si>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</si>
  <si>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</si>
  <si>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</si>
  <si>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</si>
  <si>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</si>
  <si>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</si>
  <si>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</si>
  <si>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</si>
  <si>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</si>
  <si>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</si>
  <si>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</si>
  <si>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</si>
  <si>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</si>
  <si>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</si>
  <si>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</si>
  <si>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</si>
  <si>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</si>
  <si>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</si>
  <si>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</si>
  <si>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</si>
  <si>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</si>
  <si>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</si>
  <si>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</si>
  <si>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</si>
  <si>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</si>
  <si>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</si>
  <si>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</si>
  <si>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</si>
  <si>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</si>
  <si>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</si>
  <si>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</si>
  <si>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</si>
  <si>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</si>
  <si>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</si>
  <si>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</si>
  <si>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</si>
  <si>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</si>
  <si>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</si>
  <si>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</si>
  <si>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</si>
  <si>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</si>
  <si>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</si>
  <si>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</si>
  <si>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</si>
  <si>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</si>
  <si>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</si>
  <si>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</si>
  <si>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</si>
  <si>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</si>
  <si>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</si>
  <si>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</si>
  <si>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</si>
  <si>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</si>
  <si>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</si>
  <si>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</si>
  <si>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</si>
  <si>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</si>
  <si>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</si>
  <si>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</si>
  <si>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</si>
  <si>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</si>
  <si>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</si>
  <si>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</si>
  <si>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</si>
  <si>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</si>
  <si>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</si>
  <si>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</si>
  <si>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</si>
  <si>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</si>
  <si>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</si>
  <si>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</si>
  <si>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</si>
  <si>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</si>
  <si>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</si>
  <si>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</si>
  <si>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</si>
  <si>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</si>
  <si>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</si>
  <si>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</si>
  <si>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</si>
  <si>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</si>
  <si>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</si>
  <si>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</si>
  <si>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</si>
  <si>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</si>
  <si>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</si>
  <si>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</si>
  <si>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</si>
  <si>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</si>
  <si>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</si>
  <si>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</si>
  <si>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</si>
  <si>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</si>
  <si>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</si>
  <si>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</si>
  <si>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</si>
  <si>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</si>
  <si>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</si>
  <si>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</si>
  <si>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</si>
  <si>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</si>
  <si>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</si>
  <si>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</si>
  <si>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</si>
  <si>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</si>
  <si>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</si>
  <si>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</si>
  <si>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</si>
  <si>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</si>
  <si>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</si>
  <si>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</si>
  <si>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</si>
  <si>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</si>
  <si>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</si>
  <si>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</si>
  <si>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</si>
  <si>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</si>
  <si>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</si>
  <si>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</si>
  <si>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</si>
  <si>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</si>
  <si>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</si>
  <si>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</si>
  <si>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</si>
  <si>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</si>
  <si>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</si>
  <si>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</si>
  <si>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</si>
  <si>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</si>
  <si>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</si>
  <si>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</si>
  <si>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</si>
  <si>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</si>
  <si>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</si>
  <si>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</si>
  <si>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</si>
  <si>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</si>
  <si>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</si>
  <si>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</si>
  <si>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</si>
  <si>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</si>
  <si>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</si>
  <si>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</si>
  <si>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</si>
  <si>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</si>
  <si>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</si>
  <si>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</si>
  <si>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</si>
  <si>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</si>
  <si>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</si>
  <si>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</si>
  <si>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</si>
  <si>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</si>
  <si>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</si>
  <si>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</si>
  <si>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</si>
  <si>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</si>
  <si>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</si>
  <si>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</si>
  <si>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</si>
  <si>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</si>
  <si>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</si>
  <si>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</si>
  <si>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</si>
  <si>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</si>
  <si>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</si>
  <si>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</si>
  <si>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</si>
  <si>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</si>
  <si>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</si>
  <si>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</si>
  <si>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</si>
  <si>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</si>
  <si>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</si>
  <si>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</si>
  <si>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</si>
  <si>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</si>
  <si>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</si>
  <si>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</si>
  <si>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</si>
  <si>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</si>
  <si>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</si>
  <si>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</si>
  <si>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</si>
  <si>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</si>
  <si>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</si>
  <si>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</si>
  <si>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</si>
  <si>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</si>
  <si>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</si>
  <si>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</si>
  <si>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</si>
  <si>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</si>
  <si>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</si>
  <si>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</si>
  <si>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</si>
  <si>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</si>
  <si>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</si>
  <si>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</si>
  <si>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</si>
  <si>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</si>
  <si>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</si>
  <si>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</si>
  <si>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</si>
  <si>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</si>
  <si>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</si>
  <si>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</si>
  <si>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</si>
  <si>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</si>
  <si>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</si>
  <si>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</si>
  <si>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</si>
  <si>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</si>
  <si>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</si>
  <si>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</si>
  <si>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</si>
  <si>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</si>
  <si>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</si>
  <si>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</si>
  <si>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</si>
  <si>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</si>
  <si>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</si>
  <si>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</si>
  <si>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</si>
  <si>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</si>
  <si>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</si>
  <si>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</si>
  <si>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</si>
  <si>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</si>
  <si>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</si>
  <si>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</si>
  <si>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</si>
  <si>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</si>
  <si>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</si>
  <si>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</si>
  <si>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</si>
  <si>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</si>
  <si>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</si>
  <si>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</si>
  <si>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</si>
  <si>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</si>
  <si>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</si>
  <si>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</si>
  <si>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</si>
  <si>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</si>
  <si>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</si>
  <si>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</si>
  <si>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</si>
  <si>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</si>
  <si>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</si>
  <si>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</si>
  <si>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</si>
  <si>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</si>
  <si>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</si>
  <si>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</si>
  <si>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</si>
  <si>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</si>
  <si>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</si>
  <si>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</si>
  <si>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</si>
  <si>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</si>
  <si>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</si>
  <si>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</si>
  <si>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</si>
  <si>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</si>
  <si>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</si>
  <si>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</si>
  <si>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</si>
  <si>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</si>
  <si>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</si>
  <si>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</si>
  <si>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</si>
  <si>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</si>
  <si>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</si>
  <si>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</si>
  <si>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</si>
  <si>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</si>
  <si>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</si>
  <si>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</si>
  <si>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</si>
  <si>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</si>
  <si>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</si>
  <si>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</si>
  <si>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</si>
  <si>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</si>
  <si>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</si>
  <si>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</si>
  <si>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</si>
  <si>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</si>
  <si>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</si>
  <si>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</si>
  <si>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</si>
  <si>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</si>
  <si>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</si>
  <si>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</si>
  <si>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</si>
  <si>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</si>
  <si>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</si>
  <si>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</si>
  <si>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</si>
  <si>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</si>
  <si>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</si>
  <si>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</si>
  <si>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</si>
  <si>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</si>
  <si>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</si>
  <si>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</si>
  <si>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</si>
  <si>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</si>
  <si>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</si>
  <si>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</si>
  <si>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</si>
  <si>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</si>
  <si>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</si>
  <si>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</si>
  <si>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</si>
  <si>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</si>
  <si>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</si>
  <si>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</si>
  <si>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</si>
  <si>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</si>
  <si>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</si>
  <si>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</si>
  <si>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</si>
  <si>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</si>
  <si>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</si>
  <si>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</si>
  <si>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</si>
  <si>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</si>
  <si>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</si>
  <si>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</si>
  <si>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</si>
  <si>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</si>
  <si>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</si>
  <si>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</si>
  <si>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</si>
  <si>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</si>
  <si>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</si>
  <si>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</si>
  <si>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</si>
  <si>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</si>
  <si>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</si>
  <si>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</si>
  <si>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</si>
  <si>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</si>
  <si>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</si>
  <si>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</si>
  <si>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</si>
  <si>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</si>
  <si>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</si>
  <si>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</si>
  <si>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</si>
  <si>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</si>
  <si>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</si>
  <si>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</si>
  <si>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</si>
  <si>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</si>
  <si>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</si>
  <si>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</si>
  <si>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</si>
  <si>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</si>
  <si>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</si>
  <si>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</si>
  <si>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</si>
  <si>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</si>
  <si>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</si>
  <si>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</si>
  <si>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</si>
  <si>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</si>
  <si>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</si>
  <si>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</si>
  <si>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</si>
  <si>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</si>
  <si>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</si>
  <si>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</si>
  <si>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</si>
  <si>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</si>
  <si>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</si>
  <si>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</si>
  <si>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</si>
  <si>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</si>
  <si>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</si>
  <si>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</si>
  <si>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</si>
  <si>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</si>
  <si>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</si>
  <si>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</si>
  <si>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</si>
  <si>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</si>
  <si>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</si>
  <si>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</si>
  <si>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</si>
  <si>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</si>
  <si>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</si>
  <si>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</si>
  <si>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</si>
  <si>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</si>
  <si>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</si>
  <si>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</si>
  <si>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</si>
  <si>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</si>
  <si>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</si>
  <si>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</si>
  <si>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</si>
  <si>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</si>
  <si>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</si>
  <si>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</si>
  <si>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</si>
  <si>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</si>
  <si>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</si>
  <si>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</si>
  <si>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</si>
  <si>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</si>
  <si>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</si>
  <si>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</si>
  <si>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</si>
  <si>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</si>
  <si>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</si>
  <si>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</si>
  <si>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</si>
  <si>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</si>
  <si>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</si>
  <si>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</si>
  <si>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</si>
  <si>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</si>
  <si>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</si>
  <si>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</si>
  <si>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</si>
  <si>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</si>
  <si>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</si>
  <si>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</si>
  <si>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</si>
  <si>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</si>
  <si>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</si>
  <si>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</si>
  <si>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</si>
  <si>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</si>
  <si>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</si>
  <si>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</si>
  <si>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</si>
  <si>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</si>
  <si>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</si>
  <si>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</si>
  <si>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</si>
  <si>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</si>
  <si>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</si>
  <si>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</si>
  <si>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</si>
  <si>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</si>
  <si>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</si>
  <si>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</si>
  <si>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</si>
  <si>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</si>
  <si>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</si>
  <si>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</si>
  <si>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</si>
  <si>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</si>
  <si>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</si>
  <si>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</si>
  <si>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</si>
  <si>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</si>
  <si>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</si>
  <si>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</si>
  <si>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</si>
  <si>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</si>
  <si>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</si>
  <si>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</si>
  <si>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</si>
  <si>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</si>
  <si>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</si>
  <si>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</si>
  <si>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</si>
  <si>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</si>
  <si>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</si>
  <si>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</si>
  <si>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</si>
  <si>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</si>
  <si>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</si>
  <si>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</si>
  <si>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</si>
  <si>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</si>
  <si>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</si>
  <si>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</si>
  <si>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</si>
  <si>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</si>
  <si>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</si>
  <si>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</si>
  <si>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</si>
  <si>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</si>
  <si>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</si>
  <si>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</si>
  <si>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</si>
  <si>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</si>
  <si>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</si>
  <si>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</si>
  <si>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</si>
  <si>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</si>
  <si>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</si>
  <si>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</si>
  <si>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</si>
  <si>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</si>
  <si>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</si>
  <si>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</si>
  <si>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</si>
  <si>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</si>
  <si>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</si>
  <si>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</si>
  <si>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</si>
  <si>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</si>
  <si>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</si>
  <si>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</si>
  <si>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</si>
  <si>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</si>
  <si>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</si>
  <si>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</si>
  <si>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</si>
  <si>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</si>
  <si>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</si>
  <si>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</si>
  <si>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</si>
  <si>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</si>
  <si>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</si>
  <si>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</si>
  <si>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</si>
  <si>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</si>
  <si>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</si>
  <si>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</si>
  <si>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</si>
  <si>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</si>
  <si>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</si>
  <si>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</si>
  <si>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</si>
  <si>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</si>
  <si>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</si>
  <si>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</si>
  <si>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</si>
  <si>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</si>
  <si>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</si>
  <si>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</si>
  <si>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</si>
  <si>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</si>
  <si>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</si>
  <si>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</si>
  <si>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</si>
  <si>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</si>
  <si>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</si>
  <si>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</si>
  <si>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</si>
  <si>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</si>
  <si>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</si>
  <si>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</si>
  <si>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</si>
  <si>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</si>
  <si>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</si>
  <si>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</si>
  <si>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</si>
  <si>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</si>
  <si>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</si>
  <si>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</si>
  <si>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</si>
  <si>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</si>
  <si>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</si>
  <si>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</si>
  <si>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</si>
  <si>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</si>
  <si>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</si>
  <si>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</si>
  <si>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</si>
  <si>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</si>
  <si>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</si>
  <si>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</si>
  <si>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</si>
  <si>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</si>
  <si>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</si>
  <si>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</si>
  <si>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</si>
  <si>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</si>
  <si>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</si>
  <si>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</si>
  <si>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</si>
  <si>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</si>
  <si>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</si>
  <si>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</si>
  <si>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</si>
  <si>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</si>
  <si>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</si>
  <si>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</si>
  <si>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</si>
  <si>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</si>
  <si>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</si>
  <si>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</si>
  <si>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</si>
  <si>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</si>
  <si>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</si>
  <si>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</si>
  <si>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</si>
  <si>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</si>
  <si>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</si>
  <si>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</si>
  <si>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</si>
  <si>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</si>
  <si>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</si>
  <si>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</si>
  <si>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</si>
  <si>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</si>
  <si>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</si>
  <si>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</si>
  <si>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</si>
  <si>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</si>
  <si>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</si>
  <si>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</si>
  <si>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</si>
  <si>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</si>
  <si>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</si>
  <si>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</si>
  <si>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</si>
  <si>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</si>
  <si>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</si>
  <si>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</si>
  <si>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</si>
  <si>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</si>
  <si>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</si>
  <si>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</si>
  <si>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</si>
  <si>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</si>
  <si>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</si>
  <si>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</si>
  <si>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</si>
  <si>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</si>
  <si>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</si>
  <si>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</si>
  <si>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</si>
  <si>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</si>
  <si>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</si>
  <si>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</si>
  <si>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</si>
  <si>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</si>
  <si>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</si>
  <si>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</si>
  <si>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</si>
  <si>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</si>
  <si>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</si>
  <si>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</si>
  <si>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</si>
  <si>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</si>
  <si>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</si>
  <si>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</si>
  <si>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</si>
  <si>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</si>
  <si>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</si>
  <si>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</si>
  <si>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</si>
  <si>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</si>
  <si>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</si>
  <si>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</si>
  <si>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</si>
  <si>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</si>
  <si>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</si>
  <si>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</si>
  <si>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</si>
  <si>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</si>
  <si>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</si>
  <si>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</si>
  <si>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</si>
  <si>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</si>
  <si>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</si>
  <si>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</si>
  <si>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</si>
  <si>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</si>
  <si>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</si>
  <si>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</si>
  <si>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</si>
  <si>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</si>
  <si>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</si>
  <si>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</si>
  <si>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</si>
  <si>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</si>
  <si>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</si>
  <si>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</si>
  <si>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</si>
  <si>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</si>
  <si>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</si>
  <si>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</si>
  <si>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</si>
  <si>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</si>
  <si>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</si>
  <si>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</si>
  <si>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</si>
  <si>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</si>
  <si>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</si>
  <si>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</si>
  <si>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</si>
  <si>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</si>
  <si>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</si>
  <si>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</si>
  <si>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</si>
  <si>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</si>
  <si>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</si>
  <si>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</si>
  <si>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</si>
  <si>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</si>
  <si>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</si>
  <si>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</si>
  <si>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</si>
  <si>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</si>
  <si>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</si>
  <si>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</si>
  <si>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</si>
  <si>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</si>
  <si>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</si>
  <si>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</si>
  <si>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</si>
  <si>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</si>
  <si>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</si>
  <si>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</si>
  <si>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</si>
  <si>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</si>
  <si>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</si>
  <si>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</si>
  <si>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</si>
  <si>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</si>
  <si>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</si>
  <si>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</si>
  <si>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</si>
  <si>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</si>
  <si>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</si>
  <si>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</si>
  <si>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</si>
  <si>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</si>
  <si>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</si>
  <si>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</si>
  <si>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</si>
  <si>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</si>
  <si>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</si>
  <si>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</si>
  <si>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</si>
  <si>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</si>
  <si>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</si>
  <si>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</si>
  <si>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</si>
  <si>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</si>
  <si>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</si>
  <si>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</si>
  <si>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</si>
  <si>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</si>
  <si>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</si>
  <si>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</si>
  <si>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</si>
  <si>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</si>
  <si>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</si>
  <si>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</si>
  <si>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</si>
  <si>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</si>
  <si>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</si>
  <si>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</si>
  <si>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</si>
  <si>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</si>
  <si>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</si>
  <si>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</si>
  <si>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</si>
  <si>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</si>
  <si>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</si>
  <si>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</si>
  <si>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</si>
  <si>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</si>
  <si>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</si>
  <si>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</si>
  <si>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</si>
  <si>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</si>
  <si>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</si>
  <si>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</si>
  <si>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</si>
  <si>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</si>
  <si>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</si>
  <si>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</si>
  <si>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</si>
  <si>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</si>
  <si>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</si>
  <si>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</si>
  <si>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</si>
  <si>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</si>
  <si>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</si>
  <si>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</si>
  <si>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</si>
  <si>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</si>
  <si>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</si>
  <si>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</si>
  <si>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</si>
  <si>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</si>
  <si>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</si>
  <si>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</si>
  <si>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</si>
  <si>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</si>
  <si>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</si>
  <si>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</si>
  <si>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</si>
  <si>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</si>
  <si>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</si>
  <si>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</si>
  <si>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</si>
  <si>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</si>
  <si>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</si>
  <si>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</si>
  <si>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</si>
  <si>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</si>
  <si>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</si>
  <si>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</si>
  <si>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</si>
  <si>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</si>
  <si>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</si>
  <si>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</si>
  <si>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</si>
  <si>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</si>
  <si>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</si>
  <si>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</si>
  <si>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</si>
  <si>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</si>
  <si>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</si>
  <si>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</si>
  <si>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</si>
  <si>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</si>
  <si>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</si>
  <si>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</si>
  <si>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</si>
  <si>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</si>
  <si>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</si>
  <si>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</si>
  <si>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</si>
  <si>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</si>
  <si>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</si>
  <si>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</si>
  <si>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</si>
  <si>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</si>
  <si>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</si>
  <si>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</si>
  <si>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</si>
  <si>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</si>
  <si>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</si>
  <si>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</si>
  <si>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</si>
  <si>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</si>
  <si>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</si>
  <si>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</si>
  <si>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</si>
  <si>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</si>
  <si>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</si>
  <si>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</si>
  <si>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</si>
  <si>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</si>
  <si>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</si>
  <si>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</si>
  <si>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</si>
  <si>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</si>
  <si>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</si>
  <si>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</si>
  <si>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</si>
  <si>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</si>
  <si>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</si>
  <si>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</si>
  <si>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</si>
  <si>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</si>
  <si>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</si>
  <si>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</si>
  <si>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</si>
  <si>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</si>
  <si>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</si>
  <si>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</si>
  <si>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</si>
  <si>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</si>
  <si>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</si>
  <si>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</si>
  <si>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</si>
  <si>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</si>
  <si>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</si>
  <si>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</si>
  <si>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</si>
  <si>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</si>
  <si>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</si>
  <si>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</si>
  <si>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</si>
  <si>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</si>
  <si>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</si>
  <si>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</si>
  <si>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</si>
  <si>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</si>
  <si>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</si>
  <si>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</si>
  <si>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</si>
  <si>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</si>
  <si>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</si>
  <si>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</si>
  <si>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</si>
  <si>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</si>
  <si>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</si>
  <si>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</si>
  <si>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</si>
  <si>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</si>
  <si>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</si>
  <si>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</si>
  <si>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</si>
  <si>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</si>
  <si>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</si>
  <si>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</si>
  <si>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</si>
  <si>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</si>
  <si>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</si>
  <si>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</si>
  <si>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</si>
  <si>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</si>
  <si>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</si>
  <si>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</si>
  <si>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</si>
  <si>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</si>
  <si>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</si>
  <si>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</si>
  <si>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</si>
  <si>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</si>
  <si>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</si>
  <si>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</si>
  <si>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</si>
  <si>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</si>
  <si>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</si>
  <si>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</si>
  <si>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</si>
  <si>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</si>
  <si>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</si>
  <si>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</si>
  <si>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</si>
  <si>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</si>
  <si>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</si>
  <si>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</si>
  <si>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</si>
  <si>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</si>
  <si>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</si>
  <si>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</si>
  <si>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</si>
  <si>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</si>
  <si>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</si>
  <si>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</si>
  <si>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</si>
  <si>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</si>
  <si>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</si>
  <si>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</si>
  <si>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</si>
  <si>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</si>
  <si>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</si>
  <si>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</si>
  <si>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</si>
  <si>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</si>
  <si>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</si>
  <si>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</si>
  <si>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</si>
  <si>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</si>
  <si>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</si>
  <si>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</si>
  <si>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</si>
  <si>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</si>
  <si>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</si>
  <si>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</si>
  <si>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</si>
  <si>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</si>
  <si>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</si>
  <si>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</si>
  <si>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</si>
  <si>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</si>
  <si>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</si>
  <si>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</si>
  <si>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</si>
  <si>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</si>
  <si>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</si>
  <si>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</si>
  <si>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</si>
  <si>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</si>
  <si>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</si>
  <si>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</si>
  <si>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</si>
  <si>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</si>
  <si>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</si>
  <si>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</si>
  <si>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</si>
  <si>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</si>
  <si>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</si>
  <si>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</si>
  <si>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</si>
  <si>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</si>
  <si>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</si>
  <si>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</si>
  <si>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</si>
  <si>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</si>
  <si>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</si>
  <si>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</si>
  <si>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</si>
  <si>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</si>
  <si>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</si>
  <si>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</si>
  <si>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GeneticTestExpression2FHIR</t>
  </si>
  <si>
    <t>geneticTestExpression2FHIR</t>
  </si>
  <si>
    <t>Genetic Test Expression Model to this guide Map</t>
  </si>
  <si>
    <t>It shows how the Genetic Test Expression Model is mapped into this guide</t>
  </si>
  <si>
    <t>The relationship is between EpisodeOfCare to the Primary Condition</t>
  </si>
  <si>
    <t>evidence:genetic-test.code</t>
  </si>
  <si>
    <t>evidence:genetic-test.detail.effectiveDateTime</t>
  </si>
  <si>
    <t>This mapping assumes that are the test used for supporting the diagnosis.
This is a first mapping attempt
The codes for each class of measure has to be defined.</t>
  </si>
  <si>
    <t>With evidence:genetic-test.detail.code in a 'to be defined' Value Set exists</t>
  </si>
  <si>
    <t>if at least one evidence:genetic-test.code in a 'to be defined' Value Set exists</t>
  </si>
  <si>
    <t>GeneticTestExpression-to-fhir-map.fsh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</si>
</sst>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5">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1" fillId="3" borderId="1" xfId="0" applyFont="1" applyFill="1" applyBorder="1" applyAlignment="1">
      <alignment wrapText="1"/>
    </xf>
    <xf numFmtId="0" fontId="7" fillId="6" borderId="18" xfId="0" applyFont="1"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externalLink" Target="externalLinks/externalLink1.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theme" Target="theme/theme1.xml"/><Relationship Id="rId86"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connections" Target="connections.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4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4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6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9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E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0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0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5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9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4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6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8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B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5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7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A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B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B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D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0"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threadedComments/threadedComment8.xml><?xml version="1.0" encoding="utf-8"?>
<ThreadedComments xmlns="http://schemas.microsoft.com/office/spreadsheetml/2018/threadedcomments" xmlns:x="http://schemas.openxmlformats.org/spreadsheetml/2006/main">
  <threadedComment ref="B8" dT="2023-09-18T15:19:51.80" personId="{8C97C38B-B0BE-4B1E-B806-EA0CCA3C4B1C}" id="{0FDB24EF-BC00-4E58-A761-DBCB1D8917C0}">
    <text>Clarify is the scope is that of tracking is any of these tests have been performed (indipendently by the results); or if some of these tests have been used as evidence for the diagnosis</text>
  </threadedComment>
  <threadedComment ref="B10" dT="2023-09-18T15:21:58.19" personId="{8C97C38B-B0BE-4B1E-B806-EA0CCA3C4B1C}" id="{999240A4-7C49-4F16-8B94-1BA65D434390}">
    <text xml:space="preserve">I have a very little knowledge of this part, but searching for what is incldued in the gene expression analysis I found that it includes techniques like PCR (Polymerase Chain Reaction), microarray analysis, RNA sequencing (RNA-seq), and quantitative PCR (qPCR). </text>
  </threadedComment>
  <threadedComment ref="B10" dT="2023-09-18T15:23:09.39" personId="{8C97C38B-B0BE-4B1E-B806-EA0CCA3C4B1C}" id="{4966210D-23C9-48C5-951F-CF301FC48172}" parentId="{999240A4-7C49-4F16-8B94-1BA65D434390}">
    <text>PCR is mentioned below.. Is this a super-class of the following ? That is if a PCR is perfomed than this and the PCr elements are ste to true</text>
  </threadedComment>
  <threadedComment ref="B11" dT="2023-09-18T15:25:44.37" personId="{8C97C38B-B0BE-4B1E-B806-EA0CCA3C4B1C}" id="{29643A9C-9B94-4168-BAA6-9AB9F9338EF6}">
    <text xml:space="preserve">As above in the gene mutation analysis: I found that it includes - among the others - 
Polymerase Chain Reaction (PCR):
Next-Generation Sequencing (NGS):
</text>
  </threadedComment>
  <threadedComment ref="B11" dT="2023-09-18T15:29:33.38" personId="{8C97C38B-B0BE-4B1E-B806-EA0CCA3C4B1C}" id="{48AA0EB1-79EA-4A17-98AD-C43E5A2297EA}" parentId="{29643A9C-9B94-4168-BAA6-9AB9F9338EF6}">
    <text>Are these classes overlapping ?</text>
  </threadedComment>
  <threadedComment ref="B21" dT="2023-09-18T15:33:41.54" personId="{8C97C38B-B0BE-4B1E-B806-EA0CCA3C4B1C}" id="{F0495FF9-6635-4A8C-BA97-2ED774EE03FE}">
    <text>Searching I found that ctDNA ( is associated with gene mutation analysis … smilaer question as those made above</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34.vml"/><Relationship Id="rId1" Type="http://schemas.openxmlformats.org/officeDocument/2006/relationships/printerSettings" Target="../printerSettings/printerSettings38.bin"/><Relationship Id="rId4" Type="http://schemas.microsoft.com/office/2017/10/relationships/threadedComment" Target="../threadedComments/threadedComment8.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Condition-primaryCancer-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62" t="s">
        <v>1462</v>
      </c>
      <c r="B1" s="163"/>
      <c r="C1" s="163"/>
      <c r="D1" s="163"/>
      <c r="E1" s="163"/>
      <c r="F1" s="163"/>
      <c r="G1" s="163"/>
      <c r="H1" s="163"/>
      <c r="I1" s="163"/>
      <c r="J1" s="163"/>
      <c r="K1" s="163"/>
      <c r="L1" s="163"/>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4" t="s">
        <v>1496</v>
      </c>
      <c r="B10" s="165"/>
      <c r="C10" s="165"/>
      <c r="D10" s="165"/>
      <c r="E10" s="165"/>
      <c r="F10" s="165"/>
      <c r="G10" s="165"/>
      <c r="H10" s="165"/>
      <c r="I10" s="165"/>
      <c r="J10" s="165"/>
      <c r="K10" s="165"/>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6" t="s">
        <v>1538</v>
      </c>
      <c r="B18" s="165"/>
      <c r="C18" s="165"/>
      <c r="D18" s="165"/>
      <c r="E18" s="165"/>
      <c r="F18" s="165"/>
      <c r="G18" s="165"/>
      <c r="H18" s="165"/>
      <c r="I18" s="165"/>
      <c r="J18" s="165"/>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7" t="s">
        <v>23</v>
      </c>
      <c r="B1" s="167"/>
      <c r="C1" s="167"/>
      <c r="D1" s="167"/>
      <c r="E1" s="167"/>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8" t="s">
        <v>120</v>
      </c>
      <c r="E24" s="30" t="s">
        <v>41</v>
      </c>
      <c r="F24" s="30" t="s">
        <v>118</v>
      </c>
      <c r="G24" s="30" t="s">
        <v>48</v>
      </c>
      <c r="H24" s="31" t="s">
        <v>37</v>
      </c>
    </row>
    <row r="25" spans="1:9" ht="42">
      <c r="A25" s="33" t="s">
        <v>121</v>
      </c>
      <c r="B25" s="30" t="s">
        <v>39</v>
      </c>
      <c r="C25" s="168"/>
      <c r="E25" s="30" t="s">
        <v>41</v>
      </c>
      <c r="F25" s="30" t="s">
        <v>118</v>
      </c>
      <c r="G25" s="30" t="s">
        <v>48</v>
      </c>
      <c r="H25" s="31" t="s">
        <v>37</v>
      </c>
      <c r="I25" s="42"/>
    </row>
    <row r="26" spans="1:9" ht="42">
      <c r="A26" s="33" t="s">
        <v>122</v>
      </c>
      <c r="B26" s="30" t="s">
        <v>39</v>
      </c>
      <c r="C26" s="168"/>
      <c r="E26" s="30" t="s">
        <v>41</v>
      </c>
      <c r="F26" s="30" t="s">
        <v>118</v>
      </c>
      <c r="G26" s="30" t="s">
        <v>48</v>
      </c>
      <c r="H26" s="31" t="s">
        <v>37</v>
      </c>
    </row>
    <row r="27" spans="1:9" ht="42">
      <c r="A27" s="33" t="s">
        <v>123</v>
      </c>
      <c r="B27" s="30" t="s">
        <v>39</v>
      </c>
      <c r="C27" s="168"/>
      <c r="E27" s="30" t="s">
        <v>41</v>
      </c>
      <c r="F27" s="30" t="s">
        <v>118</v>
      </c>
      <c r="G27" s="30" t="s">
        <v>48</v>
      </c>
      <c r="H27" s="31" t="s">
        <v>37</v>
      </c>
    </row>
    <row r="28" spans="1:9" ht="42">
      <c r="A28" s="33" t="s">
        <v>124</v>
      </c>
      <c r="B28" s="30" t="s">
        <v>39</v>
      </c>
      <c r="C28" s="168"/>
      <c r="E28" s="30" t="s">
        <v>41</v>
      </c>
      <c r="F28" s="30" t="s">
        <v>118</v>
      </c>
      <c r="G28" s="30" t="s">
        <v>48</v>
      </c>
      <c r="H28" s="31" t="s">
        <v>37</v>
      </c>
    </row>
    <row r="29" spans="1:9" ht="42">
      <c r="A29" s="33" t="s">
        <v>125</v>
      </c>
      <c r="B29" s="30" t="s">
        <v>39</v>
      </c>
      <c r="C29" s="168"/>
      <c r="E29" s="30" t="s">
        <v>41</v>
      </c>
      <c r="F29" s="30" t="s">
        <v>118</v>
      </c>
      <c r="G29" s="30" t="s">
        <v>48</v>
      </c>
      <c r="H29" s="31" t="s">
        <v>37</v>
      </c>
    </row>
    <row r="30" spans="1:9" ht="42">
      <c r="A30" s="33" t="s">
        <v>126</v>
      </c>
      <c r="B30" s="30" t="s">
        <v>39</v>
      </c>
      <c r="C30" s="168"/>
      <c r="E30" s="30" t="s">
        <v>41</v>
      </c>
      <c r="F30" s="30" t="s">
        <v>118</v>
      </c>
      <c r="G30" s="30" t="s">
        <v>48</v>
      </c>
      <c r="H30" s="31" t="s">
        <v>37</v>
      </c>
    </row>
    <row r="31" spans="1:9" ht="42">
      <c r="A31" s="33" t="s">
        <v>127</v>
      </c>
      <c r="B31" s="30" t="s">
        <v>39</v>
      </c>
      <c r="C31" s="168"/>
      <c r="E31" s="30" t="s">
        <v>41</v>
      </c>
      <c r="F31" s="30" t="s">
        <v>118</v>
      </c>
      <c r="G31" s="30" t="s">
        <v>48</v>
      </c>
      <c r="H31" s="31" t="s">
        <v>37</v>
      </c>
    </row>
    <row r="32" spans="1:9" ht="42">
      <c r="A32" s="33" t="s">
        <v>128</v>
      </c>
      <c r="B32" s="30" t="s">
        <v>39</v>
      </c>
      <c r="C32" s="168"/>
      <c r="E32" s="30" t="s">
        <v>41</v>
      </c>
      <c r="F32" s="30" t="s">
        <v>118</v>
      </c>
      <c r="G32" s="30" t="s">
        <v>48</v>
      </c>
      <c r="H32" s="31" t="s">
        <v>37</v>
      </c>
    </row>
    <row r="33" spans="1:9" ht="42">
      <c r="A33" s="33" t="s">
        <v>129</v>
      </c>
      <c r="B33" s="30" t="s">
        <v>39</v>
      </c>
      <c r="C33" s="168"/>
      <c r="E33" s="30" t="s">
        <v>41</v>
      </c>
      <c r="F33" s="30" t="s">
        <v>118</v>
      </c>
      <c r="G33" s="30" t="s">
        <v>48</v>
      </c>
      <c r="H33" s="31" t="s">
        <v>37</v>
      </c>
    </row>
    <row r="34" spans="1:9" ht="42">
      <c r="A34" s="33" t="s">
        <v>130</v>
      </c>
      <c r="B34" s="30" t="s">
        <v>39</v>
      </c>
      <c r="C34" s="168"/>
      <c r="E34" s="30" t="s">
        <v>41</v>
      </c>
      <c r="F34" s="30" t="s">
        <v>118</v>
      </c>
      <c r="G34" s="30" t="s">
        <v>48</v>
      </c>
      <c r="H34" s="31" t="s">
        <v>37</v>
      </c>
    </row>
    <row r="35" spans="1:9" ht="42">
      <c r="A35" s="33" t="s">
        <v>131</v>
      </c>
      <c r="B35" s="30" t="s">
        <v>39</v>
      </c>
      <c r="C35" s="168"/>
      <c r="E35" s="30" t="s">
        <v>41</v>
      </c>
      <c r="F35" s="30" t="s">
        <v>118</v>
      </c>
      <c r="G35" s="30" t="s">
        <v>48</v>
      </c>
      <c r="H35" s="31" t="s">
        <v>37</v>
      </c>
    </row>
    <row r="36" spans="1:9" ht="42">
      <c r="A36" s="33" t="s">
        <v>132</v>
      </c>
      <c r="B36" s="30" t="s">
        <v>39</v>
      </c>
      <c r="C36" s="168"/>
      <c r="E36" s="30" t="s">
        <v>41</v>
      </c>
      <c r="F36" s="30" t="s">
        <v>118</v>
      </c>
      <c r="G36" s="30" t="s">
        <v>48</v>
      </c>
      <c r="H36" s="31" t="s">
        <v>37</v>
      </c>
    </row>
    <row r="37" spans="1:9" ht="42">
      <c r="A37" s="33" t="s">
        <v>133</v>
      </c>
      <c r="B37" s="30" t="s">
        <v>39</v>
      </c>
      <c r="C37" s="168"/>
      <c r="E37" s="30" t="s">
        <v>41</v>
      </c>
      <c r="F37" s="30" t="s">
        <v>118</v>
      </c>
      <c r="G37" s="30" t="s">
        <v>48</v>
      </c>
      <c r="H37" s="31" t="s">
        <v>37</v>
      </c>
    </row>
    <row r="38" spans="1:9" ht="42">
      <c r="A38" s="33" t="s">
        <v>134</v>
      </c>
      <c r="B38" s="30" t="s">
        <v>39</v>
      </c>
      <c r="C38" s="168"/>
      <c r="E38" s="30" t="s">
        <v>41</v>
      </c>
      <c r="F38" s="30" t="s">
        <v>118</v>
      </c>
      <c r="G38" s="30" t="s">
        <v>48</v>
      </c>
      <c r="H38" s="31" t="s">
        <v>37</v>
      </c>
    </row>
    <row r="39" spans="1:9" ht="42">
      <c r="A39" s="33" t="s">
        <v>135</v>
      </c>
      <c r="B39" s="30" t="s">
        <v>39</v>
      </c>
      <c r="C39" s="168"/>
      <c r="E39" s="30" t="s">
        <v>41</v>
      </c>
      <c r="F39" s="30" t="s">
        <v>118</v>
      </c>
      <c r="G39" s="30" t="s">
        <v>48</v>
      </c>
      <c r="H39" s="31" t="s">
        <v>37</v>
      </c>
    </row>
    <row r="40" spans="1:9" ht="42">
      <c r="A40" s="33" t="s">
        <v>136</v>
      </c>
      <c r="B40" s="30" t="s">
        <v>39</v>
      </c>
      <c r="C40" s="168"/>
      <c r="E40" s="30" t="s">
        <v>41</v>
      </c>
      <c r="F40" s="30" t="s">
        <v>118</v>
      </c>
      <c r="G40" s="30" t="s">
        <v>48</v>
      </c>
      <c r="H40" s="31" t="s">
        <v>37</v>
      </c>
    </row>
    <row r="41" spans="1:9" ht="42">
      <c r="A41" s="33" t="s">
        <v>137</v>
      </c>
      <c r="B41" s="30" t="s">
        <v>39</v>
      </c>
      <c r="C41" s="168"/>
      <c r="E41" s="30" t="s">
        <v>41</v>
      </c>
      <c r="F41" s="30" t="s">
        <v>118</v>
      </c>
      <c r="G41" s="30" t="s">
        <v>48</v>
      </c>
      <c r="H41" s="31" t="s">
        <v>37</v>
      </c>
    </row>
    <row r="42" spans="1:9" ht="42">
      <c r="A42" s="33" t="s">
        <v>138</v>
      </c>
      <c r="B42" s="30" t="s">
        <v>39</v>
      </c>
      <c r="C42" s="168"/>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zoomScaleNormal="100"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1898</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2239</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1" workbookViewId="0">
      <selection activeCell="F20" sqref="F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69" t="s">
        <v>1804</v>
      </c>
      <c r="F4" s="170"/>
      <c r="G4" s="170"/>
    </row>
    <row r="5" spans="1:19">
      <c r="B5" s="62" t="s">
        <v>10</v>
      </c>
      <c r="C5" s="7" t="s">
        <v>1801</v>
      </c>
      <c r="D5" s="62"/>
      <c r="E5" s="7"/>
    </row>
    <row r="6" spans="1:19">
      <c r="B6" s="62" t="s">
        <v>18</v>
      </c>
      <c r="C6" s="56"/>
      <c r="D6" s="62" t="s">
        <v>1793</v>
      </c>
      <c r="E6" s="169" t="str">
        <f>E3</f>
        <v>http://hl7.eu/fhir/ig/idea4rc/StructureDefinition/CancerEpisode</v>
      </c>
      <c r="F6" s="170"/>
      <c r="G6" s="170"/>
    </row>
    <row r="7" spans="1:19">
      <c r="B7" s="62" t="s">
        <v>15</v>
      </c>
      <c r="C7" s="119"/>
      <c r="D7" s="62" t="s">
        <v>1794</v>
      </c>
      <c r="E7" s="169" t="s">
        <v>1804</v>
      </c>
      <c r="F7" s="170"/>
      <c r="G7" s="170"/>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1905</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6" t="str">
        <f>CancerEpisode!B13</f>
        <v>histologyGroup</v>
      </c>
      <c r="C20" s="11" t="str">
        <f>CancerEpisode!C13</f>
        <v>Histology (WHO 2017) group</v>
      </c>
      <c r="D20" s="12" t="s">
        <v>1867</v>
      </c>
      <c r="E20" s="11"/>
      <c r="F20" s="64" t="s">
        <v>1407</v>
      </c>
      <c r="G20" s="123" t="s">
        <v>1906</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1442</v>
      </c>
      <c r="E21" s="11"/>
      <c r="F21" s="64" t="s">
        <v>1407</v>
      </c>
      <c r="G21" s="149" t="s">
        <v>2400</v>
      </c>
      <c r="H21" s="58"/>
      <c r="I21" s="12" t="str">
        <f t="shared" si="7"/>
        <v>* group[=].element[+].code = #CancerEpisode.histologySubGroup</v>
      </c>
      <c r="J21" s="12" t="str">
        <f t="shared" si="8"/>
        <v>* group[=].element[=].display = ##34#Histology Subgroups##34#</v>
      </c>
      <c r="K21" s="12" t="str">
        <f t="shared" si="9"/>
        <v>* group[=].element[=].target.code = #Condition.code</v>
      </c>
      <c r="L21" s="12" t="str">
        <f t="shared" si="10"/>
        <v>* group[=].element[=].target.display = ##34###34#</v>
      </c>
      <c r="M21" s="12" t="str">
        <f t="shared" si="11"/>
        <v>* group[=].element[=].target.equivalence = #relatedto</v>
      </c>
      <c r="N21" s="12" t="str">
        <f t="shared" si="12"/>
        <v>* group[=].element[=].target.comment = ##34#To be checked, linked to the code since the concpet includes both morhphology and topography##34#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1442</v>
      </c>
      <c r="E22" s="11"/>
      <c r="F22" s="64" t="s">
        <v>1407</v>
      </c>
      <c r="G22" s="149" t="s">
        <v>2400</v>
      </c>
      <c r="H22" s="58"/>
      <c r="I22" s="12" t="str">
        <f t="shared" si="7"/>
        <v>* group[=].element[+].code = #CancerEpisode.histologySubGroup.histologySquamous</v>
      </c>
      <c r="J22" s="12" t="str">
        <f t="shared" si="8"/>
        <v>* group[=].element[=].display = ##34#Histology Squamous##34#</v>
      </c>
      <c r="K22" s="12" t="str">
        <f t="shared" si="9"/>
        <v>* group[=].element[=].target.code = #Condition.code</v>
      </c>
      <c r="L22" s="12" t="str">
        <f t="shared" si="10"/>
        <v>* group[=].element[=].target.display = ##34###34#</v>
      </c>
      <c r="M22" s="12" t="str">
        <f t="shared" si="11"/>
        <v>* group[=].element[=].target.equivalence = #relatedto</v>
      </c>
      <c r="N22" s="12" t="str">
        <f t="shared" si="12"/>
        <v>* group[=].element[=].target.comment = ##34#To be checked, linked to the code since the concpet includes both morhphology and topography##34#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1442</v>
      </c>
      <c r="E23" s="11"/>
      <c r="F23" s="64" t="s">
        <v>1407</v>
      </c>
      <c r="G23" s="149" t="s">
        <v>2400</v>
      </c>
      <c r="H23" s="58"/>
      <c r="I23" s="12" t="str">
        <f t="shared" si="7"/>
        <v>* group[=].element[+].code = #CancerEpisode.histologySubGroup.histologyAdenocarcinoma</v>
      </c>
      <c r="J23" s="12" t="str">
        <f t="shared" si="8"/>
        <v>* group[=].element[=].display = ##34#Histology Adenocarcinoma##34#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1442</v>
      </c>
      <c r="E24" s="11"/>
      <c r="F24" s="64" t="s">
        <v>1407</v>
      </c>
      <c r="G24" s="149" t="s">
        <v>2400</v>
      </c>
      <c r="H24" s="58"/>
      <c r="I24" s="12" t="str">
        <f t="shared" si="7"/>
        <v>* group[=].element[+].code = #CancerEpisode.histologySubGroup.histologyNeuroendocrine</v>
      </c>
      <c r="J24" s="12" t="str">
        <f t="shared" si="8"/>
        <v>* group[=].element[=].display = ##34#Histology Neuroendocrine##34#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1442</v>
      </c>
      <c r="E25" s="12"/>
      <c r="F25" s="64" t="s">
        <v>1407</v>
      </c>
      <c r="G25" s="149" t="s">
        <v>2400</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1442</v>
      </c>
      <c r="E26" s="12"/>
      <c r="F26" s="64" t="s">
        <v>1407</v>
      </c>
      <c r="G26" s="149" t="s">
        <v>2400</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1442</v>
      </c>
      <c r="E27" s="12"/>
      <c r="F27" s="64" t="s">
        <v>1407</v>
      </c>
      <c r="G27" s="149" t="s">
        <v>2400</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1442</v>
      </c>
      <c r="E28" s="12"/>
      <c r="F28" s="64" t="s">
        <v>1407</v>
      </c>
      <c r="G28" s="149" t="s">
        <v>2400</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#Condition.code</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##34#To be checked, linked to the code since the concpet includes both morhphology and topography##34#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1442</v>
      </c>
      <c r="E29" s="12"/>
      <c r="F29" s="64" t="s">
        <v>1407</v>
      </c>
      <c r="G29" s="149" t="s">
        <v>2400</v>
      </c>
      <c r="H29" s="58"/>
      <c r="I29" s="12" t="str">
        <f t="shared" si="15"/>
        <v>* group[=].element[+].code = #CancerEpisode.histologySubGroup.hypopharynxSubsite</v>
      </c>
      <c r="J29" s="12" t="str">
        <f t="shared" si="16"/>
        <v>* group[=].element[=].display = ##34#Hypopharynx subsite##34#</v>
      </c>
      <c r="K29" s="12" t="str">
        <f t="shared" si="17"/>
        <v>* group[=].element[=].target.code = #Condition.code</v>
      </c>
      <c r="L29" s="12" t="str">
        <f t="shared" si="18"/>
        <v>* group[=].element[=].target.display = ##34###34#</v>
      </c>
      <c r="M29" s="12" t="str">
        <f t="shared" si="19"/>
        <v>* group[=].element[=].target.equivalence = #relatedto</v>
      </c>
      <c r="N29" s="12" t="str">
        <f t="shared" si="20"/>
        <v>* group[=].element[=].target.comment = ##34#To be checked, linked to the code since the concpet includes both morhphology and topography##34#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1442</v>
      </c>
      <c r="E30" s="12"/>
      <c r="F30" s="64" t="s">
        <v>1407</v>
      </c>
      <c r="G30" s="149" t="s">
        <v>2400</v>
      </c>
      <c r="H30" s="58"/>
      <c r="I30" s="12" t="str">
        <f t="shared" si="15"/>
        <v>* group[=].element[+].code = #CancerEpisode.histologySubGroup.oropharynxSubsite</v>
      </c>
      <c r="J30" s="12" t="str">
        <f t="shared" si="16"/>
        <v>* group[=].element[=].display = ##34#Oropharynx subsite##34#</v>
      </c>
      <c r="K30" s="12" t="str">
        <f t="shared" si="17"/>
        <v>* group[=].element[=].target.code = #Condition.code</v>
      </c>
      <c r="L30" s="12" t="str">
        <f t="shared" si="18"/>
        <v>* group[=].element[=].target.display = ##34###34#</v>
      </c>
      <c r="M30" s="12" t="str">
        <f t="shared" si="19"/>
        <v>* group[=].element[=].target.equivalence = #relatedto</v>
      </c>
      <c r="N30" s="12" t="str">
        <f t="shared" si="20"/>
        <v>* group[=].element[=].target.comment = ##34#To be checked, linked to the code since the concpet includes both morhphology and topography##34#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1442</v>
      </c>
      <c r="E31" s="12"/>
      <c r="F31" s="64" t="s">
        <v>1407</v>
      </c>
      <c r="G31" s="149" t="s">
        <v>2400</v>
      </c>
      <c r="H31" s="58"/>
      <c r="I31" s="12" t="str">
        <f t="shared" si="15"/>
        <v>* group[=].element[+].code = #CancerEpisode.histologySubGroup.larynxSubsite</v>
      </c>
      <c r="J31" s="12" t="str">
        <f t="shared" si="16"/>
        <v>* group[=].element[=].display = ##34#Larynx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1442</v>
      </c>
      <c r="E32" s="12"/>
      <c r="F32" s="64" t="s">
        <v>1407</v>
      </c>
      <c r="G32" s="149" t="s">
        <v>2400</v>
      </c>
      <c r="H32" s="58"/>
      <c r="I32" s="12" t="str">
        <f t="shared" si="15"/>
        <v>* group[=].element[+].code = #CancerEpisode.histologySubGroup.oralCavitySubsite</v>
      </c>
      <c r="J32" s="12" t="str">
        <f t="shared" si="16"/>
        <v>* group[=].element[=].display = ##34#Oral cavity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1442</v>
      </c>
      <c r="E33" s="12"/>
      <c r="F33" s="64" t="s">
        <v>1407</v>
      </c>
      <c r="G33" s="149" t="s">
        <v>2400</v>
      </c>
      <c r="H33" s="58"/>
      <c r="I33" s="12" t="str">
        <f t="shared" si="15"/>
        <v>* group[=].element[+].code = #CancerEpisode.histologySubGroup.lipSubsite</v>
      </c>
      <c r="J33" s="12" t="str">
        <f t="shared" si="16"/>
        <v>* group[=].element[=].display = ##34#Lip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1899</v>
      </c>
      <c r="E34" s="12"/>
      <c r="F34" s="64" t="s">
        <v>1407</v>
      </c>
      <c r="G34" s="141" t="s">
        <v>1902</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1900</v>
      </c>
      <c r="E35" s="12"/>
      <c r="F35" s="64" t="s">
        <v>1407</v>
      </c>
      <c r="G35" s="141" t="s">
        <v>1903</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1901</v>
      </c>
      <c r="E36" s="12"/>
      <c r="F36" s="64" t="s">
        <v>1407</v>
      </c>
      <c r="G36" s="141" t="s">
        <v>1904</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c r="P53" s="11">
        <v>39</v>
      </c>
      <c r="Q53" s="11">
        <f t="shared" si="13"/>
        <v>6</v>
      </c>
      <c r="R53" s="11">
        <f t="shared" si="14"/>
        <v>3</v>
      </c>
      <c r="S53" s="12" t="str" cm="1">
        <f t="array" ref="S53">INDEX('CancerEpisode-ConceptMap-1'!$I$15:$N$123,Q53+1,R53)</f>
        <v>* group[=].element[=].target.code = #Condition.code</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ht="29.5">
      <c r="P56" s="11">
        <v>42</v>
      </c>
      <c r="Q56" s="11">
        <f t="shared" si="21"/>
        <v>6</v>
      </c>
      <c r="R56" s="11">
        <f t="shared" si="22"/>
        <v>6</v>
      </c>
      <c r="S56" s="12" t="str" cm="1">
        <f t="array" ref="S56">INDEX('CancerEpisode-ConceptMap-1'!$I$15:$N$123,Q56+1,R56)</f>
        <v>* group[=].element[=].target.comment = ##34#To be checked, linked to the code since the concpet includes both morhphology and topography##34#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c r="P59" s="11">
        <v>45</v>
      </c>
      <c r="Q59" s="11">
        <f t="shared" si="21"/>
        <v>7</v>
      </c>
      <c r="R59" s="11">
        <f t="shared" si="22"/>
        <v>3</v>
      </c>
      <c r="S59" s="12" t="str" cm="1">
        <f t="array" ref="S59">INDEX('CancerEpisode-ConceptMap-1'!$I$15:$N$123,Q59+1,R59)</f>
        <v>* group[=].element[=].target.code = #Condition.code</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ht="29.5">
      <c r="P62" s="11">
        <v>48</v>
      </c>
      <c r="Q62" s="11">
        <f t="shared" si="21"/>
        <v>7</v>
      </c>
      <c r="R62" s="11">
        <f t="shared" si="22"/>
        <v>6</v>
      </c>
      <c r="S62" s="12" t="str" cm="1">
        <f t="array" ref="S62">INDEX('CancerEpisode-ConceptMap-1'!$I$15:$N$123,Q62+1,R62)</f>
        <v>* group[=].element[=].target.comment = ##34#To be checked, linked to the code since the concpet includes both morhphology and topography##34#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c r="P65" s="11">
        <v>51</v>
      </c>
      <c r="Q65" s="11">
        <f t="shared" si="21"/>
        <v>8</v>
      </c>
      <c r="R65" s="11">
        <f t="shared" si="22"/>
        <v>3</v>
      </c>
      <c r="S65" s="12" t="str" cm="1">
        <f t="array" ref="S65">INDEX('CancerEpisode-ConceptMap-1'!$I$15:$N$123,Q65+1,R65)</f>
        <v>* group[=].element[=].target.code = #Condition.code</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ht="29.5">
      <c r="P68" s="11">
        <v>54</v>
      </c>
      <c r="Q68" s="11">
        <f t="shared" si="21"/>
        <v>8</v>
      </c>
      <c r="R68" s="11">
        <f t="shared" si="22"/>
        <v>6</v>
      </c>
      <c r="S68" s="12" t="str" cm="1">
        <f t="array" ref="S68">INDEX('CancerEpisode-ConceptMap-1'!$I$15:$N$123,Q68+1,R68)</f>
        <v>* group[=].element[=].target.comment = ##34#To be checked, linked to the code since the concpet includes both morhphology and topography##34#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c r="P71" s="11">
        <v>57</v>
      </c>
      <c r="Q71" s="11">
        <f t="shared" si="21"/>
        <v>9</v>
      </c>
      <c r="R71" s="11">
        <f t="shared" si="22"/>
        <v>3</v>
      </c>
      <c r="S71" s="12" t="str" cm="1">
        <f t="array" ref="S71">INDEX('CancerEpisode-ConceptMap-1'!$I$15:$N$123,Q71+1,R71)</f>
        <v>* group[=].element[=].target.code = #Condition.code</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ht="29.5">
      <c r="P74" s="11">
        <v>60</v>
      </c>
      <c r="Q74" s="11">
        <f t="shared" si="21"/>
        <v>9</v>
      </c>
      <c r="R74" s="11">
        <f t="shared" si="22"/>
        <v>6</v>
      </c>
      <c r="S74" s="12" t="str" cm="1">
        <f t="array" ref="S74">INDEX('CancerEpisode-ConceptMap-1'!$I$15:$N$123,Q74+1,R74)</f>
        <v>* group[=].element[=].target.comment = ##34#To be checked, linked to the code since the concpet includes both morhphology and topography##34#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c r="P77" s="11">
        <v>63</v>
      </c>
      <c r="Q77" s="11">
        <f t="shared" si="21"/>
        <v>10</v>
      </c>
      <c r="R77" s="11">
        <f t="shared" si="22"/>
        <v>3</v>
      </c>
      <c r="S77" s="12" t="str" cm="1">
        <f t="array" ref="S77">INDEX('CancerEpisode-ConceptMap-1'!$I$15:$N$123,Q77+1,R77)</f>
        <v>* group[=].element[=].target.code = #Condition.code</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ht="29.5">
      <c r="P80" s="11">
        <v>66</v>
      </c>
      <c r="Q80" s="11">
        <f t="shared" si="21"/>
        <v>10</v>
      </c>
      <c r="R80" s="11">
        <f t="shared" si="22"/>
        <v>6</v>
      </c>
      <c r="S80" s="12" t="str" cm="1">
        <f t="array" ref="S80">INDEX('CancerEpisode-ConceptMap-1'!$I$15:$N$123,Q80+1,R80)</f>
        <v>* group[=].element[=].target.comment = ##34#To be checked, linked to the code since the concpet includes both morhphology and topography##34#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c r="P83" s="11">
        <v>69</v>
      </c>
      <c r="Q83" s="11">
        <f t="shared" si="21"/>
        <v>11</v>
      </c>
      <c r="R83" s="11">
        <f t="shared" si="22"/>
        <v>3</v>
      </c>
      <c r="S83" s="12" t="str" cm="1">
        <f t="array" ref="S83">INDEX('CancerEpisode-ConceptMap-1'!$I$15:$N$123,Q83+1,R83)</f>
        <v>* group[=].element[=].target.code = #Condition.code</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ht="29.5">
      <c r="P86" s="11">
        <v>72</v>
      </c>
      <c r="Q86" s="11">
        <f t="shared" si="21"/>
        <v>11</v>
      </c>
      <c r="R86" s="11">
        <f t="shared" si="22"/>
        <v>6</v>
      </c>
      <c r="S86" s="12" t="str" cm="1">
        <f t="array" ref="S86">INDEX('CancerEpisode-ConceptMap-1'!$I$15:$N$123,Q86+1,R86)</f>
        <v>* group[=].element[=].target.comment = ##34#To be checked, linked to the code since the concpet includes both morhphology and topography##34#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c r="P89" s="11">
        <v>75</v>
      </c>
      <c r="Q89" s="11">
        <f t="shared" si="21"/>
        <v>12</v>
      </c>
      <c r="R89" s="11">
        <f t="shared" si="22"/>
        <v>3</v>
      </c>
      <c r="S89" s="12" t="str" cm="1">
        <f t="array" ref="S89">INDEX('CancerEpisode-ConceptMap-1'!$I$15:$N$123,Q89+1,R89)</f>
        <v>* group[=].element[=].target.code = #Condition.code</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ht="29.5">
      <c r="P92" s="11">
        <v>78</v>
      </c>
      <c r="Q92" s="11">
        <f t="shared" si="21"/>
        <v>12</v>
      </c>
      <c r="R92" s="11">
        <f t="shared" si="22"/>
        <v>6</v>
      </c>
      <c r="S92" s="12" t="str" cm="1">
        <f t="array" ref="S92">INDEX('CancerEpisode-ConceptMap-1'!$I$15:$N$123,Q92+1,R92)</f>
        <v>* group[=].element[=].target.comment = ##34#To be checked, linked to the code since the concpet includes both morhphology and topography##34#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c r="P95" s="11">
        <v>81</v>
      </c>
      <c r="Q95" s="11">
        <f t="shared" si="21"/>
        <v>13</v>
      </c>
      <c r="R95" s="11">
        <f t="shared" si="22"/>
        <v>3</v>
      </c>
      <c r="S95" s="12" t="str" cm="1">
        <f t="array" ref="S95">INDEX('CancerEpisode-ConceptMap-1'!$I$15:$N$123,Q95+1,R95)</f>
        <v>* group[=].element[=].target.code = #Condition.code</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ht="29.5">
      <c r="P98" s="11">
        <v>84</v>
      </c>
      <c r="Q98" s="11">
        <f t="shared" si="21"/>
        <v>13</v>
      </c>
      <c r="R98" s="11">
        <f t="shared" si="22"/>
        <v>6</v>
      </c>
      <c r="S98" s="12" t="str" cm="1">
        <f t="array" ref="S98">INDEX('CancerEpisode-ConceptMap-1'!$I$15:$N$123,Q98+1,R98)</f>
        <v>* group[=].element[=].target.comment = ##34#To be checked, linked to the code since the concpet includes both morhphology and topography##34#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c r="P101" s="11">
        <v>87</v>
      </c>
      <c r="Q101" s="11">
        <f t="shared" si="21"/>
        <v>14</v>
      </c>
      <c r="R101" s="11">
        <f t="shared" si="22"/>
        <v>3</v>
      </c>
      <c r="S101" s="12" t="str" cm="1">
        <f t="array" ref="S101">INDEX('CancerEpisode-ConceptMap-1'!$I$15:$N$123,Q101+1,R101)</f>
        <v>* group[=].element[=].target.code = #Condition.code</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ht="29.5">
      <c r="P104" s="11">
        <v>90</v>
      </c>
      <c r="Q104" s="11">
        <f t="shared" si="21"/>
        <v>14</v>
      </c>
      <c r="R104" s="11">
        <f t="shared" si="22"/>
        <v>6</v>
      </c>
      <c r="S104" s="12" t="str" cm="1">
        <f t="array" ref="S104">INDEX('CancerEpisode-ConceptMap-1'!$I$15:$N$123,Q104+1,R104)</f>
        <v>* group[=].element[=].target.comment = ##34#To be checked, linked to the code since the concpet includes both morhphology and topography##34#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c r="P107" s="11">
        <v>93</v>
      </c>
      <c r="Q107" s="11">
        <f t="shared" si="21"/>
        <v>15</v>
      </c>
      <c r="R107" s="11">
        <f t="shared" si="22"/>
        <v>3</v>
      </c>
      <c r="S107" s="12" t="str" cm="1">
        <f t="array" ref="S107">INDEX('CancerEpisode-ConceptMap-1'!$I$15:$N$123,Q107+1,R107)</f>
        <v>* group[=].element[=].target.code = #Condition.code</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ht="29.5">
      <c r="P110" s="11">
        <v>96</v>
      </c>
      <c r="Q110" s="11">
        <f t="shared" si="21"/>
        <v>15</v>
      </c>
      <c r="R110" s="11">
        <f t="shared" si="22"/>
        <v>6</v>
      </c>
      <c r="S110" s="12" t="str" cm="1">
        <f t="array" ref="S110">INDEX('CancerEpisode-ConceptMap-1'!$I$15:$N$123,Q110+1,R110)</f>
        <v>* group[=].element[=].target.comment = ##34#To be checked, linked to the code since the concpet includes both morhphology and topography##34#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c r="P113" s="11">
        <v>99</v>
      </c>
      <c r="Q113" s="11">
        <f t="shared" si="21"/>
        <v>16</v>
      </c>
      <c r="R113" s="11">
        <f t="shared" si="22"/>
        <v>3</v>
      </c>
      <c r="S113" s="12" t="str" cm="1">
        <f t="array" ref="S113">INDEX('CancerEpisode-ConceptMap-1'!$I$15:$N$123,Q113+1,R113)</f>
        <v>* group[=].element[=].target.code = #Condition.code</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ht="29.5">
      <c r="P116" s="11">
        <v>102</v>
      </c>
      <c r="Q116" s="11">
        <f t="shared" si="21"/>
        <v>16</v>
      </c>
      <c r="R116" s="11">
        <f t="shared" si="22"/>
        <v>6</v>
      </c>
      <c r="S116" s="12" t="str" cm="1">
        <f t="array" ref="S116">INDEX('CancerEpisode-ConceptMap-1'!$I$15:$N$123,Q116+1,R116)</f>
        <v>* group[=].element[=].target.comment = ##34#To be checked, linked to the code since the concpet includes both morhphology and topography##34#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c r="P119" s="11">
        <v>105</v>
      </c>
      <c r="Q119" s="11">
        <f t="shared" si="23"/>
        <v>17</v>
      </c>
      <c r="R119" s="11">
        <f t="shared" si="24"/>
        <v>3</v>
      </c>
      <c r="S119" s="12" t="str" cm="1">
        <f t="array" ref="S119">INDEX('CancerEpisode-ConceptMap-1'!$I$15:$N$123,Q119+1,R119)</f>
        <v>* group[=].element[=].target.code = #Condition.code</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ht="29.5">
      <c r="P122" s="11">
        <v>108</v>
      </c>
      <c r="Q122" s="11">
        <f t="shared" si="23"/>
        <v>17</v>
      </c>
      <c r="R122" s="11">
        <f t="shared" si="24"/>
        <v>6</v>
      </c>
      <c r="S122" s="12" t="str" cm="1">
        <f t="array" ref="S122">INDEX('CancerEpisode-ConceptMap-1'!$I$15:$N$123,Q122+1,R122)</f>
        <v>* group[=].element[=].target.comment = ##34#To be checked, linked to the code since the concpet includes both morhphology and topography##34#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c r="P125" s="11">
        <v>111</v>
      </c>
      <c r="Q125" s="11">
        <f t="shared" si="23"/>
        <v>18</v>
      </c>
      <c r="R125" s="11">
        <f t="shared" si="24"/>
        <v>3</v>
      </c>
      <c r="S125" s="12" t="str" cm="1">
        <f t="array" ref="S125">INDEX('CancerEpisode-ConceptMap-1'!$I$15:$N$123,Q125+1,R125)</f>
        <v>* group[=].element[=].target.code = #Condition.code</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ht="29.5">
      <c r="P128" s="11">
        <v>114</v>
      </c>
      <c r="Q128" s="11">
        <f t="shared" si="23"/>
        <v>18</v>
      </c>
      <c r="R128" s="11">
        <f t="shared" si="24"/>
        <v>6</v>
      </c>
      <c r="S128" s="12" t="str" cm="1">
        <f t="array" ref="S128">INDEX('CancerEpisode-ConceptMap-1'!$I$15:$N$123,Q128+1,R128)</f>
        <v>* group[=].element[=].target.comment = ##34#To be checked, linked to the code since the concpet includes both morhphology and topography##34#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9" t="str">
        <f>E3</f>
        <v>http://hl7.eu/fhir/ig/idea4rc/StructureDefinition/CancerEpisode</v>
      </c>
      <c r="F6" s="170"/>
      <c r="G6" s="170"/>
    </row>
    <row r="7" spans="1:19">
      <c r="B7" s="62" t="s">
        <v>15</v>
      </c>
      <c r="C7" s="119"/>
      <c r="D7" s="62" t="s">
        <v>1794</v>
      </c>
      <c r="E7" s="169" t="s">
        <v>1893</v>
      </c>
      <c r="F7" s="170"/>
      <c r="G7" s="170"/>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1895</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1894</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#Condition.code</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##34#To be checked, linked to the code since the concpet includes both morhphology and topography##34#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#Condition.code</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##34#To be checked, linked to the code since the concpet includes both morhphology and topography##34#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#Condition.code</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##34#To be checked, linked to the code since the concpet includes both morhphology and topography##34#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#Condition.code</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##34#To be checked, linked to the code since the concpet includes both morhphology and topography##34#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#Condition.code</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##34#To be checked, linked to the code since the concpet includes both morhphology and topography##34#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#Condition.code</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##34#To be checked, linked to the code since the concpet includes both morhphology and topography##34#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#Condition.code</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##34#To be checked, linked to the code since the concpet includes both morhphology and topography##34#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#Condition.code</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##34#To be checked, linked to the code since the concpet includes both morhphology and topography##34#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#Condition.code</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##34#To be checked, linked to the code since the concpet includes both morhphology and topography##34#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#Condition.code</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##34#To be checked, linked to the code since the concpet includes both morhphology and topography##34#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#Condition.code</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##34#To be checked, linked to the code since the concpet includes both morhphology and topography##34#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#Condition.code</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##34#To be checked, linked to the code since the concpet includes both morhphology and topography##34#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#Condition.code</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##34#To be checked, linked to the code since the concpet includes both morhphology and topography##34#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zoomScale="145" zoomScaleNormal="145"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1897</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69" t="s">
        <v>1896</v>
      </c>
      <c r="F4" s="170"/>
      <c r="G4" s="170"/>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1896</v>
      </c>
      <c r="F7" s="170"/>
      <c r="G7" s="170"/>
    </row>
    <row r="8" spans="1:19" ht="44.25">
      <c r="B8" s="62" t="s">
        <v>1795</v>
      </c>
      <c r="C8" s="103" t="s">
        <v>1871</v>
      </c>
      <c r="D8" s="62"/>
      <c r="E8"/>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1874</v>
      </c>
      <c r="E15" s="12"/>
      <c r="F15" s="64" t="s">
        <v>1429</v>
      </c>
      <c r="G15" s="124" t="s">
        <v>1873</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1875</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1876</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1877</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88.5">
      <c r="A15" s="59"/>
      <c r="B15" s="11" t="str">
        <f>Subject!B11</f>
        <v>smoking</v>
      </c>
      <c r="C15" s="11" t="str">
        <f>Subject!C11</f>
        <v>Smoking</v>
      </c>
      <c r="D15" s="12" t="s">
        <v>1880</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1879</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1881</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1882</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1883</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73.75">
      <c r="A15" s="59"/>
      <c r="B15" s="11" t="str">
        <f>Subject!B15</f>
        <v>alcohol</v>
      </c>
      <c r="C15" s="11" t="str">
        <f>Subject!C15</f>
        <v>Alcohol</v>
      </c>
      <c r="D15" s="12" t="s">
        <v>1884</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1885</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1886</v>
      </c>
      <c r="E16" s="11"/>
      <c r="F16" s="64" t="s">
        <v>1407</v>
      </c>
      <c r="G16" s="124" t="s">
        <v>1888</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1886</v>
      </c>
      <c r="E17" s="11"/>
      <c r="F17" s="64" t="s">
        <v>1429</v>
      </c>
      <c r="G17" s="124" t="s">
        <v>1887</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1886</v>
      </c>
      <c r="E18" s="11"/>
      <c r="F18" s="64" t="s">
        <v>1429</v>
      </c>
      <c r="G18" s="124" t="s">
        <v>1887</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1886</v>
      </c>
      <c r="E19" s="11"/>
      <c r="F19" s="64" t="s">
        <v>1429</v>
      </c>
      <c r="G19" s="124" t="s">
        <v>1887</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1886</v>
      </c>
      <c r="E20" s="11"/>
      <c r="F20" s="64" t="s">
        <v>1429</v>
      </c>
      <c r="G20" s="124" t="s">
        <v>1887</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1886</v>
      </c>
      <c r="E21" s="11"/>
      <c r="F21" s="64" t="s">
        <v>1429</v>
      </c>
      <c r="G21" s="124" t="s">
        <v>1887</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1886</v>
      </c>
      <c r="E22" s="11"/>
      <c r="F22" s="64" t="s">
        <v>1429</v>
      </c>
      <c r="G22" s="124" t="s">
        <v>1887</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1886</v>
      </c>
      <c r="E23" s="11"/>
      <c r="F23" s="64" t="s">
        <v>1429</v>
      </c>
      <c r="G23" s="124" t="s">
        <v>1887</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1886</v>
      </c>
      <c r="E24" s="11"/>
      <c r="F24" s="64" t="s">
        <v>1429</v>
      </c>
      <c r="G24" s="124" t="s">
        <v>1887</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1886</v>
      </c>
      <c r="E25" s="12"/>
      <c r="F25" s="64" t="s">
        <v>1429</v>
      </c>
      <c r="G25" s="124" t="s">
        <v>1887</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1886</v>
      </c>
      <c r="E26" s="12"/>
      <c r="F26" s="64" t="s">
        <v>1429</v>
      </c>
      <c r="G26" s="124" t="s">
        <v>1887</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1886</v>
      </c>
      <c r="E27" s="12"/>
      <c r="F27" s="64" t="s">
        <v>1429</v>
      </c>
      <c r="G27" s="124" t="s">
        <v>1887</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1886</v>
      </c>
      <c r="E28" s="12"/>
      <c r="F28" s="64" t="s">
        <v>1429</v>
      </c>
      <c r="G28" s="124" t="s">
        <v>1887</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1886</v>
      </c>
      <c r="E29" s="12"/>
      <c r="F29" s="64" t="s">
        <v>1429</v>
      </c>
      <c r="G29" s="124" t="s">
        <v>1887</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1886</v>
      </c>
      <c r="E30" s="12"/>
      <c r="F30" s="64" t="s">
        <v>1429</v>
      </c>
      <c r="G30" s="124" t="s">
        <v>1887</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1886</v>
      </c>
      <c r="E31" s="12"/>
      <c r="F31" s="64" t="s">
        <v>1429</v>
      </c>
      <c r="G31" s="124" t="s">
        <v>1887</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1886</v>
      </c>
      <c r="E32" s="12"/>
      <c r="F32" s="64" t="s">
        <v>1429</v>
      </c>
      <c r="G32" s="124" t="s">
        <v>1887</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1886</v>
      </c>
      <c r="E33" s="12"/>
      <c r="F33" s="64" t="s">
        <v>1429</v>
      </c>
      <c r="G33" s="124" t="s">
        <v>1887</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1886</v>
      </c>
      <c r="E34" s="12"/>
      <c r="F34" s="64" t="s">
        <v>1429</v>
      </c>
      <c r="G34" s="124" t="s">
        <v>1887</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1886</v>
      </c>
      <c r="E35" s="12"/>
      <c r="F35" s="64" t="s">
        <v>1429</v>
      </c>
      <c r="G35" s="124" t="s">
        <v>1887</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1889</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Subject!B38</f>
        <v>karnofsyIndexAtDiagnosis</v>
      </c>
      <c r="C15" s="11" t="str">
        <f>Subject!C38</f>
        <v>Karnofsy index at diagnosis</v>
      </c>
      <c r="D15" s="12" t="s">
        <v>1890</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1891</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1890</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1892</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45" zoomScaleNormal="145"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2386</v>
      </c>
      <c r="J4" s="16" t="str">
        <f>CONCATENATE("Logical: ",B4)</f>
        <v>Logical: EpisodeEventI4rc</v>
      </c>
    </row>
    <row r="5" spans="1:12" ht="19.899999999999999" customHeight="1">
      <c r="A5" s="14" t="s">
        <v>16</v>
      </c>
      <c r="B5" s="46" t="s">
        <v>1983</v>
      </c>
      <c r="J5" s="16" t="str">
        <f>CONCATENATE("Id: ",B5)</f>
        <v>Id: EpisodeEvent</v>
      </c>
    </row>
    <row r="6" spans="1:12" ht="19.899999999999999" customHeight="1">
      <c r="A6" s="14" t="s">
        <v>10</v>
      </c>
      <c r="B6" s="47" t="s">
        <v>1923</v>
      </c>
      <c r="J6" s="17" t="str">
        <f>CONCATENATE("Title: ##34#",B6,"##34#")</f>
        <v>Title: ##34#Episode Event##34#</v>
      </c>
    </row>
    <row r="7" spans="1:12" ht="19.899999999999999" customHeight="1">
      <c r="A7" s="26" t="s">
        <v>2</v>
      </c>
      <c r="B7" s="47" t="s">
        <v>1923</v>
      </c>
      <c r="C7" s="9" t="s">
        <v>3</v>
      </c>
      <c r="D7" s="1" t="s">
        <v>4</v>
      </c>
      <c r="E7" s="3" t="s">
        <v>5</v>
      </c>
      <c r="F7" s="3" t="s">
        <v>6</v>
      </c>
      <c r="G7" s="3" t="s">
        <v>7</v>
      </c>
      <c r="H7" s="105" t="s">
        <v>1610</v>
      </c>
      <c r="J7" s="17" t="str">
        <f>CONCATENATE("Description: "," ##334#",B7,"##334#",)</f>
        <v>Description:  ##334#Episode Event##334#</v>
      </c>
    </row>
    <row r="8" spans="1:12" ht="20.25" customHeight="1">
      <c r="A8" s="100">
        <v>0</v>
      </c>
      <c r="B8" s="57" t="s">
        <v>1984</v>
      </c>
      <c r="C8" s="11" t="s">
        <v>1956</v>
      </c>
      <c r="D8" s="11" t="s">
        <v>1957</v>
      </c>
      <c r="E8" s="11">
        <v>1</v>
      </c>
      <c r="F8" s="11">
        <v>1</v>
      </c>
      <c r="G8" t="s">
        <v>2001</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1998</v>
      </c>
      <c r="C9" s="11" t="s">
        <v>1958</v>
      </c>
      <c r="D9" s="11" t="s">
        <v>1959</v>
      </c>
      <c r="E9" s="11">
        <v>1</v>
      </c>
      <c r="F9" s="11">
        <v>1</v>
      </c>
      <c r="G9" s="57" t="s">
        <v>1786</v>
      </c>
      <c r="H9" s="12" t="s">
        <v>1980</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1999</v>
      </c>
      <c r="C10" s="11" t="s">
        <v>1960</v>
      </c>
      <c r="D10" s="12" t="s">
        <v>1961</v>
      </c>
      <c r="E10" s="11">
        <v>0</v>
      </c>
      <c r="F10" s="11">
        <v>1</v>
      </c>
      <c r="G10" s="57" t="s">
        <v>1786</v>
      </c>
      <c r="H10" s="12" t="s">
        <v>1981</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2000</v>
      </c>
      <c r="C11" s="11" t="s">
        <v>1962</v>
      </c>
      <c r="D11" s="11" t="s">
        <v>1963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1995</v>
      </c>
      <c r="C12" s="11" t="s">
        <v>1964</v>
      </c>
      <c r="D12" s="11" t="s">
        <v>1965</v>
      </c>
      <c r="E12" s="11">
        <v>0</v>
      </c>
      <c r="F12" s="11">
        <v>1</v>
      </c>
      <c r="G12" s="57" t="s">
        <v>1786</v>
      </c>
      <c r="H12" s="12" t="s">
        <v>1982</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1996</v>
      </c>
      <c r="C13" s="11" t="s">
        <v>1966</v>
      </c>
      <c r="D13" s="12" t="s">
        <v>1967</v>
      </c>
      <c r="E13" s="11">
        <v>0</v>
      </c>
      <c r="F13" s="11">
        <v>1</v>
      </c>
      <c r="G13" s="57" t="s">
        <v>1786</v>
      </c>
      <c r="H13" s="12" t="s">
        <v>1982</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1997</v>
      </c>
      <c r="C14" s="11" t="s">
        <v>1968</v>
      </c>
      <c r="D14" s="12" t="s">
        <v>1969</v>
      </c>
      <c r="E14" s="11">
        <v>0</v>
      </c>
      <c r="F14" s="11">
        <v>1</v>
      </c>
      <c r="G14" s="57" t="s">
        <v>1786</v>
      </c>
      <c r="H14" s="12" t="s">
        <v>1982</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2003</v>
      </c>
      <c r="C15" s="6" t="s">
        <v>2004</v>
      </c>
      <c r="D15" s="6" t="s">
        <v>2004</v>
      </c>
      <c r="E15" s="11">
        <v>0</v>
      </c>
      <c r="F15" s="11">
        <v>1</v>
      </c>
      <c r="G15" s="144" t="s">
        <v>1</v>
      </c>
      <c r="H15" s="4"/>
      <c r="I15" s="25"/>
      <c r="J15" s="12" t="str">
        <f t="shared" si="1"/>
        <v>* siteOfMetastasis 0..1 BackboneElement ##34#Site of metastasis##34# ##334#Site of metastasis##334#</v>
      </c>
      <c r="L15" s="12" t="str">
        <f t="shared" si="2"/>
        <v/>
      </c>
    </row>
    <row r="16" spans="1:12" ht="19.899999999999999" customHeight="1">
      <c r="A16" s="153">
        <v>7</v>
      </c>
      <c r="B16" s="57" t="s">
        <v>1985</v>
      </c>
      <c r="C16" s="11" t="s">
        <v>1970</v>
      </c>
      <c r="D16" s="12" t="s">
        <v>1625</v>
      </c>
      <c r="E16" s="11">
        <v>0</v>
      </c>
      <c r="F16" s="11">
        <v>1</v>
      </c>
      <c r="G16" s="57" t="s">
        <v>157</v>
      </c>
      <c r="H16" s="12" t="s">
        <v>1912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3">
        <v>8</v>
      </c>
      <c r="B17" s="57" t="s">
        <v>1992</v>
      </c>
      <c r="C17" s="11" t="s">
        <v>1971</v>
      </c>
      <c r="D17" s="12" t="s">
        <v>1627</v>
      </c>
      <c r="E17" s="11">
        <v>0</v>
      </c>
      <c r="F17" s="11">
        <v>1</v>
      </c>
      <c r="G17" s="57" t="s">
        <v>157</v>
      </c>
      <c r="H17" s="12" t="s">
        <v>1912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3">
        <v>9</v>
      </c>
      <c r="B18" s="57" t="s">
        <v>1988</v>
      </c>
      <c r="C18" s="11" t="s">
        <v>1972</v>
      </c>
      <c r="D18" s="12" t="s">
        <v>1629</v>
      </c>
      <c r="E18" s="11">
        <v>0</v>
      </c>
      <c r="F18" s="11">
        <v>1</v>
      </c>
      <c r="G18" s="57" t="s">
        <v>157</v>
      </c>
      <c r="H18" s="12" t="s">
        <v>1912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3">
        <v>10</v>
      </c>
      <c r="B19" s="57" t="s">
        <v>1986</v>
      </c>
      <c r="C19" s="11" t="s">
        <v>1973</v>
      </c>
      <c r="D19" s="11" t="s">
        <v>1631</v>
      </c>
      <c r="E19" s="11">
        <v>0</v>
      </c>
      <c r="F19" s="11">
        <v>1</v>
      </c>
      <c r="G19" s="57" t="s">
        <v>157</v>
      </c>
      <c r="H19" s="12" t="s">
        <v>1912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3">
        <v>11</v>
      </c>
      <c r="B20" s="57" t="s">
        <v>1989</v>
      </c>
      <c r="C20" s="11" t="s">
        <v>1974</v>
      </c>
      <c r="D20" s="11" t="s">
        <v>1633</v>
      </c>
      <c r="E20" s="11">
        <v>0</v>
      </c>
      <c r="F20" s="11">
        <v>1</v>
      </c>
      <c r="G20" s="57" t="s">
        <v>157</v>
      </c>
      <c r="H20" s="12" t="s">
        <v>1912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3">
        <v>12</v>
      </c>
      <c r="B21" s="57" t="s">
        <v>1990</v>
      </c>
      <c r="C21" s="11" t="s">
        <v>1975</v>
      </c>
      <c r="D21" s="11" t="s">
        <v>1635</v>
      </c>
      <c r="E21" s="11">
        <v>0</v>
      </c>
      <c r="F21" s="11">
        <v>1</v>
      </c>
      <c r="G21" s="57" t="s">
        <v>157</v>
      </c>
      <c r="H21" s="12" t="s">
        <v>1912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3">
        <v>13</v>
      </c>
      <c r="B22" s="57" t="s">
        <v>1991</v>
      </c>
      <c r="C22" s="11" t="s">
        <v>1976</v>
      </c>
      <c r="D22" s="11" t="s">
        <v>1637</v>
      </c>
      <c r="E22" s="11">
        <v>0</v>
      </c>
      <c r="F22" s="11">
        <v>1</v>
      </c>
      <c r="G22" s="57" t="s">
        <v>157</v>
      </c>
      <c r="H22" s="12" t="s">
        <v>1912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3">
        <v>14</v>
      </c>
      <c r="B23" s="57" t="s">
        <v>1987</v>
      </c>
      <c r="C23" s="11" t="s">
        <v>1977</v>
      </c>
      <c r="D23" s="11" t="s">
        <v>1639</v>
      </c>
      <c r="E23" s="11">
        <v>0</v>
      </c>
      <c r="F23" s="11">
        <v>1</v>
      </c>
      <c r="G23" s="57" t="s">
        <v>157</v>
      </c>
      <c r="H23" s="12" t="s">
        <v>1912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3">
        <v>15</v>
      </c>
      <c r="B24" s="57" t="s">
        <v>1993</v>
      </c>
      <c r="C24" s="11" t="s">
        <v>1978</v>
      </c>
      <c r="D24" s="12" t="s">
        <v>1641</v>
      </c>
      <c r="E24" s="11">
        <v>0</v>
      </c>
      <c r="F24" s="11">
        <v>1</v>
      </c>
      <c r="G24" s="57" t="s">
        <v>157</v>
      </c>
      <c r="H24" s="12" t="s">
        <v>1912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3">
        <v>16</v>
      </c>
      <c r="B25" s="57" t="s">
        <v>1994</v>
      </c>
      <c r="C25" s="11" t="s">
        <v>1979</v>
      </c>
      <c r="D25" s="12" t="s">
        <v>1643</v>
      </c>
      <c r="E25" s="11">
        <v>0</v>
      </c>
      <c r="F25" s="11">
        <v>1</v>
      </c>
      <c r="G25" s="57" t="s">
        <v>157</v>
      </c>
      <c r="H25" s="12" t="s">
        <v>1912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2">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2002</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2015</v>
      </c>
      <c r="D3" s="62" t="s">
        <v>1791</v>
      </c>
      <c r="E3" s="118" t="str">
        <f>$C$1&amp;EpisodeEvent!B4</f>
        <v>http://hl7.eu/fhir/ig/idea4rc/StructureDefinition/EpisodeEventI4rc</v>
      </c>
    </row>
    <row r="4" spans="1:19">
      <c r="B4" s="62" t="s">
        <v>16</v>
      </c>
      <c r="C4" s="28" t="s">
        <v>2020</v>
      </c>
      <c r="D4" s="62" t="s">
        <v>1792</v>
      </c>
      <c r="E4" s="169" t="s">
        <v>1804</v>
      </c>
      <c r="F4" s="170"/>
      <c r="G4" s="170"/>
    </row>
    <row r="5" spans="1:19">
      <c r="B5" s="62" t="s">
        <v>10</v>
      </c>
      <c r="C5" s="7" t="s">
        <v>2016</v>
      </c>
      <c r="D5" s="62"/>
      <c r="E5" s="7"/>
    </row>
    <row r="6" spans="1:19">
      <c r="B6" s="62" t="s">
        <v>18</v>
      </c>
      <c r="C6" s="56"/>
      <c r="D6" s="62" t="s">
        <v>1793</v>
      </c>
      <c r="E6" s="169" t="str">
        <f>E3</f>
        <v>http://hl7.eu/fhir/ig/idea4rc/StructureDefinition/EpisodeEventI4rc</v>
      </c>
      <c r="F6" s="170"/>
      <c r="G6" s="170"/>
    </row>
    <row r="7" spans="1:19">
      <c r="B7" s="62" t="s">
        <v>15</v>
      </c>
      <c r="C7" s="119"/>
      <c r="D7" s="62" t="s">
        <v>1794</v>
      </c>
      <c r="E7" s="169" t="s">
        <v>1804</v>
      </c>
      <c r="F7" s="170"/>
      <c r="G7" s="170"/>
    </row>
    <row r="8" spans="1:19" ht="45" thickBot="1">
      <c r="B8" s="62" t="s">
        <v>1795</v>
      </c>
      <c r="C8" s="120" t="s">
        <v>2016</v>
      </c>
      <c r="D8" s="62"/>
      <c r="E8" s="7"/>
      <c r="I8" s="12" t="s">
        <v>1402</v>
      </c>
      <c r="J8" s="12" t="s">
        <v>1403</v>
      </c>
      <c r="K8" s="12" t="s">
        <v>1404</v>
      </c>
      <c r="L8" s="12" t="s">
        <v>1405</v>
      </c>
      <c r="M8" s="11" t="s">
        <v>1406</v>
      </c>
      <c r="P8" s="49" t="s">
        <v>1441</v>
      </c>
      <c r="Q8" s="49">
        <v>6</v>
      </c>
    </row>
    <row r="9" spans="1:19" ht="30.25" thickBot="1">
      <c r="B9" s="62" t="s">
        <v>1796</v>
      </c>
      <c r="C9" s="12" t="s">
        <v>2017</v>
      </c>
      <c r="D9" s="146"/>
      <c r="E9" s="171" t="s">
        <v>2026</v>
      </c>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2006</v>
      </c>
      <c r="E15" s="12"/>
      <c r="F15" s="64" t="s">
        <v>1429</v>
      </c>
      <c r="G15" s="124" t="s">
        <v>2024</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2025</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2007</v>
      </c>
      <c r="E17" s="12"/>
      <c r="F17" s="64" t="s">
        <v>1407</v>
      </c>
      <c r="G17" s="124" t="s">
        <v>2008</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2009</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2010</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2011</v>
      </c>
      <c r="E20" s="12"/>
      <c r="F20" s="64" t="s">
        <v>1407</v>
      </c>
      <c r="G20" s="145" t="s">
        <v>2012</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2011</v>
      </c>
      <c r="E21" s="12"/>
      <c r="F21" s="64" t="s">
        <v>1407</v>
      </c>
      <c r="G21" s="145" t="s">
        <v>2012</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2011</v>
      </c>
      <c r="E22" s="12"/>
      <c r="F22" s="64" t="s">
        <v>1407</v>
      </c>
      <c r="G22" s="145" t="s">
        <v>2012</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2013</v>
      </c>
      <c r="E23" s="11"/>
      <c r="F23" s="64" t="s">
        <v>1407</v>
      </c>
      <c r="G23" s="124" t="s">
        <v>2014</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2013</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2013</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2013</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2013</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2013</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2013</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2013</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2013</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2013</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2013</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2018</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2387</v>
      </c>
      <c r="J4" s="16" t="str">
        <f>CONCATENATE("Logical: ",B4)</f>
        <v>Logical: ClinicalStageI4rc</v>
      </c>
    </row>
    <row r="5" spans="1:12" ht="19.899999999999999" customHeight="1">
      <c r="A5" s="14" t="s">
        <v>16</v>
      </c>
      <c r="B5" s="46" t="s">
        <v>1919</v>
      </c>
      <c r="J5" s="16" t="str">
        <f>CONCATENATE("Id: ",B5)</f>
        <v>Id: ClinicalStage</v>
      </c>
    </row>
    <row r="6" spans="1:12" ht="19.899999999999999" customHeight="1">
      <c r="A6" s="14" t="s">
        <v>10</v>
      </c>
      <c r="B6" s="47" t="s">
        <v>1920</v>
      </c>
      <c r="J6" s="17" t="str">
        <f>CONCATENATE("Title: ##34#",B6,"##34#")</f>
        <v>Title: ##34#Clinical Stage##34#</v>
      </c>
    </row>
    <row r="7" spans="1:12" ht="19.899999999999999" customHeight="1">
      <c r="A7" s="26" t="s">
        <v>2</v>
      </c>
      <c r="B7" s="104" t="s">
        <v>1920</v>
      </c>
      <c r="C7" s="9" t="s">
        <v>3</v>
      </c>
      <c r="D7" s="1" t="s">
        <v>4</v>
      </c>
      <c r="E7" s="3" t="s">
        <v>5</v>
      </c>
      <c r="F7" s="3" t="s">
        <v>6</v>
      </c>
      <c r="G7" s="3" t="s">
        <v>7</v>
      </c>
      <c r="H7" s="105" t="s">
        <v>1610</v>
      </c>
      <c r="J7" s="17" t="str">
        <f>CONCATENATE("Description: "," ##334#",B7,"##334#",)</f>
        <v>Description:  ##334#Clinical Stage##334#</v>
      </c>
    </row>
    <row r="8" spans="1:12" ht="20.25" customHeight="1">
      <c r="A8" s="100">
        <v>0</v>
      </c>
      <c r="B8" s="57" t="s">
        <v>1922</v>
      </c>
      <c r="C8" s="11" t="s">
        <v>1923</v>
      </c>
      <c r="D8" s="11" t="s">
        <v>1908</v>
      </c>
      <c r="E8" s="11">
        <v>1</v>
      </c>
      <c r="F8" s="11">
        <v>1</v>
      </c>
      <c r="G8" t="s">
        <v>2005</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1913</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1914</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3" t="s">
        <v>1954</v>
      </c>
      <c r="C11" s="11" t="s">
        <v>1909</v>
      </c>
      <c r="D11" s="11" t="s">
        <v>1910</v>
      </c>
      <c r="E11" s="11">
        <v>1</v>
      </c>
      <c r="F11" s="11">
        <v>1</v>
      </c>
      <c r="G11" s="57" t="s">
        <v>1786</v>
      </c>
      <c r="H11" s="12" t="s">
        <v>1915</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1916</v>
      </c>
      <c r="I12" s="25"/>
      <c r="J12" s="12" t="str">
        <f t="shared" si="0"/>
        <v>* cM 1..1 CodeableConcept ##34#cM##34# ##334#Specifies the clinical M##334#</v>
      </c>
      <c r="L12" s="12" t="str">
        <f t="shared" si="1"/>
        <v>* cM ^comment = ##334#M0; M1;M0 -  4149726
M1 - 4205430##334#</v>
      </c>
    </row>
    <row r="13" spans="1:12" ht="45.25" customHeight="1">
      <c r="A13" s="100">
        <v>5</v>
      </c>
      <c r="B13" s="57" t="s">
        <v>1921</v>
      </c>
      <c r="C13" s="11" t="s">
        <v>1620</v>
      </c>
      <c r="D13" s="12" t="s">
        <v>1621</v>
      </c>
      <c r="E13" s="11">
        <v>1</v>
      </c>
      <c r="F13" s="11">
        <v>1</v>
      </c>
      <c r="G13" s="57" t="s">
        <v>1786</v>
      </c>
      <c r="H13" s="12" t="s">
        <v>1917</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1918</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3">
        <v>7</v>
      </c>
      <c r="B15" s="57" t="s">
        <v>1648</v>
      </c>
      <c r="C15" s="11" t="s">
        <v>1624</v>
      </c>
      <c r="D15" s="12" t="s">
        <v>1625</v>
      </c>
      <c r="E15" s="11">
        <v>0</v>
      </c>
      <c r="F15" s="11">
        <v>1</v>
      </c>
      <c r="G15" s="57" t="s">
        <v>157</v>
      </c>
      <c r="H15" s="12" t="s">
        <v>1912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3">
        <v>8</v>
      </c>
      <c r="B16" s="57" t="s">
        <v>1649</v>
      </c>
      <c r="C16" s="11" t="s">
        <v>1626</v>
      </c>
      <c r="D16" s="12" t="s">
        <v>1627</v>
      </c>
      <c r="E16" s="11">
        <v>0</v>
      </c>
      <c r="F16" s="11">
        <v>1</v>
      </c>
      <c r="G16" s="57" t="s">
        <v>157</v>
      </c>
      <c r="H16" s="12" t="s">
        <v>1912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3">
        <v>9</v>
      </c>
      <c r="B17" s="57" t="s">
        <v>1628</v>
      </c>
      <c r="C17" s="11" t="s">
        <v>1628</v>
      </c>
      <c r="D17" s="12" t="s">
        <v>1629</v>
      </c>
      <c r="E17" s="11">
        <v>0</v>
      </c>
      <c r="F17" s="11">
        <v>1</v>
      </c>
      <c r="G17" s="57" t="s">
        <v>157</v>
      </c>
      <c r="H17" s="12" t="s">
        <v>1912</v>
      </c>
      <c r="I17" s="25"/>
      <c r="J17" s="12" t="str">
        <f t="shared" si="0"/>
        <v>* lung 0..1 boolean ##34#lung##34# ##334#Describes if site of metastasic disease  is lung##334#</v>
      </c>
      <c r="L17" s="12" t="str">
        <f t="shared" si="1"/>
        <v>* lung ^comment = ##334#True; False##334#</v>
      </c>
    </row>
    <row r="18" spans="1:13" ht="19.899999999999999" customHeight="1">
      <c r="A18" s="153">
        <v>10</v>
      </c>
      <c r="B18" s="57" t="s">
        <v>1630</v>
      </c>
      <c r="C18" s="11" t="s">
        <v>1630</v>
      </c>
      <c r="D18" s="11" t="s">
        <v>1631</v>
      </c>
      <c r="E18" s="11">
        <v>0</v>
      </c>
      <c r="F18" s="11">
        <v>1</v>
      </c>
      <c r="G18" s="57" t="s">
        <v>157</v>
      </c>
      <c r="H18" s="12" t="s">
        <v>1912</v>
      </c>
      <c r="J18" s="12" t="str">
        <f t="shared" si="0"/>
        <v>* bone 0..1 boolean ##34#bone##34# ##334#Describes if site of metastasic disease  is bone##334#</v>
      </c>
      <c r="L18" s="12" t="str">
        <f t="shared" si="1"/>
        <v>* bone ^comment = ##334#True; False##334#</v>
      </c>
    </row>
    <row r="19" spans="1:13" ht="19.899999999999999" customHeight="1">
      <c r="A19" s="153">
        <v>11</v>
      </c>
      <c r="B19" s="57" t="s">
        <v>1632</v>
      </c>
      <c r="C19" s="11" t="s">
        <v>1632</v>
      </c>
      <c r="D19" s="11" t="s">
        <v>1633</v>
      </c>
      <c r="E19" s="11">
        <v>0</v>
      </c>
      <c r="F19" s="11">
        <v>1</v>
      </c>
      <c r="G19" s="57" t="s">
        <v>157</v>
      </c>
      <c r="H19" s="12" t="s">
        <v>1912</v>
      </c>
      <c r="J19" s="12" t="str">
        <f t="shared" si="0"/>
        <v>* liver 0..1 boolean ##34#liver##34# ##334#Describes if site of metastasic disease  is liver##334#</v>
      </c>
      <c r="L19" s="12" t="str">
        <f t="shared" si="1"/>
        <v>* liver ^comment = ##334#True; False##334#</v>
      </c>
    </row>
    <row r="20" spans="1:13" ht="19.899999999999999" customHeight="1">
      <c r="A20" s="153">
        <v>12</v>
      </c>
      <c r="B20" s="57" t="s">
        <v>1634</v>
      </c>
      <c r="C20" s="11" t="s">
        <v>1634</v>
      </c>
      <c r="D20" s="11" t="s">
        <v>1635</v>
      </c>
      <c r="E20" s="11">
        <v>0</v>
      </c>
      <c r="F20" s="11">
        <v>1</v>
      </c>
      <c r="G20" s="57" t="s">
        <v>157</v>
      </c>
      <c r="H20" s="12" t="s">
        <v>1912</v>
      </c>
      <c r="J20" s="12" t="str">
        <f t="shared" si="0"/>
        <v>* pleura 0..1 boolean ##34#pleura##34# ##334#Describes if site of metastasic disease  is pleura##334#</v>
      </c>
      <c r="L20" s="12" t="str">
        <f t="shared" si="1"/>
        <v>* pleura ^comment = ##334#True; False##334#</v>
      </c>
    </row>
    <row r="21" spans="1:13" ht="19.899999999999999" customHeight="1">
      <c r="A21" s="153">
        <v>13</v>
      </c>
      <c r="B21" s="57" t="s">
        <v>1636</v>
      </c>
      <c r="C21" s="11" t="s">
        <v>1636</v>
      </c>
      <c r="D21" s="11" t="s">
        <v>1637</v>
      </c>
      <c r="E21" s="11">
        <v>0</v>
      </c>
      <c r="F21" s="11">
        <v>1</v>
      </c>
      <c r="G21" s="57" t="s">
        <v>157</v>
      </c>
      <c r="H21" s="12" t="s">
        <v>1912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3">
        <v>14</v>
      </c>
      <c r="B22" s="57" t="s">
        <v>1638</v>
      </c>
      <c r="C22" s="11" t="s">
        <v>1638</v>
      </c>
      <c r="D22" s="11" t="s">
        <v>1639</v>
      </c>
      <c r="E22" s="11">
        <v>0</v>
      </c>
      <c r="F22" s="11">
        <v>1</v>
      </c>
      <c r="G22" s="57" t="s">
        <v>157</v>
      </c>
      <c r="H22" s="12" t="s">
        <v>1912</v>
      </c>
      <c r="J22" s="12" t="str">
        <f t="shared" si="0"/>
        <v>* brain 0..1 boolean ##34#brain##34# ##334#Describes if site of metastasic disease  is brain##334#</v>
      </c>
      <c r="L22" s="12" t="str">
        <f t="shared" si="1"/>
        <v>* brain ^comment = ##334#True; False##334#</v>
      </c>
      <c r="M22"/>
    </row>
    <row r="23" spans="1:13" ht="19.899999999999999" customHeight="1">
      <c r="A23" s="153">
        <v>15</v>
      </c>
      <c r="B23" s="57" t="s">
        <v>1650</v>
      </c>
      <c r="C23" s="11" t="s">
        <v>1640</v>
      </c>
      <c r="D23" s="12" t="s">
        <v>1641</v>
      </c>
      <c r="E23" s="11">
        <v>0</v>
      </c>
      <c r="F23" s="11">
        <v>1</v>
      </c>
      <c r="G23" s="57" t="s">
        <v>157</v>
      </c>
      <c r="H23" s="12" t="s">
        <v>1912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3">
        <v>16</v>
      </c>
      <c r="B24" s="57" t="s">
        <v>1642</v>
      </c>
      <c r="C24" s="11" t="s">
        <v>1642</v>
      </c>
      <c r="D24" s="12" t="s">
        <v>1643</v>
      </c>
      <c r="E24" s="11">
        <v>0</v>
      </c>
      <c r="F24" s="11">
        <v>1</v>
      </c>
      <c r="G24" s="57" t="s">
        <v>157</v>
      </c>
      <c r="H24" s="12" t="s">
        <v>1912</v>
      </c>
      <c r="J24" s="12" t="str">
        <f t="shared" si="0"/>
        <v>* unknown 0..1 boolean ##34#unknown##34# ##334#Describes if site of metastasic disease  is unknown##334#</v>
      </c>
      <c r="L24" s="12" t="str">
        <f t="shared" si="1"/>
        <v>* unknown ^comment = ##334#True; False##334#</v>
      </c>
      <c r="M24"/>
    </row>
    <row r="25" spans="1:13" ht="19.899999999999999" customHeight="1">
      <c r="A25" s="142">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7" t="s">
        <v>2036</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1924</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2027</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2027</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2028</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2029</v>
      </c>
      <c r="E16" s="12"/>
      <c r="F16" s="64" t="s">
        <v>1407</v>
      </c>
      <c r="G16" s="124" t="s">
        <v>2043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2030</v>
      </c>
      <c r="E17" s="12"/>
      <c r="F17" s="148" t="s">
        <v>1407</v>
      </c>
      <c r="G17" s="124" t="s">
        <v>2043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2038</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2031</v>
      </c>
      <c r="E19" s="12"/>
      <c r="F19" s="64" t="s">
        <v>1430</v>
      </c>
      <c r="G19" s="124" t="s">
        <v>2043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2032</v>
      </c>
      <c r="E20" s="12"/>
      <c r="F20" s="64" t="s">
        <v>1429</v>
      </c>
      <c r="G20" s="124" t="s">
        <v>2043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2033</v>
      </c>
      <c r="E21" s="12"/>
      <c r="F21" s="64" t="s">
        <v>1407</v>
      </c>
      <c r="G21" s="124" t="s">
        <v>2044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9" t="s">
        <v>2037</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2037</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2037</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2037</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2037</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2037</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2037</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2037</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2037</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2037</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2039</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2039</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8"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2040</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2040</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2041</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2041</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2042</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##34#http://hl7.eu/fhir/ig/idea4rc/StructureDefinition/ClinicalStageI4rc##34#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2388</v>
      </c>
      <c r="J4" s="16" t="str">
        <f>CONCATENATE("Logical: ",B4)</f>
        <v>Logical: PathologicalStageI4rc</v>
      </c>
    </row>
    <row r="5" spans="1:12" ht="19.899999999999999" customHeight="1">
      <c r="A5" s="14" t="s">
        <v>16</v>
      </c>
      <c r="B5" s="46" t="s">
        <v>1947</v>
      </c>
      <c r="J5" s="16" t="str">
        <f>CONCATENATE("Id: ",B5)</f>
        <v>Id: PathologicalStage</v>
      </c>
    </row>
    <row r="6" spans="1:12" ht="19.899999999999999" customHeight="1">
      <c r="A6" s="14" t="s">
        <v>10</v>
      </c>
      <c r="B6" s="47" t="s">
        <v>1948</v>
      </c>
      <c r="J6" s="17" t="str">
        <f>CONCATENATE("Title: ##34#",B6,"##34#")</f>
        <v>Title: ##34#Pathological Stage##34#</v>
      </c>
    </row>
    <row r="7" spans="1:12" ht="19.899999999999999" customHeight="1">
      <c r="A7" s="26" t="s">
        <v>2</v>
      </c>
      <c r="B7" s="104" t="s">
        <v>1947</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1949</v>
      </c>
      <c r="C8" s="11" t="s">
        <v>1907</v>
      </c>
      <c r="D8" s="11" t="s">
        <v>1908</v>
      </c>
      <c r="E8" s="11">
        <v>1</v>
      </c>
      <c r="F8" s="11">
        <v>1</v>
      </c>
      <c r="G8" s="57" t="s">
        <v>2005</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1925</v>
      </c>
      <c r="C9" s="11" t="s">
        <v>1925</v>
      </c>
      <c r="D9" s="11" t="s">
        <v>1926</v>
      </c>
      <c r="E9" s="11">
        <v>0</v>
      </c>
      <c r="F9" s="11">
        <v>1</v>
      </c>
      <c r="G9" s="57" t="s">
        <v>1786</v>
      </c>
      <c r="H9" s="12" t="s">
        <v>1940</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1927</v>
      </c>
      <c r="C10" s="11" t="s">
        <v>1927</v>
      </c>
      <c r="D10" s="11" t="s">
        <v>1928</v>
      </c>
      <c r="E10" s="11">
        <v>0</v>
      </c>
      <c r="F10" s="11">
        <v>1</v>
      </c>
      <c r="G10" s="57" t="s">
        <v>1786</v>
      </c>
      <c r="H10" s="12" t="s">
        <v>1941</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1929</v>
      </c>
      <c r="C11" s="11" t="s">
        <v>1929</v>
      </c>
      <c r="D11" s="11" t="s">
        <v>1930</v>
      </c>
      <c r="E11" s="11">
        <v>0</v>
      </c>
      <c r="F11" s="11">
        <v>1</v>
      </c>
      <c r="G11" s="57" t="s">
        <v>1786</v>
      </c>
      <c r="H11" s="12" t="s">
        <v>1942</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1953</v>
      </c>
      <c r="C12" s="11" t="s">
        <v>1931</v>
      </c>
      <c r="D12" s="11" t="s">
        <v>1932</v>
      </c>
      <c r="E12" s="11">
        <v>0</v>
      </c>
      <c r="F12" s="11">
        <v>1</v>
      </c>
      <c r="G12" s="57" t="s">
        <v>1786</v>
      </c>
      <c r="H12" s="12" t="s">
        <v>1943</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1950</v>
      </c>
      <c r="C13" s="11" t="s">
        <v>1933</v>
      </c>
      <c r="D13" s="12" t="s">
        <v>1934</v>
      </c>
      <c r="E13" s="11">
        <v>0</v>
      </c>
      <c r="F13" s="11">
        <v>1</v>
      </c>
      <c r="G13" s="57" t="s">
        <v>1786</v>
      </c>
      <c r="H13" s="12" t="s">
        <v>1944</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1951</v>
      </c>
      <c r="C14" s="11" t="s">
        <v>1935</v>
      </c>
      <c r="D14" s="12" t="s">
        <v>1646</v>
      </c>
      <c r="E14" s="11">
        <v>1</v>
      </c>
      <c r="F14" s="11">
        <v>1</v>
      </c>
      <c r="G14" s="57" t="s">
        <v>1786</v>
      </c>
      <c r="H14" s="12" t="s">
        <v>1945</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1936</v>
      </c>
      <c r="E15" s="11">
        <v>0</v>
      </c>
      <c r="F15" s="11">
        <v>1</v>
      </c>
      <c r="G15" s="57" t="s">
        <v>1786</v>
      </c>
      <c r="H15" s="12" t="s">
        <v>1945</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1952</v>
      </c>
      <c r="C16" s="11" t="s">
        <v>1937</v>
      </c>
      <c r="D16" s="12" t="s">
        <v>1938</v>
      </c>
      <c r="E16" s="11">
        <v>1</v>
      </c>
      <c r="F16" s="11">
        <v>1</v>
      </c>
      <c r="G16" s="57" t="s">
        <v>1786</v>
      </c>
      <c r="H16" s="12" t="s">
        <v>1946</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1911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1939</v>
      </c>
      <c r="D18" s="11" t="s">
        <v>1625</v>
      </c>
      <c r="E18" s="11">
        <v>0</v>
      </c>
      <c r="F18" s="11">
        <v>1</v>
      </c>
      <c r="G18" s="57" t="s">
        <v>157</v>
      </c>
      <c r="H18" s="12" t="s">
        <v>1912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1912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1912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1912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1912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1912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1912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1912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1912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1912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7" t="s">
        <v>2036</v>
      </c>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1955</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2048</v>
      </c>
      <c r="D4" s="62" t="s">
        <v>1792</v>
      </c>
      <c r="E4" s="169" t="s">
        <v>2027</v>
      </c>
      <c r="F4" s="170"/>
      <c r="G4" s="170"/>
    </row>
    <row r="5" spans="1:19">
      <c r="B5" s="62" t="s">
        <v>10</v>
      </c>
      <c r="C5" s="7" t="s">
        <v>2046</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2027</v>
      </c>
      <c r="F7" s="170"/>
      <c r="G7" s="170"/>
    </row>
    <row r="8" spans="1:19" ht="44.25">
      <c r="B8" s="62" t="s">
        <v>1795</v>
      </c>
      <c r="C8" s="120" t="s">
        <v>2046</v>
      </c>
      <c r="D8" s="62"/>
      <c r="E8" s="7"/>
      <c r="I8" s="12" t="s">
        <v>1402</v>
      </c>
      <c r="J8" s="12" t="s">
        <v>1403</v>
      </c>
      <c r="K8" s="12" t="s">
        <v>1404</v>
      </c>
      <c r="L8" s="12" t="s">
        <v>1405</v>
      </c>
      <c r="M8" s="11" t="s">
        <v>1406</v>
      </c>
      <c r="P8" s="49" t="s">
        <v>1441</v>
      </c>
      <c r="Q8" s="49">
        <v>6</v>
      </c>
    </row>
    <row r="9" spans="1:19" ht="29.5">
      <c r="B9" s="62" t="s">
        <v>1796</v>
      </c>
      <c r="C9" s="12" t="s">
        <v>2047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2028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2029</v>
      </c>
      <c r="E16" s="12"/>
      <c r="F16" s="64" t="s">
        <v>1407</v>
      </c>
      <c r="G16" s="124" t="s">
        <v>2034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2030</v>
      </c>
      <c r="E17" s="12"/>
      <c r="F17" s="148" t="s">
        <v>1407</v>
      </c>
      <c r="G17" s="124" t="s">
        <v>2034</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2031</v>
      </c>
      <c r="E18" s="12"/>
      <c r="F18" s="64" t="s">
        <v>1430</v>
      </c>
      <c r="G18" s="124" t="s">
        <v>2034</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2238</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2238</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2238</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2238</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2032</v>
      </c>
      <c r="E23" s="12"/>
      <c r="F23" s="64" t="s">
        <v>1407</v>
      </c>
      <c r="G23" s="124" t="s">
        <v>2034</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2033</v>
      </c>
      <c r="E24" s="12"/>
      <c r="F24" s="64" t="s">
        <v>1407</v>
      </c>
      <c r="G24" s="124" t="s">
        <v>2035</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2037</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2037</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2037</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2037</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2037</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2037</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2037</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2037</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2037</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2037</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2045</v>
      </c>
      <c r="D4" s="62" t="s">
        <v>1792</v>
      </c>
      <c r="E4" s="169" t="s">
        <v>2039</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2039</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t="s">
        <v>2034</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2040</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2040</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ClinicalStage!B10</f>
        <v>cN</v>
      </c>
      <c r="C15" s="11" t="str">
        <f>ClinicalStage!C10</f>
        <v>cN</v>
      </c>
      <c r="D15" s="12" t="s">
        <v>2032</v>
      </c>
      <c r="E15" s="12"/>
      <c r="F15" s="64" t="s">
        <v>1407</v>
      </c>
      <c r="G15" s="124" t="s">
        <v>2034</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8"/>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8"/>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2041</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2041</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ClinicalStage!B12</f>
        <v>cM</v>
      </c>
      <c r="C15" s="11" t="str">
        <f>ClinicalStage!C12</f>
        <v>cM</v>
      </c>
      <c r="D15" s="12" t="s">
        <v>2032</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2049</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##34#http://hl7.eu/fhir/ig/idea4rc/StructureDefinition/ClinicalStageI4rc##34#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2389</v>
      </c>
      <c r="J4" s="16" t="str">
        <f>CONCATENATE("Logical: ",B4)</f>
        <v>Logical: SystemicTreatmentI4rc</v>
      </c>
    </row>
    <row r="5" spans="1:12" ht="15.5" thickBot="1">
      <c r="A5" s="14" t="s">
        <v>16</v>
      </c>
      <c r="B5" s="45" t="s">
        <v>2050</v>
      </c>
      <c r="J5" s="16" t="str">
        <f>CONCATENATE("Id: ",B5)</f>
        <v>Id: SystemicTreatment</v>
      </c>
    </row>
    <row r="6" spans="1:12" ht="15.5" thickBot="1">
      <c r="A6" s="14" t="s">
        <v>10</v>
      </c>
      <c r="B6" s="45" t="s">
        <v>2051</v>
      </c>
      <c r="J6" s="17" t="str">
        <f>CONCATENATE("Title: ##34#",B6,"##34#")</f>
        <v>Title: ##34#Systemic Treatment##34#</v>
      </c>
    </row>
    <row r="7" spans="1:12">
      <c r="A7" s="26" t="s">
        <v>2</v>
      </c>
      <c r="B7" s="45" t="s">
        <v>2051</v>
      </c>
      <c r="C7" s="9" t="s">
        <v>3</v>
      </c>
      <c r="D7" s="1" t="s">
        <v>4</v>
      </c>
      <c r="E7" s="3" t="s">
        <v>5</v>
      </c>
      <c r="F7" s="3" t="s">
        <v>6</v>
      </c>
      <c r="G7" s="3" t="s">
        <v>7</v>
      </c>
      <c r="H7" s="105" t="s">
        <v>1610</v>
      </c>
      <c r="J7" s="17" t="str">
        <f>CONCATENATE("Description: "," ##334#",B7,"##334#",)</f>
        <v>Description:  ##334#Systemic Treatment##334#</v>
      </c>
    </row>
    <row r="8" spans="1:12" ht="59">
      <c r="A8" s="100">
        <v>0</v>
      </c>
      <c r="B8" s="12" t="s">
        <v>1949</v>
      </c>
      <c r="C8" s="12" t="s">
        <v>2052</v>
      </c>
      <c r="D8" s="12" t="s">
        <v>1908</v>
      </c>
      <c r="E8" s="11">
        <v>1</v>
      </c>
      <c r="F8" s="11">
        <v>1</v>
      </c>
      <c r="G8" s="57" t="s">
        <v>2005</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2053</v>
      </c>
      <c r="C9" s="12" t="s">
        <v>2054</v>
      </c>
      <c r="D9" s="12" t="s">
        <v>2055</v>
      </c>
      <c r="E9" s="11">
        <v>1</v>
      </c>
      <c r="F9" s="11">
        <v>1</v>
      </c>
      <c r="G9" s="11" t="s">
        <v>1786</v>
      </c>
      <c r="H9" s="12" t="s">
        <v>2056</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2057</v>
      </c>
      <c r="E10" s="11">
        <v>1</v>
      </c>
      <c r="F10" s="11">
        <v>1</v>
      </c>
      <c r="G10" s="12" t="s">
        <v>1786</v>
      </c>
      <c r="H10" s="12" t="s">
        <v>2058</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2059</v>
      </c>
      <c r="D11" s="12" t="s">
        <v>2060</v>
      </c>
      <c r="E11" s="11">
        <v>1</v>
      </c>
      <c r="F11" s="11">
        <v>1</v>
      </c>
      <c r="G11" s="12" t="s">
        <v>1786</v>
      </c>
      <c r="H11" s="12" t="s">
        <v>2061</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2062</v>
      </c>
      <c r="D14" s="12" t="s">
        <v>2063</v>
      </c>
      <c r="E14" s="11">
        <v>0</v>
      </c>
      <c r="F14" s="12">
        <v>1</v>
      </c>
      <c r="G14" s="151" t="s">
        <v>2212</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2204</v>
      </c>
      <c r="C16" s="12" t="s">
        <v>1660</v>
      </c>
      <c r="D16" s="13" t="s">
        <v>1660</v>
      </c>
      <c r="E16" s="11">
        <v>1</v>
      </c>
      <c r="F16" s="11">
        <v>1</v>
      </c>
      <c r="G16" s="11" t="s">
        <v>1786</v>
      </c>
      <c r="H16" s="12" t="s">
        <v>2064</v>
      </c>
      <c r="I16" s="25"/>
      <c r="J16" s="12" t="str">
        <f t="shared" si="0"/>
        <v>* regimen.drugs1 1..1 CodeableConcept ##34#Drugs 1##34# ##334#Drugs 1##334#</v>
      </c>
      <c r="L16" s="12" t="str">
        <f t="shared" si="1"/>
        <v>* regimen.drugs1 ^comment = ##334#ATC list
Athena vocabulary 
ATC##334#</v>
      </c>
    </row>
    <row r="17" spans="1:13" ht="44.25">
      <c r="A17" s="101">
        <v>9</v>
      </c>
      <c r="B17" s="13" t="s">
        <v>2205</v>
      </c>
      <c r="C17" s="12" t="s">
        <v>1661</v>
      </c>
      <c r="D17" s="13" t="s">
        <v>1661</v>
      </c>
      <c r="E17" s="11">
        <v>1</v>
      </c>
      <c r="F17" s="11">
        <v>1</v>
      </c>
      <c r="G17" s="11" t="s">
        <v>1786</v>
      </c>
      <c r="H17" s="12" t="s">
        <v>2064</v>
      </c>
      <c r="I17" s="25"/>
      <c r="J17" s="12" t="str">
        <f t="shared" si="0"/>
        <v>* regimen.drugs2 1..1 CodeableConcept ##34#Drugs 2##34# ##334#Drugs 2##334#</v>
      </c>
      <c r="L17" s="12" t="str">
        <f t="shared" si="1"/>
        <v>* regimen.drugs2 ^comment = ##334#ATC list
Athena vocabulary 
ATC##334#</v>
      </c>
    </row>
    <row r="18" spans="1:13" ht="44.25">
      <c r="A18" s="101">
        <v>10</v>
      </c>
      <c r="B18" s="13" t="s">
        <v>2206</v>
      </c>
      <c r="C18" s="12" t="s">
        <v>1662</v>
      </c>
      <c r="D18" s="13" t="s">
        <v>1662</v>
      </c>
      <c r="E18" s="11">
        <v>1</v>
      </c>
      <c r="F18" s="11">
        <v>1</v>
      </c>
      <c r="G18" s="11" t="s">
        <v>1786</v>
      </c>
      <c r="H18" s="12" t="s">
        <v>2064</v>
      </c>
      <c r="J18" s="12" t="str">
        <f t="shared" si="0"/>
        <v>* regimen.drugs3 1..1 CodeableConcept ##34#Drugs 3##34# ##334#Drugs 3##334#</v>
      </c>
      <c r="L18" s="12" t="str">
        <f t="shared" si="1"/>
        <v>* regimen.drugs3 ^comment = ##334#ATC list
Athena vocabulary 
ATC##334#</v>
      </c>
    </row>
    <row r="19" spans="1:13" ht="44.25">
      <c r="A19" s="101">
        <v>11</v>
      </c>
      <c r="B19" s="13" t="s">
        <v>2207</v>
      </c>
      <c r="C19" s="12" t="s">
        <v>1665</v>
      </c>
      <c r="D19" s="12" t="s">
        <v>2065</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2208</v>
      </c>
      <c r="C20" s="12" t="s">
        <v>1666</v>
      </c>
      <c r="D20" s="12" t="s">
        <v>2066</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2067</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2068</v>
      </c>
      <c r="D22" s="12" t="s">
        <v>2069</v>
      </c>
      <c r="E22" s="11">
        <v>1</v>
      </c>
      <c r="F22" s="11">
        <v>1</v>
      </c>
      <c r="G22" s="11" t="s">
        <v>1786</v>
      </c>
      <c r="H22" s="12" t="s">
        <v>2070</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2071</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2264</v>
      </c>
      <c r="D3" s="62" t="s">
        <v>1791</v>
      </c>
      <c r="E3" s="118" t="str">
        <f>$C$1&amp;B14</f>
        <v>http://hl7.eu/fhir/ig/idea4rc/StructureDefinition/SystemicTreatment</v>
      </c>
    </row>
    <row r="4" spans="1:19">
      <c r="B4" s="62" t="s">
        <v>16</v>
      </c>
      <c r="C4" s="28" t="s">
        <v>2264</v>
      </c>
      <c r="D4" s="62" t="s">
        <v>1792</v>
      </c>
      <c r="E4" s="169" t="s">
        <v>2276</v>
      </c>
      <c r="F4" s="174"/>
      <c r="G4" s="174"/>
    </row>
    <row r="5" spans="1:19">
      <c r="B5" s="62" t="s">
        <v>10</v>
      </c>
      <c r="C5" s="7" t="s">
        <v>2265</v>
      </c>
      <c r="D5" s="62"/>
      <c r="E5" s="7"/>
    </row>
    <row r="6" spans="1:19">
      <c r="B6" s="62" t="s">
        <v>18</v>
      </c>
      <c r="C6" s="56"/>
      <c r="D6" s="62" t="s">
        <v>1793</v>
      </c>
      <c r="E6" s="169" t="str">
        <f>E3</f>
        <v>http://hl7.eu/fhir/ig/idea4rc/StructureDefinition/SystemicTreatment</v>
      </c>
      <c r="F6" s="170"/>
      <c r="G6" s="170"/>
    </row>
    <row r="7" spans="1:19">
      <c r="B7" s="62" t="s">
        <v>15</v>
      </c>
      <c r="C7" s="119"/>
      <c r="D7" s="62" t="s">
        <v>1794</v>
      </c>
      <c r="E7" s="169" t="str">
        <f>E4</f>
        <v>http://hl7.eu/fhir/ig/idea4rc/StructureDefinition/MedicationAdministration-eu-i4rc</v>
      </c>
      <c r="F7" s="170"/>
      <c r="G7" s="170"/>
    </row>
    <row r="8" spans="1:19" ht="45" thickBot="1">
      <c r="B8" s="62" t="s">
        <v>1795</v>
      </c>
      <c r="C8" s="7" t="s">
        <v>2265</v>
      </c>
      <c r="D8" s="62"/>
      <c r="E8" s="7"/>
      <c r="I8" s="12" t="s">
        <v>1402</v>
      </c>
      <c r="J8" s="12" t="s">
        <v>1403</v>
      </c>
      <c r="K8" s="12" t="s">
        <v>1404</v>
      </c>
      <c r="L8" s="12" t="s">
        <v>1405</v>
      </c>
      <c r="M8" s="11" t="s">
        <v>1406</v>
      </c>
      <c r="P8" s="49" t="s">
        <v>1441</v>
      </c>
      <c r="Q8" s="49">
        <v>6</v>
      </c>
    </row>
    <row r="9" spans="1:19" ht="30.25" thickBot="1">
      <c r="B9" s="62" t="s">
        <v>1796</v>
      </c>
      <c r="C9" s="12" t="s">
        <v>2266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2218</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2219</v>
      </c>
      <c r="E15" s="12"/>
      <c r="F15" s="64" t="s">
        <v>1407</v>
      </c>
      <c r="G15" s="124"/>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2267</v>
      </c>
      <c r="E16" s="12"/>
      <c r="F16" s="64" t="s">
        <v>1429</v>
      </c>
      <c r="G16" s="124" t="s">
        <v>2275</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2268</v>
      </c>
      <c r="E17" s="12"/>
      <c r="F17" s="64" t="s">
        <v>1407</v>
      </c>
      <c r="G17" s="123" t="s">
        <v>1797</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2269</v>
      </c>
      <c r="E18" s="12"/>
      <c r="F18" s="64" t="s">
        <v>1407</v>
      </c>
      <c r="G18" s="123" t="s">
        <v>1797</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2010</v>
      </c>
      <c r="E19" s="12"/>
      <c r="F19" s="64" t="s">
        <v>1407</v>
      </c>
      <c r="G19" s="124"/>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2270</v>
      </c>
      <c r="E20" s="12"/>
      <c r="F20" s="64" t="s">
        <v>1407</v>
      </c>
      <c r="G20" s="124"/>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2271</v>
      </c>
      <c r="E23" s="11"/>
      <c r="F23" s="64" t="s">
        <v>1407</v>
      </c>
      <c r="G23" s="123" t="s">
        <v>1797</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2271</v>
      </c>
      <c r="E24" s="11"/>
      <c r="F24" s="64" t="s">
        <v>1407</v>
      </c>
      <c r="G24" s="123" t="s">
        <v>1797</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2271</v>
      </c>
      <c r="E25" s="11"/>
      <c r="F25" s="64" t="s">
        <v>1407</v>
      </c>
      <c r="G25" s="123" t="s">
        <v>1797</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3" t="s">
        <v>1797</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3" t="s">
        <v>1797</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2272</v>
      </c>
      <c r="E28" s="12"/>
      <c r="F28" s="64" t="s">
        <v>1407</v>
      </c>
      <c r="G28" s="124"/>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2273</v>
      </c>
      <c r="E29" s="12"/>
      <c r="F29" s="64" t="s">
        <v>1407</v>
      </c>
      <c r="G29" s="123" t="s">
        <v>2274</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2277</v>
      </c>
    </row>
    <row r="3" spans="2:7">
      <c r="B3" s="24" t="s">
        <v>20</v>
      </c>
    </row>
    <row r="4" spans="2:7">
      <c r="B4" s="65" t="str">
        <f>"Instance: "&amp;'SystemicTreatm-ConceptMap-1'!C4</f>
        <v>Instance: systemicTreatment2FHIR</v>
      </c>
    </row>
    <row r="5" spans="2:7">
      <c r="B5" s="65" t="s">
        <v>1447</v>
      </c>
    </row>
    <row r="6" spans="2:7">
      <c r="B6" s="65" t="s">
        <v>1438</v>
      </c>
    </row>
    <row r="7" spans="2:7">
      <c r="B7" s="65" t="s">
        <v>1798</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2390</v>
      </c>
      <c r="J4" s="16" t="str">
        <f>CONCATENATE("Logical: ",B4)</f>
        <v>Logical: SurgeryI4rc</v>
      </c>
    </row>
    <row r="5" spans="1:12" ht="15.5" thickBot="1">
      <c r="A5" s="14" t="s">
        <v>16</v>
      </c>
      <c r="B5" s="45" t="s">
        <v>2073</v>
      </c>
      <c r="J5" s="16" t="str">
        <f>CONCATENATE("Id: ",B5)</f>
        <v>Id: Surgery</v>
      </c>
    </row>
    <row r="6" spans="1:12" ht="15.5" thickBot="1">
      <c r="A6" s="14" t="s">
        <v>10</v>
      </c>
      <c r="B6" s="45" t="s">
        <v>2073</v>
      </c>
      <c r="J6" s="17" t="str">
        <f>CONCATENATE("Title: ##34#",B6,"##34#")</f>
        <v>Title: ##34#Surgery##34#</v>
      </c>
    </row>
    <row r="7" spans="1:12">
      <c r="A7" s="26" t="s">
        <v>2</v>
      </c>
      <c r="B7" s="152" t="s">
        <v>2073</v>
      </c>
      <c r="C7" s="9" t="s">
        <v>3</v>
      </c>
      <c r="D7" s="1" t="s">
        <v>4</v>
      </c>
      <c r="E7" s="3" t="s">
        <v>5</v>
      </c>
      <c r="F7" s="3" t="s">
        <v>6</v>
      </c>
      <c r="G7" s="3" t="s">
        <v>7</v>
      </c>
      <c r="H7" s="105" t="s">
        <v>1610</v>
      </c>
      <c r="J7" s="17" t="str">
        <f>CONCATENATE("Description: "," ##334#",B7,"##334#",)</f>
        <v>Description:  ##334#Surgery##334#</v>
      </c>
    </row>
    <row r="8" spans="1:12" ht="59">
      <c r="A8" s="100">
        <v>0</v>
      </c>
      <c r="B8" s="11" t="s">
        <v>1949</v>
      </c>
      <c r="C8" s="11" t="s">
        <v>2052</v>
      </c>
      <c r="D8" s="11" t="s">
        <v>1908</v>
      </c>
      <c r="E8" s="11">
        <v>1</v>
      </c>
      <c r="F8" s="11">
        <v>1</v>
      </c>
      <c r="G8" s="57" t="s">
        <v>2005</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2074</v>
      </c>
      <c r="C9" s="11" t="s">
        <v>2073</v>
      </c>
      <c r="D9" s="11" t="s">
        <v>2075</v>
      </c>
      <c r="E9" s="11">
        <v>1</v>
      </c>
      <c r="F9" s="11">
        <v>1</v>
      </c>
      <c r="G9" s="11" t="s">
        <v>1786</v>
      </c>
      <c r="H9" s="12" t="s">
        <v>2076</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2077</v>
      </c>
      <c r="C10" s="11" t="s">
        <v>2078</v>
      </c>
      <c r="D10" s="11" t="s">
        <v>2079</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2080</v>
      </c>
      <c r="C11" s="11" t="s">
        <v>2081</v>
      </c>
      <c r="D11" s="11" t="s">
        <v>2082</v>
      </c>
      <c r="E11" s="11">
        <v>1</v>
      </c>
      <c r="F11" s="11">
        <v>1</v>
      </c>
      <c r="G11" s="11" t="s">
        <v>1786</v>
      </c>
      <c r="H11" s="12" t="s">
        <v>2083</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2084</v>
      </c>
      <c r="C12" s="11" t="s">
        <v>2085</v>
      </c>
      <c r="D12" s="11" t="s">
        <v>2086</v>
      </c>
      <c r="E12" s="11">
        <v>1</v>
      </c>
      <c r="F12" s="11">
        <v>1</v>
      </c>
      <c r="G12" s="11" t="s">
        <v>1786</v>
      </c>
      <c r="H12" s="12" t="s">
        <v>2087</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2088</v>
      </c>
      <c r="C13" s="11" t="s">
        <v>2089</v>
      </c>
      <c r="D13" s="11" t="s">
        <v>2090</v>
      </c>
      <c r="E13" s="11">
        <v>1</v>
      </c>
      <c r="F13" s="11">
        <v>1</v>
      </c>
      <c r="G13" s="11" t="s">
        <v>1786</v>
      </c>
      <c r="H13" s="12" t="s">
        <v>2091</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2092</v>
      </c>
      <c r="C14" s="11" t="s">
        <v>2093</v>
      </c>
      <c r="D14" s="11" t="s">
        <v>2094</v>
      </c>
      <c r="E14" s="11">
        <v>0</v>
      </c>
      <c r="F14" s="11">
        <v>1</v>
      </c>
      <c r="G14" s="11" t="s">
        <v>1786</v>
      </c>
      <c r="H14" s="12" t="s">
        <v>2095</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2096</v>
      </c>
      <c r="C15" s="11" t="s">
        <v>2097</v>
      </c>
      <c r="D15" s="11" t="s">
        <v>2098</v>
      </c>
      <c r="E15" s="11">
        <v>1</v>
      </c>
      <c r="F15" s="11">
        <v>1</v>
      </c>
      <c r="G15" s="11" t="s">
        <v>1786</v>
      </c>
      <c r="H15" s="12" t="s">
        <v>2099</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2100</v>
      </c>
      <c r="C16" s="11" t="s">
        <v>2101</v>
      </c>
      <c r="D16" s="11" t="s">
        <v>2102</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2103</v>
      </c>
      <c r="C17" s="11" t="s">
        <v>2104</v>
      </c>
      <c r="D17" s="11" t="s">
        <v>2105</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2106</v>
      </c>
      <c r="C18" s="11" t="s">
        <v>2107</v>
      </c>
      <c r="D18" s="11" t="s">
        <v>2108</v>
      </c>
      <c r="E18" s="11">
        <v>1</v>
      </c>
      <c r="F18" s="11">
        <v>1</v>
      </c>
      <c r="G18" s="11" t="s">
        <v>1786</v>
      </c>
      <c r="H18" s="12" t="s">
        <v>2099</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2109</v>
      </c>
      <c r="C19" s="11" t="s">
        <v>2110</v>
      </c>
      <c r="D19" s="11" t="s">
        <v>2111</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2211</v>
      </c>
      <c r="C20" s="6" t="s">
        <v>2209</v>
      </c>
      <c r="D20" s="6" t="s">
        <v>2210</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2240</v>
      </c>
      <c r="C21" s="11" t="s">
        <v>2112</v>
      </c>
      <c r="D21" s="11" t="s">
        <v>2113</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2241</v>
      </c>
      <c r="C22" s="11" t="s">
        <v>2114</v>
      </c>
      <c r="D22" s="11" t="s">
        <v>2115</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2242</v>
      </c>
      <c r="C23" s="11" t="s">
        <v>2116</v>
      </c>
      <c r="D23" s="11" t="s">
        <v>2117</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2246</v>
      </c>
      <c r="C24" s="11" t="s">
        <v>2118</v>
      </c>
      <c r="D24" s="11" t="s">
        <v>2119</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2243</v>
      </c>
      <c r="C25" s="11" t="s">
        <v>2120</v>
      </c>
      <c r="D25" s="11" t="s">
        <v>2121</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2244</v>
      </c>
      <c r="C26" s="11" t="s">
        <v>2122</v>
      </c>
      <c r="D26" s="11" t="s">
        <v>2123</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2245</v>
      </c>
      <c r="C27" s="11" t="s">
        <v>2124</v>
      </c>
      <c r="D27" s="11" t="s">
        <v>2125</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2247</v>
      </c>
      <c r="C28" s="11" t="s">
        <v>2126</v>
      </c>
      <c r="D28" s="11" t="s">
        <v>2127</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2249</v>
      </c>
      <c r="C29" s="11" t="s">
        <v>2128</v>
      </c>
      <c r="D29" s="11" t="s">
        <v>2129</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2248</v>
      </c>
      <c r="C30" s="11" t="s">
        <v>2130</v>
      </c>
      <c r="D30" s="11" t="s">
        <v>2131</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2132</v>
      </c>
      <c r="C31" s="11" t="s">
        <v>2133</v>
      </c>
      <c r="D31" s="11" t="s">
        <v>2134</v>
      </c>
      <c r="E31" s="11">
        <v>1</v>
      </c>
      <c r="F31" s="11">
        <v>1</v>
      </c>
      <c r="G31" s="11" t="s">
        <v>1786</v>
      </c>
      <c r="H31" s="12" t="s">
        <v>2135</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2072</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2214</v>
      </c>
      <c r="D3" s="62" t="s">
        <v>1791</v>
      </c>
      <c r="E3" s="118" t="str">
        <f>$C$1&amp;B14</f>
        <v>http://hl7.eu/fhir/ig/idea4rc/StructureDefinition/SurgeryI4rc</v>
      </c>
    </row>
    <row r="4" spans="1:19">
      <c r="B4" s="62" t="s">
        <v>16</v>
      </c>
      <c r="C4" s="28" t="s">
        <v>2214</v>
      </c>
      <c r="D4" s="62" t="s">
        <v>1792</v>
      </c>
      <c r="E4" s="169" t="s">
        <v>2217</v>
      </c>
      <c r="F4" s="170"/>
      <c r="G4" s="170"/>
    </row>
    <row r="5" spans="1:19">
      <c r="B5" s="62" t="s">
        <v>10</v>
      </c>
      <c r="C5" s="7" t="s">
        <v>2215</v>
      </c>
      <c r="D5" s="62"/>
      <c r="E5" s="7"/>
    </row>
    <row r="6" spans="1:19">
      <c r="B6" s="62" t="s">
        <v>18</v>
      </c>
      <c r="C6" s="56"/>
      <c r="D6" s="62" t="s">
        <v>1793</v>
      </c>
      <c r="E6" s="169" t="str">
        <f>E3</f>
        <v>http://hl7.eu/fhir/ig/idea4rc/StructureDefinition/SurgeryI4rc</v>
      </c>
      <c r="F6" s="170"/>
      <c r="G6" s="170"/>
    </row>
    <row r="7" spans="1:19">
      <c r="B7" s="62" t="s">
        <v>15</v>
      </c>
      <c r="C7" s="119"/>
      <c r="D7" s="62" t="s">
        <v>1794</v>
      </c>
      <c r="E7" s="169" t="str">
        <f>E4</f>
        <v>http://hl7.eu/fhir/ig/idea4rc/StructureDefinition/Procedure-surgery-eu-i4rc</v>
      </c>
      <c r="F7" s="170"/>
      <c r="G7" s="170"/>
    </row>
    <row r="8" spans="1:19" ht="45" thickBot="1">
      <c r="B8" s="62" t="s">
        <v>1795</v>
      </c>
      <c r="C8" s="7" t="s">
        <v>2215</v>
      </c>
      <c r="D8" s="62"/>
      <c r="E8" s="7"/>
      <c r="I8" s="12" t="s">
        <v>1402</v>
      </c>
      <c r="J8" s="12" t="s">
        <v>1403</v>
      </c>
      <c r="K8" s="12" t="s">
        <v>1404</v>
      </c>
      <c r="L8" s="12" t="s">
        <v>1405</v>
      </c>
      <c r="M8" s="11" t="s">
        <v>1406</v>
      </c>
      <c r="P8" s="49" t="s">
        <v>1441</v>
      </c>
      <c r="Q8" s="49">
        <v>6</v>
      </c>
    </row>
    <row r="9" spans="1:19" ht="15.5" thickBot="1">
      <c r="B9" s="62" t="s">
        <v>1796</v>
      </c>
      <c r="C9" s="12" t="s">
        <v>2216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2218</v>
      </c>
      <c r="E14" s="6"/>
      <c r="F14" s="64"/>
      <c r="G14" s="64"/>
      <c r="I14" s="12"/>
      <c r="J14" s="11"/>
      <c r="K14" s="11"/>
      <c r="L14" s="11"/>
      <c r="M14" s="63"/>
      <c r="N14" s="66"/>
    </row>
    <row r="15" spans="1:19" ht="44.25">
      <c r="A15" s="59"/>
      <c r="B15" s="11" t="str">
        <f>Surgery!B8</f>
        <v>episodeEventReference</v>
      </c>
      <c r="C15" s="11" t="str">
        <f>Surgery!C8</f>
        <v>Episode Event reference</v>
      </c>
      <c r="D15" s="12" t="s">
        <v>2219</v>
      </c>
      <c r="E15" s="12"/>
      <c r="F15" s="64" t="s">
        <v>1407</v>
      </c>
      <c r="G15" s="124"/>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2233</v>
      </c>
      <c r="E16" s="12"/>
      <c r="F16" s="64" t="s">
        <v>1407</v>
      </c>
      <c r="G16" s="123" t="s">
        <v>2221</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2220</v>
      </c>
      <c r="E17" s="12"/>
      <c r="F17" s="64" t="s">
        <v>1430</v>
      </c>
      <c r="G17" s="124"/>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2222</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2223</v>
      </c>
      <c r="E19" s="12"/>
      <c r="F19" s="64" t="s">
        <v>1407</v>
      </c>
      <c r="G19" s="123" t="s">
        <v>2224</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2225</v>
      </c>
      <c r="E20" s="12"/>
      <c r="F20" s="64" t="s">
        <v>1407</v>
      </c>
      <c r="G20" s="124"/>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2226</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4" t="s">
        <v>2227</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2220</v>
      </c>
      <c r="E23" s="11"/>
      <c r="F23" s="64" t="s">
        <v>1430</v>
      </c>
      <c r="G23" s="123" t="s">
        <v>2228</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2229</v>
      </c>
      <c r="E24" s="11"/>
      <c r="F24" s="64" t="s">
        <v>1407</v>
      </c>
      <c r="G24" s="124"/>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2230</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2228</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2013</v>
      </c>
      <c r="E27" s="12"/>
      <c r="F27" s="64" t="s">
        <v>1429</v>
      </c>
      <c r="G27" s="124"/>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2013</v>
      </c>
      <c r="E28" s="12"/>
      <c r="F28" s="64" t="s">
        <v>1429</v>
      </c>
      <c r="G28" s="124"/>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2013</v>
      </c>
      <c r="E29" s="12"/>
      <c r="F29" s="64" t="s">
        <v>1429</v>
      </c>
      <c r="G29" s="124"/>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2013</v>
      </c>
      <c r="E30" s="12"/>
      <c r="F30" s="64" t="s">
        <v>1429</v>
      </c>
      <c r="G30" s="124"/>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2013</v>
      </c>
      <c r="E31" s="12"/>
      <c r="F31" s="64" t="s">
        <v>1429</v>
      </c>
      <c r="G31" s="124"/>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2013</v>
      </c>
      <c r="E32" s="12"/>
      <c r="F32" s="64" t="s">
        <v>1429</v>
      </c>
      <c r="G32" s="124"/>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2013</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2013</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2013</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2013</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2013</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2231</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2232</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2391</v>
      </c>
      <c r="J4" s="16" t="str">
        <f>CONCATENATE("Logical: ",B4)</f>
        <v>Logical: RadiotherapyI4rc</v>
      </c>
    </row>
    <row r="5" spans="1:12" ht="15.5" thickBot="1">
      <c r="A5" s="14" t="s">
        <v>16</v>
      </c>
      <c r="B5" s="45" t="s">
        <v>2137</v>
      </c>
      <c r="J5" s="16" t="str">
        <f>CONCATENATE("Id: ",B5)</f>
        <v>Id: Radiotherapy</v>
      </c>
    </row>
    <row r="6" spans="1:12" ht="15.5" thickBot="1">
      <c r="A6" s="14" t="s">
        <v>10</v>
      </c>
      <c r="B6" s="45" t="s">
        <v>2137</v>
      </c>
      <c r="J6" s="17" t="str">
        <f>CONCATENATE("Title: ##34#",B6,"##34#")</f>
        <v>Title: ##34#Radiotherapy##34#</v>
      </c>
    </row>
    <row r="7" spans="1:12">
      <c r="A7" s="26" t="s">
        <v>2</v>
      </c>
      <c r="B7" s="45" t="s">
        <v>2137</v>
      </c>
      <c r="C7" s="9" t="s">
        <v>3</v>
      </c>
      <c r="D7" s="1" t="s">
        <v>4</v>
      </c>
      <c r="E7" s="3" t="s">
        <v>5</v>
      </c>
      <c r="F7" s="3" t="s">
        <v>6</v>
      </c>
      <c r="G7" s="3" t="s">
        <v>7</v>
      </c>
      <c r="H7" s="105" t="s">
        <v>1610</v>
      </c>
      <c r="J7" s="17" t="str">
        <f>CONCATENATE("Description: "," ##334#",B7,"##334#",)</f>
        <v>Description:  ##334#Radiotherapy##334#</v>
      </c>
    </row>
    <row r="8" spans="1:12" ht="59">
      <c r="A8" s="100">
        <v>0</v>
      </c>
      <c r="B8" s="11" t="s">
        <v>1949</v>
      </c>
      <c r="C8" s="11" t="s">
        <v>2052</v>
      </c>
      <c r="D8" s="11" t="s">
        <v>1908</v>
      </c>
      <c r="E8" s="11">
        <v>1</v>
      </c>
      <c r="F8" s="11">
        <v>1</v>
      </c>
      <c r="G8" s="57" t="s">
        <v>2005</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2136</v>
      </c>
      <c r="C9" s="11" t="s">
        <v>2137</v>
      </c>
      <c r="D9" s="11" t="s">
        <v>2138</v>
      </c>
      <c r="E9" s="11">
        <v>1</v>
      </c>
      <c r="F9" s="11">
        <v>1</v>
      </c>
      <c r="G9" s="11" t="s">
        <v>1786</v>
      </c>
      <c r="H9" s="12" t="s">
        <v>2076</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2139</v>
      </c>
      <c r="E10" s="11">
        <v>1</v>
      </c>
      <c r="F10" s="11">
        <v>1</v>
      </c>
      <c r="G10" s="11" t="s">
        <v>1786</v>
      </c>
      <c r="H10" s="12" t="s">
        <v>2058</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2059</v>
      </c>
      <c r="D11" s="11" t="s">
        <v>2140</v>
      </c>
      <c r="E11" s="11">
        <v>0</v>
      </c>
      <c r="F11" s="11">
        <v>1</v>
      </c>
      <c r="G11" s="11" t="s">
        <v>1786</v>
      </c>
      <c r="H11" s="12" t="s">
        <v>2141</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2142</v>
      </c>
      <c r="C12" s="11" t="s">
        <v>2143</v>
      </c>
      <c r="D12" s="11" t="s">
        <v>2144</v>
      </c>
      <c r="E12" s="11">
        <v>1</v>
      </c>
      <c r="F12" s="11">
        <v>1</v>
      </c>
      <c r="G12" s="11" t="s">
        <v>1786</v>
      </c>
      <c r="H12" s="12" t="s">
        <v>2145</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3">
        <v>5</v>
      </c>
      <c r="B13" s="11" t="s">
        <v>2146</v>
      </c>
      <c r="C13" s="11" t="s">
        <v>2147</v>
      </c>
      <c r="D13" s="6" t="s">
        <v>2147</v>
      </c>
      <c r="E13" s="11">
        <v>0</v>
      </c>
      <c r="F13" s="11">
        <v>1</v>
      </c>
      <c r="G13" s="11" t="s">
        <v>0</v>
      </c>
      <c r="H13" s="12"/>
      <c r="I13" s="25"/>
      <c r="J13" s="12" t="str">
        <f t="shared" si="1"/>
        <v>* otherSpecify 0..1 string ##34#Other; specify##34# ##334#Other; specify##334#</v>
      </c>
      <c r="L13" s="12" t="str">
        <f t="shared" si="2"/>
        <v/>
      </c>
    </row>
    <row r="14" spans="1:12" ht="236">
      <c r="A14" s="101">
        <v>6</v>
      </c>
      <c r="B14" s="11" t="s">
        <v>2148</v>
      </c>
      <c r="C14" s="11" t="s">
        <v>2149</v>
      </c>
      <c r="D14" s="11" t="s">
        <v>2150</v>
      </c>
      <c r="E14" s="11">
        <v>1</v>
      </c>
      <c r="F14" s="11">
        <v>1</v>
      </c>
      <c r="G14" s="11" t="s">
        <v>1786</v>
      </c>
      <c r="H14" s="12" t="s">
        <v>2151</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2152</v>
      </c>
      <c r="C15" s="11" t="s">
        <v>2153</v>
      </c>
      <c r="D15" s="11" t="s">
        <v>2154</v>
      </c>
      <c r="E15" s="11">
        <v>1</v>
      </c>
      <c r="F15" s="11">
        <v>1</v>
      </c>
      <c r="G15" s="57" t="s">
        <v>2212</v>
      </c>
      <c r="H15" s="12"/>
      <c r="I15" s="25"/>
      <c r="J15" s="12" t="str">
        <f t="shared" si="1"/>
        <v>* totalDoseTdGy 1..1 decimal ##34#Total Dose (TD) Gy##34# ##334#Refers to the total dose delivered to the patient in Gy##334#</v>
      </c>
      <c r="L15" s="12" t="str">
        <f t="shared" si="2"/>
        <v/>
      </c>
    </row>
    <row r="16" spans="1:12" ht="29.5">
      <c r="A16" s="101">
        <v>8</v>
      </c>
      <c r="B16" s="11" t="s">
        <v>2155</v>
      </c>
      <c r="C16" s="11" t="s">
        <v>2156</v>
      </c>
      <c r="D16" s="11" t="s">
        <v>2157</v>
      </c>
      <c r="E16" s="11">
        <v>1</v>
      </c>
      <c r="F16" s="11">
        <v>1</v>
      </c>
      <c r="G16" s="57" t="s">
        <v>2212</v>
      </c>
      <c r="H16" s="12"/>
      <c r="I16" s="25"/>
      <c r="J16" s="12" t="str">
        <f t="shared" si="1"/>
        <v>* fractionSizeFs 1..1 decimal ##34#Fraction Size (FS)##34# ##334#Refers to the Dose per fraction delivered to the patient.##334#</v>
      </c>
      <c r="L16" s="12" t="str">
        <f t="shared" si="2"/>
        <v/>
      </c>
    </row>
    <row r="17" spans="1:13" ht="29.5">
      <c r="A17" s="100">
        <v>9</v>
      </c>
      <c r="B17" s="11" t="s">
        <v>2158</v>
      </c>
      <c r="C17" s="11" t="s">
        <v>2159</v>
      </c>
      <c r="D17" s="11" t="s">
        <v>2160</v>
      </c>
      <c r="E17" s="11">
        <v>1</v>
      </c>
      <c r="F17" s="11">
        <v>1</v>
      </c>
      <c r="G17" s="57" t="s">
        <v>2212</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2161</v>
      </c>
      <c r="C18" s="11" t="s">
        <v>2162</v>
      </c>
      <c r="D18" s="11" t="s">
        <v>2163</v>
      </c>
      <c r="E18" s="11">
        <v>0</v>
      </c>
      <c r="F18" s="11">
        <v>1</v>
      </c>
      <c r="G18" s="11" t="s">
        <v>1786</v>
      </c>
      <c r="H18" s="12" t="s">
        <v>2099</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2164</v>
      </c>
      <c r="C19" s="11" t="s">
        <v>2165</v>
      </c>
      <c r="D19" s="11" t="s">
        <v>2166</v>
      </c>
      <c r="E19" s="11">
        <v>0</v>
      </c>
      <c r="F19" s="11">
        <v>1</v>
      </c>
      <c r="G19" s="11" t="s">
        <v>1786</v>
      </c>
      <c r="H19" s="12" t="s">
        <v>2099</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2167</v>
      </c>
      <c r="C20" s="11" t="s">
        <v>2168</v>
      </c>
      <c r="D20" s="11" t="s">
        <v>2169</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2170</v>
      </c>
      <c r="C21" s="11" t="s">
        <v>2171</v>
      </c>
      <c r="D21" s="11" t="s">
        <v>2172</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2173</v>
      </c>
      <c r="C22" s="11" t="s">
        <v>2174</v>
      </c>
      <c r="D22" s="11" t="s">
        <v>2175</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2194</v>
      </c>
      <c r="C23" s="11" t="s">
        <v>2176</v>
      </c>
      <c r="D23" s="150" t="s">
        <v>2176</v>
      </c>
      <c r="E23" s="11">
        <v>0</v>
      </c>
      <c r="F23" s="11">
        <v>1</v>
      </c>
      <c r="G23" s="11" t="s">
        <v>157</v>
      </c>
      <c r="H23" s="12"/>
      <c r="J23" s="12" t="str">
        <f t="shared" si="1"/>
        <v>* treatmentSites.primary 0..1 boolean ##34#Primary##34# ##334#Primary##334#</v>
      </c>
      <c r="L23" s="12" t="str">
        <f t="shared" si="2"/>
        <v/>
      </c>
      <c r="M23"/>
    </row>
    <row r="24" spans="1:13">
      <c r="A24" s="100">
        <v>16</v>
      </c>
      <c r="B24" s="57" t="s">
        <v>2195</v>
      </c>
      <c r="C24" s="11" t="s">
        <v>2177</v>
      </c>
      <c r="D24" s="150" t="s">
        <v>2177</v>
      </c>
      <c r="E24" s="11">
        <v>0</v>
      </c>
      <c r="F24" s="11">
        <v>1</v>
      </c>
      <c r="G24" s="11" t="s">
        <v>157</v>
      </c>
      <c r="H24" s="12"/>
      <c r="J24" s="12" t="str">
        <f t="shared" si="1"/>
        <v>* treatmentSites.neck 0..1 boolean ##34#Neck##34# ##334#Neck##334#</v>
      </c>
      <c r="L24" s="12" t="str">
        <f t="shared" si="2"/>
        <v/>
      </c>
      <c r="M24"/>
    </row>
    <row r="25" spans="1:13" ht="29.5">
      <c r="A25" s="101">
        <v>17</v>
      </c>
      <c r="B25" s="57" t="s">
        <v>2196</v>
      </c>
      <c r="C25" s="11" t="s">
        <v>2178</v>
      </c>
      <c r="D25" s="150" t="s">
        <v>2178</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2197</v>
      </c>
      <c r="C26" s="11" t="s">
        <v>2179</v>
      </c>
      <c r="D26" s="150" t="s">
        <v>2179</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2198</v>
      </c>
      <c r="C27" s="11" t="s">
        <v>2180</v>
      </c>
      <c r="D27" s="150" t="s">
        <v>2180</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2181</v>
      </c>
      <c r="C28" s="11" t="s">
        <v>2182</v>
      </c>
      <c r="D28" s="11" t="s">
        <v>2183</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2199</v>
      </c>
      <c r="C29" s="11" t="s">
        <v>2184</v>
      </c>
      <c r="D29" s="150" t="s">
        <v>2184</v>
      </c>
      <c r="E29" s="11">
        <v>0</v>
      </c>
      <c r="F29" s="11">
        <v>1</v>
      </c>
      <c r="G29" s="11" t="s">
        <v>157</v>
      </c>
      <c r="H29" s="12"/>
      <c r="J29" s="12" t="str">
        <f t="shared" si="1"/>
        <v>* metastaticTreatmentSites.lung 0..1 boolean ##34#Lung
##34# ##334#Lung
##334#</v>
      </c>
      <c r="L29" s="12" t="str">
        <f t="shared" si="2"/>
        <v/>
      </c>
    </row>
    <row r="30" spans="1:13" ht="44.25">
      <c r="A30" s="100">
        <v>22</v>
      </c>
      <c r="B30" s="57" t="s">
        <v>2200</v>
      </c>
      <c r="C30" s="11" t="s">
        <v>2186</v>
      </c>
      <c r="D30" s="150" t="s">
        <v>2186</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2201</v>
      </c>
      <c r="C31" s="12" t="s">
        <v>2187</v>
      </c>
      <c r="D31" s="13" t="s">
        <v>2187</v>
      </c>
      <c r="E31" s="11">
        <v>0</v>
      </c>
      <c r="F31" s="11">
        <v>1</v>
      </c>
      <c r="G31" s="11" t="s">
        <v>157</v>
      </c>
      <c r="H31" s="12"/>
      <c r="J31" s="12" t="str">
        <f t="shared" si="1"/>
        <v>* metastaticTreatmentSites.bone 0..1 boolean ##34#Bone
##34# ##334#Bone
##334#</v>
      </c>
      <c r="L31" s="12" t="str">
        <f t="shared" si="2"/>
        <v/>
      </c>
    </row>
    <row r="32" spans="1:13" ht="44.25">
      <c r="A32" s="11">
        <v>24</v>
      </c>
      <c r="B32" s="57" t="s">
        <v>2202</v>
      </c>
      <c r="C32" s="12" t="s">
        <v>2188</v>
      </c>
      <c r="D32" s="13" t="s">
        <v>2188</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2203</v>
      </c>
      <c r="C33" s="12" t="s">
        <v>2189</v>
      </c>
      <c r="D33" s="13" t="s">
        <v>2189</v>
      </c>
      <c r="E33" s="11">
        <v>0</v>
      </c>
      <c r="F33" s="11">
        <v>1</v>
      </c>
      <c r="G33" s="11" t="s">
        <v>157</v>
      </c>
      <c r="H33" s="12"/>
      <c r="J33" s="12" t="str">
        <f t="shared" si="1"/>
        <v>* metastaticTreatmentSites.liver 0..1 boolean ##34#Liver
##34# ##334#Liver
##334#</v>
      </c>
      <c r="L33" s="12" t="str">
        <f t="shared" si="2"/>
        <v/>
      </c>
    </row>
    <row r="34" spans="1:12" ht="147.5">
      <c r="A34" s="6">
        <v>26</v>
      </c>
      <c r="B34" s="11" t="s">
        <v>2190</v>
      </c>
      <c r="C34" s="12" t="s">
        <v>2191</v>
      </c>
      <c r="D34" s="11" t="s">
        <v>2192</v>
      </c>
      <c r="E34" s="11">
        <v>1</v>
      </c>
      <c r="F34" s="11">
        <v>1</v>
      </c>
      <c r="G34" s="11" t="s">
        <v>1786</v>
      </c>
      <c r="H34" s="12" t="s">
        <v>2193</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2185</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2213</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2234</v>
      </c>
      <c r="D3" s="62" t="s">
        <v>1791</v>
      </c>
      <c r="E3" s="118" t="str">
        <f>$C$1&amp;B14</f>
        <v>http://hl7.eu/fhir/ig/idea4rc/StructureDefinition/RadiotherapyI4rc</v>
      </c>
    </row>
    <row r="4" spans="1:19">
      <c r="B4" s="62" t="s">
        <v>16</v>
      </c>
      <c r="C4" s="28" t="s">
        <v>2234</v>
      </c>
      <c r="D4" s="62" t="s">
        <v>1792</v>
      </c>
      <c r="E4" s="169" t="s">
        <v>2278</v>
      </c>
      <c r="F4" s="170"/>
      <c r="G4" s="170"/>
    </row>
    <row r="5" spans="1:19">
      <c r="B5" s="62" t="s">
        <v>10</v>
      </c>
      <c r="C5" s="7" t="s">
        <v>2235</v>
      </c>
      <c r="D5" s="62"/>
      <c r="E5" s="7"/>
    </row>
    <row r="6" spans="1:19">
      <c r="B6" s="62" t="s">
        <v>18</v>
      </c>
      <c r="C6" s="56"/>
      <c r="D6" s="62" t="s">
        <v>1793</v>
      </c>
      <c r="E6" s="169" t="str">
        <f>E3</f>
        <v>http://hl7.eu/fhir/ig/idea4rc/StructureDefinition/RadiotherapyI4rc</v>
      </c>
      <c r="F6" s="170"/>
      <c r="G6" s="170"/>
    </row>
    <row r="7" spans="1:19">
      <c r="B7" s="62" t="s">
        <v>15</v>
      </c>
      <c r="C7" s="119"/>
      <c r="D7" s="62" t="s">
        <v>1794</v>
      </c>
      <c r="E7" s="169" t="str">
        <f>E4</f>
        <v>http://hl7.eu/fhir/ig/idea4rc/StructureDefinition/Procedure-radiotheraphy-eu-i4rc</v>
      </c>
      <c r="F7" s="170"/>
      <c r="G7" s="170"/>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2218</v>
      </c>
      <c r="E14" s="6"/>
      <c r="F14" s="64"/>
      <c r="G14" s="64"/>
      <c r="I14" s="12"/>
      <c r="J14" s="11"/>
      <c r="K14" s="11"/>
      <c r="L14" s="11"/>
      <c r="M14" s="63"/>
      <c r="N14" s="66"/>
    </row>
    <row r="15" spans="1:19" ht="44.25">
      <c r="A15" s="59"/>
      <c r="B15" s="11" t="str">
        <f>Radiotherapy!B8</f>
        <v>episodeEventReference</v>
      </c>
      <c r="C15" s="11" t="str">
        <f>Radiotherapy!C8</f>
        <v>Episode Event reference</v>
      </c>
      <c r="D15" s="12" t="s">
        <v>2219</v>
      </c>
      <c r="E15" s="12"/>
      <c r="F15" s="64" t="s">
        <v>1407</v>
      </c>
      <c r="G15" s="124"/>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2262</v>
      </c>
      <c r="E16" s="12"/>
      <c r="F16" s="64" t="s">
        <v>1407</v>
      </c>
      <c r="G16" s="123" t="s">
        <v>2237</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2250</v>
      </c>
      <c r="E17" s="12"/>
      <c r="F17" s="64" t="s">
        <v>1407</v>
      </c>
      <c r="G17" s="123" t="s">
        <v>1797</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2262</v>
      </c>
      <c r="E18" s="12"/>
      <c r="F18" s="64" t="s">
        <v>1407</v>
      </c>
      <c r="G18" s="123" t="s">
        <v>2237</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2257</v>
      </c>
      <c r="E19" s="12"/>
      <c r="F19" s="64" t="s">
        <v>1407</v>
      </c>
      <c r="G19" s="124" t="s">
        <v>1797</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2258</v>
      </c>
      <c r="E20" s="12"/>
      <c r="F20" s="64" t="s">
        <v>1424</v>
      </c>
      <c r="G20" s="124" t="s">
        <v>1797</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2251</v>
      </c>
      <c r="E21" s="12"/>
      <c r="F21" s="64" t="s">
        <v>1407</v>
      </c>
      <c r="G21" s="124" t="s">
        <v>1797</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2252</v>
      </c>
      <c r="E22" s="12"/>
      <c r="F22" s="64" t="s">
        <v>1429</v>
      </c>
      <c r="G22" s="124"/>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2254</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2253</v>
      </c>
      <c r="E24" s="11"/>
      <c r="F24" s="64" t="s">
        <v>1407</v>
      </c>
      <c r="G24" s="124"/>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2255</v>
      </c>
      <c r="E25" s="11"/>
      <c r="F25" s="64" t="s">
        <v>1407</v>
      </c>
      <c r="G25" s="123" t="s">
        <v>2256</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2251</v>
      </c>
      <c r="E26" s="12"/>
      <c r="F26" s="64" t="s">
        <v>1407</v>
      </c>
      <c r="G26" s="123" t="s">
        <v>1797</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2259</v>
      </c>
      <c r="E27" s="12"/>
      <c r="F27" s="64" t="s">
        <v>1430</v>
      </c>
      <c r="G27" s="124"/>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2260</v>
      </c>
      <c r="E28" s="12"/>
      <c r="F28" s="64" t="s">
        <v>1430</v>
      </c>
      <c r="G28" s="124"/>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2013</v>
      </c>
      <c r="E29" s="12"/>
      <c r="F29" s="64" t="s">
        <v>1429</v>
      </c>
      <c r="G29" s="124"/>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2013</v>
      </c>
      <c r="E30" s="12"/>
      <c r="F30" s="64" t="s">
        <v>1407</v>
      </c>
      <c r="G30" s="123" t="s">
        <v>1797</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2013</v>
      </c>
      <c r="E31" s="12"/>
      <c r="F31" s="64" t="s">
        <v>1407</v>
      </c>
      <c r="G31" s="123" t="s">
        <v>1797</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2013</v>
      </c>
      <c r="E32" s="12"/>
      <c r="F32" s="64" t="s">
        <v>1407</v>
      </c>
      <c r="G32" s="123" t="s">
        <v>1797</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2013</v>
      </c>
      <c r="E33" s="12"/>
      <c r="F33" s="64" t="s">
        <v>1407</v>
      </c>
      <c r="G33" s="123" t="s">
        <v>1797</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2013</v>
      </c>
      <c r="E34" s="12"/>
      <c r="F34" s="64" t="s">
        <v>1407</v>
      </c>
      <c r="G34" s="123" t="s">
        <v>1797</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2013</v>
      </c>
      <c r="E35" s="12"/>
      <c r="F35" s="64" t="s">
        <v>1407</v>
      </c>
      <c r="G35" s="123" t="s">
        <v>1797</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2013</v>
      </c>
      <c r="E36" s="12"/>
      <c r="F36" s="64" t="s">
        <v>1407</v>
      </c>
      <c r="G36" s="123" t="s">
        <v>1797</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2013</v>
      </c>
      <c r="E37" s="12"/>
      <c r="F37" s="64" t="s">
        <v>1407</v>
      </c>
      <c r="G37" s="123" t="s">
        <v>1797</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2013</v>
      </c>
      <c r="E38" s="12"/>
      <c r="F38" s="64" t="s">
        <v>1407</v>
      </c>
      <c r="G38" s="123" t="s">
        <v>1797</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2013</v>
      </c>
      <c r="E39" s="12"/>
      <c r="F39" s="64" t="s">
        <v>1407</v>
      </c>
      <c r="G39" s="123" t="s">
        <v>1797</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2013</v>
      </c>
      <c r="E40" s="12"/>
      <c r="F40" s="64" t="s">
        <v>1407</v>
      </c>
      <c r="G40" s="123" t="s">
        <v>1797</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2255</v>
      </c>
      <c r="E41" s="11"/>
      <c r="F41" s="64" t="s">
        <v>1407</v>
      </c>
      <c r="G41" s="123" t="s">
        <v>2261</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2263</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2"/>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2381</v>
      </c>
      <c r="J4" s="16" t="str">
        <f>CONCATENATE("Logical: ",B4)</f>
        <v>Logical: HospitalPatientRecordsI4rc</v>
      </c>
    </row>
    <row r="5" spans="1:12" ht="15.5" thickBot="1">
      <c r="A5" s="14" t="s">
        <v>16</v>
      </c>
      <c r="B5" s="45" t="s">
        <v>2291</v>
      </c>
      <c r="J5" s="16" t="str">
        <f>CONCATENATE("Id: ",B5)</f>
        <v>Id: HospitalPatientRecords</v>
      </c>
    </row>
    <row r="6" spans="1:12" ht="15.5" thickBot="1">
      <c r="A6" s="14" t="s">
        <v>10</v>
      </c>
      <c r="B6" s="45" t="s">
        <v>2292</v>
      </c>
      <c r="J6" s="17" t="str">
        <f>CONCATENATE("Title: ##34#",B6,"##34#")</f>
        <v>Title: ##34#Hospital Patient Records##34#</v>
      </c>
    </row>
    <row r="7" spans="1:12">
      <c r="A7" s="26" t="s">
        <v>2</v>
      </c>
      <c r="B7" s="152" t="s">
        <v>2292</v>
      </c>
      <c r="C7" s="9" t="s">
        <v>3</v>
      </c>
      <c r="D7" s="1" t="s">
        <v>4</v>
      </c>
      <c r="E7" s="3" t="s">
        <v>5</v>
      </c>
      <c r="F7" s="3" t="s">
        <v>6</v>
      </c>
      <c r="G7" s="3" t="s">
        <v>7</v>
      </c>
      <c r="H7" s="105" t="s">
        <v>1610</v>
      </c>
      <c r="J7" s="17" t="str">
        <f>CONCATENATE("Description: "," ##334#",B7,"##334#",)</f>
        <v>Description:  ##334#Hospital Patient Records##334#</v>
      </c>
    </row>
    <row r="8" spans="1:12" ht="44.25">
      <c r="A8" s="100">
        <v>0</v>
      </c>
      <c r="B8" s="11" t="s">
        <v>1805</v>
      </c>
      <c r="C8" s="11" t="s">
        <v>14</v>
      </c>
      <c r="D8" s="11" t="s">
        <v>1760</v>
      </c>
      <c r="E8" s="11">
        <v>1</v>
      </c>
      <c r="F8" s="11">
        <v>1</v>
      </c>
      <c r="G8" s="119" t="s">
        <v>1783</v>
      </c>
      <c r="H8" s="11" t="s">
        <v>2281</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2282</v>
      </c>
      <c r="C9" s="11" t="s">
        <v>2283</v>
      </c>
      <c r="D9" s="11" t="s">
        <v>2284</v>
      </c>
      <c r="E9" s="11">
        <v>1</v>
      </c>
      <c r="F9" s="11">
        <v>1</v>
      </c>
      <c r="G9" s="120" t="s">
        <v>1</v>
      </c>
      <c r="H9" s="11" t="s">
        <v>2285</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2290</v>
      </c>
      <c r="C10" s="11" t="s">
        <v>2279</v>
      </c>
      <c r="D10" s="11" t="s">
        <v>2280</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2286</v>
      </c>
      <c r="C11" s="11" t="s">
        <v>2287</v>
      </c>
      <c r="D11" s="11" t="s">
        <v>2288</v>
      </c>
      <c r="E11" s="11">
        <v>1</v>
      </c>
      <c r="F11" s="11">
        <v>1</v>
      </c>
      <c r="G11" s="11" t="s">
        <v>156</v>
      </c>
      <c r="H11" s="11" t="s">
        <v>2289</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9" customWidth="1"/>
    <col min="2" max="2" width="7.36328125" style="159" customWidth="1"/>
    <col min="3" max="3" width="108.2265625" style="157" customWidth="1"/>
    <col min="7" max="7" width="29.54296875" customWidth="1"/>
    <col min="8" max="8" width="54.90625" customWidth="1"/>
  </cols>
  <sheetData>
    <row r="1" spans="3:7" ht="15.5" thickBot="1">
      <c r="C1" s="155" t="str">
        <f>HospitalPatientRecords!J1</f>
        <v>//===================================================</v>
      </c>
    </row>
    <row r="2" spans="3:7" ht="16.75" thickBot="1">
      <c r="C2" s="24" t="str">
        <f>HospitalPatientRecords!J2</f>
        <v>//  Logical Model</v>
      </c>
      <c r="G2" s="29" t="s">
        <v>2293</v>
      </c>
    </row>
    <row r="3" spans="3:7">
      <c r="C3" s="24" t="str">
        <f>HospitalPatientRecords!J3</f>
        <v>//===================================================</v>
      </c>
    </row>
    <row r="4" spans="3:7">
      <c r="C4" s="156" t="str">
        <f>HospitalPatientRecords!J4</f>
        <v>Logical: HospitalPatientRecordsI4rc</v>
      </c>
    </row>
    <row r="5" spans="3:7">
      <c r="C5" s="156" t="str">
        <f>HospitalPatientRecords!J5</f>
        <v>Id: HospitalPatientRecords</v>
      </c>
    </row>
    <row r="6" spans="3:7">
      <c r="C6" s="156" t="str">
        <f>HospitalPatientRecords!J6</f>
        <v>Title: ##34#Hospital Patient Records##34#</v>
      </c>
    </row>
    <row r="7" spans="3:7">
      <c r="C7" s="156" t="str">
        <f>HospitalPatientRecords!J7</f>
        <v>Description:  ##334#Hospital Patient Records##334#</v>
      </c>
    </row>
    <row r="8" spans="3:7" ht="29.5">
      <c r="C8" s="157" t="str">
        <f>IF(HospitalPatientRecords!J8="*  ..  ##34###34# ##334###334#","//--- END",HospitalPatientRecords!J8)</f>
        <v>* patient 1..1 http://hl7.eu/fhir/ig/idea4rc/StructureDefinition/Subject ##34#Patient##34# ##334#Patient element containing the data regarding the patient followed by the hospital##334#</v>
      </c>
    </row>
    <row r="9" spans="3:7" ht="29.5">
      <c r="C9" s="157" t="str">
        <f>IF(HospitalPatientRecords!J9="*  ..  ##34###34# ##334###334#","//--- END",HospitalPatientRecords!J9)</f>
        <v>* hospital 1..1 BackboneElement ##34#Hospital##34# ##334#Hospital element containing the data regarding the patient followed by the hospital##334#</v>
      </c>
    </row>
    <row r="10" spans="3:7">
      <c r="C10" s="157" t="str">
        <f>IF(HospitalPatientRecords!J10="*  ..  ##34###34# ##334###334#","//--- END",HospitalPatientRecords!J10)</f>
        <v>* hospital.name 1..1 string ##34#Hospital Name##34# ##334#Hospital where the patients is included in the registry##334#</v>
      </c>
    </row>
    <row r="11" spans="3:7" ht="59">
      <c r="C11" s="157"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7" t="str">
        <f>IF(HospitalPatientRecords!J12="*  ..  ##34###34# ##334###334#","//--- END",HospitalPatientRecords!J12)</f>
        <v>//--- END</v>
      </c>
    </row>
    <row r="13" spans="3:7">
      <c r="C13" s="157" t="str">
        <f>IF(HospitalPatientRecords!J14="*  ..  ##34###34# ##334###334#","//--- END",HospitalPatientRecords!J14)</f>
        <v>//--- END</v>
      </c>
    </row>
    <row r="14" spans="3:7">
      <c r="C14" s="157" t="str">
        <f>IF(HospitalPatientRecords!J15="*  ..  ##34###34# ##334###334#","//--- END",HospitalPatientRecords!J15)</f>
        <v>//--- END</v>
      </c>
    </row>
    <row r="15" spans="3:7">
      <c r="C15" s="157" t="str">
        <f>IF(HospitalPatientRecords!J16="*  ..  ##34###34# ##334###334#","//--- END",HospitalPatientRecords!J16)</f>
        <v>//--- END</v>
      </c>
    </row>
    <row r="16" spans="3:7">
      <c r="C16" s="157" t="str">
        <f>IF(HospitalPatientRecords!J17="*  ..  ##34###34# ##334###334#","//--- END",HospitalPatientRecords!J17)</f>
        <v>//--- END</v>
      </c>
    </row>
    <row r="17" spans="3:3">
      <c r="C17" s="157" t="str">
        <f>IF(HospitalPatientRecords!J18="*  ..  ##34###34# ##334###334#","//--- END",HospitalPatientRecords!J18)</f>
        <v>//--- END</v>
      </c>
    </row>
    <row r="18" spans="3:3">
      <c r="C18" s="157" t="str">
        <f>IF(HospitalPatientRecords!J19="*  ..  ##34###34# ##334###334#","//--- END",HospitalPatientRecords!J19)</f>
        <v>//--- END</v>
      </c>
    </row>
    <row r="19" spans="3:3">
      <c r="C19" s="157" t="str">
        <f>IF(HospitalPatientRecords!J20="*  ..  ##34###34# ##334###334#","//--- END",HospitalPatientRecords!J20)</f>
        <v>//--- END</v>
      </c>
    </row>
    <row r="20" spans="3:3">
      <c r="C20" s="157" t="str">
        <f>IF(HospitalPatientRecords!J21="*  ..  ##34###34# ##334###334#","//--- END",HospitalPatientRecords!J21)</f>
        <v>//--- END</v>
      </c>
    </row>
    <row r="21" spans="3:3">
      <c r="C21" s="157" t="str">
        <f>IF(HospitalPatientRecords!J22="*  ..  ##34###34# ##334###334#","//--- END",HospitalPatientRecords!J22)</f>
        <v>//--- END</v>
      </c>
    </row>
    <row r="22" spans="3:3">
      <c r="C22" s="157" t="str">
        <f>IF(HospitalPatientRecords!J23="*  ..  ##34###34# ##334###334#","//--- END",HospitalPatientRecords!J23)</f>
        <v>//--- END</v>
      </c>
    </row>
    <row r="23" spans="3:3">
      <c r="C23" s="157" t="str">
        <f>IF(HospitalPatientRecords!J24="*  ..  ##34###34# ##334###334#","//--- END",HospitalPatientRecords!J24)</f>
        <v>//--- END</v>
      </c>
    </row>
    <row r="24" spans="3:3">
      <c r="C24" s="157" t="str">
        <f>IF(HospitalPatientRecords!J25="*  ..  ##34###34# ##334###334#","//--- END",HospitalPatientRecords!J25)</f>
        <v>//--- END</v>
      </c>
    </row>
    <row r="31" spans="3:3">
      <c r="C31" s="155" t="s">
        <v>1613</v>
      </c>
    </row>
    <row r="32" spans="3:3">
      <c r="C32" s="24" t="s">
        <v>1651</v>
      </c>
    </row>
    <row r="33" spans="3:3">
      <c r="C33" s="24" t="s">
        <v>1613</v>
      </c>
    </row>
    <row r="34" spans="3:3" ht="29.5">
      <c r="C34" s="157" t="str">
        <f>IF(HospitalPatientRecords!L8="*  ..  ##34###34# ##334###334#","//--- END",HospitalPatientRecords!L8)</f>
        <v>* patient ^comment = ##334#A patient element data
-##334#</v>
      </c>
    </row>
    <row r="35" spans="3:3" ht="29.5">
      <c r="C35" s="157" t="str">
        <f>IF(HospitalPatientRecords!L9="*  ..  ##34###34# ##334###334#","//--- END",HospitalPatientRecords!L9)</f>
        <v>* hospital ^comment = ##334#A hospital element data
-##334#</v>
      </c>
    </row>
    <row r="36" spans="3:3">
      <c r="C36" s="157" t="str">
        <f>IF(HospitalPatientRecords!L10="*  ..  ##34###34# ##334###334#","//--- END",HospitalPatientRecords!L10)</f>
        <v/>
      </c>
    </row>
    <row r="37" spans="3:3" ht="29.5">
      <c r="C37" s="157" t="str">
        <f>IF(HospitalPatientRecords!L11="*  ..  ##34###34# ##334###334#","//--- END",HospitalPatientRecords!L11)</f>
        <v>* firstContactDate ^comment = ##334#Date
-##334#</v>
      </c>
    </row>
    <row r="38" spans="3:3">
      <c r="C38" s="157" t="str">
        <f>IF(HospitalPatientRecords!L13="*  ..  ##34###34# ##334###334#","//--- END",HospitalPatientRecords!L13)</f>
        <v>//--- END</v>
      </c>
    </row>
    <row r="39" spans="3:3">
      <c r="C39" s="157" t="str">
        <f>IF(HospitalPatientRecords!L14="*  ..  ##34###34# ##334###334#","//--- END",HospitalPatientRecords!L14)</f>
        <v>//--- END</v>
      </c>
    </row>
    <row r="40" spans="3:3">
      <c r="C40" s="157"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2392</v>
      </c>
      <c r="D3" s="62" t="s">
        <v>1791</v>
      </c>
      <c r="E3" s="118" t="str">
        <f>$C$1&amp;B14</f>
        <v>http://hl7.eu/fhir/ig/idea4rc/StructureDefinition/HospitalPatientRecords</v>
      </c>
    </row>
    <row r="4" spans="1:19">
      <c r="B4" s="62" t="s">
        <v>16</v>
      </c>
      <c r="C4" s="28" t="s">
        <v>2392</v>
      </c>
      <c r="D4" s="62" t="s">
        <v>1792</v>
      </c>
      <c r="E4" s="169" t="s">
        <v>2395</v>
      </c>
      <c r="F4" s="170"/>
      <c r="G4" s="170"/>
    </row>
    <row r="5" spans="1:19">
      <c r="B5" s="62" t="s">
        <v>10</v>
      </c>
      <c r="C5" s="7" t="s">
        <v>2393</v>
      </c>
      <c r="D5" s="62"/>
      <c r="E5" s="7"/>
    </row>
    <row r="6" spans="1:19">
      <c r="B6" s="62" t="s">
        <v>18</v>
      </c>
      <c r="C6" s="56"/>
      <c r="D6" s="62" t="s">
        <v>1793</v>
      </c>
      <c r="E6" s="169" t="str">
        <f>E3</f>
        <v>http://hl7.eu/fhir/ig/idea4rc/StructureDefinition/HospitalPatientRecords</v>
      </c>
      <c r="F6" s="170"/>
      <c r="G6" s="170"/>
    </row>
    <row r="7" spans="1:19">
      <c r="B7" s="62" t="s">
        <v>15</v>
      </c>
      <c r="C7" s="119"/>
      <c r="D7" s="62" t="s">
        <v>1794</v>
      </c>
      <c r="E7" s="169" t="str">
        <f>E4</f>
        <v>http://hl7.eu/fhir/ig/idea4rc/StructureDefinition/episodeOfCare-eu-i4rc</v>
      </c>
      <c r="F7" s="170"/>
      <c r="G7" s="170"/>
    </row>
    <row r="8" spans="1:19" ht="45" thickBot="1">
      <c r="B8" s="62" t="s">
        <v>1795</v>
      </c>
      <c r="C8" t="s">
        <v>2393</v>
      </c>
      <c r="D8" s="62"/>
      <c r="E8" s="7"/>
      <c r="I8" s="12" t="s">
        <v>1402</v>
      </c>
      <c r="J8" s="12" t="s">
        <v>1403</v>
      </c>
      <c r="K8" s="12" t="s">
        <v>1404</v>
      </c>
      <c r="L8" s="12" t="s">
        <v>1405</v>
      </c>
      <c r="M8" s="11" t="s">
        <v>1406</v>
      </c>
      <c r="P8" s="49" t="s">
        <v>1441</v>
      </c>
      <c r="Q8" s="49">
        <v>6</v>
      </c>
    </row>
    <row r="9" spans="1:19" ht="30.25" thickBot="1">
      <c r="B9" s="62" t="s">
        <v>1796</v>
      </c>
      <c r="C9" s="12" t="s">
        <v>2394</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2396</v>
      </c>
      <c r="E14" s="6"/>
      <c r="F14" s="64"/>
      <c r="G14" s="64"/>
      <c r="I14" s="12"/>
      <c r="J14" s="11"/>
      <c r="K14" s="11"/>
      <c r="L14" s="11"/>
      <c r="M14" s="63"/>
      <c r="N14" s="66"/>
    </row>
    <row r="15" spans="1:19" ht="44.25">
      <c r="A15" s="59"/>
      <c r="B15" s="11" t="str">
        <f>HospitalPatientRecords!B8</f>
        <v>patient</v>
      </c>
      <c r="C15" s="11" t="str">
        <f>HospitalPatientRecords!C8</f>
        <v>Patient</v>
      </c>
      <c r="D15" s="12" t="s">
        <v>1805</v>
      </c>
      <c r="E15" s="12"/>
      <c r="F15" s="64" t="s">
        <v>1430</v>
      </c>
      <c r="G15" s="124"/>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2397</v>
      </c>
      <c r="E16" s="12"/>
      <c r="F16" s="64" t="s">
        <v>1429</v>
      </c>
      <c r="G16" s="124"/>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2398</v>
      </c>
      <c r="E17" s="12"/>
      <c r="F17" s="64" t="s">
        <v>1429</v>
      </c>
      <c r="G17" s="124"/>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2399</v>
      </c>
      <c r="E18" s="12"/>
      <c r="F18" s="64" t="s">
        <v>1430</v>
      </c>
      <c r="G18" s="124"/>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4"/>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4"/>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4"/>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4"/>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4"/>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4"/>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4"/>
      <c r="P45" s="11">
        <v>31</v>
      </c>
      <c r="Q45" s="11">
        <f t="shared" si="13"/>
        <v>5</v>
      </c>
      <c r="R45" s="11">
        <f t="shared" si="14"/>
        <v>1</v>
      </c>
      <c r="S45" s="12" cm="1">
        <f t="array" ref="S45">INDEX('HospitalPatientRec-ConceptMap-1'!$I$15:$N$124,Q45+1,R45)</f>
        <v>0</v>
      </c>
    </row>
    <row r="46" spans="1:19">
      <c r="B46" s="11"/>
      <c r="C46" s="11"/>
      <c r="D46" s="12"/>
      <c r="E46" s="12"/>
      <c r="F46" s="64"/>
      <c r="G46" s="124"/>
      <c r="P46" s="11">
        <v>32</v>
      </c>
      <c r="Q46" s="11">
        <f t="shared" si="13"/>
        <v>5</v>
      </c>
      <c r="R46" s="11">
        <f t="shared" si="14"/>
        <v>2</v>
      </c>
      <c r="S46" s="12" cm="1">
        <f t="array" ref="S46">INDEX('HospitalPatientRec-ConceptMap-1'!$I$15:$N$124,Q46+1,R46)</f>
        <v>0</v>
      </c>
    </row>
    <row r="47" spans="1:19">
      <c r="B47" s="11"/>
      <c r="C47" s="11"/>
      <c r="D47" s="12"/>
      <c r="E47" s="12"/>
      <c r="F47" s="64"/>
      <c r="G47" s="124"/>
      <c r="P47" s="11">
        <v>33</v>
      </c>
      <c r="Q47" s="11">
        <f t="shared" si="13"/>
        <v>5</v>
      </c>
      <c r="R47" s="11">
        <f t="shared" si="14"/>
        <v>3</v>
      </c>
      <c r="S47" s="12" cm="1">
        <f t="array" ref="S47">INDEX('HospitalPatientRec-ConceptMap-1'!$I$15:$N$124,Q47+1,R47)</f>
        <v>0</v>
      </c>
    </row>
    <row r="48" spans="1:19">
      <c r="B48" s="11"/>
      <c r="C48" s="11"/>
      <c r="D48" s="12"/>
      <c r="E48" s="12"/>
      <c r="F48" s="64"/>
      <c r="G48" s="124"/>
      <c r="P48" s="11">
        <v>34</v>
      </c>
      <c r="Q48" s="11">
        <f t="shared" si="13"/>
        <v>5</v>
      </c>
      <c r="R48" s="11">
        <f t="shared" si="14"/>
        <v>4</v>
      </c>
      <c r="S48" s="12" cm="1">
        <f t="array" ref="S48">INDEX('HospitalPatientRec-ConceptMap-1'!$I$15:$N$124,Q48+1,R48)</f>
        <v>0</v>
      </c>
    </row>
    <row r="49" spans="2:19">
      <c r="B49" s="11"/>
      <c r="C49" s="11"/>
      <c r="D49" s="12"/>
      <c r="E49" s="12"/>
      <c r="F49" s="64"/>
      <c r="G49" s="124"/>
      <c r="P49" s="11">
        <v>35</v>
      </c>
      <c r="Q49" s="11">
        <f t="shared" si="13"/>
        <v>5</v>
      </c>
      <c r="R49" s="11">
        <f t="shared" si="14"/>
        <v>5</v>
      </c>
      <c r="S49" s="12" cm="1">
        <f t="array" ref="S49">INDEX('HospitalPatientRec-ConceptMap-1'!$I$15:$N$124,Q49+1,R49)</f>
        <v>0</v>
      </c>
    </row>
    <row r="50" spans="2:19">
      <c r="B50" s="11"/>
      <c r="C50" s="11"/>
      <c r="D50" s="12"/>
      <c r="E50" s="12"/>
      <c r="F50" s="64"/>
      <c r="G50" s="124"/>
      <c r="P50" s="11">
        <v>36</v>
      </c>
      <c r="Q50" s="11">
        <f t="shared" si="13"/>
        <v>5</v>
      </c>
      <c r="R50" s="11">
        <f t="shared" si="14"/>
        <v>6</v>
      </c>
      <c r="S50" s="12" cm="1">
        <f t="array" ref="S50">INDEX('HospitalPatientRec-ConceptMap-1'!$I$15:$N$124,Q50+1,R50)</f>
        <v>0</v>
      </c>
    </row>
    <row r="51" spans="2:19">
      <c r="B51" s="11"/>
      <c r="C51" s="11"/>
      <c r="D51" s="12"/>
      <c r="E51" s="12"/>
      <c r="F51" s="64"/>
      <c r="G51" s="124"/>
      <c r="P51" s="11">
        <v>37</v>
      </c>
      <c r="Q51" s="11">
        <f t="shared" si="13"/>
        <v>6</v>
      </c>
      <c r="R51" s="11">
        <f t="shared" si="14"/>
        <v>1</v>
      </c>
      <c r="S51" s="12" cm="1">
        <f t="array" ref="S51">INDEX('HospitalPatientRec-ConceptMap-1'!$I$15:$N$124,Q51+1,R51)</f>
        <v>0</v>
      </c>
    </row>
    <row r="52" spans="2:19">
      <c r="B52" s="11"/>
      <c r="C52" s="11"/>
      <c r="D52" s="12"/>
      <c r="E52" s="12"/>
      <c r="F52" s="64"/>
      <c r="G52" s="124"/>
      <c r="P52" s="11">
        <v>38</v>
      </c>
      <c r="Q52" s="11">
        <f t="shared" si="13"/>
        <v>6</v>
      </c>
      <c r="R52" s="11">
        <f t="shared" si="14"/>
        <v>2</v>
      </c>
      <c r="S52" s="12" cm="1">
        <f t="array" ref="S52">INDEX('HospitalPatientRec-ConceptMap-1'!$I$15:$N$124,Q52+1,R52)</f>
        <v>0</v>
      </c>
    </row>
    <row r="53" spans="2:19">
      <c r="B53" s="11"/>
      <c r="C53" s="11"/>
      <c r="D53" s="12"/>
      <c r="E53" s="12"/>
      <c r="F53" s="64"/>
      <c r="G53" s="124"/>
      <c r="P53" s="11">
        <v>39</v>
      </c>
      <c r="Q53" s="11">
        <f t="shared" si="13"/>
        <v>6</v>
      </c>
      <c r="R53" s="11">
        <f t="shared" si="14"/>
        <v>3</v>
      </c>
      <c r="S53" s="12" cm="1">
        <f t="array" ref="S53">INDEX('HospitalPatientRec-ConceptMap-1'!$I$15:$N$124,Q53+1,R53)</f>
        <v>0</v>
      </c>
    </row>
    <row r="54" spans="2:19">
      <c r="B54" s="11"/>
      <c r="C54" s="11"/>
      <c r="D54" s="12"/>
      <c r="E54" s="12"/>
      <c r="F54" s="64"/>
      <c r="G54" s="124"/>
      <c r="P54" s="11">
        <v>40</v>
      </c>
      <c r="Q54" s="11">
        <f t="shared" si="13"/>
        <v>6</v>
      </c>
      <c r="R54" s="11">
        <f t="shared" si="14"/>
        <v>4</v>
      </c>
      <c r="S54" s="12" cm="1">
        <f t="array" ref="S54">INDEX('HospitalPatientRec-ConceptMap-1'!$I$15:$N$124,Q54+1,R54)</f>
        <v>0</v>
      </c>
    </row>
    <row r="55" spans="2:19">
      <c r="B55" s="11"/>
      <c r="C55" s="11"/>
      <c r="D55" s="12"/>
      <c r="E55" s="12"/>
      <c r="F55" s="64"/>
      <c r="G55" s="124"/>
      <c r="P55" s="11">
        <v>41</v>
      </c>
      <c r="Q55" s="11">
        <f t="shared" si="13"/>
        <v>6</v>
      </c>
      <c r="R55" s="11">
        <f t="shared" si="14"/>
        <v>5</v>
      </c>
      <c r="S55" s="12" cm="1">
        <f t="array" ref="S55">INDEX('HospitalPatientRec-ConceptMap-1'!$I$15:$N$124,Q55+1,R55)</f>
        <v>0</v>
      </c>
    </row>
    <row r="56" spans="2:19">
      <c r="B56" s="11"/>
      <c r="C56" s="11"/>
      <c r="D56" s="12"/>
      <c r="E56" s="12"/>
      <c r="F56" s="64"/>
      <c r="G56" s="124"/>
      <c r="P56" s="11">
        <v>42</v>
      </c>
      <c r="Q56" s="11">
        <f t="shared" si="13"/>
        <v>6</v>
      </c>
      <c r="R56" s="11">
        <f t="shared" si="14"/>
        <v>6</v>
      </c>
      <c r="S56" s="12" cm="1">
        <f t="array" ref="S56">INDEX('HospitalPatientRec-ConceptMap-1'!$I$15:$N$124,Q56+1,R56)</f>
        <v>0</v>
      </c>
    </row>
    <row r="57" spans="2:19">
      <c r="B57" s="11"/>
      <c r="C57" s="11"/>
      <c r="D57" s="12"/>
      <c r="E57" s="12"/>
      <c r="F57" s="64"/>
      <c r="G57" s="124"/>
      <c r="P57" s="11">
        <v>43</v>
      </c>
      <c r="Q57" s="11">
        <f t="shared" si="13"/>
        <v>7</v>
      </c>
      <c r="R57" s="11">
        <f t="shared" si="14"/>
        <v>1</v>
      </c>
      <c r="S57" s="12" cm="1">
        <f t="array" ref="S57">INDEX('HospitalPatientRec-ConceptMap-1'!$I$15:$N$124,Q57+1,R57)</f>
        <v>0</v>
      </c>
    </row>
    <row r="58" spans="2:19">
      <c r="B58" s="11"/>
      <c r="C58" s="11"/>
      <c r="D58" s="12"/>
      <c r="E58" s="12"/>
      <c r="F58" s="64"/>
      <c r="G58" s="124"/>
      <c r="P58" s="11">
        <v>44</v>
      </c>
      <c r="Q58" s="11">
        <f t="shared" si="13"/>
        <v>7</v>
      </c>
      <c r="R58" s="11">
        <f t="shared" si="14"/>
        <v>2</v>
      </c>
      <c r="S58" s="12" cm="1">
        <f t="array" ref="S58">INDEX('HospitalPatientRec-ConceptMap-1'!$I$15:$N$124,Q58+1,R58)</f>
        <v>0</v>
      </c>
    </row>
    <row r="59" spans="2:19">
      <c r="B59" s="11"/>
      <c r="C59" s="11"/>
      <c r="D59" s="12"/>
      <c r="E59" s="12"/>
      <c r="F59" s="64"/>
      <c r="G59" s="124"/>
      <c r="P59" s="11">
        <v>45</v>
      </c>
      <c r="Q59" s="11">
        <f t="shared" si="13"/>
        <v>7</v>
      </c>
      <c r="R59" s="11">
        <f t="shared" si="14"/>
        <v>3</v>
      </c>
      <c r="S59" s="12" cm="1">
        <f t="array" ref="S59">INDEX('HospitalPatientRec-ConceptMap-1'!$I$15:$N$124,Q59+1,R59)</f>
        <v>0</v>
      </c>
    </row>
    <row r="60" spans="2:19">
      <c r="B60" s="11"/>
      <c r="C60" s="11"/>
      <c r="D60" s="12"/>
      <c r="E60" s="12"/>
      <c r="F60" s="64"/>
      <c r="G60" s="124"/>
      <c r="P60" s="11">
        <v>46</v>
      </c>
      <c r="Q60" s="11">
        <f t="shared" si="13"/>
        <v>7</v>
      </c>
      <c r="R60" s="11">
        <f t="shared" si="14"/>
        <v>4</v>
      </c>
      <c r="S60" s="12" cm="1">
        <f t="array" ref="S60">INDEX('HospitalPatientRec-ConceptMap-1'!$I$15:$N$124,Q60+1,R60)</f>
        <v>0</v>
      </c>
    </row>
    <row r="61" spans="2:19">
      <c r="B61" s="11"/>
      <c r="C61" s="11"/>
      <c r="D61" s="12"/>
      <c r="E61" s="12"/>
      <c r="F61" s="64"/>
      <c r="G61" s="124"/>
      <c r="P61" s="11">
        <v>47</v>
      </c>
      <c r="Q61" s="11">
        <f t="shared" si="13"/>
        <v>7</v>
      </c>
      <c r="R61" s="11">
        <f t="shared" si="14"/>
        <v>5</v>
      </c>
      <c r="S61" s="12" cm="1">
        <f t="array" ref="S61">INDEX('HospitalPatientRec-ConceptMap-1'!$I$15:$N$124,Q61+1,R61)</f>
        <v>0</v>
      </c>
    </row>
    <row r="62" spans="2:19">
      <c r="B62" s="11"/>
      <c r="C62" s="11"/>
      <c r="D62" s="12"/>
      <c r="E62" s="12"/>
      <c r="F62" s="64"/>
      <c r="G62" s="124"/>
      <c r="P62" s="11">
        <v>48</v>
      </c>
      <c r="Q62" s="11">
        <f t="shared" si="13"/>
        <v>7</v>
      </c>
      <c r="R62" s="11">
        <f t="shared" si="14"/>
        <v>6</v>
      </c>
      <c r="S62" s="12" cm="1">
        <f t="array" ref="S62">INDEX('HospitalPatientRec-ConceptMap-1'!$I$15:$N$124,Q62+1,R62)</f>
        <v>0</v>
      </c>
    </row>
    <row r="63" spans="2:19">
      <c r="B63" s="11"/>
      <c r="C63" s="11"/>
      <c r="D63" s="12"/>
      <c r="E63" s="12"/>
      <c r="F63" s="64"/>
      <c r="G63" s="124"/>
      <c r="P63" s="11">
        <v>49</v>
      </c>
      <c r="Q63" s="11">
        <f t="shared" si="13"/>
        <v>8</v>
      </c>
      <c r="R63" s="11">
        <f t="shared" si="14"/>
        <v>1</v>
      </c>
      <c r="S63" s="12" cm="1">
        <f t="array" ref="S63">INDEX('HospitalPatientRec-ConceptMap-1'!$I$15:$N$124,Q63+1,R63)</f>
        <v>0</v>
      </c>
    </row>
    <row r="64" spans="2:19">
      <c r="B64" s="11"/>
      <c r="C64" s="11"/>
      <c r="D64" s="12"/>
      <c r="E64" s="12"/>
      <c r="F64" s="64"/>
      <c r="G64" s="124"/>
      <c r="P64" s="11">
        <v>50</v>
      </c>
      <c r="Q64" s="11">
        <f t="shared" si="13"/>
        <v>8</v>
      </c>
      <c r="R64" s="11">
        <f t="shared" si="14"/>
        <v>2</v>
      </c>
      <c r="S64" s="12" cm="1">
        <f t="array" ref="S64">INDEX('HospitalPatientRec-ConceptMap-1'!$I$15:$N$124,Q64+1,R64)</f>
        <v>0</v>
      </c>
    </row>
    <row r="65" spans="2:19">
      <c r="B65" s="11"/>
      <c r="C65" s="11"/>
      <c r="D65" s="12"/>
      <c r="E65" s="12"/>
      <c r="F65" s="64"/>
      <c r="G65" s="124"/>
      <c r="P65" s="11">
        <v>51</v>
      </c>
      <c r="Q65" s="11">
        <f t="shared" si="13"/>
        <v>8</v>
      </c>
      <c r="R65" s="11">
        <f t="shared" si="14"/>
        <v>3</v>
      </c>
      <c r="S65" s="12" cm="1">
        <f t="array" ref="S65">INDEX('HospitalPatientRec-ConceptMap-1'!$I$15:$N$124,Q65+1,R65)</f>
        <v>0</v>
      </c>
    </row>
    <row r="66" spans="2:19">
      <c r="B66" s="11"/>
      <c r="C66" s="11"/>
      <c r="D66" s="12"/>
      <c r="E66" s="12"/>
      <c r="F66" s="64"/>
      <c r="G66" s="124"/>
      <c r="P66" s="11">
        <v>52</v>
      </c>
      <c r="Q66" s="11">
        <f t="shared" si="13"/>
        <v>8</v>
      </c>
      <c r="R66" s="11">
        <f t="shared" si="14"/>
        <v>4</v>
      </c>
      <c r="S66" s="12" cm="1">
        <f t="array" ref="S66">INDEX('HospitalPatientRec-ConceptMap-1'!$I$15:$N$124,Q66+1,R66)</f>
        <v>0</v>
      </c>
    </row>
    <row r="67" spans="2:19">
      <c r="B67" s="11"/>
      <c r="C67" s="11"/>
      <c r="D67" s="12"/>
      <c r="E67" s="12"/>
      <c r="F67" s="64"/>
      <c r="G67" s="124"/>
      <c r="P67" s="11">
        <v>53</v>
      </c>
      <c r="Q67" s="11">
        <f t="shared" si="13"/>
        <v>8</v>
      </c>
      <c r="R67" s="11">
        <f t="shared" si="14"/>
        <v>5</v>
      </c>
      <c r="S67" s="12" cm="1">
        <f t="array" ref="S67">INDEX('HospitalPatientRec-ConceptMap-1'!$I$15:$N$124,Q67+1,R67)</f>
        <v>0</v>
      </c>
    </row>
    <row r="68" spans="2:19">
      <c r="B68" s="11"/>
      <c r="C68" s="11"/>
      <c r="D68" s="12"/>
      <c r="E68" s="12"/>
      <c r="F68" s="64"/>
      <c r="G68" s="124"/>
      <c r="P68" s="11">
        <v>54</v>
      </c>
      <c r="Q68" s="11">
        <f t="shared" si="13"/>
        <v>8</v>
      </c>
      <c r="R68" s="11">
        <f t="shared" si="14"/>
        <v>6</v>
      </c>
      <c r="S68" s="12" cm="1">
        <f t="array" ref="S68">INDEX('HospitalPatientRec-ConceptMap-1'!$I$15:$N$124,Q68+1,R68)</f>
        <v>0</v>
      </c>
    </row>
    <row r="69" spans="2:19">
      <c r="B69" s="11"/>
      <c r="C69" s="11"/>
      <c r="D69" s="12"/>
      <c r="E69" s="12"/>
      <c r="F69" s="64"/>
      <c r="G69" s="124"/>
      <c r="P69" s="11">
        <v>55</v>
      </c>
      <c r="Q69" s="11">
        <f t="shared" si="13"/>
        <v>9</v>
      </c>
      <c r="R69" s="11">
        <f t="shared" si="14"/>
        <v>1</v>
      </c>
      <c r="S69" s="12" cm="1">
        <f t="array" ref="S69">INDEX('HospitalPatientRec-ConceptMap-1'!$I$15:$N$124,Q69+1,R69)</f>
        <v>0</v>
      </c>
    </row>
    <row r="70" spans="2:19">
      <c r="B70" s="11"/>
      <c r="C70" s="11"/>
      <c r="D70" s="12"/>
      <c r="E70" s="12"/>
      <c r="F70" s="64"/>
      <c r="G70" s="124"/>
      <c r="P70" s="11">
        <v>56</v>
      </c>
      <c r="Q70" s="11">
        <f t="shared" si="13"/>
        <v>9</v>
      </c>
      <c r="R70" s="11">
        <f t="shared" si="14"/>
        <v>2</v>
      </c>
      <c r="S70" s="12" cm="1">
        <f t="array" ref="S70">INDEX('HospitalPatientRec-ConceptMap-1'!$I$15:$N$124,Q70+1,R70)</f>
        <v>0</v>
      </c>
    </row>
    <row r="71" spans="2:19">
      <c r="B71" s="11"/>
      <c r="C71" s="11"/>
      <c r="D71" s="12"/>
      <c r="E71" s="12"/>
      <c r="F71" s="64"/>
      <c r="G71" s="124"/>
      <c r="P71" s="11">
        <v>57</v>
      </c>
      <c r="Q71" s="11">
        <f t="shared" si="13"/>
        <v>9</v>
      </c>
      <c r="R71" s="11">
        <f t="shared" si="14"/>
        <v>3</v>
      </c>
      <c r="S71" s="12" cm="1">
        <f t="array" ref="S71">INDEX('HospitalPatientRec-ConceptMap-1'!$I$15:$N$124,Q71+1,R71)</f>
        <v>0</v>
      </c>
    </row>
    <row r="72" spans="2:19">
      <c r="B72" s="11"/>
      <c r="C72" s="11"/>
      <c r="D72" s="12"/>
      <c r="E72" s="12"/>
      <c r="F72" s="64"/>
      <c r="G72" s="124"/>
      <c r="P72" s="11">
        <v>58</v>
      </c>
      <c r="Q72" s="11">
        <f t="shared" si="13"/>
        <v>9</v>
      </c>
      <c r="R72" s="11">
        <f t="shared" si="14"/>
        <v>4</v>
      </c>
      <c r="S72" s="12" cm="1">
        <f t="array" ref="S72">INDEX('HospitalPatientRec-ConceptMap-1'!$I$15:$N$124,Q72+1,R72)</f>
        <v>0</v>
      </c>
    </row>
    <row r="73" spans="2:19">
      <c r="B73" s="11"/>
      <c r="C73" s="11"/>
      <c r="D73" s="12"/>
      <c r="E73" s="12"/>
      <c r="F73" s="64"/>
      <c r="G73" s="124"/>
      <c r="P73" s="11">
        <v>59</v>
      </c>
      <c r="Q73" s="11">
        <f t="shared" si="13"/>
        <v>9</v>
      </c>
      <c r="R73" s="11">
        <f t="shared" si="14"/>
        <v>5</v>
      </c>
      <c r="S73" s="12" cm="1">
        <f t="array" ref="S73">INDEX('HospitalPatientRec-ConceptMap-1'!$I$15:$N$124,Q73+1,R73)</f>
        <v>0</v>
      </c>
    </row>
    <row r="74" spans="2:19">
      <c r="B74" s="11"/>
      <c r="C74" s="11"/>
      <c r="D74" s="12"/>
      <c r="E74" s="12"/>
      <c r="F74" s="64"/>
      <c r="G74" s="124"/>
      <c r="P74" s="11">
        <v>60</v>
      </c>
      <c r="Q74" s="11">
        <f t="shared" si="13"/>
        <v>9</v>
      </c>
      <c r="R74" s="11">
        <f t="shared" si="14"/>
        <v>6</v>
      </c>
      <c r="S74" s="12" cm="1">
        <f t="array" ref="S74">INDEX('HospitalPatientRec-ConceptMap-1'!$I$15:$N$124,Q74+1,R74)</f>
        <v>0</v>
      </c>
    </row>
    <row r="75" spans="2:19">
      <c r="B75" s="11"/>
      <c r="C75" s="11"/>
      <c r="D75" s="12"/>
      <c r="E75" s="12"/>
      <c r="F75" s="64"/>
      <c r="G75" s="124"/>
      <c r="P75" s="11">
        <v>61</v>
      </c>
      <c r="Q75" s="11">
        <f t="shared" si="13"/>
        <v>10</v>
      </c>
      <c r="R75" s="11">
        <f t="shared" si="14"/>
        <v>1</v>
      </c>
      <c r="S75" s="12" cm="1">
        <f t="array" ref="S75">INDEX('HospitalPatientRec-ConceptMap-1'!$I$15:$N$124,Q75+1,R75)</f>
        <v>0</v>
      </c>
    </row>
    <row r="76" spans="2:19">
      <c r="B76" s="11"/>
      <c r="C76" s="11"/>
      <c r="D76" s="12"/>
      <c r="E76" s="12"/>
      <c r="F76" s="64"/>
      <c r="G76" s="124"/>
      <c r="P76" s="11">
        <v>62</v>
      </c>
      <c r="Q76" s="11">
        <f t="shared" si="13"/>
        <v>10</v>
      </c>
      <c r="R76" s="11">
        <f t="shared" si="14"/>
        <v>2</v>
      </c>
      <c r="S76" s="12" cm="1">
        <f t="array" ref="S76">INDEX('HospitalPatientRec-ConceptMap-1'!$I$15:$N$124,Q76+1,R76)</f>
        <v>0</v>
      </c>
    </row>
    <row r="77" spans="2:19">
      <c r="B77" s="11"/>
      <c r="C77" s="11"/>
      <c r="D77" s="12"/>
      <c r="E77" s="12"/>
      <c r="F77" s="64"/>
      <c r="G77" s="124"/>
      <c r="P77" s="11">
        <v>63</v>
      </c>
      <c r="Q77" s="11">
        <f t="shared" si="13"/>
        <v>10</v>
      </c>
      <c r="R77" s="11">
        <f t="shared" si="14"/>
        <v>3</v>
      </c>
      <c r="S77" s="12" cm="1">
        <f t="array" ref="S77">INDEX('HospitalPatientRec-ConceptMap-1'!$I$15:$N$124,Q77+1,R77)</f>
        <v>0</v>
      </c>
    </row>
    <row r="78" spans="2:19">
      <c r="B78" s="11"/>
      <c r="C78" s="11"/>
      <c r="D78" s="12"/>
      <c r="E78" s="12"/>
      <c r="F78" s="64"/>
      <c r="G78" s="124"/>
      <c r="P78" s="11">
        <v>64</v>
      </c>
      <c r="Q78" s="11">
        <f t="shared" si="13"/>
        <v>10</v>
      </c>
      <c r="R78" s="11">
        <f t="shared" si="14"/>
        <v>4</v>
      </c>
      <c r="S78" s="12" cm="1">
        <f t="array" ref="S78">INDEX('HospitalPatientRec-ConceptMap-1'!$I$15:$N$124,Q78+1,R78)</f>
        <v>0</v>
      </c>
    </row>
    <row r="79" spans="2:19">
      <c r="B79" s="11"/>
      <c r="C79" s="11"/>
      <c r="D79" s="12"/>
      <c r="E79" s="12"/>
      <c r="F79" s="64"/>
      <c r="G79" s="124"/>
      <c r="P79" s="11">
        <v>65</v>
      </c>
      <c r="Q79" s="11">
        <f t="shared" si="13"/>
        <v>10</v>
      </c>
      <c r="R79" s="11">
        <f t="shared" si="14"/>
        <v>5</v>
      </c>
      <c r="S79" s="12" cm="1">
        <f t="array" ref="S79">INDEX('HospitalPatientRec-ConceptMap-1'!$I$15:$N$124,Q79+1,R79)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4"/>
      <c r="P81" s="11">
        <v>67</v>
      </c>
      <c r="Q81" s="11">
        <f t="shared" si="15"/>
        <v>11</v>
      </c>
      <c r="R81" s="11">
        <f t="shared" si="16"/>
        <v>1</v>
      </c>
      <c r="S81" s="12" cm="1">
        <f t="array" ref="S81">INDEX('HospitalPatientRec-ConceptMap-1'!$I$15:$N$124,Q81+1,R81)</f>
        <v>0</v>
      </c>
    </row>
    <row r="82" spans="2:19">
      <c r="B82" s="11"/>
      <c r="C82" s="11"/>
      <c r="D82" s="12"/>
      <c r="E82" s="12"/>
      <c r="F82" s="64"/>
      <c r="G82" s="124"/>
      <c r="P82" s="11">
        <v>68</v>
      </c>
      <c r="Q82" s="11">
        <f t="shared" si="15"/>
        <v>11</v>
      </c>
      <c r="R82" s="11">
        <f t="shared" si="16"/>
        <v>2</v>
      </c>
      <c r="S82" s="12" cm="1">
        <f t="array" ref="S82">INDEX('HospitalPatientRec-ConceptMap-1'!$I$15:$N$124,Q82+1,R82)</f>
        <v>0</v>
      </c>
    </row>
    <row r="83" spans="2:19">
      <c r="B83" s="11"/>
      <c r="C83" s="11"/>
      <c r="D83" s="12"/>
      <c r="E83" s="12"/>
      <c r="F83" s="64"/>
      <c r="G83" s="124"/>
      <c r="P83" s="11">
        <v>69</v>
      </c>
      <c r="Q83" s="11">
        <f t="shared" si="15"/>
        <v>11</v>
      </c>
      <c r="R83" s="11">
        <f t="shared" si="16"/>
        <v>3</v>
      </c>
      <c r="S83" s="12" cm="1">
        <f t="array" ref="S83">INDEX('HospitalPatientRec-ConceptMap-1'!$I$15:$N$124,Q83+1,R83)</f>
        <v>0</v>
      </c>
    </row>
    <row r="84" spans="2:19">
      <c r="B84" s="11"/>
      <c r="C84" s="11"/>
      <c r="D84" s="12"/>
      <c r="E84" s="12"/>
      <c r="F84" s="64"/>
      <c r="G84" s="124"/>
      <c r="P84" s="11">
        <v>70</v>
      </c>
      <c r="Q84" s="11">
        <f t="shared" si="15"/>
        <v>11</v>
      </c>
      <c r="R84" s="11">
        <f t="shared" si="16"/>
        <v>4</v>
      </c>
      <c r="S84" s="12" cm="1">
        <f t="array" ref="S84">INDEX('HospitalPatientRec-ConceptMap-1'!$I$15:$N$124,Q84+1,R84)</f>
        <v>0</v>
      </c>
    </row>
    <row r="85" spans="2:19">
      <c r="B85" s="11"/>
      <c r="C85" s="11"/>
      <c r="D85" s="12"/>
      <c r="E85" s="12"/>
      <c r="F85" s="64"/>
      <c r="G85" s="124"/>
      <c r="P85" s="11">
        <v>71</v>
      </c>
      <c r="Q85" s="11">
        <f t="shared" si="15"/>
        <v>11</v>
      </c>
      <c r="R85" s="11">
        <f t="shared" si="16"/>
        <v>5</v>
      </c>
      <c r="S85" s="12" cm="1">
        <f t="array" ref="S85">INDEX('HospitalPatientRec-ConceptMap-1'!$I$15:$N$124,Q85+1,R85)</f>
        <v>0</v>
      </c>
    </row>
    <row r="86" spans="2:19">
      <c r="B86" s="11"/>
      <c r="C86" s="11"/>
      <c r="D86" s="12"/>
      <c r="E86" s="12"/>
      <c r="F86" s="64"/>
      <c r="G86" s="124"/>
      <c r="P86" s="11">
        <v>72</v>
      </c>
      <c r="Q86" s="11">
        <f t="shared" si="15"/>
        <v>11</v>
      </c>
      <c r="R86" s="11">
        <f t="shared" si="16"/>
        <v>6</v>
      </c>
      <c r="S86" s="12" cm="1">
        <f t="array" ref="S86">INDEX('HospitalPatientRec-ConceptMap-1'!$I$15:$N$124,Q86+1,R86)</f>
        <v>0</v>
      </c>
    </row>
    <row r="87" spans="2:19">
      <c r="B87" s="11"/>
      <c r="C87" s="11"/>
      <c r="D87" s="12"/>
      <c r="E87" s="12"/>
      <c r="F87" s="64"/>
      <c r="G87" s="124"/>
      <c r="P87" s="11">
        <v>73</v>
      </c>
      <c r="Q87" s="11">
        <f t="shared" si="15"/>
        <v>12</v>
      </c>
      <c r="R87" s="11">
        <f t="shared" si="16"/>
        <v>1</v>
      </c>
      <c r="S87" s="12" cm="1">
        <f t="array" ref="S87">INDEX('HospitalPatientRec-ConceptMap-1'!$I$15:$N$124,Q87+1,R87)</f>
        <v>0</v>
      </c>
    </row>
    <row r="88" spans="2:19">
      <c r="B88" s="11"/>
      <c r="C88" s="11"/>
      <c r="D88" s="12"/>
      <c r="E88" s="12"/>
      <c r="F88" s="64"/>
      <c r="G88" s="124"/>
      <c r="P88" s="11">
        <v>74</v>
      </c>
      <c r="Q88" s="11">
        <f t="shared" si="15"/>
        <v>12</v>
      </c>
      <c r="R88" s="11">
        <f t="shared" si="16"/>
        <v>2</v>
      </c>
      <c r="S88" s="12" cm="1">
        <f t="array" ref="S88">INDEX('HospitalPatientRec-ConceptMap-1'!$I$15:$N$124,Q88+1,R88)</f>
        <v>0</v>
      </c>
    </row>
    <row r="89" spans="2:19">
      <c r="B89" s="11"/>
      <c r="C89" s="11"/>
      <c r="D89" s="12"/>
      <c r="E89" s="12"/>
      <c r="F89" s="64"/>
      <c r="G89" s="124"/>
      <c r="P89" s="11">
        <v>75</v>
      </c>
      <c r="Q89" s="11">
        <f t="shared" si="15"/>
        <v>12</v>
      </c>
      <c r="R89" s="11">
        <f t="shared" si="16"/>
        <v>3</v>
      </c>
      <c r="S89" s="12" cm="1">
        <f t="array" ref="S89">INDEX('HospitalPatientRec-ConceptMap-1'!$I$15:$N$124,Q89+1,R89)</f>
        <v>0</v>
      </c>
    </row>
    <row r="90" spans="2:19">
      <c r="B90" s="11"/>
      <c r="C90" s="11"/>
      <c r="D90" s="12"/>
      <c r="E90" s="12"/>
      <c r="F90" s="64"/>
      <c r="G90" s="124"/>
      <c r="P90" s="11">
        <v>76</v>
      </c>
      <c r="Q90" s="11">
        <f t="shared" si="15"/>
        <v>12</v>
      </c>
      <c r="R90" s="11">
        <f t="shared" si="16"/>
        <v>4</v>
      </c>
      <c r="S90" s="12" cm="1">
        <f t="array" ref="S90">INDEX('HospitalPatientRec-ConceptMap-1'!$I$15:$N$124,Q90+1,R90)</f>
        <v>0</v>
      </c>
    </row>
    <row r="91" spans="2:19">
      <c r="B91" s="11"/>
      <c r="C91" s="11"/>
      <c r="D91" s="12"/>
      <c r="E91" s="12"/>
      <c r="F91" s="64"/>
      <c r="G91" s="124"/>
      <c r="P91" s="11">
        <v>77</v>
      </c>
      <c r="Q91" s="11">
        <f t="shared" si="15"/>
        <v>12</v>
      </c>
      <c r="R91" s="11">
        <f t="shared" si="16"/>
        <v>5</v>
      </c>
      <c r="S91" s="12" cm="1">
        <f t="array" ref="S91">INDEX('HospitalPatientRec-ConceptMap-1'!$I$15:$N$124,Q91+1,R91)</f>
        <v>0</v>
      </c>
    </row>
    <row r="92" spans="2:19">
      <c r="B92" s="11"/>
      <c r="C92" s="11"/>
      <c r="D92" s="12"/>
      <c r="E92" s="12"/>
      <c r="F92" s="64"/>
      <c r="G92" s="124"/>
      <c r="P92" s="11">
        <v>78</v>
      </c>
      <c r="Q92" s="11">
        <f t="shared" si="15"/>
        <v>12</v>
      </c>
      <c r="R92" s="11">
        <f t="shared" si="16"/>
        <v>6</v>
      </c>
      <c r="S92" s="12" cm="1">
        <f t="array" ref="S92">INDEX('HospitalPatientRec-ConceptMap-1'!$I$15:$N$124,Q92+1,R92)</f>
        <v>0</v>
      </c>
    </row>
    <row r="93" spans="2:19">
      <c r="B93" s="11"/>
      <c r="C93" s="11"/>
      <c r="D93" s="12"/>
      <c r="E93" s="12"/>
      <c r="F93" s="64"/>
      <c r="G93" s="124"/>
      <c r="P93" s="11">
        <v>79</v>
      </c>
      <c r="Q93" s="11">
        <f t="shared" si="15"/>
        <v>13</v>
      </c>
      <c r="R93" s="11">
        <f t="shared" si="16"/>
        <v>1</v>
      </c>
      <c r="S93" s="12" cm="1">
        <f t="array" ref="S93">INDEX('HospitalPatientRec-ConceptMap-1'!$I$15:$N$124,Q93+1,R93)</f>
        <v>0</v>
      </c>
    </row>
    <row r="94" spans="2:19">
      <c r="B94" s="11"/>
      <c r="C94" s="11"/>
      <c r="D94" s="12"/>
      <c r="E94" s="12"/>
      <c r="F94" s="64"/>
      <c r="G94" s="124"/>
      <c r="P94" s="11">
        <v>80</v>
      </c>
      <c r="Q94" s="11">
        <f t="shared" si="15"/>
        <v>13</v>
      </c>
      <c r="R94" s="11">
        <f t="shared" si="16"/>
        <v>2</v>
      </c>
      <c r="S94" s="12" cm="1">
        <f t="array" ref="S94">INDEX('HospitalPatientRec-ConceptMap-1'!$I$15:$N$124,Q94+1,R94)</f>
        <v>0</v>
      </c>
    </row>
    <row r="95" spans="2:19">
      <c r="B95" s="11"/>
      <c r="C95" s="11"/>
      <c r="D95" s="12"/>
      <c r="E95" s="12"/>
      <c r="F95" s="64"/>
      <c r="G95" s="124"/>
      <c r="P95" s="11">
        <v>81</v>
      </c>
      <c r="Q95" s="11">
        <f t="shared" si="15"/>
        <v>13</v>
      </c>
      <c r="R95" s="11">
        <f t="shared" si="16"/>
        <v>3</v>
      </c>
      <c r="S95" s="12" cm="1">
        <f t="array" ref="S95">INDEX('HospitalPatientRec-ConceptMap-1'!$I$15:$N$124,Q95+1,R95)</f>
        <v>0</v>
      </c>
    </row>
    <row r="96" spans="2:19">
      <c r="B96" s="11"/>
      <c r="C96" s="11"/>
      <c r="D96" s="12"/>
      <c r="E96" s="12"/>
      <c r="F96" s="64"/>
      <c r="G96" s="124"/>
      <c r="P96" s="11">
        <v>82</v>
      </c>
      <c r="Q96" s="11">
        <f t="shared" si="15"/>
        <v>13</v>
      </c>
      <c r="R96" s="11">
        <f t="shared" si="16"/>
        <v>4</v>
      </c>
      <c r="S96" s="12" cm="1">
        <f t="array" ref="S96">INDEX('HospitalPatientRec-ConceptMap-1'!$I$15:$N$124,Q96+1,R96)</f>
        <v>0</v>
      </c>
    </row>
    <row r="97" spans="2:19">
      <c r="B97" s="11"/>
      <c r="C97" s="11"/>
      <c r="D97" s="12"/>
      <c r="E97" s="12"/>
      <c r="F97" s="64"/>
      <c r="G97" s="124"/>
      <c r="P97" s="11">
        <v>83</v>
      </c>
      <c r="Q97" s="11">
        <f t="shared" si="15"/>
        <v>13</v>
      </c>
      <c r="R97" s="11">
        <f t="shared" si="16"/>
        <v>5</v>
      </c>
      <c r="S97" s="12" cm="1">
        <f t="array" ref="S97">INDEX('HospitalPatientRec-ConceptMap-1'!$I$15:$N$124,Q97+1,R97)</f>
        <v>0</v>
      </c>
    </row>
    <row r="98" spans="2:19">
      <c r="B98" s="11"/>
      <c r="C98" s="11"/>
      <c r="D98" s="12"/>
      <c r="E98" s="12"/>
      <c r="F98" s="64"/>
      <c r="G98" s="124"/>
      <c r="P98" s="11">
        <v>84</v>
      </c>
      <c r="Q98" s="11">
        <f t="shared" si="15"/>
        <v>13</v>
      </c>
      <c r="R98" s="11">
        <f t="shared" si="16"/>
        <v>6</v>
      </c>
      <c r="S98" s="12" cm="1">
        <f t="array" ref="S98">INDEX('HospitalPatientRec-ConceptMap-1'!$I$15:$N$124,Q98+1,R98)</f>
        <v>0</v>
      </c>
    </row>
    <row r="99" spans="2:19">
      <c r="B99" s="11"/>
      <c r="C99" s="11"/>
      <c r="D99" s="12"/>
      <c r="E99" s="12"/>
      <c r="F99" s="64"/>
      <c r="G99" s="124"/>
      <c r="P99" s="11">
        <v>85</v>
      </c>
      <c r="Q99" s="11">
        <f t="shared" si="15"/>
        <v>14</v>
      </c>
      <c r="R99" s="11">
        <f t="shared" si="16"/>
        <v>1</v>
      </c>
      <c r="S99" s="12" cm="1">
        <f t="array" ref="S99">INDEX('HospitalPatientRec-ConceptMap-1'!$I$15:$N$124,Q99+1,R99)</f>
        <v>0</v>
      </c>
    </row>
    <row r="100" spans="2:19">
      <c r="B100" s="11"/>
      <c r="C100" s="11"/>
      <c r="D100" s="12"/>
      <c r="E100" s="12"/>
      <c r="F100" s="64"/>
      <c r="G100" s="124"/>
      <c r="P100" s="11">
        <v>86</v>
      </c>
      <c r="Q100" s="11">
        <f t="shared" si="15"/>
        <v>14</v>
      </c>
      <c r="R100" s="11">
        <f t="shared" si="16"/>
        <v>2</v>
      </c>
      <c r="S100" s="12" cm="1">
        <f t="array" ref="S100">INDEX('HospitalPatientRec-ConceptMap-1'!$I$15:$N$124,Q100+1,R100)</f>
        <v>0</v>
      </c>
    </row>
    <row r="101" spans="2:19">
      <c r="B101" s="11"/>
      <c r="C101" s="11"/>
      <c r="D101" s="12"/>
      <c r="E101" s="12"/>
      <c r="F101" s="64"/>
      <c r="G101" s="124"/>
      <c r="P101" s="11">
        <v>87</v>
      </c>
      <c r="Q101" s="11">
        <f t="shared" si="15"/>
        <v>14</v>
      </c>
      <c r="R101" s="11">
        <f t="shared" si="16"/>
        <v>3</v>
      </c>
      <c r="S101" s="12" cm="1">
        <f t="array" ref="S101">INDEX('HospitalPatientRec-ConceptMap-1'!$I$15:$N$124,Q101+1,R101)</f>
        <v>0</v>
      </c>
    </row>
    <row r="102" spans="2:19">
      <c r="B102" s="11"/>
      <c r="C102" s="11"/>
      <c r="D102" s="12"/>
      <c r="E102" s="12"/>
      <c r="F102" s="64"/>
      <c r="G102" s="124"/>
      <c r="P102" s="11">
        <v>88</v>
      </c>
      <c r="Q102" s="11">
        <f t="shared" si="15"/>
        <v>14</v>
      </c>
      <c r="R102" s="11">
        <f t="shared" si="16"/>
        <v>4</v>
      </c>
      <c r="S102" s="12" cm="1">
        <f t="array" ref="S102">INDEX('HospitalPatientRec-ConceptMap-1'!$I$15:$N$124,Q102+1,R102)</f>
        <v>0</v>
      </c>
    </row>
    <row r="103" spans="2:19">
      <c r="B103" s="11"/>
      <c r="C103" s="11"/>
      <c r="D103" s="12"/>
      <c r="E103" s="12"/>
      <c r="F103" s="64"/>
      <c r="G103" s="124"/>
      <c r="P103" s="11">
        <v>89</v>
      </c>
      <c r="Q103" s="11">
        <f t="shared" si="15"/>
        <v>14</v>
      </c>
      <c r="R103" s="11">
        <f t="shared" si="16"/>
        <v>5</v>
      </c>
      <c r="S103" s="12" cm="1">
        <f t="array" ref="S103">INDEX('HospitalPatientRec-ConceptMap-1'!$I$15:$N$124,Q103+1,R103)</f>
        <v>0</v>
      </c>
    </row>
    <row r="104" spans="2:19">
      <c r="B104" s="11"/>
      <c r="C104" s="11"/>
      <c r="D104" s="12"/>
      <c r="E104" s="12"/>
      <c r="F104" s="64"/>
      <c r="G104" s="124"/>
      <c r="P104" s="11">
        <v>90</v>
      </c>
      <c r="Q104" s="11">
        <f t="shared" si="15"/>
        <v>14</v>
      </c>
      <c r="R104" s="11">
        <f t="shared" si="16"/>
        <v>6</v>
      </c>
      <c r="S104" s="12" cm="1">
        <f t="array" ref="S104">INDEX('HospitalPatientRec-ConceptMap-1'!$I$15:$N$124,Q104+1,R104)</f>
        <v>0</v>
      </c>
    </row>
    <row r="105" spans="2:19">
      <c r="B105" s="11"/>
      <c r="C105" s="11"/>
      <c r="D105" s="12"/>
      <c r="E105" s="12"/>
      <c r="F105" s="64"/>
      <c r="G105" s="124"/>
      <c r="P105" s="11">
        <v>91</v>
      </c>
      <c r="Q105" s="11">
        <f t="shared" si="15"/>
        <v>15</v>
      </c>
      <c r="R105" s="11">
        <f t="shared" si="16"/>
        <v>1</v>
      </c>
      <c r="S105" s="12" cm="1">
        <f t="array" ref="S105">INDEX('HospitalPatientRec-ConceptMap-1'!$I$15:$N$124,Q105+1,R105)</f>
        <v>0</v>
      </c>
    </row>
    <row r="106" spans="2:19">
      <c r="B106" s="11"/>
      <c r="C106" s="11"/>
      <c r="D106" s="12"/>
      <c r="E106" s="12"/>
      <c r="F106" s="64"/>
      <c r="G106" s="124"/>
      <c r="P106" s="11">
        <v>92</v>
      </c>
      <c r="Q106" s="11">
        <f t="shared" si="15"/>
        <v>15</v>
      </c>
      <c r="R106" s="11">
        <f t="shared" si="16"/>
        <v>2</v>
      </c>
      <c r="S106" s="12" cm="1">
        <f t="array" ref="S106">INDEX('HospitalPatientRec-ConceptMap-1'!$I$15:$N$124,Q106+1,R106)</f>
        <v>0</v>
      </c>
    </row>
    <row r="107" spans="2:19">
      <c r="B107" s="11"/>
      <c r="C107" s="11"/>
      <c r="D107" s="12"/>
      <c r="E107" s="12"/>
      <c r="F107" s="64"/>
      <c r="G107" s="124"/>
      <c r="P107" s="11">
        <v>93</v>
      </c>
      <c r="Q107" s="11">
        <f t="shared" si="15"/>
        <v>15</v>
      </c>
      <c r="R107" s="11">
        <f t="shared" si="16"/>
        <v>3</v>
      </c>
      <c r="S107" s="12" cm="1">
        <f t="array" ref="S107">INDEX('HospitalPatientRec-ConceptMap-1'!$I$15:$N$124,Q107+1,R107)</f>
        <v>0</v>
      </c>
    </row>
    <row r="108" spans="2:19">
      <c r="B108" s="11"/>
      <c r="C108" s="11"/>
      <c r="D108" s="12"/>
      <c r="E108" s="12"/>
      <c r="F108" s="64"/>
      <c r="G108" s="124"/>
      <c r="P108" s="11">
        <v>94</v>
      </c>
      <c r="Q108" s="11">
        <f t="shared" si="15"/>
        <v>15</v>
      </c>
      <c r="R108" s="11">
        <f t="shared" si="16"/>
        <v>4</v>
      </c>
      <c r="S108" s="12" cm="1">
        <f t="array" ref="S108">INDEX('HospitalPatientRec-ConceptMap-1'!$I$15:$N$124,Q108+1,R108)</f>
        <v>0</v>
      </c>
    </row>
    <row r="109" spans="2:19">
      <c r="B109" s="11"/>
      <c r="C109" s="11"/>
      <c r="D109" s="12"/>
      <c r="E109" s="12"/>
      <c r="F109" s="64"/>
      <c r="G109" s="124"/>
      <c r="P109" s="11">
        <v>95</v>
      </c>
      <c r="Q109" s="11">
        <f t="shared" si="15"/>
        <v>15</v>
      </c>
      <c r="R109" s="11">
        <f t="shared" si="16"/>
        <v>5</v>
      </c>
      <c r="S109" s="12" cm="1">
        <f t="array" ref="S109">INDEX('HospitalPatientRec-ConceptMap-1'!$I$15:$N$124,Q109+1,R109)</f>
        <v>0</v>
      </c>
    </row>
    <row r="110" spans="2:19">
      <c r="B110" s="11"/>
      <c r="C110" s="11"/>
      <c r="D110" s="12"/>
      <c r="E110" s="12"/>
      <c r="F110" s="64"/>
      <c r="G110" s="124"/>
      <c r="P110" s="11">
        <v>96</v>
      </c>
      <c r="Q110" s="11">
        <f t="shared" si="15"/>
        <v>15</v>
      </c>
      <c r="R110" s="11">
        <f t="shared" si="16"/>
        <v>6</v>
      </c>
      <c r="S110" s="12" cm="1">
        <f t="array" ref="S110">INDEX('HospitalPatientRec-ConceptMap-1'!$I$15:$N$124,Q110+1,R110)</f>
        <v>0</v>
      </c>
    </row>
    <row r="111" spans="2:19">
      <c r="B111" s="11"/>
      <c r="C111" s="11"/>
      <c r="D111" s="12"/>
      <c r="E111" s="12"/>
      <c r="F111" s="64"/>
      <c r="G111" s="124"/>
      <c r="P111" s="11">
        <v>97</v>
      </c>
      <c r="Q111" s="11">
        <f t="shared" si="15"/>
        <v>16</v>
      </c>
      <c r="R111" s="11">
        <f t="shared" si="16"/>
        <v>1</v>
      </c>
      <c r="S111" s="12" cm="1">
        <f t="array" ref="S111">INDEX('HospitalPatientRec-ConceptMap-1'!$I$15:$N$124,Q111+1,R111)</f>
        <v>0</v>
      </c>
    </row>
    <row r="112" spans="2:19">
      <c r="B112" s="11"/>
      <c r="C112" s="11"/>
      <c r="D112" s="12"/>
      <c r="E112" s="12"/>
      <c r="F112" s="64"/>
      <c r="G112" s="124"/>
      <c r="P112" s="11">
        <v>98</v>
      </c>
      <c r="Q112" s="11">
        <f t="shared" si="15"/>
        <v>16</v>
      </c>
      <c r="R112" s="11">
        <f t="shared" si="16"/>
        <v>2</v>
      </c>
      <c r="S112" s="12" cm="1">
        <f t="array" ref="S112">INDEX('HospitalPatientRec-ConceptMap-1'!$I$15:$N$124,Q112+1,R112)</f>
        <v>0</v>
      </c>
    </row>
    <row r="113" spans="2:19">
      <c r="B113" s="11"/>
      <c r="C113" s="11"/>
      <c r="D113" s="12"/>
      <c r="E113" s="12"/>
      <c r="F113" s="64"/>
      <c r="G113" s="124"/>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2314</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1798</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2"/>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2385</v>
      </c>
      <c r="J4" s="16" t="str">
        <f>CONCATENATE("Logical: ",B4)</f>
        <v>Logical: PatientFollowUpI4rc</v>
      </c>
    </row>
    <row r="5" spans="1:12" ht="15.5" thickBot="1">
      <c r="A5" s="14" t="s">
        <v>16</v>
      </c>
      <c r="B5" s="45" t="s">
        <v>2310</v>
      </c>
      <c r="J5" s="16" t="str">
        <f>CONCATENATE("Id: ",B5)</f>
        <v>Id: PatientFollowUp</v>
      </c>
    </row>
    <row r="6" spans="1:12" ht="15.5" thickBot="1">
      <c r="A6" s="14" t="s">
        <v>10</v>
      </c>
      <c r="B6" s="45" t="s">
        <v>2311</v>
      </c>
      <c r="J6" s="17" t="str">
        <f>CONCATENATE("Title: ##34#",B6,"##34#")</f>
        <v>Title: ##34#Patient Follow Up##34#</v>
      </c>
    </row>
    <row r="7" spans="1:12">
      <c r="A7" s="26" t="s">
        <v>2</v>
      </c>
      <c r="B7" s="45" t="s">
        <v>2311</v>
      </c>
      <c r="C7" s="9" t="s">
        <v>3</v>
      </c>
      <c r="D7" s="1" t="s">
        <v>4</v>
      </c>
      <c r="E7" s="3" t="s">
        <v>5</v>
      </c>
      <c r="F7" s="3" t="s">
        <v>6</v>
      </c>
      <c r="G7" s="3" t="s">
        <v>7</v>
      </c>
      <c r="H7" s="105" t="s">
        <v>1610</v>
      </c>
      <c r="J7" s="17" t="str">
        <f>CONCATENATE("Description: "," ##334#",B7,"##334#",)</f>
        <v>Description:  ##334#Patient Follow Up##334#</v>
      </c>
    </row>
    <row r="8" spans="1:12" ht="29.5">
      <c r="A8" s="100">
        <v>0</v>
      </c>
      <c r="B8" s="11" t="s">
        <v>1805</v>
      </c>
      <c r="C8" s="11" t="s">
        <v>14</v>
      </c>
      <c r="D8" s="11" t="s">
        <v>2294</v>
      </c>
      <c r="E8" s="11">
        <v>1</v>
      </c>
      <c r="F8" s="11">
        <v>1</v>
      </c>
      <c r="G8" s="119" t="s">
        <v>1783</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2295</v>
      </c>
      <c r="C9" s="11" t="s">
        <v>2296</v>
      </c>
      <c r="D9" s="11" t="s">
        <v>2297</v>
      </c>
      <c r="E9" s="11">
        <v>1</v>
      </c>
      <c r="F9" s="11">
        <v>1</v>
      </c>
      <c r="G9" s="120" t="s">
        <v>1786</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2298</v>
      </c>
      <c r="C10" s="11" t="s">
        <v>2299</v>
      </c>
      <c r="D10" s="11" t="s">
        <v>2300</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2301</v>
      </c>
      <c r="C11" s="11" t="s">
        <v>2302</v>
      </c>
      <c r="D11" s="11" t="s">
        <v>2303</v>
      </c>
      <c r="E11" s="11">
        <v>1</v>
      </c>
      <c r="F11" s="11">
        <v>1</v>
      </c>
      <c r="G11" s="11" t="s">
        <v>1786</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2304</v>
      </c>
      <c r="C12" s="11" t="s">
        <v>2305</v>
      </c>
      <c r="D12" s="11" t="s">
        <v>2306</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2307</v>
      </c>
      <c r="C13" s="11" t="s">
        <v>2308</v>
      </c>
      <c r="D13" s="11" t="s">
        <v>2309</v>
      </c>
      <c r="E13" s="11">
        <v>1</v>
      </c>
      <c r="F13" s="11">
        <v>1</v>
      </c>
      <c r="G13" s="11" t="s">
        <v>1786</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2312</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workbookViewId="0">
      <selection activeCell="E8" sqref="E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2402</v>
      </c>
      <c r="D3" s="62" t="s">
        <v>1791</v>
      </c>
      <c r="E3" s="118" t="str">
        <f>$C$1&amp;B14</f>
        <v>http://hl7.eu/fhir/ig/idea4rc/StructureDefinition/PatientFollowUpI4rc</v>
      </c>
    </row>
    <row r="4" spans="1:19">
      <c r="B4" s="62" t="s">
        <v>16</v>
      </c>
      <c r="C4" s="28" t="s">
        <v>2402</v>
      </c>
      <c r="D4" s="62" t="s">
        <v>1792</v>
      </c>
      <c r="E4" s="169" t="s">
        <v>2401</v>
      </c>
      <c r="F4" s="170"/>
      <c r="G4" s="170"/>
    </row>
    <row r="5" spans="1:19">
      <c r="B5" s="62" t="s">
        <v>10</v>
      </c>
      <c r="C5" s="7" t="s">
        <v>2403</v>
      </c>
      <c r="D5" s="62"/>
      <c r="E5" s="7"/>
    </row>
    <row r="6" spans="1:19">
      <c r="B6" s="62" t="s">
        <v>18</v>
      </c>
      <c r="C6" s="56"/>
      <c r="D6" s="62" t="s">
        <v>1793</v>
      </c>
      <c r="E6" s="169" t="str">
        <f>E3</f>
        <v>http://hl7.eu/fhir/ig/idea4rc/StructureDefinition/PatientFollowUpI4rc</v>
      </c>
      <c r="F6" s="170"/>
      <c r="G6" s="170"/>
    </row>
    <row r="7" spans="1:19">
      <c r="B7" s="62" t="s">
        <v>15</v>
      </c>
      <c r="C7" s="119"/>
      <c r="D7" s="62" t="s">
        <v>1794</v>
      </c>
      <c r="E7" s="169" t="str">
        <f>C1&amp;"Encounter-eu-i4rc"</f>
        <v>http://hl7.eu/fhir/ig/idea4rc/StructureDefinition/Encounter-eu-i4rc</v>
      </c>
      <c r="F7" s="170"/>
      <c r="G7" s="170"/>
    </row>
    <row r="8" spans="1:19" ht="45" thickBot="1">
      <c r="B8" s="62" t="s">
        <v>1795</v>
      </c>
      <c r="C8" s="7" t="s">
        <v>2403</v>
      </c>
      <c r="D8" s="62"/>
      <c r="E8" s="7"/>
      <c r="I8" s="12" t="s">
        <v>1402</v>
      </c>
      <c r="J8" s="12" t="s">
        <v>1403</v>
      </c>
      <c r="K8" s="12" t="s">
        <v>1404</v>
      </c>
      <c r="L8" s="12" t="s">
        <v>1405</v>
      </c>
      <c r="M8" s="11" t="s">
        <v>1406</v>
      </c>
      <c r="P8" s="49" t="s">
        <v>1441</v>
      </c>
      <c r="Q8" s="49">
        <v>6</v>
      </c>
    </row>
    <row r="9" spans="1:19" ht="30.25" thickBot="1">
      <c r="B9" s="62" t="s">
        <v>1796</v>
      </c>
      <c r="C9" s="12" t="s">
        <v>2404</v>
      </c>
      <c r="D9" s="146"/>
      <c r="E9" s="171"/>
      <c r="F9" s="172"/>
      <c r="G9" s="173"/>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2405</v>
      </c>
      <c r="E14" s="6"/>
      <c r="F14" s="64"/>
      <c r="G14" s="64"/>
      <c r="I14" s="12"/>
      <c r="J14" s="11"/>
      <c r="K14" s="11"/>
      <c r="L14" s="11"/>
      <c r="M14" s="63"/>
      <c r="N14" s="66"/>
    </row>
    <row r="15" spans="1:19" ht="44.25">
      <c r="A15" s="59"/>
      <c r="B15" s="11" t="str">
        <f>PatientFollowUp!B8</f>
        <v>patient</v>
      </c>
      <c r="C15" s="11" t="str">
        <f>PatientFollowUp!C8</f>
        <v>Patient</v>
      </c>
      <c r="D15" s="12" t="s">
        <v>1828</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4" t="s">
        <v>2406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2407</v>
      </c>
      <c r="E17" s="12"/>
      <c r="F17" s="64" t="s">
        <v>1407</v>
      </c>
      <c r="G17" s="123" t="s">
        <v>2408</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4"/>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4"/>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4"/>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4"/>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INDEX('PatientFollowUp-ConceptMap-1'!$I$15:$N$124,Q47+1,R47)</f>
        <v>//-- unmatched</v>
      </c>
    </row>
    <row r="48" spans="1:19">
      <c r="B48" s="11"/>
      <c r="C48" s="11"/>
      <c r="D48" s="12"/>
      <c r="E48" s="12"/>
      <c r="F48" s="64"/>
      <c r="G48" s="124"/>
      <c r="P48" s="11">
        <v>34</v>
      </c>
      <c r="Q48" s="11">
        <f t="shared" si="13"/>
        <v>5</v>
      </c>
      <c r="R48" s="11">
        <f t="shared" si="14"/>
        <v>4</v>
      </c>
      <c r="S48" s="12" t="str" cm="1">
        <f t="array" ref="S48">INDEX('PatientFollowUp-ConceptMap-1'!$I$15:$N$124,Q48+1,R48)</f>
        <v>//-- unmatched</v>
      </c>
    </row>
    <row r="49" spans="2:19">
      <c r="B49" s="11"/>
      <c r="C49" s="11"/>
      <c r="D49" s="12"/>
      <c r="E49" s="12"/>
      <c r="F49" s="64"/>
      <c r="G49" s="124"/>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4"/>
      <c r="P50" s="11">
        <v>36</v>
      </c>
      <c r="Q50" s="11">
        <f t="shared" si="13"/>
        <v>5</v>
      </c>
      <c r="R50" s="11">
        <f t="shared" si="14"/>
        <v>6</v>
      </c>
      <c r="S50" s="12" t="str" cm="1">
        <f t="array" ref="S50">INDEX('PatientFollowUp-ConceptMap-1'!$I$15:$N$124,Q50+1,R50)</f>
        <v/>
      </c>
    </row>
    <row r="51" spans="2:19">
      <c r="B51" s="11"/>
      <c r="C51" s="11"/>
      <c r="D51" s="12"/>
      <c r="E51" s="12"/>
      <c r="F51" s="64"/>
      <c r="G51" s="124"/>
      <c r="P51" s="11">
        <v>37</v>
      </c>
      <c r="Q51" s="11">
        <f t="shared" si="13"/>
        <v>6</v>
      </c>
      <c r="R51" s="11">
        <f t="shared" si="14"/>
        <v>1</v>
      </c>
      <c r="S51" s="12" cm="1">
        <f t="array" ref="S51">INDEX('PatientFollowUp-ConceptMap-1'!$I$15:$N$124,Q51+1,R51)</f>
        <v>0</v>
      </c>
    </row>
    <row r="52" spans="2:19">
      <c r="B52" s="11"/>
      <c r="C52" s="11"/>
      <c r="D52" s="12"/>
      <c r="E52" s="12"/>
      <c r="F52" s="64"/>
      <c r="G52" s="124"/>
      <c r="P52" s="11">
        <v>38</v>
      </c>
      <c r="Q52" s="11">
        <f t="shared" si="13"/>
        <v>6</v>
      </c>
      <c r="R52" s="11">
        <f t="shared" si="14"/>
        <v>2</v>
      </c>
      <c r="S52" s="12" cm="1">
        <f t="array" ref="S52">INDEX('PatientFollowUp-ConceptMap-1'!$I$15:$N$124,Q52+1,R52)</f>
        <v>0</v>
      </c>
    </row>
    <row r="53" spans="2:19">
      <c r="B53" s="11"/>
      <c r="C53" s="11"/>
      <c r="D53" s="12"/>
      <c r="E53" s="12"/>
      <c r="F53" s="64"/>
      <c r="G53" s="124"/>
      <c r="P53" s="11">
        <v>39</v>
      </c>
      <c r="Q53" s="11">
        <f t="shared" si="13"/>
        <v>6</v>
      </c>
      <c r="R53" s="11">
        <f t="shared" si="14"/>
        <v>3</v>
      </c>
      <c r="S53" s="12" cm="1">
        <f t="array" ref="S53">INDEX('PatientFollowUp-ConceptMap-1'!$I$15:$N$124,Q53+1,R53)</f>
        <v>0</v>
      </c>
    </row>
    <row r="54" spans="2:19">
      <c r="B54" s="11"/>
      <c r="C54" s="11"/>
      <c r="D54" s="12"/>
      <c r="E54" s="12"/>
      <c r="F54" s="64"/>
      <c r="G54" s="124"/>
      <c r="P54" s="11">
        <v>40</v>
      </c>
      <c r="Q54" s="11">
        <f t="shared" si="13"/>
        <v>6</v>
      </c>
      <c r="R54" s="11">
        <f t="shared" si="14"/>
        <v>4</v>
      </c>
      <c r="S54" s="12" cm="1">
        <f t="array" ref="S54">INDEX('PatientFollowUp-ConceptMap-1'!$I$15:$N$124,Q54+1,R54)</f>
        <v>0</v>
      </c>
    </row>
    <row r="55" spans="2:19">
      <c r="B55" s="11"/>
      <c r="C55" s="11"/>
      <c r="D55" s="12"/>
      <c r="E55" s="12"/>
      <c r="F55" s="64"/>
      <c r="G55" s="124"/>
      <c r="P55" s="11">
        <v>41</v>
      </c>
      <c r="Q55" s="11">
        <f t="shared" si="13"/>
        <v>6</v>
      </c>
      <c r="R55" s="11">
        <f t="shared" si="14"/>
        <v>5</v>
      </c>
      <c r="S55" s="12" cm="1">
        <f t="array" ref="S55">INDEX('PatientFollowUp-ConceptMap-1'!$I$15:$N$124,Q55+1,R55)</f>
        <v>0</v>
      </c>
    </row>
    <row r="56" spans="2:19">
      <c r="B56" s="11"/>
      <c r="C56" s="11"/>
      <c r="D56" s="12"/>
      <c r="E56" s="12"/>
      <c r="F56" s="64"/>
      <c r="G56" s="124"/>
      <c r="P56" s="11">
        <v>42</v>
      </c>
      <c r="Q56" s="11">
        <f t="shared" si="13"/>
        <v>6</v>
      </c>
      <c r="R56" s="11">
        <f t="shared" si="14"/>
        <v>6</v>
      </c>
      <c r="S56" s="12" cm="1">
        <f t="array" ref="S56">INDEX('PatientFollowUp-ConceptMap-1'!$I$15:$N$124,Q56+1,R56)</f>
        <v>0</v>
      </c>
    </row>
    <row r="57" spans="2:19">
      <c r="B57" s="11"/>
      <c r="C57" s="11"/>
      <c r="D57" s="12"/>
      <c r="E57" s="12"/>
      <c r="F57" s="64"/>
      <c r="G57" s="124"/>
      <c r="P57" s="11">
        <v>43</v>
      </c>
      <c r="Q57" s="11">
        <f t="shared" si="13"/>
        <v>7</v>
      </c>
      <c r="R57" s="11">
        <f t="shared" si="14"/>
        <v>1</v>
      </c>
      <c r="S57" s="12" cm="1">
        <f t="array" ref="S57">INDEX('PatientFollowUp-ConceptMap-1'!$I$15:$N$124,Q57+1,R57)</f>
        <v>0</v>
      </c>
    </row>
    <row r="58" spans="2:19">
      <c r="B58" s="11"/>
      <c r="C58" s="11"/>
      <c r="D58" s="12"/>
      <c r="E58" s="12"/>
      <c r="F58" s="64"/>
      <c r="G58" s="124"/>
      <c r="P58" s="11">
        <v>44</v>
      </c>
      <c r="Q58" s="11">
        <f t="shared" si="13"/>
        <v>7</v>
      </c>
      <c r="R58" s="11">
        <f t="shared" si="14"/>
        <v>2</v>
      </c>
      <c r="S58" s="12" cm="1">
        <f t="array" ref="S58">INDEX('PatientFollowUp-ConceptMap-1'!$I$15:$N$124,Q58+1,R58)</f>
        <v>0</v>
      </c>
    </row>
    <row r="59" spans="2:19">
      <c r="B59" s="11"/>
      <c r="C59" s="11"/>
      <c r="D59" s="12"/>
      <c r="E59" s="12"/>
      <c r="F59" s="64"/>
      <c r="G59" s="124"/>
      <c r="P59" s="11">
        <v>45</v>
      </c>
      <c r="Q59" s="11">
        <f t="shared" si="13"/>
        <v>7</v>
      </c>
      <c r="R59" s="11">
        <f t="shared" si="14"/>
        <v>3</v>
      </c>
      <c r="S59" s="12" cm="1">
        <f t="array" ref="S59">INDEX('PatientFollowUp-ConceptMap-1'!$I$15:$N$124,Q59+1,R59)</f>
        <v>0</v>
      </c>
    </row>
    <row r="60" spans="2:19">
      <c r="B60" s="11"/>
      <c r="C60" s="11"/>
      <c r="D60" s="12"/>
      <c r="E60" s="12"/>
      <c r="F60" s="64"/>
      <c r="G60" s="124"/>
      <c r="P60" s="11">
        <v>46</v>
      </c>
      <c r="Q60" s="11">
        <f t="shared" si="13"/>
        <v>7</v>
      </c>
      <c r="R60" s="11">
        <f t="shared" si="14"/>
        <v>4</v>
      </c>
      <c r="S60" s="12" cm="1">
        <f t="array" ref="S60">INDEX('PatientFollowUp-ConceptMap-1'!$I$15:$N$124,Q60+1,R60)</f>
        <v>0</v>
      </c>
    </row>
    <row r="61" spans="2:19">
      <c r="B61" s="11"/>
      <c r="C61" s="11"/>
      <c r="D61" s="12"/>
      <c r="E61" s="12"/>
      <c r="F61" s="64"/>
      <c r="G61" s="124"/>
      <c r="P61" s="11">
        <v>47</v>
      </c>
      <c r="Q61" s="11">
        <f t="shared" si="13"/>
        <v>7</v>
      </c>
      <c r="R61" s="11">
        <f t="shared" si="14"/>
        <v>5</v>
      </c>
      <c r="S61" s="12" cm="1">
        <f t="array" ref="S61">INDEX('PatientFollowUp-ConceptMap-1'!$I$15:$N$124,Q61+1,R61)</f>
        <v>0</v>
      </c>
    </row>
    <row r="62" spans="2:19">
      <c r="B62" s="11"/>
      <c r="C62" s="11"/>
      <c r="D62" s="12"/>
      <c r="E62" s="12"/>
      <c r="F62" s="64"/>
      <c r="G62" s="124"/>
      <c r="P62" s="11">
        <v>48</v>
      </c>
      <c r="Q62" s="11">
        <f t="shared" si="13"/>
        <v>7</v>
      </c>
      <c r="R62" s="11">
        <f t="shared" si="14"/>
        <v>6</v>
      </c>
      <c r="S62" s="12" cm="1">
        <f t="array" ref="S62">INDEX('PatientFollowUp-ConceptMap-1'!$I$15:$N$124,Q62+1,R62)</f>
        <v>0</v>
      </c>
    </row>
    <row r="63" spans="2:19">
      <c r="B63" s="11"/>
      <c r="C63" s="11"/>
      <c r="D63" s="12"/>
      <c r="E63" s="12"/>
      <c r="F63" s="64"/>
      <c r="G63" s="124"/>
      <c r="P63" s="11">
        <v>49</v>
      </c>
      <c r="Q63" s="11">
        <f t="shared" si="13"/>
        <v>8</v>
      </c>
      <c r="R63" s="11">
        <f t="shared" si="14"/>
        <v>1</v>
      </c>
      <c r="S63" s="12" cm="1">
        <f t="array" ref="S63">INDEX('PatientFollowUp-ConceptMap-1'!$I$15:$N$124,Q63+1,R63)</f>
        <v>0</v>
      </c>
    </row>
    <row r="64" spans="2:19">
      <c r="B64" s="11"/>
      <c r="C64" s="11"/>
      <c r="D64" s="12"/>
      <c r="E64" s="12"/>
      <c r="F64" s="64"/>
      <c r="G64" s="124"/>
      <c r="P64" s="11">
        <v>50</v>
      </c>
      <c r="Q64" s="11">
        <f t="shared" si="13"/>
        <v>8</v>
      </c>
      <c r="R64" s="11">
        <f t="shared" si="14"/>
        <v>2</v>
      </c>
      <c r="S64" s="12" cm="1">
        <f t="array" ref="S64">INDEX('PatientFollowUp-ConceptMap-1'!$I$15:$N$124,Q64+1,R64)</f>
        <v>0</v>
      </c>
    </row>
    <row r="65" spans="2:19">
      <c r="B65" s="11"/>
      <c r="C65" s="11"/>
      <c r="D65" s="12"/>
      <c r="E65" s="12"/>
      <c r="F65" s="64"/>
      <c r="G65" s="124"/>
      <c r="P65" s="11">
        <v>51</v>
      </c>
      <c r="Q65" s="11">
        <f t="shared" si="13"/>
        <v>8</v>
      </c>
      <c r="R65" s="11">
        <f t="shared" si="14"/>
        <v>3</v>
      </c>
      <c r="S65" s="12" cm="1">
        <f t="array" ref="S65">INDEX('PatientFollowUp-ConceptMap-1'!$I$15:$N$124,Q65+1,R65)</f>
        <v>0</v>
      </c>
    </row>
    <row r="66" spans="2:19">
      <c r="B66" s="11"/>
      <c r="C66" s="11"/>
      <c r="D66" s="12"/>
      <c r="E66" s="12"/>
      <c r="F66" s="64"/>
      <c r="G66" s="124"/>
      <c r="P66" s="11">
        <v>52</v>
      </c>
      <c r="Q66" s="11">
        <f t="shared" si="13"/>
        <v>8</v>
      </c>
      <c r="R66" s="11">
        <f t="shared" si="14"/>
        <v>4</v>
      </c>
      <c r="S66" s="12" cm="1">
        <f t="array" ref="S66">INDEX('PatientFollowUp-ConceptMap-1'!$I$15:$N$124,Q66+1,R66)</f>
        <v>0</v>
      </c>
    </row>
    <row r="67" spans="2:19">
      <c r="B67" s="11"/>
      <c r="C67" s="11"/>
      <c r="D67" s="12"/>
      <c r="E67" s="12"/>
      <c r="F67" s="64"/>
      <c r="G67" s="124"/>
      <c r="P67" s="11">
        <v>53</v>
      </c>
      <c r="Q67" s="11">
        <f t="shared" si="13"/>
        <v>8</v>
      </c>
      <c r="R67" s="11">
        <f t="shared" si="14"/>
        <v>5</v>
      </c>
      <c r="S67" s="12" cm="1">
        <f t="array" ref="S67">INDEX('PatientFollowUp-ConceptMap-1'!$I$15:$N$124,Q67+1,R67)</f>
        <v>0</v>
      </c>
    </row>
    <row r="68" spans="2:19">
      <c r="B68" s="11"/>
      <c r="C68" s="11"/>
      <c r="D68" s="12"/>
      <c r="E68" s="12"/>
      <c r="F68" s="64"/>
      <c r="G68" s="124"/>
      <c r="P68" s="11">
        <v>54</v>
      </c>
      <c r="Q68" s="11">
        <f t="shared" si="13"/>
        <v>8</v>
      </c>
      <c r="R68" s="11">
        <f t="shared" si="14"/>
        <v>6</v>
      </c>
      <c r="S68" s="12" cm="1">
        <f t="array" ref="S68">INDEX('PatientFollowUp-ConceptMap-1'!$I$15:$N$124,Q68+1,R68)</f>
        <v>0</v>
      </c>
    </row>
    <row r="69" spans="2:19">
      <c r="B69" s="11"/>
      <c r="C69" s="11"/>
      <c r="D69" s="12"/>
      <c r="E69" s="12"/>
      <c r="F69" s="64"/>
      <c r="G69" s="124"/>
      <c r="P69" s="11">
        <v>55</v>
      </c>
      <c r="Q69" s="11">
        <f t="shared" si="13"/>
        <v>9</v>
      </c>
      <c r="R69" s="11">
        <f t="shared" si="14"/>
        <v>1</v>
      </c>
      <c r="S69" s="12" cm="1">
        <f t="array" ref="S69">INDEX('PatientFollowUp-ConceptMap-1'!$I$15:$N$124,Q69+1,R69)</f>
        <v>0</v>
      </c>
    </row>
    <row r="70" spans="2:19">
      <c r="B70" s="11"/>
      <c r="C70" s="11"/>
      <c r="D70" s="12"/>
      <c r="E70" s="12"/>
      <c r="F70" s="64"/>
      <c r="G70" s="124"/>
      <c r="P70" s="11">
        <v>56</v>
      </c>
      <c r="Q70" s="11">
        <f t="shared" si="13"/>
        <v>9</v>
      </c>
      <c r="R70" s="11">
        <f t="shared" si="14"/>
        <v>2</v>
      </c>
      <c r="S70" s="12" cm="1">
        <f t="array" ref="S70">INDEX('PatientFollowUp-ConceptMap-1'!$I$15:$N$124,Q70+1,R70)</f>
        <v>0</v>
      </c>
    </row>
    <row r="71" spans="2:19">
      <c r="B71" s="11"/>
      <c r="C71" s="11"/>
      <c r="D71" s="12"/>
      <c r="E71" s="12"/>
      <c r="F71" s="64"/>
      <c r="G71" s="124"/>
      <c r="P71" s="11">
        <v>57</v>
      </c>
      <c r="Q71" s="11">
        <f t="shared" si="13"/>
        <v>9</v>
      </c>
      <c r="R71" s="11">
        <f t="shared" si="14"/>
        <v>3</v>
      </c>
      <c r="S71" s="12" cm="1">
        <f t="array" ref="S71">INDEX('PatientFollowUp-ConceptMap-1'!$I$15:$N$124,Q71+1,R71)</f>
        <v>0</v>
      </c>
    </row>
    <row r="72" spans="2:19">
      <c r="B72" s="11"/>
      <c r="C72" s="11"/>
      <c r="D72" s="12"/>
      <c r="E72" s="12"/>
      <c r="F72" s="64"/>
      <c r="G72" s="124"/>
      <c r="P72" s="11">
        <v>58</v>
      </c>
      <c r="Q72" s="11">
        <f t="shared" si="13"/>
        <v>9</v>
      </c>
      <c r="R72" s="11">
        <f t="shared" si="14"/>
        <v>4</v>
      </c>
      <c r="S72" s="12" cm="1">
        <f t="array" ref="S72">INDEX('PatientFollowUp-ConceptMap-1'!$I$15:$N$124,Q72+1,R72)</f>
        <v>0</v>
      </c>
    </row>
    <row r="73" spans="2:19">
      <c r="B73" s="11"/>
      <c r="C73" s="11"/>
      <c r="D73" s="12"/>
      <c r="E73" s="12"/>
      <c r="F73" s="64"/>
      <c r="G73" s="124"/>
      <c r="P73" s="11">
        <v>59</v>
      </c>
      <c r="Q73" s="11">
        <f t="shared" si="13"/>
        <v>9</v>
      </c>
      <c r="R73" s="11">
        <f t="shared" si="14"/>
        <v>5</v>
      </c>
      <c r="S73" s="12" cm="1">
        <f t="array" ref="S73">INDEX('PatientFollowUp-ConceptMap-1'!$I$15:$N$124,Q73+1,R73)</f>
        <v>0</v>
      </c>
    </row>
    <row r="74" spans="2:19">
      <c r="B74" s="11"/>
      <c r="C74" s="11"/>
      <c r="D74" s="12"/>
      <c r="E74" s="12"/>
      <c r="F74" s="64"/>
      <c r="G74" s="124"/>
      <c r="P74" s="11">
        <v>60</v>
      </c>
      <c r="Q74" s="11">
        <f t="shared" si="13"/>
        <v>9</v>
      </c>
      <c r="R74" s="11">
        <f t="shared" si="14"/>
        <v>6</v>
      </c>
      <c r="S74" s="12" cm="1">
        <f t="array" ref="S74">INDEX('PatientFollowUp-ConceptMap-1'!$I$15:$N$124,Q74+1,R74)</f>
        <v>0</v>
      </c>
    </row>
    <row r="75" spans="2:19">
      <c r="B75" s="11"/>
      <c r="C75" s="11"/>
      <c r="D75" s="12"/>
      <c r="E75" s="12"/>
      <c r="F75" s="64"/>
      <c r="G75" s="124"/>
      <c r="P75" s="11">
        <v>61</v>
      </c>
      <c r="Q75" s="11">
        <f t="shared" si="13"/>
        <v>10</v>
      </c>
      <c r="R75" s="11">
        <f t="shared" si="14"/>
        <v>1</v>
      </c>
      <c r="S75" s="12" cm="1">
        <f t="array" ref="S75">INDEX('PatientFollowUp-ConceptMap-1'!$I$15:$N$124,Q75+1,R75)</f>
        <v>0</v>
      </c>
    </row>
    <row r="76" spans="2:19">
      <c r="B76" s="11"/>
      <c r="C76" s="11"/>
      <c r="D76" s="12"/>
      <c r="E76" s="12"/>
      <c r="F76" s="64"/>
      <c r="G76" s="124"/>
      <c r="P76" s="11">
        <v>62</v>
      </c>
      <c r="Q76" s="11">
        <f t="shared" si="13"/>
        <v>10</v>
      </c>
      <c r="R76" s="11">
        <f t="shared" si="14"/>
        <v>2</v>
      </c>
      <c r="S76" s="12" cm="1">
        <f t="array" ref="S76">INDEX('PatientFollowUp-ConceptMap-1'!$I$15:$N$124,Q76+1,R76)</f>
        <v>0</v>
      </c>
    </row>
    <row r="77" spans="2:19">
      <c r="B77" s="11"/>
      <c r="C77" s="11"/>
      <c r="D77" s="12"/>
      <c r="E77" s="12"/>
      <c r="F77" s="64"/>
      <c r="G77" s="124"/>
      <c r="P77" s="11">
        <v>63</v>
      </c>
      <c r="Q77" s="11">
        <f t="shared" si="13"/>
        <v>10</v>
      </c>
      <c r="R77" s="11">
        <f t="shared" si="14"/>
        <v>3</v>
      </c>
      <c r="S77" s="12" cm="1">
        <f t="array" ref="S77">INDEX('PatientFollowUp-ConceptMap-1'!$I$15:$N$124,Q77+1,R77)</f>
        <v>0</v>
      </c>
    </row>
    <row r="78" spans="2:19">
      <c r="B78" s="11"/>
      <c r="C78" s="11"/>
      <c r="D78" s="12"/>
      <c r="E78" s="12"/>
      <c r="F78" s="64"/>
      <c r="G78" s="124"/>
      <c r="P78" s="11">
        <v>64</v>
      </c>
      <c r="Q78" s="11">
        <f t="shared" si="13"/>
        <v>10</v>
      </c>
      <c r="R78" s="11">
        <f t="shared" si="14"/>
        <v>4</v>
      </c>
      <c r="S78" s="12" cm="1">
        <f t="array" ref="S78">INDEX('PatientFollowUp-ConceptMap-1'!$I$15:$N$124,Q78+1,R78)</f>
        <v>0</v>
      </c>
    </row>
    <row r="79" spans="2:19">
      <c r="B79" s="11"/>
      <c r="C79" s="11"/>
      <c r="D79" s="12"/>
      <c r="E79" s="12"/>
      <c r="F79" s="64"/>
      <c r="G79" s="124"/>
      <c r="P79" s="11">
        <v>65</v>
      </c>
      <c r="Q79" s="11">
        <f t="shared" si="13"/>
        <v>10</v>
      </c>
      <c r="R79" s="11">
        <f t="shared" si="14"/>
        <v>5</v>
      </c>
      <c r="S79" s="12" cm="1">
        <f t="array" ref="S79">INDEX('PatientFollowUp-ConceptMap-1'!$I$15:$N$124,Q79+1,R79)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4"/>
      <c r="P81" s="11">
        <v>67</v>
      </c>
      <c r="Q81" s="11">
        <f t="shared" si="15"/>
        <v>11</v>
      </c>
      <c r="R81" s="11">
        <f t="shared" si="16"/>
        <v>1</v>
      </c>
      <c r="S81" s="12" cm="1">
        <f t="array" ref="S81">INDEX('PatientFollowUp-ConceptMap-1'!$I$15:$N$124,Q81+1,R81)</f>
        <v>0</v>
      </c>
    </row>
    <row r="82" spans="2:19">
      <c r="B82" s="11"/>
      <c r="C82" s="11"/>
      <c r="D82" s="12"/>
      <c r="E82" s="12"/>
      <c r="F82" s="64"/>
      <c r="G82" s="124"/>
      <c r="P82" s="11">
        <v>68</v>
      </c>
      <c r="Q82" s="11">
        <f t="shared" si="15"/>
        <v>11</v>
      </c>
      <c r="R82" s="11">
        <f t="shared" si="16"/>
        <v>2</v>
      </c>
      <c r="S82" s="12" cm="1">
        <f t="array" ref="S82">INDEX('PatientFollowUp-ConceptMap-1'!$I$15:$N$124,Q82+1,R82)</f>
        <v>0</v>
      </c>
    </row>
    <row r="83" spans="2:19">
      <c r="B83" s="11"/>
      <c r="C83" s="11"/>
      <c r="D83" s="12"/>
      <c r="E83" s="12"/>
      <c r="F83" s="64"/>
      <c r="G83" s="124"/>
      <c r="P83" s="11">
        <v>69</v>
      </c>
      <c r="Q83" s="11">
        <f t="shared" si="15"/>
        <v>11</v>
      </c>
      <c r="R83" s="11">
        <f t="shared" si="16"/>
        <v>3</v>
      </c>
      <c r="S83" s="12" cm="1">
        <f t="array" ref="S83">INDEX('PatientFollowUp-ConceptMap-1'!$I$15:$N$124,Q83+1,R83)</f>
        <v>0</v>
      </c>
    </row>
    <row r="84" spans="2:19">
      <c r="B84" s="11"/>
      <c r="C84" s="11"/>
      <c r="D84" s="12"/>
      <c r="E84" s="12"/>
      <c r="F84" s="64"/>
      <c r="G84" s="124"/>
      <c r="P84" s="11">
        <v>70</v>
      </c>
      <c r="Q84" s="11">
        <f t="shared" si="15"/>
        <v>11</v>
      </c>
      <c r="R84" s="11">
        <f t="shared" si="16"/>
        <v>4</v>
      </c>
      <c r="S84" s="12" cm="1">
        <f t="array" ref="S84">INDEX('PatientFollowUp-ConceptMap-1'!$I$15:$N$124,Q84+1,R84)</f>
        <v>0</v>
      </c>
    </row>
    <row r="85" spans="2:19">
      <c r="B85" s="11"/>
      <c r="C85" s="11"/>
      <c r="D85" s="12"/>
      <c r="E85" s="12"/>
      <c r="F85" s="64"/>
      <c r="G85" s="124"/>
      <c r="P85" s="11">
        <v>71</v>
      </c>
      <c r="Q85" s="11">
        <f t="shared" si="15"/>
        <v>11</v>
      </c>
      <c r="R85" s="11">
        <f t="shared" si="16"/>
        <v>5</v>
      </c>
      <c r="S85" s="12" cm="1">
        <f t="array" ref="S85">INDEX('PatientFollowUp-ConceptMap-1'!$I$15:$N$124,Q85+1,R85)</f>
        <v>0</v>
      </c>
    </row>
    <row r="86" spans="2:19">
      <c r="B86" s="11"/>
      <c r="C86" s="11"/>
      <c r="D86" s="12"/>
      <c r="E86" s="12"/>
      <c r="F86" s="64"/>
      <c r="G86" s="124"/>
      <c r="P86" s="11">
        <v>72</v>
      </c>
      <c r="Q86" s="11">
        <f t="shared" si="15"/>
        <v>11</v>
      </c>
      <c r="R86" s="11">
        <f t="shared" si="16"/>
        <v>6</v>
      </c>
      <c r="S86" s="12" cm="1">
        <f t="array" ref="S86">INDEX('PatientFollowUp-ConceptMap-1'!$I$15:$N$124,Q86+1,R86)</f>
        <v>0</v>
      </c>
    </row>
    <row r="87" spans="2:19">
      <c r="B87" s="11"/>
      <c r="C87" s="11"/>
      <c r="D87" s="12"/>
      <c r="E87" s="12"/>
      <c r="F87" s="64"/>
      <c r="G87" s="124"/>
      <c r="P87" s="11">
        <v>73</v>
      </c>
      <c r="Q87" s="11">
        <f t="shared" si="15"/>
        <v>12</v>
      </c>
      <c r="R87" s="11">
        <f t="shared" si="16"/>
        <v>1</v>
      </c>
      <c r="S87" s="12" cm="1">
        <f t="array" ref="S87">INDEX('PatientFollowUp-ConceptMap-1'!$I$15:$N$124,Q87+1,R87)</f>
        <v>0</v>
      </c>
    </row>
    <row r="88" spans="2:19">
      <c r="B88" s="11"/>
      <c r="C88" s="11"/>
      <c r="D88" s="12"/>
      <c r="E88" s="12"/>
      <c r="F88" s="64"/>
      <c r="G88" s="124"/>
      <c r="P88" s="11">
        <v>74</v>
      </c>
      <c r="Q88" s="11">
        <f t="shared" si="15"/>
        <v>12</v>
      </c>
      <c r="R88" s="11">
        <f t="shared" si="16"/>
        <v>2</v>
      </c>
      <c r="S88" s="12" cm="1">
        <f t="array" ref="S88">INDEX('PatientFollowUp-ConceptMap-1'!$I$15:$N$124,Q88+1,R88)</f>
        <v>0</v>
      </c>
    </row>
    <row r="89" spans="2:19">
      <c r="B89" s="11"/>
      <c r="C89" s="11"/>
      <c r="D89" s="12"/>
      <c r="E89" s="12"/>
      <c r="F89" s="64"/>
      <c r="G89" s="124"/>
      <c r="P89" s="11">
        <v>75</v>
      </c>
      <c r="Q89" s="11">
        <f t="shared" si="15"/>
        <v>12</v>
      </c>
      <c r="R89" s="11">
        <f t="shared" si="16"/>
        <v>3</v>
      </c>
      <c r="S89" s="12" cm="1">
        <f t="array" ref="S89">INDEX('PatientFollowUp-ConceptMap-1'!$I$15:$N$124,Q89+1,R89)</f>
        <v>0</v>
      </c>
    </row>
    <row r="90" spans="2:19">
      <c r="B90" s="11"/>
      <c r="C90" s="11"/>
      <c r="D90" s="12"/>
      <c r="E90" s="12"/>
      <c r="F90" s="64"/>
      <c r="G90" s="124"/>
      <c r="P90" s="11">
        <v>76</v>
      </c>
      <c r="Q90" s="11">
        <f t="shared" si="15"/>
        <v>12</v>
      </c>
      <c r="R90" s="11">
        <f t="shared" si="16"/>
        <v>4</v>
      </c>
      <c r="S90" s="12" cm="1">
        <f t="array" ref="S90">INDEX('PatientFollowUp-ConceptMap-1'!$I$15:$N$124,Q90+1,R90)</f>
        <v>0</v>
      </c>
    </row>
    <row r="91" spans="2:19">
      <c r="B91" s="11"/>
      <c r="C91" s="11"/>
      <c r="D91" s="12"/>
      <c r="E91" s="12"/>
      <c r="F91" s="64"/>
      <c r="G91" s="124"/>
      <c r="P91" s="11">
        <v>77</v>
      </c>
      <c r="Q91" s="11">
        <f t="shared" si="15"/>
        <v>12</v>
      </c>
      <c r="R91" s="11">
        <f t="shared" si="16"/>
        <v>5</v>
      </c>
      <c r="S91" s="12" cm="1">
        <f t="array" ref="S91">INDEX('PatientFollowUp-ConceptMap-1'!$I$15:$N$124,Q91+1,R91)</f>
        <v>0</v>
      </c>
    </row>
    <row r="92" spans="2:19">
      <c r="B92" s="11"/>
      <c r="C92" s="11"/>
      <c r="D92" s="12"/>
      <c r="E92" s="12"/>
      <c r="F92" s="64"/>
      <c r="G92" s="124"/>
      <c r="P92" s="11">
        <v>78</v>
      </c>
      <c r="Q92" s="11">
        <f t="shared" si="15"/>
        <v>12</v>
      </c>
      <c r="R92" s="11">
        <f t="shared" si="16"/>
        <v>6</v>
      </c>
      <c r="S92" s="12" cm="1">
        <f t="array" ref="S92">INDEX('PatientFollowUp-ConceptMap-1'!$I$15:$N$124,Q92+1,R92)</f>
        <v>0</v>
      </c>
    </row>
    <row r="93" spans="2:19">
      <c r="B93" s="11"/>
      <c r="C93" s="11"/>
      <c r="D93" s="12"/>
      <c r="E93" s="12"/>
      <c r="F93" s="64"/>
      <c r="G93" s="124"/>
      <c r="P93" s="11">
        <v>79</v>
      </c>
      <c r="Q93" s="11">
        <f t="shared" si="15"/>
        <v>13</v>
      </c>
      <c r="R93" s="11">
        <f t="shared" si="16"/>
        <v>1</v>
      </c>
      <c r="S93" s="12" cm="1">
        <f t="array" ref="S93">INDEX('PatientFollowUp-ConceptMap-1'!$I$15:$N$124,Q93+1,R93)</f>
        <v>0</v>
      </c>
    </row>
    <row r="94" spans="2:19">
      <c r="B94" s="11"/>
      <c r="C94" s="11"/>
      <c r="D94" s="12"/>
      <c r="E94" s="12"/>
      <c r="F94" s="64"/>
      <c r="G94" s="124"/>
      <c r="P94" s="11">
        <v>80</v>
      </c>
      <c r="Q94" s="11">
        <f t="shared" si="15"/>
        <v>13</v>
      </c>
      <c r="R94" s="11">
        <f t="shared" si="16"/>
        <v>2</v>
      </c>
      <c r="S94" s="12" cm="1">
        <f t="array" ref="S94">INDEX('PatientFollowUp-ConceptMap-1'!$I$15:$N$124,Q94+1,R94)</f>
        <v>0</v>
      </c>
    </row>
    <row r="95" spans="2:19">
      <c r="B95" s="11"/>
      <c r="C95" s="11"/>
      <c r="D95" s="12"/>
      <c r="E95" s="12"/>
      <c r="F95" s="64"/>
      <c r="G95" s="124"/>
      <c r="P95" s="11">
        <v>81</v>
      </c>
      <c r="Q95" s="11">
        <f t="shared" si="15"/>
        <v>13</v>
      </c>
      <c r="R95" s="11">
        <f t="shared" si="16"/>
        <v>3</v>
      </c>
      <c r="S95" s="12" cm="1">
        <f t="array" ref="S95">INDEX('PatientFollowUp-ConceptMap-1'!$I$15:$N$124,Q95+1,R95)</f>
        <v>0</v>
      </c>
    </row>
    <row r="96" spans="2:19">
      <c r="B96" s="11"/>
      <c r="C96" s="11"/>
      <c r="D96" s="12"/>
      <c r="E96" s="12"/>
      <c r="F96" s="64"/>
      <c r="G96" s="124"/>
      <c r="P96" s="11">
        <v>82</v>
      </c>
      <c r="Q96" s="11">
        <f t="shared" si="15"/>
        <v>13</v>
      </c>
      <c r="R96" s="11">
        <f t="shared" si="16"/>
        <v>4</v>
      </c>
      <c r="S96" s="12" cm="1">
        <f t="array" ref="S96">INDEX('PatientFollowUp-ConceptMap-1'!$I$15:$N$124,Q96+1,R96)</f>
        <v>0</v>
      </c>
    </row>
    <row r="97" spans="2:19">
      <c r="B97" s="11"/>
      <c r="C97" s="11"/>
      <c r="D97" s="12"/>
      <c r="E97" s="12"/>
      <c r="F97" s="64"/>
      <c r="G97" s="124"/>
      <c r="P97" s="11">
        <v>83</v>
      </c>
      <c r="Q97" s="11">
        <f t="shared" si="15"/>
        <v>13</v>
      </c>
      <c r="R97" s="11">
        <f t="shared" si="16"/>
        <v>5</v>
      </c>
      <c r="S97" s="12" cm="1">
        <f t="array" ref="S97">INDEX('PatientFollowUp-ConceptMap-1'!$I$15:$N$124,Q97+1,R97)</f>
        <v>0</v>
      </c>
    </row>
    <row r="98" spans="2:19">
      <c r="B98" s="11"/>
      <c r="C98" s="11"/>
      <c r="D98" s="12"/>
      <c r="E98" s="12"/>
      <c r="F98" s="64"/>
      <c r="G98" s="124"/>
      <c r="P98" s="11">
        <v>84</v>
      </c>
      <c r="Q98" s="11">
        <f t="shared" si="15"/>
        <v>13</v>
      </c>
      <c r="R98" s="11">
        <f t="shared" si="16"/>
        <v>6</v>
      </c>
      <c r="S98" s="12" cm="1">
        <f t="array" ref="S98">INDEX('PatientFollowUp-ConceptMap-1'!$I$15:$N$124,Q98+1,R98)</f>
        <v>0</v>
      </c>
    </row>
    <row r="99" spans="2:19">
      <c r="B99" s="11"/>
      <c r="C99" s="11"/>
      <c r="D99" s="12"/>
      <c r="E99" s="12"/>
      <c r="F99" s="64"/>
      <c r="G99" s="124"/>
      <c r="P99" s="11">
        <v>85</v>
      </c>
      <c r="Q99" s="11">
        <f t="shared" si="15"/>
        <v>14</v>
      </c>
      <c r="R99" s="11">
        <f t="shared" si="16"/>
        <v>1</v>
      </c>
      <c r="S99" s="12" cm="1">
        <f t="array" ref="S99">INDEX('PatientFollowUp-ConceptMap-1'!$I$15:$N$124,Q99+1,R99)</f>
        <v>0</v>
      </c>
    </row>
    <row r="100" spans="2:19">
      <c r="B100" s="11"/>
      <c r="C100" s="11"/>
      <c r="D100" s="12"/>
      <c r="E100" s="12"/>
      <c r="F100" s="64"/>
      <c r="G100" s="124"/>
      <c r="P100" s="11">
        <v>86</v>
      </c>
      <c r="Q100" s="11">
        <f t="shared" si="15"/>
        <v>14</v>
      </c>
      <c r="R100" s="11">
        <f t="shared" si="16"/>
        <v>2</v>
      </c>
      <c r="S100" s="12" cm="1">
        <f t="array" ref="S100">INDEX('PatientFollowUp-ConceptMap-1'!$I$15:$N$124,Q100+1,R100)</f>
        <v>0</v>
      </c>
    </row>
    <row r="101" spans="2:19">
      <c r="B101" s="11"/>
      <c r="C101" s="11"/>
      <c r="D101" s="12"/>
      <c r="E101" s="12"/>
      <c r="F101" s="64"/>
      <c r="G101" s="124"/>
      <c r="P101" s="11">
        <v>87</v>
      </c>
      <c r="Q101" s="11">
        <f t="shared" si="15"/>
        <v>14</v>
      </c>
      <c r="R101" s="11">
        <f t="shared" si="16"/>
        <v>3</v>
      </c>
      <c r="S101" s="12" cm="1">
        <f t="array" ref="S101">INDEX('PatientFollowUp-ConceptMap-1'!$I$15:$N$124,Q101+1,R101)</f>
        <v>0</v>
      </c>
    </row>
    <row r="102" spans="2:19">
      <c r="B102" s="11"/>
      <c r="C102" s="11"/>
      <c r="D102" s="12"/>
      <c r="E102" s="12"/>
      <c r="F102" s="64"/>
      <c r="G102" s="124"/>
      <c r="P102" s="11">
        <v>88</v>
      </c>
      <c r="Q102" s="11">
        <f t="shared" si="15"/>
        <v>14</v>
      </c>
      <c r="R102" s="11">
        <f t="shared" si="16"/>
        <v>4</v>
      </c>
      <c r="S102" s="12" cm="1">
        <f t="array" ref="S102">INDEX('PatientFollowUp-ConceptMap-1'!$I$15:$N$124,Q102+1,R102)</f>
        <v>0</v>
      </c>
    </row>
    <row r="103" spans="2:19">
      <c r="B103" s="11"/>
      <c r="C103" s="11"/>
      <c r="D103" s="12"/>
      <c r="E103" s="12"/>
      <c r="F103" s="64"/>
      <c r="G103" s="124"/>
      <c r="P103" s="11">
        <v>89</v>
      </c>
      <c r="Q103" s="11">
        <f t="shared" si="15"/>
        <v>14</v>
      </c>
      <c r="R103" s="11">
        <f t="shared" si="16"/>
        <v>5</v>
      </c>
      <c r="S103" s="12" cm="1">
        <f t="array" ref="S103">INDEX('PatientFollowUp-ConceptMap-1'!$I$15:$N$124,Q103+1,R103)</f>
        <v>0</v>
      </c>
    </row>
    <row r="104" spans="2:19">
      <c r="B104" s="11"/>
      <c r="C104" s="11"/>
      <c r="D104" s="12"/>
      <c r="E104" s="12"/>
      <c r="F104" s="64"/>
      <c r="G104" s="124"/>
      <c r="P104" s="11">
        <v>90</v>
      </c>
      <c r="Q104" s="11">
        <f t="shared" si="15"/>
        <v>14</v>
      </c>
      <c r="R104" s="11">
        <f t="shared" si="16"/>
        <v>6</v>
      </c>
      <c r="S104" s="12" cm="1">
        <f t="array" ref="S104">INDEX('PatientFollowUp-ConceptMap-1'!$I$15:$N$124,Q104+1,R104)</f>
        <v>0</v>
      </c>
    </row>
    <row r="105" spans="2:19">
      <c r="B105" s="11"/>
      <c r="C105" s="11"/>
      <c r="D105" s="12"/>
      <c r="E105" s="12"/>
      <c r="F105" s="64"/>
      <c r="G105" s="124"/>
      <c r="P105" s="11">
        <v>91</v>
      </c>
      <c r="Q105" s="11">
        <f t="shared" si="15"/>
        <v>15</v>
      </c>
      <c r="R105" s="11">
        <f t="shared" si="16"/>
        <v>1</v>
      </c>
      <c r="S105" s="12" cm="1">
        <f t="array" ref="S105">INDEX('PatientFollowUp-ConceptMap-1'!$I$15:$N$124,Q105+1,R105)</f>
        <v>0</v>
      </c>
    </row>
    <row r="106" spans="2:19">
      <c r="B106" s="11"/>
      <c r="C106" s="11"/>
      <c r="D106" s="12"/>
      <c r="E106" s="12"/>
      <c r="F106" s="64"/>
      <c r="G106" s="124"/>
      <c r="P106" s="11">
        <v>92</v>
      </c>
      <c r="Q106" s="11">
        <f t="shared" si="15"/>
        <v>15</v>
      </c>
      <c r="R106" s="11">
        <f t="shared" si="16"/>
        <v>2</v>
      </c>
      <c r="S106" s="12" cm="1">
        <f t="array" ref="S106">INDEX('PatientFollowUp-ConceptMap-1'!$I$15:$N$124,Q106+1,R106)</f>
        <v>0</v>
      </c>
    </row>
    <row r="107" spans="2:19">
      <c r="B107" s="11"/>
      <c r="C107" s="11"/>
      <c r="D107" s="12"/>
      <c r="E107" s="12"/>
      <c r="F107" s="64"/>
      <c r="G107" s="124"/>
      <c r="P107" s="11">
        <v>93</v>
      </c>
      <c r="Q107" s="11">
        <f t="shared" si="15"/>
        <v>15</v>
      </c>
      <c r="R107" s="11">
        <f t="shared" si="16"/>
        <v>3</v>
      </c>
      <c r="S107" s="12" cm="1">
        <f t="array" ref="S107">INDEX('PatientFollowUp-ConceptMap-1'!$I$15:$N$124,Q107+1,R107)</f>
        <v>0</v>
      </c>
    </row>
    <row r="108" spans="2:19">
      <c r="B108" s="11"/>
      <c r="C108" s="11"/>
      <c r="D108" s="12"/>
      <c r="E108" s="12"/>
      <c r="F108" s="64"/>
      <c r="G108" s="124"/>
      <c r="P108" s="11">
        <v>94</v>
      </c>
      <c r="Q108" s="11">
        <f t="shared" si="15"/>
        <v>15</v>
      </c>
      <c r="R108" s="11">
        <f t="shared" si="16"/>
        <v>4</v>
      </c>
      <c r="S108" s="12" cm="1">
        <f t="array" ref="S108">INDEX('PatientFollowUp-ConceptMap-1'!$I$15:$N$124,Q108+1,R108)</f>
        <v>0</v>
      </c>
    </row>
    <row r="109" spans="2:19">
      <c r="B109" s="11"/>
      <c r="C109" s="11"/>
      <c r="D109" s="12"/>
      <c r="E109" s="12"/>
      <c r="F109" s="64"/>
      <c r="G109" s="124"/>
      <c r="P109" s="11">
        <v>95</v>
      </c>
      <c r="Q109" s="11">
        <f t="shared" si="15"/>
        <v>15</v>
      </c>
      <c r="R109" s="11">
        <f t="shared" si="16"/>
        <v>5</v>
      </c>
      <c r="S109" s="12" cm="1">
        <f t="array" ref="S109">INDEX('PatientFollowUp-ConceptMap-1'!$I$15:$N$124,Q109+1,R109)</f>
        <v>0</v>
      </c>
    </row>
    <row r="110" spans="2:19">
      <c r="B110" s="11"/>
      <c r="C110" s="11"/>
      <c r="D110" s="12"/>
      <c r="E110" s="12"/>
      <c r="F110" s="64"/>
      <c r="G110" s="124"/>
      <c r="P110" s="11">
        <v>96</v>
      </c>
      <c r="Q110" s="11">
        <f t="shared" si="15"/>
        <v>15</v>
      </c>
      <c r="R110" s="11">
        <f t="shared" si="16"/>
        <v>6</v>
      </c>
      <c r="S110" s="12" cm="1">
        <f t="array" ref="S110">INDEX('PatientFollowUp-ConceptMap-1'!$I$15:$N$124,Q110+1,R110)</f>
        <v>0</v>
      </c>
    </row>
    <row r="111" spans="2:19">
      <c r="B111" s="11"/>
      <c r="C111" s="11"/>
      <c r="D111" s="12"/>
      <c r="E111" s="12"/>
      <c r="F111" s="64"/>
      <c r="G111" s="124"/>
      <c r="P111" s="11">
        <v>97</v>
      </c>
      <c r="Q111" s="11">
        <f t="shared" si="15"/>
        <v>16</v>
      </c>
      <c r="R111" s="11">
        <f t="shared" si="16"/>
        <v>1</v>
      </c>
      <c r="S111" s="12" cm="1">
        <f t="array" ref="S111">INDEX('PatientFollowUp-ConceptMap-1'!$I$15:$N$124,Q111+1,R111)</f>
        <v>0</v>
      </c>
    </row>
    <row r="112" spans="2:19">
      <c r="B112" s="11"/>
      <c r="C112" s="11"/>
      <c r="D112" s="12"/>
      <c r="E112" s="12"/>
      <c r="F112" s="64"/>
      <c r="G112" s="124"/>
      <c r="P112" s="11">
        <v>98</v>
      </c>
      <c r="Q112" s="11">
        <f t="shared" si="15"/>
        <v>16</v>
      </c>
      <c r="R112" s="11">
        <f t="shared" si="16"/>
        <v>2</v>
      </c>
      <c r="S112" s="12" cm="1">
        <f t="array" ref="S112">INDEX('PatientFollowUp-ConceptMap-1'!$I$15:$N$124,Q112+1,R112)</f>
        <v>0</v>
      </c>
    </row>
    <row r="113" spans="2:19">
      <c r="B113" s="11"/>
      <c r="C113" s="11"/>
      <c r="D113" s="12"/>
      <c r="E113" s="12"/>
      <c r="F113" s="64"/>
      <c r="G113" s="124"/>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2402</v>
      </c>
      <c r="D3" s="62" t="s">
        <v>1791</v>
      </c>
      <c r="E3" s="118" t="str">
        <f>$C$1&amp;B14</f>
        <v>http://hl7.eu/fhir/ig/idea4rc/StructureDefinition/PatientFollowUpI4rc</v>
      </c>
    </row>
    <row r="4" spans="1:19">
      <c r="B4" s="62" t="s">
        <v>16</v>
      </c>
      <c r="C4" s="28" t="s">
        <v>2402</v>
      </c>
      <c r="D4" s="62" t="s">
        <v>1792</v>
      </c>
      <c r="E4" s="169" t="s">
        <v>2401</v>
      </c>
      <c r="F4" s="170"/>
      <c r="G4" s="170"/>
    </row>
    <row r="5" spans="1:19">
      <c r="B5" s="62" t="s">
        <v>10</v>
      </c>
      <c r="C5" s="7" t="s">
        <v>2403</v>
      </c>
      <c r="D5" s="62"/>
      <c r="E5" s="7"/>
    </row>
    <row r="6" spans="1:19">
      <c r="B6" s="62" t="s">
        <v>18</v>
      </c>
      <c r="C6" s="56"/>
      <c r="D6" s="62" t="s">
        <v>1793</v>
      </c>
      <c r="E6" s="169" t="str">
        <f>E3</f>
        <v>http://hl7.eu/fhir/ig/idea4rc/StructureDefinition/PatientFollowUpI4rc</v>
      </c>
      <c r="F6" s="170"/>
      <c r="G6" s="170"/>
    </row>
    <row r="7" spans="1:19">
      <c r="B7" s="62" t="s">
        <v>15</v>
      </c>
      <c r="C7" s="119"/>
      <c r="D7" s="62" t="s">
        <v>1794</v>
      </c>
      <c r="E7" s="169" t="str">
        <f>C1&amp;"Condition-primaryCancer-eu-i4rc"</f>
        <v>http://hl7.eu/fhir/ig/idea4rc/StructureDefinition/Condition-primaryCancer-eu-i4rc</v>
      </c>
      <c r="F7" s="170"/>
      <c r="G7" s="170"/>
    </row>
    <row r="8" spans="1:19" ht="45" thickBot="1">
      <c r="B8" s="62" t="s">
        <v>1795</v>
      </c>
      <c r="C8" s="7" t="s">
        <v>2403</v>
      </c>
      <c r="D8" s="62"/>
      <c r="E8" s="7"/>
      <c r="I8" s="12" t="s">
        <v>1402</v>
      </c>
      <c r="J8" s="12" t="s">
        <v>1403</v>
      </c>
      <c r="K8" s="12" t="s">
        <v>1404</v>
      </c>
      <c r="L8" s="12" t="s">
        <v>1405</v>
      </c>
      <c r="M8" s="11" t="s">
        <v>1406</v>
      </c>
      <c r="P8" s="49" t="s">
        <v>1441</v>
      </c>
      <c r="Q8" s="49">
        <v>6</v>
      </c>
    </row>
    <row r="9" spans="1:19" ht="30.25" thickBot="1">
      <c r="B9" s="62" t="s">
        <v>1796</v>
      </c>
      <c r="C9" s="12" t="s">
        <v>2404</v>
      </c>
      <c r="D9" s="146"/>
      <c r="E9" s="171"/>
      <c r="F9" s="172"/>
      <c r="G9" s="173"/>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2405</v>
      </c>
      <c r="E14" s="6"/>
      <c r="F14" s="64"/>
      <c r="G14" s="64"/>
      <c r="I14" s="12"/>
      <c r="J14" s="11"/>
      <c r="K14" s="11"/>
      <c r="L14" s="11"/>
      <c r="M14" s="63"/>
      <c r="N14" s="66"/>
    </row>
    <row r="15" spans="1:19" ht="44.25">
      <c r="A15" s="59"/>
      <c r="B15" s="11" t="str">
        <f>PatientFollowUp!B8</f>
        <v>patient</v>
      </c>
      <c r="C15" s="11" t="str">
        <f>PatientFollowUp!C8</f>
        <v>Patient</v>
      </c>
      <c r="D15" s="12" t="s">
        <v>1805</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3" t="s">
        <v>2406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4"/>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2006</v>
      </c>
      <c r="E18" s="12"/>
      <c r="F18" s="64" t="s">
        <v>1407</v>
      </c>
      <c r="G18" s="124" t="s">
        <v>2409</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2410</v>
      </c>
      <c r="E19" s="12"/>
      <c r="F19" s="64" t="s">
        <v>1407</v>
      </c>
      <c r="G19" s="123" t="s">
        <v>1797</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2013</v>
      </c>
      <c r="E20" s="12"/>
      <c r="F20" s="64" t="s">
        <v>1407</v>
      </c>
      <c r="G20" s="123" t="s">
        <v>1797</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4"/>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4"/>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4"/>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4"/>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4"/>
      <c r="P51" s="11">
        <v>37</v>
      </c>
      <c r="Q51" s="11">
        <f t="shared" si="13"/>
        <v>6</v>
      </c>
      <c r="R51" s="11">
        <f t="shared" si="14"/>
        <v>1</v>
      </c>
      <c r="S51" s="12" cm="1">
        <f t="array" ref="S51">INDEX('PatientFollowUp-ConceptMap-2'!$I$15:$N$124,Q51+1,R51)</f>
        <v>0</v>
      </c>
    </row>
    <row r="52" spans="2:19">
      <c r="B52" s="11"/>
      <c r="C52" s="11"/>
      <c r="D52" s="12"/>
      <c r="E52" s="12"/>
      <c r="F52" s="64"/>
      <c r="G52" s="124"/>
      <c r="P52" s="11">
        <v>38</v>
      </c>
      <c r="Q52" s="11">
        <f t="shared" si="13"/>
        <v>6</v>
      </c>
      <c r="R52" s="11">
        <f t="shared" si="14"/>
        <v>2</v>
      </c>
      <c r="S52" s="12" cm="1">
        <f t="array" ref="S52">INDEX('PatientFollowUp-ConceptMap-2'!$I$15:$N$124,Q52+1,R52)</f>
        <v>0</v>
      </c>
    </row>
    <row r="53" spans="2:19">
      <c r="B53" s="11"/>
      <c r="C53" s="11"/>
      <c r="D53" s="12"/>
      <c r="E53" s="12"/>
      <c r="F53" s="64"/>
      <c r="G53" s="124"/>
      <c r="P53" s="11">
        <v>39</v>
      </c>
      <c r="Q53" s="11">
        <f t="shared" si="13"/>
        <v>6</v>
      </c>
      <c r="R53" s="11">
        <f t="shared" si="14"/>
        <v>3</v>
      </c>
      <c r="S53" s="12" cm="1">
        <f t="array" ref="S53">INDEX('PatientFollowUp-ConceptMap-2'!$I$15:$N$124,Q53+1,R53)</f>
        <v>0</v>
      </c>
    </row>
    <row r="54" spans="2:19">
      <c r="B54" s="11"/>
      <c r="C54" s="11"/>
      <c r="D54" s="12"/>
      <c r="E54" s="12"/>
      <c r="F54" s="64"/>
      <c r="G54" s="124"/>
      <c r="P54" s="11">
        <v>40</v>
      </c>
      <c r="Q54" s="11">
        <f t="shared" si="13"/>
        <v>6</v>
      </c>
      <c r="R54" s="11">
        <f t="shared" si="14"/>
        <v>4</v>
      </c>
      <c r="S54" s="12" cm="1">
        <f t="array" ref="S54">INDEX('PatientFollowUp-ConceptMap-2'!$I$15:$N$124,Q54+1,R54)</f>
        <v>0</v>
      </c>
    </row>
    <row r="55" spans="2:19">
      <c r="B55" s="11"/>
      <c r="C55" s="11"/>
      <c r="D55" s="12"/>
      <c r="E55" s="12"/>
      <c r="F55" s="64"/>
      <c r="G55" s="124"/>
      <c r="P55" s="11">
        <v>41</v>
      </c>
      <c r="Q55" s="11">
        <f t="shared" si="13"/>
        <v>6</v>
      </c>
      <c r="R55" s="11">
        <f t="shared" si="14"/>
        <v>5</v>
      </c>
      <c r="S55" s="12" cm="1">
        <f t="array" ref="S55">INDEX('PatientFollowUp-ConceptMap-2'!$I$15:$N$124,Q55+1,R55)</f>
        <v>0</v>
      </c>
    </row>
    <row r="56" spans="2:19">
      <c r="B56" s="11"/>
      <c r="C56" s="11"/>
      <c r="D56" s="12"/>
      <c r="E56" s="12"/>
      <c r="F56" s="64"/>
      <c r="G56" s="124"/>
      <c r="P56" s="11">
        <v>42</v>
      </c>
      <c r="Q56" s="11">
        <f t="shared" si="13"/>
        <v>6</v>
      </c>
      <c r="R56" s="11">
        <f t="shared" si="14"/>
        <v>6</v>
      </c>
      <c r="S56" s="12" cm="1">
        <f t="array" ref="S56">INDEX('PatientFollowUp-ConceptMap-2'!$I$15:$N$124,Q56+1,R56)</f>
        <v>0</v>
      </c>
    </row>
    <row r="57" spans="2:19">
      <c r="B57" s="11"/>
      <c r="C57" s="11"/>
      <c r="D57" s="12"/>
      <c r="E57" s="12"/>
      <c r="F57" s="64"/>
      <c r="G57" s="124"/>
      <c r="P57" s="11">
        <v>43</v>
      </c>
      <c r="Q57" s="11">
        <f t="shared" si="13"/>
        <v>7</v>
      </c>
      <c r="R57" s="11">
        <f t="shared" si="14"/>
        <v>1</v>
      </c>
      <c r="S57" s="12" cm="1">
        <f t="array" ref="S57">INDEX('PatientFollowUp-ConceptMap-2'!$I$15:$N$124,Q57+1,R57)</f>
        <v>0</v>
      </c>
    </row>
    <row r="58" spans="2:19">
      <c r="B58" s="11"/>
      <c r="C58" s="11"/>
      <c r="D58" s="12"/>
      <c r="E58" s="12"/>
      <c r="F58" s="64"/>
      <c r="G58" s="124"/>
      <c r="P58" s="11">
        <v>44</v>
      </c>
      <c r="Q58" s="11">
        <f t="shared" si="13"/>
        <v>7</v>
      </c>
      <c r="R58" s="11">
        <f t="shared" si="14"/>
        <v>2</v>
      </c>
      <c r="S58" s="12" cm="1">
        <f t="array" ref="S58">INDEX('PatientFollowUp-ConceptMap-2'!$I$15:$N$124,Q58+1,R58)</f>
        <v>0</v>
      </c>
    </row>
    <row r="59" spans="2:19">
      <c r="B59" s="11"/>
      <c r="C59" s="11"/>
      <c r="D59" s="12"/>
      <c r="E59" s="12"/>
      <c r="F59" s="64"/>
      <c r="G59" s="124"/>
      <c r="P59" s="11">
        <v>45</v>
      </c>
      <c r="Q59" s="11">
        <f t="shared" si="13"/>
        <v>7</v>
      </c>
      <c r="R59" s="11">
        <f t="shared" si="14"/>
        <v>3</v>
      </c>
      <c r="S59" s="12" cm="1">
        <f t="array" ref="S59">INDEX('PatientFollowUp-ConceptMap-2'!$I$15:$N$124,Q59+1,R59)</f>
        <v>0</v>
      </c>
    </row>
    <row r="60" spans="2:19">
      <c r="B60" s="11"/>
      <c r="C60" s="11"/>
      <c r="D60" s="12"/>
      <c r="E60" s="12"/>
      <c r="F60" s="64"/>
      <c r="G60" s="124"/>
      <c r="P60" s="11">
        <v>46</v>
      </c>
      <c r="Q60" s="11">
        <f t="shared" si="13"/>
        <v>7</v>
      </c>
      <c r="R60" s="11">
        <f t="shared" si="14"/>
        <v>4</v>
      </c>
      <c r="S60" s="12" cm="1">
        <f t="array" ref="S60">INDEX('PatientFollowUp-ConceptMap-2'!$I$15:$N$124,Q60+1,R60)</f>
        <v>0</v>
      </c>
    </row>
    <row r="61" spans="2:19">
      <c r="B61" s="11"/>
      <c r="C61" s="11"/>
      <c r="D61" s="12"/>
      <c r="E61" s="12"/>
      <c r="F61" s="64"/>
      <c r="G61" s="124"/>
      <c r="P61" s="11">
        <v>47</v>
      </c>
      <c r="Q61" s="11">
        <f t="shared" si="13"/>
        <v>7</v>
      </c>
      <c r="R61" s="11">
        <f t="shared" si="14"/>
        <v>5</v>
      </c>
      <c r="S61" s="12" cm="1">
        <f t="array" ref="S61">INDEX('PatientFollowUp-ConceptMap-2'!$I$15:$N$124,Q61+1,R61)</f>
        <v>0</v>
      </c>
    </row>
    <row r="62" spans="2:19">
      <c r="B62" s="11"/>
      <c r="C62" s="11"/>
      <c r="D62" s="12"/>
      <c r="E62" s="12"/>
      <c r="F62" s="64"/>
      <c r="G62" s="124"/>
      <c r="P62" s="11">
        <v>48</v>
      </c>
      <c r="Q62" s="11">
        <f t="shared" si="13"/>
        <v>7</v>
      </c>
      <c r="R62" s="11">
        <f t="shared" si="14"/>
        <v>6</v>
      </c>
      <c r="S62" s="12" cm="1">
        <f t="array" ref="S62">INDEX('PatientFollowUp-ConceptMap-2'!$I$15:$N$124,Q62+1,R62)</f>
        <v>0</v>
      </c>
    </row>
    <row r="63" spans="2:19">
      <c r="B63" s="11"/>
      <c r="C63" s="11"/>
      <c r="D63" s="12"/>
      <c r="E63" s="12"/>
      <c r="F63" s="64"/>
      <c r="G63" s="124"/>
      <c r="P63" s="11">
        <v>49</v>
      </c>
      <c r="Q63" s="11">
        <f t="shared" si="13"/>
        <v>8</v>
      </c>
      <c r="R63" s="11">
        <f t="shared" si="14"/>
        <v>1</v>
      </c>
      <c r="S63" s="12" cm="1">
        <f t="array" ref="S63">INDEX('PatientFollowUp-ConceptMap-2'!$I$15:$N$124,Q63+1,R63)</f>
        <v>0</v>
      </c>
    </row>
    <row r="64" spans="2:19">
      <c r="B64" s="11"/>
      <c r="C64" s="11"/>
      <c r="D64" s="12"/>
      <c r="E64" s="12"/>
      <c r="F64" s="64"/>
      <c r="G64" s="124"/>
      <c r="P64" s="11">
        <v>50</v>
      </c>
      <c r="Q64" s="11">
        <f t="shared" si="13"/>
        <v>8</v>
      </c>
      <c r="R64" s="11">
        <f t="shared" si="14"/>
        <v>2</v>
      </c>
      <c r="S64" s="12" cm="1">
        <f t="array" ref="S64">INDEX('PatientFollowUp-ConceptMap-2'!$I$15:$N$124,Q64+1,R64)</f>
        <v>0</v>
      </c>
    </row>
    <row r="65" spans="2:19">
      <c r="B65" s="11"/>
      <c r="C65" s="11"/>
      <c r="D65" s="12"/>
      <c r="E65" s="12"/>
      <c r="F65" s="64"/>
      <c r="G65" s="124"/>
      <c r="P65" s="11">
        <v>51</v>
      </c>
      <c r="Q65" s="11">
        <f t="shared" si="13"/>
        <v>8</v>
      </c>
      <c r="R65" s="11">
        <f t="shared" si="14"/>
        <v>3</v>
      </c>
      <c r="S65" s="12" cm="1">
        <f t="array" ref="S65">INDEX('PatientFollowUp-ConceptMap-2'!$I$15:$N$124,Q65+1,R65)</f>
        <v>0</v>
      </c>
    </row>
    <row r="66" spans="2:19">
      <c r="B66" s="11"/>
      <c r="C66" s="11"/>
      <c r="D66" s="12"/>
      <c r="E66" s="12"/>
      <c r="F66" s="64"/>
      <c r="G66" s="124"/>
      <c r="P66" s="11">
        <v>52</v>
      </c>
      <c r="Q66" s="11">
        <f t="shared" si="13"/>
        <v>8</v>
      </c>
      <c r="R66" s="11">
        <f t="shared" si="14"/>
        <v>4</v>
      </c>
      <c r="S66" s="12" cm="1">
        <f t="array" ref="S66">INDEX('PatientFollowUp-ConceptMap-2'!$I$15:$N$124,Q66+1,R66)</f>
        <v>0</v>
      </c>
    </row>
    <row r="67" spans="2:19">
      <c r="B67" s="11"/>
      <c r="C67" s="11"/>
      <c r="D67" s="12"/>
      <c r="E67" s="12"/>
      <c r="F67" s="64"/>
      <c r="G67" s="124"/>
      <c r="P67" s="11">
        <v>53</v>
      </c>
      <c r="Q67" s="11">
        <f t="shared" si="13"/>
        <v>8</v>
      </c>
      <c r="R67" s="11">
        <f t="shared" si="14"/>
        <v>5</v>
      </c>
      <c r="S67" s="12" cm="1">
        <f t="array" ref="S67">INDEX('PatientFollowUp-ConceptMap-2'!$I$15:$N$124,Q67+1,R67)</f>
        <v>0</v>
      </c>
    </row>
    <row r="68" spans="2:19">
      <c r="B68" s="11"/>
      <c r="C68" s="11"/>
      <c r="D68" s="12"/>
      <c r="E68" s="12"/>
      <c r="F68" s="64"/>
      <c r="G68" s="124"/>
      <c r="P68" s="11">
        <v>54</v>
      </c>
      <c r="Q68" s="11">
        <f t="shared" si="13"/>
        <v>8</v>
      </c>
      <c r="R68" s="11">
        <f t="shared" si="14"/>
        <v>6</v>
      </c>
      <c r="S68" s="12" cm="1">
        <f t="array" ref="S68">INDEX('PatientFollowUp-ConceptMap-2'!$I$15:$N$124,Q68+1,R68)</f>
        <v>0</v>
      </c>
    </row>
    <row r="69" spans="2:19">
      <c r="B69" s="11"/>
      <c r="C69" s="11"/>
      <c r="D69" s="12"/>
      <c r="E69" s="12"/>
      <c r="F69" s="64"/>
      <c r="G69" s="124"/>
      <c r="P69" s="11">
        <v>55</v>
      </c>
      <c r="Q69" s="11">
        <f t="shared" si="13"/>
        <v>9</v>
      </c>
      <c r="R69" s="11">
        <f t="shared" si="14"/>
        <v>1</v>
      </c>
      <c r="S69" s="12" cm="1">
        <f t="array" ref="S69">INDEX('PatientFollowUp-ConceptMap-2'!$I$15:$N$124,Q69+1,R69)</f>
        <v>0</v>
      </c>
    </row>
    <row r="70" spans="2:19">
      <c r="B70" s="11"/>
      <c r="C70" s="11"/>
      <c r="D70" s="12"/>
      <c r="E70" s="12"/>
      <c r="F70" s="64"/>
      <c r="G70" s="124"/>
      <c r="P70" s="11">
        <v>56</v>
      </c>
      <c r="Q70" s="11">
        <f t="shared" si="13"/>
        <v>9</v>
      </c>
      <c r="R70" s="11">
        <f t="shared" si="14"/>
        <v>2</v>
      </c>
      <c r="S70" s="12" cm="1">
        <f t="array" ref="S70">INDEX('PatientFollowUp-ConceptMap-2'!$I$15:$N$124,Q70+1,R70)</f>
        <v>0</v>
      </c>
    </row>
    <row r="71" spans="2:19">
      <c r="B71" s="11"/>
      <c r="C71" s="11"/>
      <c r="D71" s="12"/>
      <c r="E71" s="12"/>
      <c r="F71" s="64"/>
      <c r="G71" s="124"/>
      <c r="P71" s="11">
        <v>57</v>
      </c>
      <c r="Q71" s="11">
        <f t="shared" si="13"/>
        <v>9</v>
      </c>
      <c r="R71" s="11">
        <f t="shared" si="14"/>
        <v>3</v>
      </c>
      <c r="S71" s="12" cm="1">
        <f t="array" ref="S71">INDEX('PatientFollowUp-ConceptMap-2'!$I$15:$N$124,Q71+1,R71)</f>
        <v>0</v>
      </c>
    </row>
    <row r="72" spans="2:19">
      <c r="B72" s="11"/>
      <c r="C72" s="11"/>
      <c r="D72" s="12"/>
      <c r="E72" s="12"/>
      <c r="F72" s="64"/>
      <c r="G72" s="124"/>
      <c r="P72" s="11">
        <v>58</v>
      </c>
      <c r="Q72" s="11">
        <f t="shared" si="13"/>
        <v>9</v>
      </c>
      <c r="R72" s="11">
        <f t="shared" si="14"/>
        <v>4</v>
      </c>
      <c r="S72" s="12" cm="1">
        <f t="array" ref="S72">INDEX('PatientFollowUp-ConceptMap-2'!$I$15:$N$124,Q72+1,R72)</f>
        <v>0</v>
      </c>
    </row>
    <row r="73" spans="2:19">
      <c r="B73" s="11"/>
      <c r="C73" s="11"/>
      <c r="D73" s="12"/>
      <c r="E73" s="12"/>
      <c r="F73" s="64"/>
      <c r="G73" s="124"/>
      <c r="P73" s="11">
        <v>59</v>
      </c>
      <c r="Q73" s="11">
        <f t="shared" si="13"/>
        <v>9</v>
      </c>
      <c r="R73" s="11">
        <f t="shared" si="14"/>
        <v>5</v>
      </c>
      <c r="S73" s="12" cm="1">
        <f t="array" ref="S73">INDEX('PatientFollowUp-ConceptMap-2'!$I$15:$N$124,Q73+1,R73)</f>
        <v>0</v>
      </c>
    </row>
    <row r="74" spans="2:19">
      <c r="B74" s="11"/>
      <c r="C74" s="11"/>
      <c r="D74" s="12"/>
      <c r="E74" s="12"/>
      <c r="F74" s="64"/>
      <c r="G74" s="124"/>
      <c r="P74" s="11">
        <v>60</v>
      </c>
      <c r="Q74" s="11">
        <f t="shared" si="13"/>
        <v>9</v>
      </c>
      <c r="R74" s="11">
        <f t="shared" si="14"/>
        <v>6</v>
      </c>
      <c r="S74" s="12" cm="1">
        <f t="array" ref="S74">INDEX('PatientFollowUp-ConceptMap-2'!$I$15:$N$124,Q74+1,R74)</f>
        <v>0</v>
      </c>
    </row>
    <row r="75" spans="2:19">
      <c r="B75" s="11"/>
      <c r="C75" s="11"/>
      <c r="D75" s="12"/>
      <c r="E75" s="12"/>
      <c r="F75" s="64"/>
      <c r="G75" s="124"/>
      <c r="P75" s="11">
        <v>61</v>
      </c>
      <c r="Q75" s="11">
        <f t="shared" si="13"/>
        <v>10</v>
      </c>
      <c r="R75" s="11">
        <f t="shared" si="14"/>
        <v>1</v>
      </c>
      <c r="S75" s="12" cm="1">
        <f t="array" ref="S75">INDEX('PatientFollowUp-ConceptMap-2'!$I$15:$N$124,Q75+1,R75)</f>
        <v>0</v>
      </c>
    </row>
    <row r="76" spans="2:19">
      <c r="B76" s="11"/>
      <c r="C76" s="11"/>
      <c r="D76" s="12"/>
      <c r="E76" s="12"/>
      <c r="F76" s="64"/>
      <c r="G76" s="124"/>
      <c r="P76" s="11">
        <v>62</v>
      </c>
      <c r="Q76" s="11">
        <f t="shared" si="13"/>
        <v>10</v>
      </c>
      <c r="R76" s="11">
        <f t="shared" si="14"/>
        <v>2</v>
      </c>
      <c r="S76" s="12" cm="1">
        <f t="array" ref="S76">INDEX('PatientFollowUp-ConceptMap-2'!$I$15:$N$124,Q76+1,R76)</f>
        <v>0</v>
      </c>
    </row>
    <row r="77" spans="2:19">
      <c r="B77" s="11"/>
      <c r="C77" s="11"/>
      <c r="D77" s="12"/>
      <c r="E77" s="12"/>
      <c r="F77" s="64"/>
      <c r="G77" s="124"/>
      <c r="P77" s="11">
        <v>63</v>
      </c>
      <c r="Q77" s="11">
        <f t="shared" si="13"/>
        <v>10</v>
      </c>
      <c r="R77" s="11">
        <f t="shared" si="14"/>
        <v>3</v>
      </c>
      <c r="S77" s="12" cm="1">
        <f t="array" ref="S77">INDEX('PatientFollowUp-ConceptMap-2'!$I$15:$N$124,Q77+1,R77)</f>
        <v>0</v>
      </c>
    </row>
    <row r="78" spans="2:19">
      <c r="B78" s="11"/>
      <c r="C78" s="11"/>
      <c r="D78" s="12"/>
      <c r="E78" s="12"/>
      <c r="F78" s="64"/>
      <c r="G78" s="124"/>
      <c r="P78" s="11">
        <v>64</v>
      </c>
      <c r="Q78" s="11">
        <f t="shared" si="13"/>
        <v>10</v>
      </c>
      <c r="R78" s="11">
        <f t="shared" si="14"/>
        <v>4</v>
      </c>
      <c r="S78" s="12" cm="1">
        <f t="array" ref="S78">INDEX('PatientFollowUp-ConceptMap-2'!$I$15:$N$124,Q78+1,R78)</f>
        <v>0</v>
      </c>
    </row>
    <row r="79" spans="2:19">
      <c r="B79" s="11"/>
      <c r="C79" s="11"/>
      <c r="D79" s="12"/>
      <c r="E79" s="12"/>
      <c r="F79" s="64"/>
      <c r="G79" s="124"/>
      <c r="P79" s="11">
        <v>65</v>
      </c>
      <c r="Q79" s="11">
        <f t="shared" si="13"/>
        <v>10</v>
      </c>
      <c r="R79" s="11">
        <f t="shared" si="14"/>
        <v>5</v>
      </c>
      <c r="S79" s="12" cm="1">
        <f t="array" ref="S79">INDEX('PatientFollowUp-ConceptMap-2'!$I$15:$N$124,Q79+1,R79)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4"/>
      <c r="P81" s="11">
        <v>67</v>
      </c>
      <c r="Q81" s="11">
        <f t="shared" si="15"/>
        <v>11</v>
      </c>
      <c r="R81" s="11">
        <f t="shared" si="16"/>
        <v>1</v>
      </c>
      <c r="S81" s="12" cm="1">
        <f t="array" ref="S81">INDEX('PatientFollowUp-ConceptMap-2'!$I$15:$N$124,Q81+1,R81)</f>
        <v>0</v>
      </c>
    </row>
    <row r="82" spans="2:19">
      <c r="B82" s="11"/>
      <c r="C82" s="11"/>
      <c r="D82" s="12"/>
      <c r="E82" s="12"/>
      <c r="F82" s="64"/>
      <c r="G82" s="124"/>
      <c r="P82" s="11">
        <v>68</v>
      </c>
      <c r="Q82" s="11">
        <f t="shared" si="15"/>
        <v>11</v>
      </c>
      <c r="R82" s="11">
        <f t="shared" si="16"/>
        <v>2</v>
      </c>
      <c r="S82" s="12" cm="1">
        <f t="array" ref="S82">INDEX('PatientFollowUp-ConceptMap-2'!$I$15:$N$124,Q82+1,R82)</f>
        <v>0</v>
      </c>
    </row>
    <row r="83" spans="2:19">
      <c r="B83" s="11"/>
      <c r="C83" s="11"/>
      <c r="D83" s="12"/>
      <c r="E83" s="12"/>
      <c r="F83" s="64"/>
      <c r="G83" s="124"/>
      <c r="P83" s="11">
        <v>69</v>
      </c>
      <c r="Q83" s="11">
        <f t="shared" si="15"/>
        <v>11</v>
      </c>
      <c r="R83" s="11">
        <f t="shared" si="16"/>
        <v>3</v>
      </c>
      <c r="S83" s="12" cm="1">
        <f t="array" ref="S83">INDEX('PatientFollowUp-ConceptMap-2'!$I$15:$N$124,Q83+1,R83)</f>
        <v>0</v>
      </c>
    </row>
    <row r="84" spans="2:19">
      <c r="B84" s="11"/>
      <c r="C84" s="11"/>
      <c r="D84" s="12"/>
      <c r="E84" s="12"/>
      <c r="F84" s="64"/>
      <c r="G84" s="124"/>
      <c r="P84" s="11">
        <v>70</v>
      </c>
      <c r="Q84" s="11">
        <f t="shared" si="15"/>
        <v>11</v>
      </c>
      <c r="R84" s="11">
        <f t="shared" si="16"/>
        <v>4</v>
      </c>
      <c r="S84" s="12" cm="1">
        <f t="array" ref="S84">INDEX('PatientFollowUp-ConceptMap-2'!$I$15:$N$124,Q84+1,R84)</f>
        <v>0</v>
      </c>
    </row>
    <row r="85" spans="2:19">
      <c r="B85" s="11"/>
      <c r="C85" s="11"/>
      <c r="D85" s="12"/>
      <c r="E85" s="12"/>
      <c r="F85" s="64"/>
      <c r="G85" s="124"/>
      <c r="P85" s="11">
        <v>71</v>
      </c>
      <c r="Q85" s="11">
        <f t="shared" si="15"/>
        <v>11</v>
      </c>
      <c r="R85" s="11">
        <f t="shared" si="16"/>
        <v>5</v>
      </c>
      <c r="S85" s="12" cm="1">
        <f t="array" ref="S85">INDEX('PatientFollowUp-ConceptMap-2'!$I$15:$N$124,Q85+1,R85)</f>
        <v>0</v>
      </c>
    </row>
    <row r="86" spans="2:19">
      <c r="B86" s="11"/>
      <c r="C86" s="11"/>
      <c r="D86" s="12"/>
      <c r="E86" s="12"/>
      <c r="F86" s="64"/>
      <c r="G86" s="124"/>
      <c r="P86" s="11">
        <v>72</v>
      </c>
      <c r="Q86" s="11">
        <f t="shared" si="15"/>
        <v>11</v>
      </c>
      <c r="R86" s="11">
        <f t="shared" si="16"/>
        <v>6</v>
      </c>
      <c r="S86" s="12" cm="1">
        <f t="array" ref="S86">INDEX('PatientFollowUp-ConceptMap-2'!$I$15:$N$124,Q86+1,R86)</f>
        <v>0</v>
      </c>
    </row>
    <row r="87" spans="2:19">
      <c r="B87" s="11"/>
      <c r="C87" s="11"/>
      <c r="D87" s="12"/>
      <c r="E87" s="12"/>
      <c r="F87" s="64"/>
      <c r="G87" s="124"/>
      <c r="P87" s="11">
        <v>73</v>
      </c>
      <c r="Q87" s="11">
        <f t="shared" si="15"/>
        <v>12</v>
      </c>
      <c r="R87" s="11">
        <f t="shared" si="16"/>
        <v>1</v>
      </c>
      <c r="S87" s="12" cm="1">
        <f t="array" ref="S87">INDEX('PatientFollowUp-ConceptMap-2'!$I$15:$N$124,Q87+1,R87)</f>
        <v>0</v>
      </c>
    </row>
    <row r="88" spans="2:19">
      <c r="B88" s="11"/>
      <c r="C88" s="11"/>
      <c r="D88" s="12"/>
      <c r="E88" s="12"/>
      <c r="F88" s="64"/>
      <c r="G88" s="124"/>
      <c r="P88" s="11">
        <v>74</v>
      </c>
      <c r="Q88" s="11">
        <f t="shared" si="15"/>
        <v>12</v>
      </c>
      <c r="R88" s="11">
        <f t="shared" si="16"/>
        <v>2</v>
      </c>
      <c r="S88" s="12" cm="1">
        <f t="array" ref="S88">INDEX('PatientFollowUp-ConceptMap-2'!$I$15:$N$124,Q88+1,R88)</f>
        <v>0</v>
      </c>
    </row>
    <row r="89" spans="2:19">
      <c r="B89" s="11"/>
      <c r="C89" s="11"/>
      <c r="D89" s="12"/>
      <c r="E89" s="12"/>
      <c r="F89" s="64"/>
      <c r="G89" s="124"/>
      <c r="P89" s="11">
        <v>75</v>
      </c>
      <c r="Q89" s="11">
        <f t="shared" si="15"/>
        <v>12</v>
      </c>
      <c r="R89" s="11">
        <f t="shared" si="16"/>
        <v>3</v>
      </c>
      <c r="S89" s="12" cm="1">
        <f t="array" ref="S89">INDEX('PatientFollowUp-ConceptMap-2'!$I$15:$N$124,Q89+1,R89)</f>
        <v>0</v>
      </c>
    </row>
    <row r="90" spans="2:19">
      <c r="B90" s="11"/>
      <c r="C90" s="11"/>
      <c r="D90" s="12"/>
      <c r="E90" s="12"/>
      <c r="F90" s="64"/>
      <c r="G90" s="124"/>
      <c r="P90" s="11">
        <v>76</v>
      </c>
      <c r="Q90" s="11">
        <f t="shared" si="15"/>
        <v>12</v>
      </c>
      <c r="R90" s="11">
        <f t="shared" si="16"/>
        <v>4</v>
      </c>
      <c r="S90" s="12" cm="1">
        <f t="array" ref="S90">INDEX('PatientFollowUp-ConceptMap-2'!$I$15:$N$124,Q90+1,R90)</f>
        <v>0</v>
      </c>
    </row>
    <row r="91" spans="2:19">
      <c r="B91" s="11"/>
      <c r="C91" s="11"/>
      <c r="D91" s="12"/>
      <c r="E91" s="12"/>
      <c r="F91" s="64"/>
      <c r="G91" s="124"/>
      <c r="P91" s="11">
        <v>77</v>
      </c>
      <c r="Q91" s="11">
        <f t="shared" si="15"/>
        <v>12</v>
      </c>
      <c r="R91" s="11">
        <f t="shared" si="16"/>
        <v>5</v>
      </c>
      <c r="S91" s="12" cm="1">
        <f t="array" ref="S91">INDEX('PatientFollowUp-ConceptMap-2'!$I$15:$N$124,Q91+1,R91)</f>
        <v>0</v>
      </c>
    </row>
    <row r="92" spans="2:19">
      <c r="B92" s="11"/>
      <c r="C92" s="11"/>
      <c r="D92" s="12"/>
      <c r="E92" s="12"/>
      <c r="F92" s="64"/>
      <c r="G92" s="124"/>
      <c r="P92" s="11">
        <v>78</v>
      </c>
      <c r="Q92" s="11">
        <f t="shared" si="15"/>
        <v>12</v>
      </c>
      <c r="R92" s="11">
        <f t="shared" si="16"/>
        <v>6</v>
      </c>
      <c r="S92" s="12" cm="1">
        <f t="array" ref="S92">INDEX('PatientFollowUp-ConceptMap-2'!$I$15:$N$124,Q92+1,R92)</f>
        <v>0</v>
      </c>
    </row>
    <row r="93" spans="2:19">
      <c r="B93" s="11"/>
      <c r="C93" s="11"/>
      <c r="D93" s="12"/>
      <c r="E93" s="12"/>
      <c r="F93" s="64"/>
      <c r="G93" s="124"/>
      <c r="P93" s="11">
        <v>79</v>
      </c>
      <c r="Q93" s="11">
        <f t="shared" si="15"/>
        <v>13</v>
      </c>
      <c r="R93" s="11">
        <f t="shared" si="16"/>
        <v>1</v>
      </c>
      <c r="S93" s="12" cm="1">
        <f t="array" ref="S93">INDEX('PatientFollowUp-ConceptMap-2'!$I$15:$N$124,Q93+1,R93)</f>
        <v>0</v>
      </c>
    </row>
    <row r="94" spans="2:19">
      <c r="B94" s="11"/>
      <c r="C94" s="11"/>
      <c r="D94" s="12"/>
      <c r="E94" s="12"/>
      <c r="F94" s="64"/>
      <c r="G94" s="124"/>
      <c r="P94" s="11">
        <v>80</v>
      </c>
      <c r="Q94" s="11">
        <f t="shared" si="15"/>
        <v>13</v>
      </c>
      <c r="R94" s="11">
        <f t="shared" si="16"/>
        <v>2</v>
      </c>
      <c r="S94" s="12" cm="1">
        <f t="array" ref="S94">INDEX('PatientFollowUp-ConceptMap-2'!$I$15:$N$124,Q94+1,R94)</f>
        <v>0</v>
      </c>
    </row>
    <row r="95" spans="2:19">
      <c r="B95" s="11"/>
      <c r="C95" s="11"/>
      <c r="D95" s="12"/>
      <c r="E95" s="12"/>
      <c r="F95" s="64"/>
      <c r="G95" s="124"/>
      <c r="P95" s="11">
        <v>81</v>
      </c>
      <c r="Q95" s="11">
        <f t="shared" si="15"/>
        <v>13</v>
      </c>
      <c r="R95" s="11">
        <f t="shared" si="16"/>
        <v>3</v>
      </c>
      <c r="S95" s="12" cm="1">
        <f t="array" ref="S95">INDEX('PatientFollowUp-ConceptMap-2'!$I$15:$N$124,Q95+1,R95)</f>
        <v>0</v>
      </c>
    </row>
    <row r="96" spans="2:19">
      <c r="B96" s="11"/>
      <c r="C96" s="11"/>
      <c r="D96" s="12"/>
      <c r="E96" s="12"/>
      <c r="F96" s="64"/>
      <c r="G96" s="124"/>
      <c r="P96" s="11">
        <v>82</v>
      </c>
      <c r="Q96" s="11">
        <f t="shared" si="15"/>
        <v>13</v>
      </c>
      <c r="R96" s="11">
        <f t="shared" si="16"/>
        <v>4</v>
      </c>
      <c r="S96" s="12" cm="1">
        <f t="array" ref="S96">INDEX('PatientFollowUp-ConceptMap-2'!$I$15:$N$124,Q96+1,R96)</f>
        <v>0</v>
      </c>
    </row>
    <row r="97" spans="2:19">
      <c r="B97" s="11"/>
      <c r="C97" s="11"/>
      <c r="D97" s="12"/>
      <c r="E97" s="12"/>
      <c r="F97" s="64"/>
      <c r="G97" s="124"/>
      <c r="P97" s="11">
        <v>83</v>
      </c>
      <c r="Q97" s="11">
        <f t="shared" si="15"/>
        <v>13</v>
      </c>
      <c r="R97" s="11">
        <f t="shared" si="16"/>
        <v>5</v>
      </c>
      <c r="S97" s="12" cm="1">
        <f t="array" ref="S97">INDEX('PatientFollowUp-ConceptMap-2'!$I$15:$N$124,Q97+1,R97)</f>
        <v>0</v>
      </c>
    </row>
    <row r="98" spans="2:19">
      <c r="B98" s="11"/>
      <c r="C98" s="11"/>
      <c r="D98" s="12"/>
      <c r="E98" s="12"/>
      <c r="F98" s="64"/>
      <c r="G98" s="124"/>
      <c r="P98" s="11">
        <v>84</v>
      </c>
      <c r="Q98" s="11">
        <f t="shared" si="15"/>
        <v>13</v>
      </c>
      <c r="R98" s="11">
        <f t="shared" si="16"/>
        <v>6</v>
      </c>
      <c r="S98" s="12" cm="1">
        <f t="array" ref="S98">INDEX('PatientFollowUp-ConceptMap-2'!$I$15:$N$124,Q98+1,R98)</f>
        <v>0</v>
      </c>
    </row>
    <row r="99" spans="2:19">
      <c r="B99" s="11"/>
      <c r="C99" s="11"/>
      <c r="D99" s="12"/>
      <c r="E99" s="12"/>
      <c r="F99" s="64"/>
      <c r="G99" s="124"/>
      <c r="P99" s="11">
        <v>85</v>
      </c>
      <c r="Q99" s="11">
        <f t="shared" si="15"/>
        <v>14</v>
      </c>
      <c r="R99" s="11">
        <f t="shared" si="16"/>
        <v>1</v>
      </c>
      <c r="S99" s="12" cm="1">
        <f t="array" ref="S99">INDEX('PatientFollowUp-ConceptMap-2'!$I$15:$N$124,Q99+1,R99)</f>
        <v>0</v>
      </c>
    </row>
    <row r="100" spans="2:19">
      <c r="B100" s="11"/>
      <c r="C100" s="11"/>
      <c r="D100" s="12"/>
      <c r="E100" s="12"/>
      <c r="F100" s="64"/>
      <c r="G100" s="124"/>
      <c r="P100" s="11">
        <v>86</v>
      </c>
      <c r="Q100" s="11">
        <f t="shared" si="15"/>
        <v>14</v>
      </c>
      <c r="R100" s="11">
        <f t="shared" si="16"/>
        <v>2</v>
      </c>
      <c r="S100" s="12" cm="1">
        <f t="array" ref="S100">INDEX('PatientFollowUp-ConceptMap-2'!$I$15:$N$124,Q100+1,R100)</f>
        <v>0</v>
      </c>
    </row>
    <row r="101" spans="2:19">
      <c r="B101" s="11"/>
      <c r="C101" s="11"/>
      <c r="D101" s="12"/>
      <c r="E101" s="12"/>
      <c r="F101" s="64"/>
      <c r="G101" s="124"/>
      <c r="P101" s="11">
        <v>87</v>
      </c>
      <c r="Q101" s="11">
        <f t="shared" si="15"/>
        <v>14</v>
      </c>
      <c r="R101" s="11">
        <f t="shared" si="16"/>
        <v>3</v>
      </c>
      <c r="S101" s="12" cm="1">
        <f t="array" ref="S101">INDEX('PatientFollowUp-ConceptMap-2'!$I$15:$N$124,Q101+1,R101)</f>
        <v>0</v>
      </c>
    </row>
    <row r="102" spans="2:19">
      <c r="B102" s="11"/>
      <c r="C102" s="11"/>
      <c r="D102" s="12"/>
      <c r="E102" s="12"/>
      <c r="F102" s="64"/>
      <c r="G102" s="124"/>
      <c r="P102" s="11">
        <v>88</v>
      </c>
      <c r="Q102" s="11">
        <f t="shared" si="15"/>
        <v>14</v>
      </c>
      <c r="R102" s="11">
        <f t="shared" si="16"/>
        <v>4</v>
      </c>
      <c r="S102" s="12" cm="1">
        <f t="array" ref="S102">INDEX('PatientFollowUp-ConceptMap-2'!$I$15:$N$124,Q102+1,R102)</f>
        <v>0</v>
      </c>
    </row>
    <row r="103" spans="2:19">
      <c r="B103" s="11"/>
      <c r="C103" s="11"/>
      <c r="D103" s="12"/>
      <c r="E103" s="12"/>
      <c r="F103" s="64"/>
      <c r="G103" s="124"/>
      <c r="P103" s="11">
        <v>89</v>
      </c>
      <c r="Q103" s="11">
        <f t="shared" si="15"/>
        <v>14</v>
      </c>
      <c r="R103" s="11">
        <f t="shared" si="16"/>
        <v>5</v>
      </c>
      <c r="S103" s="12" cm="1">
        <f t="array" ref="S103">INDEX('PatientFollowUp-ConceptMap-2'!$I$15:$N$124,Q103+1,R103)</f>
        <v>0</v>
      </c>
    </row>
    <row r="104" spans="2:19">
      <c r="B104" s="11"/>
      <c r="C104" s="11"/>
      <c r="D104" s="12"/>
      <c r="E104" s="12"/>
      <c r="F104" s="64"/>
      <c r="G104" s="124"/>
      <c r="P104" s="11">
        <v>90</v>
      </c>
      <c r="Q104" s="11">
        <f t="shared" si="15"/>
        <v>14</v>
      </c>
      <c r="R104" s="11">
        <f t="shared" si="16"/>
        <v>6</v>
      </c>
      <c r="S104" s="12" cm="1">
        <f t="array" ref="S104">INDEX('PatientFollowUp-ConceptMap-2'!$I$15:$N$124,Q104+1,R104)</f>
        <v>0</v>
      </c>
    </row>
    <row r="105" spans="2:19">
      <c r="B105" s="11"/>
      <c r="C105" s="11"/>
      <c r="D105" s="12"/>
      <c r="E105" s="12"/>
      <c r="F105" s="64"/>
      <c r="G105" s="124"/>
      <c r="P105" s="11">
        <v>91</v>
      </c>
      <c r="Q105" s="11">
        <f t="shared" si="15"/>
        <v>15</v>
      </c>
      <c r="R105" s="11">
        <f t="shared" si="16"/>
        <v>1</v>
      </c>
      <c r="S105" s="12" cm="1">
        <f t="array" ref="S105">INDEX('PatientFollowUp-ConceptMap-2'!$I$15:$N$124,Q105+1,R105)</f>
        <v>0</v>
      </c>
    </row>
    <row r="106" spans="2:19">
      <c r="B106" s="11"/>
      <c r="C106" s="11"/>
      <c r="D106" s="12"/>
      <c r="E106" s="12"/>
      <c r="F106" s="64"/>
      <c r="G106" s="124"/>
      <c r="P106" s="11">
        <v>92</v>
      </c>
      <c r="Q106" s="11">
        <f t="shared" si="15"/>
        <v>15</v>
      </c>
      <c r="R106" s="11">
        <f t="shared" si="16"/>
        <v>2</v>
      </c>
      <c r="S106" s="12" cm="1">
        <f t="array" ref="S106">INDEX('PatientFollowUp-ConceptMap-2'!$I$15:$N$124,Q106+1,R106)</f>
        <v>0</v>
      </c>
    </row>
    <row r="107" spans="2:19">
      <c r="B107" s="11"/>
      <c r="C107" s="11"/>
      <c r="D107" s="12"/>
      <c r="E107" s="12"/>
      <c r="F107" s="64"/>
      <c r="G107" s="124"/>
      <c r="P107" s="11">
        <v>93</v>
      </c>
      <c r="Q107" s="11">
        <f t="shared" si="15"/>
        <v>15</v>
      </c>
      <c r="R107" s="11">
        <f t="shared" si="16"/>
        <v>3</v>
      </c>
      <c r="S107" s="12" cm="1">
        <f t="array" ref="S107">INDEX('PatientFollowUp-ConceptMap-2'!$I$15:$N$124,Q107+1,R107)</f>
        <v>0</v>
      </c>
    </row>
    <row r="108" spans="2:19">
      <c r="B108" s="11"/>
      <c r="C108" s="11"/>
      <c r="D108" s="12"/>
      <c r="E108" s="12"/>
      <c r="F108" s="64"/>
      <c r="G108" s="124"/>
      <c r="P108" s="11">
        <v>94</v>
      </c>
      <c r="Q108" s="11">
        <f t="shared" si="15"/>
        <v>15</v>
      </c>
      <c r="R108" s="11">
        <f t="shared" si="16"/>
        <v>4</v>
      </c>
      <c r="S108" s="12" cm="1">
        <f t="array" ref="S108">INDEX('PatientFollowUp-ConceptMap-2'!$I$15:$N$124,Q108+1,R108)</f>
        <v>0</v>
      </c>
    </row>
    <row r="109" spans="2:19">
      <c r="B109" s="11"/>
      <c r="C109" s="11"/>
      <c r="D109" s="12"/>
      <c r="E109" s="12"/>
      <c r="F109" s="64"/>
      <c r="G109" s="124"/>
      <c r="P109" s="11">
        <v>95</v>
      </c>
      <c r="Q109" s="11">
        <f t="shared" si="15"/>
        <v>15</v>
      </c>
      <c r="R109" s="11">
        <f t="shared" si="16"/>
        <v>5</v>
      </c>
      <c r="S109" s="12" cm="1">
        <f t="array" ref="S109">INDEX('PatientFollowUp-ConceptMap-2'!$I$15:$N$124,Q109+1,R109)</f>
        <v>0</v>
      </c>
    </row>
    <row r="110" spans="2:19">
      <c r="B110" s="11"/>
      <c r="C110" s="11"/>
      <c r="D110" s="12"/>
      <c r="E110" s="12"/>
      <c r="F110" s="64"/>
      <c r="G110" s="124"/>
      <c r="P110" s="11">
        <v>96</v>
      </c>
      <c r="Q110" s="11">
        <f t="shared" si="15"/>
        <v>15</v>
      </c>
      <c r="R110" s="11">
        <f t="shared" si="16"/>
        <v>6</v>
      </c>
      <c r="S110" s="12" cm="1">
        <f t="array" ref="S110">INDEX('PatientFollowUp-ConceptMap-2'!$I$15:$N$124,Q110+1,R110)</f>
        <v>0</v>
      </c>
    </row>
    <row r="111" spans="2:19">
      <c r="B111" s="11"/>
      <c r="C111" s="11"/>
      <c r="D111" s="12"/>
      <c r="E111" s="12"/>
      <c r="F111" s="64"/>
      <c r="G111" s="124"/>
      <c r="P111" s="11">
        <v>97</v>
      </c>
      <c r="Q111" s="11">
        <f t="shared" si="15"/>
        <v>16</v>
      </c>
      <c r="R111" s="11">
        <f t="shared" si="16"/>
        <v>1</v>
      </c>
      <c r="S111" s="12" cm="1">
        <f t="array" ref="S111">INDEX('PatientFollowUp-ConceptMap-2'!$I$15:$N$124,Q111+1,R111)</f>
        <v>0</v>
      </c>
    </row>
    <row r="112" spans="2:19">
      <c r="B112" s="11"/>
      <c r="C112" s="11"/>
      <c r="D112" s="12"/>
      <c r="E112" s="12"/>
      <c r="F112" s="64"/>
      <c r="G112" s="124"/>
      <c r="P112" s="11">
        <v>98</v>
      </c>
      <c r="Q112" s="11">
        <f t="shared" si="15"/>
        <v>16</v>
      </c>
      <c r="R112" s="11">
        <f t="shared" si="16"/>
        <v>2</v>
      </c>
      <c r="S112" s="12" cm="1">
        <f t="array" ref="S112">INDEX('PatientFollowUp-ConceptMap-2'!$I$15:$N$124,Q112+1,R112)</f>
        <v>0</v>
      </c>
    </row>
    <row r="113" spans="2:19">
      <c r="B113" s="11"/>
      <c r="C113" s="11"/>
      <c r="D113" s="12"/>
      <c r="E113" s="12"/>
      <c r="F113" s="64"/>
      <c r="G113" s="124"/>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abSelected="1"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2313</v>
      </c>
    </row>
    <row r="3" spans="2:7">
      <c r="B3" s="24" t="s">
        <v>20</v>
      </c>
    </row>
    <row r="4" spans="2:7">
      <c r="B4" s="65" t="str">
        <f>"Instance: "&amp;'PatientFollowUp-ConceptMap-1'!C4</f>
        <v>Instance: followup2FHIR</v>
      </c>
    </row>
    <row r="5" spans="2:7">
      <c r="B5" s="65" t="s">
        <v>1447</v>
      </c>
    </row>
    <row r="6" spans="2:7">
      <c r="B6" s="65" t="s">
        <v>1438</v>
      </c>
    </row>
    <row r="7" spans="2:7">
      <c r="B7" s="65" t="s">
        <v>1798</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##34#http://hl7.eu/fhir/ig/idea4rc/StructureDefinition/Encounter-eu-i4rc##34#</v>
      </c>
    </row>
    <row r="18" spans="2:7">
      <c r="B18" s="122"/>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2"/>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2384</v>
      </c>
      <c r="J4" s="16" t="str">
        <f>CONCATENATE("Logical: ",B4)</f>
        <v>Logical: TreatmentResponseI4rc</v>
      </c>
    </row>
    <row r="5" spans="1:12" ht="15.5" thickBot="1">
      <c r="A5" s="14" t="s">
        <v>16</v>
      </c>
      <c r="B5" s="45" t="s">
        <v>2315</v>
      </c>
      <c r="J5" s="16" t="str">
        <f>CONCATENATE("Id: ",B5)</f>
        <v>Id: TreatmentResponse</v>
      </c>
    </row>
    <row r="6" spans="1:12" ht="15.5" thickBot="1">
      <c r="A6" s="14" t="s">
        <v>10</v>
      </c>
      <c r="B6" s="45" t="s">
        <v>2317</v>
      </c>
      <c r="J6" s="17" t="str">
        <f>CONCATENATE("Title: ##34#",B6,"##34#")</f>
        <v>Title: ##34#Treatment Response##34#</v>
      </c>
    </row>
    <row r="7" spans="1:12">
      <c r="A7" s="26" t="s">
        <v>2</v>
      </c>
      <c r="B7" s="45" t="s">
        <v>2317</v>
      </c>
      <c r="C7" s="9" t="s">
        <v>3</v>
      </c>
      <c r="D7" s="1" t="s">
        <v>4</v>
      </c>
      <c r="E7" s="3" t="s">
        <v>5</v>
      </c>
      <c r="F7" s="3" t="s">
        <v>6</v>
      </c>
      <c r="G7" s="3" t="s">
        <v>7</v>
      </c>
      <c r="H7" s="105" t="s">
        <v>1610</v>
      </c>
      <c r="J7" s="17" t="str">
        <f>CONCATENATE("Description: "," ##334#",B7,"##334#",)</f>
        <v>Description:  ##334#Treatment Response##334#</v>
      </c>
    </row>
    <row r="8" spans="1:12" ht="59">
      <c r="A8" s="100">
        <v>0</v>
      </c>
      <c r="B8" s="11" t="s">
        <v>2318</v>
      </c>
      <c r="C8" s="11" t="s">
        <v>2319</v>
      </c>
      <c r="D8" s="11" t="s">
        <v>1957</v>
      </c>
      <c r="E8" s="11">
        <v>1</v>
      </c>
      <c r="F8" s="11">
        <v>1</v>
      </c>
      <c r="G8" s="119" t="s">
        <v>2001</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2316</v>
      </c>
      <c r="C9" s="11" t="s">
        <v>2068</v>
      </c>
      <c r="D9" s="11" t="s">
        <v>2320</v>
      </c>
      <c r="E9" s="11">
        <v>1</v>
      </c>
      <c r="F9" s="11">
        <v>1</v>
      </c>
      <c r="G9" s="120" t="s">
        <v>1786</v>
      </c>
      <c r="H9" s="12" t="s">
        <v>2321</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2325</v>
      </c>
      <c r="C10" s="11" t="s">
        <v>2322</v>
      </c>
      <c r="D10" s="11" t="s">
        <v>2323</v>
      </c>
      <c r="E10" s="11">
        <v>1</v>
      </c>
      <c r="F10" s="11">
        <v>1</v>
      </c>
      <c r="G10" s="11" t="s">
        <v>1786</v>
      </c>
      <c r="H10" s="12" t="s">
        <v>2324</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20"/>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2326</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http://hl7.eu/fhir/ig/idea4rc/StructureDefinition/TreatmentResponseI4rc</v>
      </c>
    </row>
    <row r="4" spans="1:19">
      <c r="B4" s="62" t="s">
        <v>16</v>
      </c>
      <c r="C4" s="28" t="s">
        <v>2327</v>
      </c>
      <c r="D4" s="62" t="s">
        <v>1792</v>
      </c>
      <c r="E4" s="169" t="s">
        <v>2278</v>
      </c>
      <c r="F4" s="170"/>
      <c r="G4" s="170"/>
    </row>
    <row r="5" spans="1:19">
      <c r="B5" s="62" t="s">
        <v>10</v>
      </c>
      <c r="C5" s="7" t="s">
        <v>2235</v>
      </c>
      <c r="D5" s="62"/>
      <c r="E5" s="7"/>
    </row>
    <row r="6" spans="1:19">
      <c r="B6" s="62" t="s">
        <v>18</v>
      </c>
      <c r="C6" s="56"/>
      <c r="D6" s="62" t="s">
        <v>1793</v>
      </c>
      <c r="E6" s="169" t="str">
        <f>E3</f>
        <v>http://hl7.eu/fhir/ig/idea4rc/StructureDefinition/TreatmentResponseI4rc</v>
      </c>
      <c r="F6" s="170"/>
      <c r="G6" s="170"/>
    </row>
    <row r="7" spans="1:19">
      <c r="B7" s="62" t="s">
        <v>15</v>
      </c>
      <c r="C7" s="119"/>
      <c r="D7" s="62" t="s">
        <v>1794</v>
      </c>
      <c r="E7" s="169" t="str">
        <f>E4</f>
        <v>http://hl7.eu/fhir/ig/idea4rc/StructureDefinition/Procedure-radiotheraphy-eu-i4rc</v>
      </c>
      <c r="F7" s="170"/>
      <c r="G7" s="170"/>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4"/>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4"/>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4"/>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4"/>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4"/>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4"/>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4"/>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4"/>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4"/>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4"/>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4"/>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4"/>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4"/>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4"/>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4"/>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4"/>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4"/>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4"/>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4"/>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4"/>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4"/>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4"/>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4"/>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4"/>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4"/>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4"/>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4"/>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4"/>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4"/>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4"/>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4"/>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4"/>
      <c r="P50" s="11">
        <v>36</v>
      </c>
      <c r="Q50" s="11">
        <f t="shared" si="5"/>
        <v>5</v>
      </c>
      <c r="R50" s="11">
        <f t="shared" si="6"/>
        <v>6</v>
      </c>
      <c r="S50" s="12" t="str" cm="1">
        <f t="array" ref="S50">INDEX('TreatmentRespon-ConceptMap-1'!$I$15:$N$124,Q50+1,R50)</f>
        <v/>
      </c>
    </row>
    <row r="51" spans="2:19">
      <c r="B51" s="11"/>
      <c r="C51" s="11"/>
      <c r="D51" s="12"/>
      <c r="E51" s="12"/>
      <c r="F51" s="64"/>
      <c r="G51" s="124"/>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4"/>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4"/>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4"/>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4"/>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4"/>
      <c r="P56" s="11">
        <v>42</v>
      </c>
      <c r="Q56" s="11">
        <f t="shared" si="5"/>
        <v>6</v>
      </c>
      <c r="R56" s="11">
        <f t="shared" si="6"/>
        <v>6</v>
      </c>
      <c r="S56" s="12" t="str" cm="1">
        <f t="array" ref="S56">INDEX('TreatmentRespon-ConceptMap-1'!$I$15:$N$124,Q56+1,R56)</f>
        <v/>
      </c>
    </row>
    <row r="57" spans="2:19">
      <c r="B57" s="11"/>
      <c r="C57" s="11"/>
      <c r="D57" s="12"/>
      <c r="E57" s="12"/>
      <c r="F57" s="64"/>
      <c r="G57" s="124"/>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4"/>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4"/>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4"/>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4"/>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4"/>
      <c r="P62" s="11">
        <v>48</v>
      </c>
      <c r="Q62" s="11">
        <f t="shared" si="5"/>
        <v>7</v>
      </c>
      <c r="R62" s="11">
        <f t="shared" si="6"/>
        <v>6</v>
      </c>
      <c r="S62" s="12" t="str" cm="1">
        <f t="array" ref="S62">INDEX('TreatmentRespon-ConceptMap-1'!$I$15:$N$124,Q62+1,R62)</f>
        <v/>
      </c>
    </row>
    <row r="63" spans="2:19">
      <c r="B63" s="11"/>
      <c r="C63" s="11"/>
      <c r="D63" s="12"/>
      <c r="E63" s="12"/>
      <c r="F63" s="64"/>
      <c r="G63" s="124"/>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4"/>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4"/>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4"/>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4"/>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4"/>
      <c r="P68" s="11">
        <v>54</v>
      </c>
      <c r="Q68" s="11">
        <f t="shared" si="5"/>
        <v>8</v>
      </c>
      <c r="R68" s="11">
        <f t="shared" si="6"/>
        <v>6</v>
      </c>
      <c r="S68" s="12" t="str" cm="1">
        <f t="array" ref="S68">INDEX('TreatmentRespon-ConceptMap-1'!$I$15:$N$124,Q68+1,R68)</f>
        <v/>
      </c>
    </row>
    <row r="69" spans="2:19">
      <c r="B69" s="11"/>
      <c r="C69" s="11"/>
      <c r="D69" s="12"/>
      <c r="E69" s="12"/>
      <c r="F69" s="64"/>
      <c r="G69" s="124"/>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4"/>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4"/>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4"/>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4"/>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4"/>
      <c r="P74" s="11">
        <v>60</v>
      </c>
      <c r="Q74" s="11">
        <f t="shared" si="5"/>
        <v>9</v>
      </c>
      <c r="R74" s="11">
        <f t="shared" si="6"/>
        <v>6</v>
      </c>
      <c r="S74" s="12" t="str" cm="1">
        <f t="array" ref="S74">INDEX('TreatmentRespon-ConceptMap-1'!$I$15:$N$124,Q74+1,R74)</f>
        <v/>
      </c>
    </row>
    <row r="75" spans="2:19">
      <c r="B75" s="11"/>
      <c r="C75" s="11"/>
      <c r="D75" s="12"/>
      <c r="E75" s="12"/>
      <c r="F75" s="64"/>
      <c r="G75" s="124"/>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4"/>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4"/>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4"/>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4"/>
      <c r="P80" s="11">
        <v>66</v>
      </c>
      <c r="Q80" s="11">
        <f t="shared" si="9"/>
        <v>10</v>
      </c>
      <c r="R80" s="11">
        <f t="shared" si="10"/>
        <v>6</v>
      </c>
      <c r="S80" s="12" t="str" cm="1">
        <f t="array" ref="S80">INDEX('TreatmentRespon-ConceptMap-1'!$I$15:$N$124,Q80+1,R80)</f>
        <v/>
      </c>
    </row>
    <row r="81" spans="2:19">
      <c r="B81" s="11"/>
      <c r="C81" s="11"/>
      <c r="D81" s="12"/>
      <c r="E81" s="12"/>
      <c r="F81" s="64"/>
      <c r="G81" s="124"/>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4"/>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4"/>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4"/>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4"/>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4"/>
      <c r="P86" s="11">
        <v>72</v>
      </c>
      <c r="Q86" s="11">
        <f t="shared" si="9"/>
        <v>11</v>
      </c>
      <c r="R86" s="11">
        <f t="shared" si="10"/>
        <v>6</v>
      </c>
      <c r="S86" s="12" t="str" cm="1">
        <f t="array" ref="S86">INDEX('TreatmentRespon-ConceptMap-1'!$I$15:$N$124,Q86+1,R86)</f>
        <v/>
      </c>
    </row>
    <row r="87" spans="2:19">
      <c r="B87" s="11"/>
      <c r="C87" s="11"/>
      <c r="D87" s="12"/>
      <c r="E87" s="12"/>
      <c r="F87" s="64"/>
      <c r="G87" s="124"/>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4"/>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4"/>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4"/>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4"/>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4"/>
      <c r="P92" s="11">
        <v>78</v>
      </c>
      <c r="Q92" s="11">
        <f t="shared" si="9"/>
        <v>12</v>
      </c>
      <c r="R92" s="11">
        <f t="shared" si="10"/>
        <v>6</v>
      </c>
      <c r="S92" s="12" t="str" cm="1">
        <f t="array" ref="S92">INDEX('TreatmentRespon-ConceptMap-1'!$I$15:$N$124,Q92+1,R92)</f>
        <v/>
      </c>
    </row>
    <row r="93" spans="2:19">
      <c r="B93" s="11"/>
      <c r="C93" s="11"/>
      <c r="D93" s="12"/>
      <c r="E93" s="12"/>
      <c r="F93" s="64"/>
      <c r="G93" s="124"/>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4"/>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4"/>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4"/>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4"/>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4"/>
      <c r="P98" s="11">
        <v>84</v>
      </c>
      <c r="Q98" s="11">
        <f t="shared" si="9"/>
        <v>13</v>
      </c>
      <c r="R98" s="11">
        <f t="shared" si="10"/>
        <v>6</v>
      </c>
      <c r="S98" s="12" t="str" cm="1">
        <f t="array" ref="S98">INDEX('TreatmentRespon-ConceptMap-1'!$I$15:$N$124,Q98+1,R98)</f>
        <v/>
      </c>
    </row>
    <row r="99" spans="2:19">
      <c r="B99" s="11"/>
      <c r="C99" s="11"/>
      <c r="D99" s="12"/>
      <c r="E99" s="12"/>
      <c r="F99" s="64"/>
      <c r="G99" s="124"/>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4"/>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INDEX('TreatmentRespon-ConceptMap-1'!$I$15:$N$124,Q104+1,R104)</f>
        <v/>
      </c>
    </row>
    <row r="105" spans="2:19">
      <c r="B105" s="11"/>
      <c r="C105" s="11"/>
      <c r="D105" s="12"/>
      <c r="E105" s="12"/>
      <c r="F105" s="64"/>
      <c r="G105" s="124"/>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4"/>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INDEX('TreatmentRespon-ConceptMap-1'!$I$15:$N$124,Q110+1,R110)</f>
        <v/>
      </c>
    </row>
    <row r="111" spans="2:19">
      <c r="B111" s="11"/>
      <c r="C111" s="11"/>
      <c r="D111" s="12"/>
      <c r="E111" s="12"/>
      <c r="F111" s="64"/>
      <c r="G111" s="124"/>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4"/>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2328</v>
      </c>
    </row>
    <row r="3" spans="2:7">
      <c r="B3" s="24" t="s">
        <v>20</v>
      </c>
    </row>
    <row r="4" spans="2:7">
      <c r="B4" s="65" t="str">
        <f>"Instance: "&amp;'TreatmentRespon-ConceptMap-1'!C4</f>
        <v>Instance: treatmentResponse2FHIR</v>
      </c>
    </row>
    <row r="5" spans="2:7">
      <c r="B5" s="65" t="s">
        <v>1447</v>
      </c>
    </row>
    <row r="6" spans="2:7">
      <c r="B6" s="65" t="s">
        <v>1438</v>
      </c>
    </row>
    <row r="7" spans="2:7">
      <c r="B7" s="65" t="s">
        <v>1798</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2"/>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2382</v>
      </c>
      <c r="J4" s="16" t="str">
        <f>CONCATENATE("Logical: ",B4)</f>
        <v>Logical: AdverseEventI4rc</v>
      </c>
    </row>
    <row r="5" spans="1:12" ht="15.5" thickBot="1">
      <c r="A5" s="14" t="s">
        <v>16</v>
      </c>
      <c r="B5" s="45" t="s">
        <v>553</v>
      </c>
      <c r="J5" s="16" t="str">
        <f>CONCATENATE("Id: ",B5)</f>
        <v>Id: AdverseEvent</v>
      </c>
    </row>
    <row r="6" spans="1:12" ht="15.5" thickBot="1">
      <c r="A6" s="14" t="s">
        <v>10</v>
      </c>
      <c r="B6" s="45" t="s">
        <v>2342</v>
      </c>
      <c r="J6" s="17" t="str">
        <f>CONCATENATE("Title: ##34#",B6,"##34#")</f>
        <v>Title: ##34#Adverse Event##34#</v>
      </c>
    </row>
    <row r="7" spans="1:12">
      <c r="A7" s="26" t="s">
        <v>2</v>
      </c>
      <c r="B7" s="45" t="s">
        <v>2342</v>
      </c>
      <c r="C7" s="9" t="s">
        <v>3</v>
      </c>
      <c r="D7" s="1" t="s">
        <v>4</v>
      </c>
      <c r="E7" s="3" t="s">
        <v>5</v>
      </c>
      <c r="F7" s="3" t="s">
        <v>6</v>
      </c>
      <c r="G7" s="3" t="s">
        <v>7</v>
      </c>
      <c r="H7" s="105" t="s">
        <v>1610</v>
      </c>
      <c r="J7" s="17" t="str">
        <f>CONCATENATE("Description: "," ##334#",B7,"##334#",)</f>
        <v>Description:  ##334#Adverse Event##334#</v>
      </c>
    </row>
    <row r="8" spans="1:12" ht="59">
      <c r="A8" s="100">
        <v>0</v>
      </c>
      <c r="B8" s="11" t="s">
        <v>1949</v>
      </c>
      <c r="C8" s="11" t="s">
        <v>2052</v>
      </c>
      <c r="D8" s="11" t="s">
        <v>1908</v>
      </c>
      <c r="E8" s="11">
        <v>1</v>
      </c>
      <c r="F8" s="11">
        <v>1</v>
      </c>
      <c r="G8" s="11" t="s">
        <v>2005</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2343</v>
      </c>
      <c r="C9" s="11" t="s">
        <v>2329</v>
      </c>
      <c r="D9" s="11" t="s">
        <v>2330</v>
      </c>
      <c r="E9" s="11">
        <v>1</v>
      </c>
      <c r="F9" s="11">
        <v>1</v>
      </c>
      <c r="G9" s="11" t="s">
        <v>1786</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2331</v>
      </c>
      <c r="C10" s="11" t="s">
        <v>2332</v>
      </c>
      <c r="D10" s="11" t="s">
        <v>2333</v>
      </c>
      <c r="E10" s="11">
        <v>1</v>
      </c>
      <c r="F10" s="11">
        <v>1</v>
      </c>
      <c r="G10" s="6" t="s">
        <v>1786</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2344</v>
      </c>
      <c r="C11" s="11" t="s">
        <v>2334</v>
      </c>
      <c r="D11" s="11" t="s">
        <v>2335</v>
      </c>
      <c r="E11" s="11">
        <v>1</v>
      </c>
      <c r="F11" s="11">
        <v>1</v>
      </c>
      <c r="G11" s="6" t="s">
        <v>2347</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2345</v>
      </c>
      <c r="C12" s="11" t="s">
        <v>2336</v>
      </c>
      <c r="D12" s="11" t="s">
        <v>2337</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2346</v>
      </c>
      <c r="C13" s="11" t="s">
        <v>2338</v>
      </c>
      <c r="D13" s="11" t="s">
        <v>2339</v>
      </c>
      <c r="E13" s="11">
        <v>1</v>
      </c>
      <c r="F13" s="11">
        <v>1</v>
      </c>
      <c r="G13" s="11" t="s">
        <v>1786</v>
      </c>
      <c r="H13" s="103" t="s">
        <v>2340</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2341</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7" customWidth="1"/>
    <col min="7" max="7" width="29.54296875" customWidth="1"/>
    <col min="8" max="8" width="54.90625" customWidth="1"/>
  </cols>
  <sheetData>
    <row r="1" spans="1:7" ht="15.5" thickBot="1">
      <c r="C1" s="155" t="str">
        <f>AdverseEvent!J1</f>
        <v>//===================================================</v>
      </c>
    </row>
    <row r="2" spans="1:7" ht="16.75" thickBot="1">
      <c r="C2" s="24" t="str">
        <f>AdverseEvent!J2</f>
        <v>//  Logical Model</v>
      </c>
      <c r="G2" s="29" t="s">
        <v>2348</v>
      </c>
    </row>
    <row r="3" spans="1:7">
      <c r="C3" s="24" t="str">
        <f>AdverseEvent!J3</f>
        <v>//===================================================</v>
      </c>
    </row>
    <row r="4" spans="1:7">
      <c r="C4" s="156" t="str">
        <f>AdverseEvent!J4</f>
        <v>Logical: AdverseEventI4rc</v>
      </c>
    </row>
    <row r="5" spans="1:7">
      <c r="C5" s="156" t="str">
        <f>AdverseEvent!J5</f>
        <v>Id: AdverseEvent</v>
      </c>
    </row>
    <row r="6" spans="1:7">
      <c r="C6" s="156" t="str">
        <f>AdverseEvent!J6</f>
        <v>Title: ##34#Adverse Event##34#</v>
      </c>
    </row>
    <row r="7" spans="1:7">
      <c r="C7" s="156" t="str">
        <f>AdverseEvent!J7</f>
        <v>Description:  ##334#Adverse Event##334#</v>
      </c>
    </row>
    <row r="8" spans="1:7" ht="29.5">
      <c r="A8" s="158"/>
      <c r="C8" s="157" t="str">
        <f>IF(AdverseEvent!J8="*  ..  ##34###34# ##334###334#","//--- END",AdverseEvent!J8)</f>
        <v>* episodeEventReference 1..1 http://hl7.eu/fhir/ig/idea4rc/StructureDefinition/EpisodeEvent ##34#Episode Event reference##34# ##334#EpisodeEvent element containing the data regarding the patient's cancer##334#</v>
      </c>
    </row>
    <row r="9" spans="1:7" ht="29.5">
      <c r="A9" s="158"/>
      <c r="C9" s="157"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8"/>
      <c r="C10" s="157" t="str">
        <f>IF(AdverseEvent!J10="*  ..  ##34###34# ##334###334#","//--- END",AdverseEvent!J10)</f>
        <v>* occurredAt 1..1 CodeableConcept ##34#Occurred at##34# ##334#specifies which phase (baseline, progression) of the disease the adverse event is related to##334#</v>
      </c>
    </row>
    <row r="11" spans="1:7" ht="29.5">
      <c r="C11" s="157" t="str">
        <f>IF(AdverseEvent!J11="*  ..  ##34###34# ##334###334#","//--- END",AdverseEvent!J11)</f>
        <v>* relatedTo 1..1 Reference ##34#Adverse event related to##34# ##334#specifies which treatment the adverse event is related to##334#</v>
      </c>
    </row>
    <row r="12" spans="1:7">
      <c r="C12" s="157" t="str">
        <f>IF(AdverseEvent!J12="*  ..  ##34###34# ##334###334#","//--- END",AdverseEvent!J12)</f>
        <v>* eventStartingDate 1..1 date ##34#Adverse event starting date  ##34# ##334#specifies when adverse events begins##334#</v>
      </c>
    </row>
    <row r="13" spans="1:7" ht="29.5">
      <c r="C13" s="157" t="str">
        <f>IF(AdverseEvent!J13="*  ..  ##34###34# ##334###334#","//--- END",AdverseEvent!J13)</f>
        <v>* eventDuration 1..1 CodeableConcept ##34#Adverse event duration##34# ##334#specifies the duration of the adverse event##334#</v>
      </c>
    </row>
    <row r="14" spans="1:7">
      <c r="C14" s="157" t="str">
        <f>IF(AdverseEvent!J14="*  ..  ##34###34# ##334###334#","//--- END",AdverseEvent!J14)</f>
        <v>* referstothepatientsfirstadverseevent 1..1 BackboneElement ##34#M##34# ##334#M##334#</v>
      </c>
    </row>
    <row r="15" spans="1:7">
      <c r="C15" s="157" t="str">
        <f>IF(AdverseEvent!J15="*  ..  ##34###34# ##334###334#","//--- END",AdverseEvent!J15)</f>
        <v>//--- END</v>
      </c>
    </row>
    <row r="16" spans="1:7">
      <c r="C16" s="157" t="str">
        <f>IF(AdverseEvent!J16="*  ..  ##34###34# ##334###334#","//--- END",AdverseEvent!J16)</f>
        <v>//--- END</v>
      </c>
    </row>
    <row r="17" spans="3:3">
      <c r="C17" s="157" t="str">
        <f>IF(AdverseEvent!J17="*  ..  ##34###34# ##334###334#","//--- END",AdverseEvent!J17)</f>
        <v>//--- END</v>
      </c>
    </row>
    <row r="18" spans="3:3">
      <c r="C18" s="157" t="str">
        <f>IF(AdverseEvent!J18="*  ..  ##34###34# ##334###334#","//--- END",AdverseEvent!J18)</f>
        <v>//--- END</v>
      </c>
    </row>
    <row r="19" spans="3:3">
      <c r="C19" s="157" t="str">
        <f>IF(AdverseEvent!J19="*  ..  ##34###34# ##334###334#","//--- END",AdverseEvent!J19)</f>
        <v>//--- END</v>
      </c>
    </row>
    <row r="20" spans="3:3">
      <c r="C20" s="157" t="str">
        <f>IF(AdverseEvent!J20="*  ..  ##34###34# ##334###334#","//--- END",AdverseEvent!J20)</f>
        <v>//--- END</v>
      </c>
    </row>
    <row r="21" spans="3:3">
      <c r="C21" s="157" t="str">
        <f>IF(AdverseEvent!J21="*  ..  ##34###34# ##334###334#","//--- END",AdverseEvent!J21)</f>
        <v>//--- END</v>
      </c>
    </row>
    <row r="22" spans="3:3">
      <c r="C22" s="157" t="str">
        <f>IF(AdverseEvent!J22="*  ..  ##34###34# ##334###334#","//--- END",AdverseEvent!J22)</f>
        <v>//--- END</v>
      </c>
    </row>
    <row r="23" spans="3:3">
      <c r="C23" s="157" t="str">
        <f>IF(AdverseEvent!J23="*  ..  ##34###34# ##334###334#","//--- END",AdverseEvent!J23)</f>
        <v>//--- END</v>
      </c>
    </row>
    <row r="24" spans="3:3">
      <c r="C24" s="157" t="str">
        <f>IF(AdverseEvent!J24="*  ..  ##34###34# ##334###334#","//--- END",AdverseEvent!J24)</f>
        <v>//--- END</v>
      </c>
    </row>
    <row r="31" spans="3:3">
      <c r="C31" s="155" t="s">
        <v>1613</v>
      </c>
    </row>
    <row r="32" spans="3:3">
      <c r="C32" s="24" t="s">
        <v>1651</v>
      </c>
    </row>
    <row r="33" spans="3:3">
      <c r="C33" s="24" t="s">
        <v>1613</v>
      </c>
    </row>
    <row r="34" spans="3:3">
      <c r="C34" s="157" t="str">
        <f>IF(AdverseEvent!L8="*  ..  ##34###34# ##334###334#","//--- END",AdverseEvent!L8)</f>
        <v/>
      </c>
    </row>
    <row r="35" spans="3:3">
      <c r="C35" s="157" t="str">
        <f>IF(AdverseEvent!L9="*  ..  ##34###34# ##334###334#","//--- END",AdverseEvent!L9)</f>
        <v/>
      </c>
    </row>
    <row r="36" spans="3:3">
      <c r="C36" s="157" t="str">
        <f>IF(AdverseEvent!L10="*  ..  ##34###34# ##334###334#","//--- END",AdverseEvent!L10)</f>
        <v/>
      </c>
    </row>
    <row r="37" spans="3:3">
      <c r="C37" s="157" t="str">
        <f>IF(AdverseEvent!L11="*  ..  ##34###34# ##334###334#","//--- END",AdverseEvent!L11)</f>
        <v/>
      </c>
    </row>
    <row r="38" spans="3:3">
      <c r="C38" s="157" t="str">
        <f>IF(AdverseEvent!L12="*  ..  ##34###34# ##334###334#","//--- END",AdverseEvent!L12)</f>
        <v/>
      </c>
    </row>
    <row r="39" spans="3:3" ht="44.25">
      <c r="C39" s="157" t="str">
        <f>IF(AdverseEvent!L13="*  ..  ##34###34# ##334###334#","//--- END",AdverseEvent!L13)</f>
        <v>* eventDuration ^comment = ##334#Less than one week; More than one week but  less than a month; More than a month but less than 3 months; More than 3 months; Unknown.
Custom##334#</v>
      </c>
    </row>
    <row r="40" spans="3:3">
      <c r="C40" s="157" t="str">
        <f>IF(AdverseEvent!L14="*  ..  ##34###34# ##334###334#","//--- END",AdverseEvent!L14)</f>
        <v/>
      </c>
    </row>
    <row r="41" spans="3:3">
      <c r="C41" s="157" t="str">
        <f>IF(AdverseEvent!L15="*  ..  ##34###34# ##334###334#","//--- END",AdverseEvent!L15)</f>
        <v>//--- END</v>
      </c>
    </row>
    <row r="42" spans="3:3">
      <c r="C42" s="157" t="str">
        <f>IF(AdverseEvent!L16="*  ..  ##34###34# ##334###334#","//--- END",AdverseEvent!L16)</f>
        <v>//--- END</v>
      </c>
    </row>
    <row r="43" spans="3:3">
      <c r="C43" s="157"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http://hl7.eu/fhir/ig/idea4rc/StructureDefinition/AdverseEventI4rc</v>
      </c>
    </row>
    <row r="4" spans="1:19">
      <c r="B4" s="62" t="s">
        <v>16</v>
      </c>
      <c r="C4" s="28" t="s">
        <v>2327</v>
      </c>
      <c r="D4" s="62" t="s">
        <v>1792</v>
      </c>
      <c r="E4" s="169" t="s">
        <v>2278</v>
      </c>
      <c r="F4" s="170"/>
      <c r="G4" s="170"/>
    </row>
    <row r="5" spans="1:19">
      <c r="B5" s="62" t="s">
        <v>10</v>
      </c>
      <c r="C5" s="7" t="s">
        <v>2235</v>
      </c>
      <c r="D5" s="62"/>
      <c r="E5" s="7"/>
    </row>
    <row r="6" spans="1:19">
      <c r="B6" s="62" t="s">
        <v>18</v>
      </c>
      <c r="C6" s="56"/>
      <c r="D6" s="62" t="s">
        <v>1793</v>
      </c>
      <c r="E6" s="169" t="str">
        <f>E3</f>
        <v>http://hl7.eu/fhir/ig/idea4rc/StructureDefinition/AdverseEventI4rc</v>
      </c>
      <c r="F6" s="170"/>
      <c r="G6" s="170"/>
    </row>
    <row r="7" spans="1:19">
      <c r="B7" s="62" t="s">
        <v>15</v>
      </c>
      <c r="C7" s="119"/>
      <c r="D7" s="62" t="s">
        <v>1794</v>
      </c>
      <c r="E7" s="169" t="str">
        <f>E4</f>
        <v>http://hl7.eu/fhir/ig/idea4rc/StructureDefinition/Procedure-radiotheraphy-eu-i4rc</v>
      </c>
      <c r="F7" s="170"/>
      <c r="G7" s="170"/>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4"/>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4"/>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4"/>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4"/>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4"/>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4"/>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4"/>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4"/>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4"/>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4"/>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4"/>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4"/>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4"/>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4"/>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4"/>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4"/>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4"/>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4"/>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4"/>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4"/>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4"/>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4"/>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4"/>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4"/>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4"/>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4"/>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4"/>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4"/>
      <c r="P46" s="11">
        <v>32</v>
      </c>
      <c r="Q46" s="11">
        <f t="shared" si="5"/>
        <v>5</v>
      </c>
      <c r="R46" s="11">
        <f t="shared" si="6"/>
        <v>2</v>
      </c>
      <c r="S46" s="12" t="str" cm="1">
        <f t="array" ref="S46">INDEX('AdverseEvent-ConceptMap-1'!$I$15:$N$124,Q46+1,R46)</f>
        <v>* group[=].element[=].display = ##34###34#</v>
      </c>
    </row>
    <row r="47" spans="1:19">
      <c r="B47" s="11"/>
      <c r="C47" s="11"/>
      <c r="D47" s="12"/>
      <c r="E47" s="12"/>
      <c r="F47" s="64"/>
      <c r="G47" s="124"/>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4"/>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4"/>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4"/>
      <c r="P50" s="11">
        <v>36</v>
      </c>
      <c r="Q50" s="11">
        <f t="shared" si="5"/>
        <v>5</v>
      </c>
      <c r="R50" s="11">
        <f t="shared" si="6"/>
        <v>6</v>
      </c>
      <c r="S50" s="12" t="str" cm="1">
        <f t="array" ref="S50">INDEX('AdverseEvent-ConceptMap-1'!$I$15:$N$124,Q50+1,R50)</f>
        <v/>
      </c>
    </row>
    <row r="51" spans="2:19">
      <c r="B51" s="11"/>
      <c r="C51" s="11"/>
      <c r="D51" s="12"/>
      <c r="E51" s="12"/>
      <c r="F51" s="64"/>
      <c r="G51" s="124"/>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4"/>
      <c r="P52" s="11">
        <v>38</v>
      </c>
      <c r="Q52" s="11">
        <f t="shared" si="5"/>
        <v>6</v>
      </c>
      <c r="R52" s="11">
        <f t="shared" si="6"/>
        <v>2</v>
      </c>
      <c r="S52" s="12" t="str" cm="1">
        <f t="array" ref="S52">INDEX('AdverseEvent-ConceptMap-1'!$I$15:$N$124,Q52+1,R52)</f>
        <v>* group[=].element[=].display = ##34###34#</v>
      </c>
    </row>
    <row r="53" spans="2:19">
      <c r="B53" s="11"/>
      <c r="C53" s="11"/>
      <c r="D53" s="12"/>
      <c r="E53" s="12"/>
      <c r="F53" s="64"/>
      <c r="G53" s="124"/>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4"/>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4"/>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4"/>
      <c r="P56" s="11">
        <v>42</v>
      </c>
      <c r="Q56" s="11">
        <f t="shared" si="5"/>
        <v>6</v>
      </c>
      <c r="R56" s="11">
        <f t="shared" si="6"/>
        <v>6</v>
      </c>
      <c r="S56" s="12" t="str" cm="1">
        <f t="array" ref="S56">INDEX('AdverseEvent-ConceptMap-1'!$I$15:$N$124,Q56+1,R56)</f>
        <v/>
      </c>
    </row>
    <row r="57" spans="2:19">
      <c r="B57" s="11"/>
      <c r="C57" s="11"/>
      <c r="D57" s="12"/>
      <c r="E57" s="12"/>
      <c r="F57" s="64"/>
      <c r="G57" s="124"/>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4"/>
      <c r="P58" s="11">
        <v>44</v>
      </c>
      <c r="Q58" s="11">
        <f t="shared" si="5"/>
        <v>7</v>
      </c>
      <c r="R58" s="11">
        <f t="shared" si="6"/>
        <v>2</v>
      </c>
      <c r="S58" s="12" t="str" cm="1">
        <f t="array" ref="S58">INDEX('AdverseEvent-ConceptMap-1'!$I$15:$N$124,Q58+1,R58)</f>
        <v>* group[=].element[=].display = ##34###34#</v>
      </c>
    </row>
    <row r="59" spans="2:19">
      <c r="B59" s="11"/>
      <c r="C59" s="11"/>
      <c r="D59" s="12"/>
      <c r="E59" s="12"/>
      <c r="F59" s="64"/>
      <c r="G59" s="124"/>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4"/>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4"/>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4"/>
      <c r="P62" s="11">
        <v>48</v>
      </c>
      <c r="Q62" s="11">
        <f t="shared" si="5"/>
        <v>7</v>
      </c>
      <c r="R62" s="11">
        <f t="shared" si="6"/>
        <v>6</v>
      </c>
      <c r="S62" s="12" t="str" cm="1">
        <f t="array" ref="S62">INDEX('AdverseEvent-ConceptMap-1'!$I$15:$N$124,Q62+1,R62)</f>
        <v/>
      </c>
    </row>
    <row r="63" spans="2:19">
      <c r="B63" s="11"/>
      <c r="C63" s="11"/>
      <c r="D63" s="12"/>
      <c r="E63" s="12"/>
      <c r="F63" s="64"/>
      <c r="G63" s="124"/>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4"/>
      <c r="P64" s="11">
        <v>50</v>
      </c>
      <c r="Q64" s="11">
        <f t="shared" si="5"/>
        <v>8</v>
      </c>
      <c r="R64" s="11">
        <f t="shared" si="6"/>
        <v>2</v>
      </c>
      <c r="S64" s="12" t="str" cm="1">
        <f t="array" ref="S64">INDEX('AdverseEvent-ConceptMap-1'!$I$15:$N$124,Q64+1,R64)</f>
        <v>* group[=].element[=].display = ##34###34#</v>
      </c>
    </row>
    <row r="65" spans="2:19">
      <c r="B65" s="11"/>
      <c r="C65" s="11"/>
      <c r="D65" s="12"/>
      <c r="E65" s="12"/>
      <c r="F65" s="64"/>
      <c r="G65" s="124"/>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4"/>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4"/>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4"/>
      <c r="P68" s="11">
        <v>54</v>
      </c>
      <c r="Q68" s="11">
        <f t="shared" si="5"/>
        <v>8</v>
      </c>
      <c r="R68" s="11">
        <f t="shared" si="6"/>
        <v>6</v>
      </c>
      <c r="S68" s="12" t="str" cm="1">
        <f t="array" ref="S68">INDEX('AdverseEvent-ConceptMap-1'!$I$15:$N$124,Q68+1,R68)</f>
        <v/>
      </c>
    </row>
    <row r="69" spans="2:19">
      <c r="B69" s="11"/>
      <c r="C69" s="11"/>
      <c r="D69" s="12"/>
      <c r="E69" s="12"/>
      <c r="F69" s="64"/>
      <c r="G69" s="124"/>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4"/>
      <c r="P70" s="11">
        <v>56</v>
      </c>
      <c r="Q70" s="11">
        <f t="shared" si="5"/>
        <v>9</v>
      </c>
      <c r="R70" s="11">
        <f t="shared" si="6"/>
        <v>2</v>
      </c>
      <c r="S70" s="12" t="str" cm="1">
        <f t="array" ref="S70">INDEX('AdverseEvent-ConceptMap-1'!$I$15:$N$124,Q70+1,R70)</f>
        <v>* group[=].element[=].display = ##34###34#</v>
      </c>
    </row>
    <row r="71" spans="2:19">
      <c r="B71" s="11"/>
      <c r="C71" s="11"/>
      <c r="D71" s="12"/>
      <c r="E71" s="12"/>
      <c r="F71" s="64"/>
      <c r="G71" s="124"/>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4"/>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4"/>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4"/>
      <c r="P74" s="11">
        <v>60</v>
      </c>
      <c r="Q74" s="11">
        <f t="shared" si="5"/>
        <v>9</v>
      </c>
      <c r="R74" s="11">
        <f t="shared" si="6"/>
        <v>6</v>
      </c>
      <c r="S74" s="12" t="str" cm="1">
        <f t="array" ref="S74">INDEX('AdverseEvent-ConceptMap-1'!$I$15:$N$124,Q74+1,R74)</f>
        <v/>
      </c>
    </row>
    <row r="75" spans="2:19">
      <c r="B75" s="11"/>
      <c r="C75" s="11"/>
      <c r="D75" s="12"/>
      <c r="E75" s="12"/>
      <c r="F75" s="64"/>
      <c r="G75" s="124"/>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4"/>
      <c r="P76" s="11">
        <v>62</v>
      </c>
      <c r="Q76" s="11">
        <f t="shared" si="5"/>
        <v>10</v>
      </c>
      <c r="R76" s="11">
        <f t="shared" si="6"/>
        <v>2</v>
      </c>
      <c r="S76" s="12" t="str" cm="1">
        <f t="array" ref="S76">INDEX('AdverseEvent-ConceptMap-1'!$I$15:$N$124,Q76+1,R76)</f>
        <v>* group[=].element[=].display = ##34###34#</v>
      </c>
    </row>
    <row r="77" spans="2:19">
      <c r="B77" s="11"/>
      <c r="C77" s="11"/>
      <c r="D77" s="12"/>
      <c r="E77" s="12"/>
      <c r="F77" s="64"/>
      <c r="G77" s="124"/>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4"/>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4"/>
      <c r="P80" s="11">
        <v>66</v>
      </c>
      <c r="Q80" s="11">
        <f t="shared" si="9"/>
        <v>10</v>
      </c>
      <c r="R80" s="11">
        <f t="shared" si="10"/>
        <v>6</v>
      </c>
      <c r="S80" s="12" t="str" cm="1">
        <f t="array" ref="S80">INDEX('AdverseEvent-ConceptMap-1'!$I$15:$N$124,Q80+1,R80)</f>
        <v/>
      </c>
    </row>
    <row r="81" spans="2:19">
      <c r="B81" s="11"/>
      <c r="C81" s="11"/>
      <c r="D81" s="12"/>
      <c r="E81" s="12"/>
      <c r="F81" s="64"/>
      <c r="G81" s="124"/>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4"/>
      <c r="P82" s="11">
        <v>68</v>
      </c>
      <c r="Q82" s="11">
        <f t="shared" si="9"/>
        <v>11</v>
      </c>
      <c r="R82" s="11">
        <f t="shared" si="10"/>
        <v>2</v>
      </c>
      <c r="S82" s="12" t="str" cm="1">
        <f t="array" ref="S82">INDEX('AdverseEvent-ConceptMap-1'!$I$15:$N$124,Q82+1,R82)</f>
        <v>* group[=].element[=].display = ##34###34#</v>
      </c>
    </row>
    <row r="83" spans="2:19">
      <c r="B83" s="11"/>
      <c r="C83" s="11"/>
      <c r="D83" s="12"/>
      <c r="E83" s="12"/>
      <c r="F83" s="64"/>
      <c r="G83" s="124"/>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4"/>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4"/>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4"/>
      <c r="P86" s="11">
        <v>72</v>
      </c>
      <c r="Q86" s="11">
        <f t="shared" si="9"/>
        <v>11</v>
      </c>
      <c r="R86" s="11">
        <f t="shared" si="10"/>
        <v>6</v>
      </c>
      <c r="S86" s="12" t="str" cm="1">
        <f t="array" ref="S86">INDEX('AdverseEvent-ConceptMap-1'!$I$15:$N$124,Q86+1,R86)</f>
        <v/>
      </c>
    </row>
    <row r="87" spans="2:19">
      <c r="B87" s="11"/>
      <c r="C87" s="11"/>
      <c r="D87" s="12"/>
      <c r="E87" s="12"/>
      <c r="F87" s="64"/>
      <c r="G87" s="124"/>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4"/>
      <c r="P88" s="11">
        <v>74</v>
      </c>
      <c r="Q88" s="11">
        <f t="shared" si="9"/>
        <v>12</v>
      </c>
      <c r="R88" s="11">
        <f t="shared" si="10"/>
        <v>2</v>
      </c>
      <c r="S88" s="12" t="str" cm="1">
        <f t="array" ref="S88">INDEX('AdverseEvent-ConceptMap-1'!$I$15:$N$124,Q88+1,R88)</f>
        <v>* group[=].element[=].display = ##34###34#</v>
      </c>
    </row>
    <row r="89" spans="2:19">
      <c r="B89" s="11"/>
      <c r="C89" s="11"/>
      <c r="D89" s="12"/>
      <c r="E89" s="12"/>
      <c r="F89" s="64"/>
      <c r="G89" s="124"/>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4"/>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4"/>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4"/>
      <c r="P92" s="11">
        <v>78</v>
      </c>
      <c r="Q92" s="11">
        <f t="shared" si="9"/>
        <v>12</v>
      </c>
      <c r="R92" s="11">
        <f t="shared" si="10"/>
        <v>6</v>
      </c>
      <c r="S92" s="12" t="str" cm="1">
        <f t="array" ref="S92">INDEX('AdverseEvent-ConceptMap-1'!$I$15:$N$124,Q92+1,R92)</f>
        <v/>
      </c>
    </row>
    <row r="93" spans="2:19">
      <c r="B93" s="11"/>
      <c r="C93" s="11"/>
      <c r="D93" s="12"/>
      <c r="E93" s="12"/>
      <c r="F93" s="64"/>
      <c r="G93" s="124"/>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4"/>
      <c r="P94" s="11">
        <v>80</v>
      </c>
      <c r="Q94" s="11">
        <f t="shared" si="9"/>
        <v>13</v>
      </c>
      <c r="R94" s="11">
        <f t="shared" si="10"/>
        <v>2</v>
      </c>
      <c r="S94" s="12" t="str" cm="1">
        <f t="array" ref="S94">INDEX('AdverseEvent-ConceptMap-1'!$I$15:$N$124,Q94+1,R94)</f>
        <v>* group[=].element[=].display = ##34###34#</v>
      </c>
    </row>
    <row r="95" spans="2:19">
      <c r="B95" s="11"/>
      <c r="C95" s="11"/>
      <c r="D95" s="12"/>
      <c r="E95" s="12"/>
      <c r="F95" s="64"/>
      <c r="G95" s="124"/>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4"/>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4"/>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4"/>
      <c r="P98" s="11">
        <v>84</v>
      </c>
      <c r="Q98" s="11">
        <f t="shared" si="9"/>
        <v>13</v>
      </c>
      <c r="R98" s="11">
        <f t="shared" si="10"/>
        <v>6</v>
      </c>
      <c r="S98" s="12" t="str" cm="1">
        <f t="array" ref="S98">INDEX('AdverseEvent-ConceptMap-1'!$I$15:$N$124,Q98+1,R98)</f>
        <v/>
      </c>
    </row>
    <row r="99" spans="2:19">
      <c r="B99" s="11"/>
      <c r="C99" s="11"/>
      <c r="D99" s="12"/>
      <c r="E99" s="12"/>
      <c r="F99" s="64"/>
      <c r="G99" s="124"/>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4"/>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INDEX('AdverseEvent-ConceptMap-1'!$I$15:$N$124,Q104+1,R104)</f>
        <v/>
      </c>
    </row>
    <row r="105" spans="2:19">
      <c r="B105" s="11"/>
      <c r="C105" s="11"/>
      <c r="D105" s="12"/>
      <c r="E105" s="12"/>
      <c r="F105" s="64"/>
      <c r="G105" s="124"/>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4"/>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INDEX('AdverseEvent-ConceptMap-1'!$I$15:$N$124,Q110+1,R110)</f>
        <v/>
      </c>
    </row>
    <row r="111" spans="2:19">
      <c r="B111" s="11"/>
      <c r="C111" s="11"/>
      <c r="D111" s="12"/>
      <c r="E111" s="12"/>
      <c r="F111" s="64"/>
      <c r="G111" s="124"/>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4"/>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2349</v>
      </c>
    </row>
    <row r="3" spans="2:7">
      <c r="B3" s="24" t="s">
        <v>20</v>
      </c>
    </row>
    <row r="4" spans="2:7">
      <c r="B4" s="65" t="str">
        <f>"Instance: "&amp;'AdverseEvent-ConceptMap-1'!C4</f>
        <v>Instance: treatmentResponse2FHIR</v>
      </c>
    </row>
    <row r="5" spans="2:7">
      <c r="B5" s="65" t="s">
        <v>1447</v>
      </c>
    </row>
    <row r="6" spans="2:7">
      <c r="B6" s="65" t="s">
        <v>1438</v>
      </c>
    </row>
    <row r="7" spans="2:7">
      <c r="B7" s="65" t="s">
        <v>1798</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2"/>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topLeftCell="A4" zoomScale="115" zoomScaleNormal="115" workbookViewId="0">
      <selection activeCell="D23" sqref="D23"/>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2383</v>
      </c>
      <c r="J4" s="16" t="str">
        <f>CONCATENATE("Logical: ",B4)</f>
        <v>Logical: GeneticTestExpressionI4rc</v>
      </c>
    </row>
    <row r="5" spans="1:12" ht="15.5" thickBot="1">
      <c r="A5" s="14" t="s">
        <v>16</v>
      </c>
      <c r="B5" s="45" t="s">
        <v>2350</v>
      </c>
      <c r="J5" s="16" t="str">
        <f>CONCATENATE("Id: ",B5)</f>
        <v>Id: GeneticTestExpression</v>
      </c>
    </row>
    <row r="6" spans="1:12" ht="15.5" thickBot="1">
      <c r="A6" s="14" t="s">
        <v>10</v>
      </c>
      <c r="B6" s="45" t="s">
        <v>2351</v>
      </c>
      <c r="J6" s="17" t="str">
        <f>CONCATENATE("Title: ##34#",B6,"##34#")</f>
        <v>Title: ##34#Genetic Test Expression##34#</v>
      </c>
    </row>
    <row r="7" spans="1:12">
      <c r="A7" s="26" t="s">
        <v>2</v>
      </c>
      <c r="B7" s="152" t="s">
        <v>2351</v>
      </c>
      <c r="C7" s="9" t="s">
        <v>3</v>
      </c>
      <c r="D7" s="1" t="s">
        <v>4</v>
      </c>
      <c r="E7" s="3" t="s">
        <v>5</v>
      </c>
      <c r="F7" s="3" t="s">
        <v>6</v>
      </c>
      <c r="G7" s="3" t="s">
        <v>7</v>
      </c>
      <c r="H7" s="105" t="s">
        <v>1610</v>
      </c>
      <c r="J7" s="17" t="str">
        <f>CONCATENATE("Description: "," ##334#",B7,"##334#",)</f>
        <v>Description:  ##334#Genetic Test Expression##334#</v>
      </c>
    </row>
    <row r="8" spans="1:12" ht="59">
      <c r="A8" s="100">
        <v>0</v>
      </c>
      <c r="B8" s="6" t="s">
        <v>1949</v>
      </c>
      <c r="C8" s="154" t="s">
        <v>1956</v>
      </c>
      <c r="D8" s="11" t="s">
        <v>1908</v>
      </c>
      <c r="E8" s="11">
        <v>1</v>
      </c>
      <c r="F8" s="11">
        <v>1</v>
      </c>
      <c r="G8" s="11" t="s">
        <v>2005</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2352</v>
      </c>
      <c r="C9" s="154" t="s">
        <v>1956</v>
      </c>
      <c r="D9" s="11" t="s">
        <v>2353</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6" t="s">
        <v>2354</v>
      </c>
      <c r="C10" s="154" t="s">
        <v>1956</v>
      </c>
      <c r="D10" s="11" t="s">
        <v>2355</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6" t="s">
        <v>2356</v>
      </c>
      <c r="C11" s="154" t="s">
        <v>1956</v>
      </c>
      <c r="D11" s="11" t="s">
        <v>2357</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2358</v>
      </c>
      <c r="C12" s="154" t="s">
        <v>1956</v>
      </c>
      <c r="D12" s="11" t="s">
        <v>2359</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2360</v>
      </c>
      <c r="C13" s="154" t="s">
        <v>1956</v>
      </c>
      <c r="D13" s="11" t="s">
        <v>2361</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2362</v>
      </c>
      <c r="C14" s="154" t="s">
        <v>1956</v>
      </c>
      <c r="D14" s="11" t="s">
        <v>2363</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2364</v>
      </c>
      <c r="C15" s="154" t="s">
        <v>1956</v>
      </c>
      <c r="D15" s="11" t="s">
        <v>2365</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2366</v>
      </c>
      <c r="C16" s="154" t="s">
        <v>1956</v>
      </c>
      <c r="D16" s="11" t="s">
        <v>2367</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2368</v>
      </c>
      <c r="C17" s="154" t="s">
        <v>1956</v>
      </c>
      <c r="D17" s="11" t="s">
        <v>2369</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2370</v>
      </c>
      <c r="C18" s="154" t="s">
        <v>1956</v>
      </c>
      <c r="D18" s="11" t="s">
        <v>2371</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2372</v>
      </c>
      <c r="C19" s="154" t="s">
        <v>1956</v>
      </c>
      <c r="D19" s="11" t="s">
        <v>2373</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2374</v>
      </c>
      <c r="C20" s="154" t="s">
        <v>1956</v>
      </c>
      <c r="D20" s="11" t="s">
        <v>2375</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6" t="s">
        <v>2376</v>
      </c>
      <c r="C21" s="154" t="s">
        <v>1956</v>
      </c>
      <c r="D21" s="11" t="s">
        <v>2377</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2378</v>
      </c>
      <c r="C22" s="154" t="s">
        <v>1956</v>
      </c>
      <c r="D22" s="11" t="s">
        <v>2379</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7" customWidth="1"/>
    <col min="7" max="7" width="29.54296875" customWidth="1"/>
    <col min="8" max="8" width="54.90625" customWidth="1"/>
  </cols>
  <sheetData>
    <row r="1" spans="3:7" ht="15.5" thickBot="1">
      <c r="C1" s="155" t="str">
        <f>GeneticTestExpression!J1</f>
        <v>//===================================================</v>
      </c>
    </row>
    <row r="2" spans="3:7" ht="16.75" thickBot="1">
      <c r="C2" s="24" t="str">
        <f>GeneticTestExpression!J2</f>
        <v>//  Logical Model</v>
      </c>
      <c r="G2" s="29" t="s">
        <v>2380</v>
      </c>
    </row>
    <row r="3" spans="3:7">
      <c r="C3" s="24" t="str">
        <f>GeneticTestExpression!J3</f>
        <v>//===================================================</v>
      </c>
    </row>
    <row r="4" spans="3:7">
      <c r="C4" s="156" t="str">
        <f>GeneticTestExpression!J4</f>
        <v>Logical: GeneticTestExpressionI4rc</v>
      </c>
    </row>
    <row r="5" spans="3:7">
      <c r="C5" s="156" t="str">
        <f>GeneticTestExpression!J5</f>
        <v>Id: GeneticTestExpression</v>
      </c>
    </row>
    <row r="6" spans="3:7">
      <c r="C6" s="156" t="str">
        <f>GeneticTestExpression!J6</f>
        <v>Title: ##34#Genetic Test Expression##34#</v>
      </c>
    </row>
    <row r="7" spans="3:7">
      <c r="C7" s="156" t="str">
        <f>GeneticTestExpression!J7</f>
        <v>Description:  ##334#Genetic Test Expression##334#</v>
      </c>
    </row>
    <row r="8" spans="3:7" ht="29.5">
      <c r="C8" s="157"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7" t="str">
        <f>IF(GeneticTestExpression!J9="*  ..  ##34###34# ##334###334#","//--- END",GeneticTestExpression!J9)</f>
        <v>* geneExpressionAnalysisPerformed 0..1 boolean ##34#Cancer Episode Reference##34# ##334#Clarifies whether a gene expression analysis is performed##334#</v>
      </c>
    </row>
    <row r="10" spans="3:7">
      <c r="C10" s="157" t="str">
        <f>IF(GeneticTestExpression!J10="*  ..  ##34###34# ##334###334#","//--- END",GeneticTestExpression!J10)</f>
        <v>* dateOfGeneExpression 0..1 date ##34#Cancer Episode Reference##34# ##334#Date of the gene expression analysis##334#</v>
      </c>
    </row>
    <row r="11" spans="3:7" ht="29.5">
      <c r="C11" s="157" t="str">
        <f>IF(GeneticTestExpression!J11="*  ..  ##34###34# ##334###334#","//--- END",GeneticTestExpression!J11)</f>
        <v>* geneMutationAnalysisPerformed 0..1 boolean ##34#Cancer Episode Reference##34# ##334#Clarifies whether a gene mutation analysis is performed##334#</v>
      </c>
    </row>
    <row r="12" spans="3:7">
      <c r="C12" s="157" t="str">
        <f>IF(GeneticTestExpression!J12="*  ..  ##34###34# ##334###334#","//--- END",GeneticTestExpression!J12)</f>
        <v>* dateOfGeneMutation 0..1 date ##34#Cancer Episode Reference##34# ##334#Date of the gene mutation analysis##334#</v>
      </c>
    </row>
    <row r="13" spans="3:7" ht="29.5">
      <c r="C13" s="157" t="str">
        <f>IF(GeneticTestExpression!J13="*  ..  ##34###34# ##334###334#","//--- END",GeneticTestExpression!J13)</f>
        <v>* testsForChromosomeTranslocationsPerformed 0..1 boolean ##34#Cancer Episode Reference##34# ##334#Clarifies whether a tests for chromosome translocations is performed##334#</v>
      </c>
    </row>
    <row r="14" spans="3:7">
      <c r="C14" s="157" t="str">
        <f>IF(GeneticTestExpression!J14="*  ..  ##34###34# ##334###334#","//--- END",GeneticTestExpression!J14)</f>
        <v>* dateOfTraslocation 0..1 date ##34#Cancer Episode Reference##34# ##334#Date of the Chromosome translocation test##334#</v>
      </c>
    </row>
    <row r="15" spans="3:7" ht="29.5">
      <c r="C15" s="157" t="str">
        <f>IF(GeneticTestExpression!J15="*  ..  ##34###34# ##334###334#","//--- END",GeneticTestExpression!J15)</f>
        <v>* nextGenerationSequencingNgsPerformed 0..1 boolean ##34#Cancer Episode Reference##34# ##334#Clarifies whether a NGS analysis is performed##334#</v>
      </c>
    </row>
    <row r="16" spans="3:7">
      <c r="C16" s="157" t="str">
        <f>IF(GeneticTestExpression!J16="*  ..  ##34###34# ##334###334#","//--- END",GeneticTestExpression!J16)</f>
        <v>* dateOfNgs 0..1 date ##34#Cancer Episode Reference##34# ##334#Date of the NGS analysis##334#</v>
      </c>
    </row>
    <row r="17" spans="3:3" ht="29.5">
      <c r="C17" s="157" t="str">
        <f>IF(GeneticTestExpression!J17="*  ..  ##34###34# ##334###334#","//--- END",GeneticTestExpression!J17)</f>
        <v>* polymeraseChainReactionPcrTestPerformed 0..1 boolean ##34#Cancer Episode Reference##34# ##334#Clarifies whether a PCR analysis is performed##334#</v>
      </c>
    </row>
    <row r="18" spans="3:3">
      <c r="C18" s="157" t="str">
        <f>IF(GeneticTestExpression!J18="*  ..  ##34###34# ##334###334#","//--- END",GeneticTestExpression!J18)</f>
        <v>* dateOfPcr 0..1 date ##34#Cancer Episode Reference##34# ##334#Date of the PCR analysis##334#</v>
      </c>
    </row>
    <row r="19" spans="3:3" ht="29.5">
      <c r="C19" s="157" t="str">
        <f>IF(GeneticTestExpression!J19="*  ..  ##34###34# ##334###334#","//--- END",GeneticTestExpression!J19)</f>
        <v>* immunohistochemistryPerformed 0..1 boolean ##34#Cancer Episode Reference##34# ##334#Clarifies whether a immunohiostochemestry analysis is performed##334#</v>
      </c>
    </row>
    <row r="20" spans="3:3" ht="29.5">
      <c r="C20" s="157" t="str">
        <f>IF(GeneticTestExpression!J20="*  ..  ##34###34# ##334###334#","//--- END",GeneticTestExpression!J20)</f>
        <v>* dateOfImmunohistochemistry 0..1 date ##34#Cancer Episode Reference##34# ##334#Date of the immunohiostochemestry analysis##334#</v>
      </c>
    </row>
    <row r="21" spans="3:3" ht="29.5">
      <c r="C21" s="157" t="str">
        <f>IF(GeneticTestExpression!J21="*  ..  ##34###34# ##334###334#","//--- END",GeneticTestExpression!J21)</f>
        <v>* circulatingTumourDnaCtdnaPerformed 0..1 boolean ##34#Cancer Episode Reference##34# ##334#Clarifies whether a ctDNA analysis is performed##334#</v>
      </c>
    </row>
    <row r="22" spans="3:3">
      <c r="C22" s="157" t="str">
        <f>IF(GeneticTestExpression!J22="*  ..  ##34###34# ##334###334#","//--- END",GeneticTestExpression!J22)</f>
        <v>* dateOfCtdna 0..1 date ##34#Cancer Episode Reference##34# ##334#Date of the ctDNA analysis##334#</v>
      </c>
    </row>
    <row r="23" spans="3:3">
      <c r="C23" s="157" t="str">
        <f>IF(GeneticTestExpression!J23="*  ..  ##34###34# ##334###334#","//--- END",GeneticTestExpression!J23)</f>
        <v>//--- END</v>
      </c>
    </row>
    <row r="24" spans="3:3">
      <c r="C24" s="157" t="str">
        <f>IF(GeneticTestExpression!J24="*  ..  ##34###34# ##334###334#","//--- END",GeneticTestExpression!J24)</f>
        <v>//--- END</v>
      </c>
    </row>
    <row r="25" spans="3:3">
      <c r="C25" s="157" t="str">
        <f>IF(GeneticTestExpression!J25="*  ..  ##34###34# ##334###334#","//--- END",GeneticTestExpression!J25)</f>
        <v>//--- END</v>
      </c>
    </row>
    <row r="26" spans="3:3">
      <c r="C26" s="157" t="str">
        <f>IF(GeneticTestExpression!J26="*  ..  ##34###34# ##334###334#","//--- END",GeneticTestExpression!J26)</f>
        <v>//--- END</v>
      </c>
    </row>
    <row r="27" spans="3:3">
      <c r="C27" s="157" t="str">
        <f>IF(GeneticTestExpression!J27="*  ..  ##34###34# ##334###334#","//--- END",GeneticTestExpression!J27)</f>
        <v>//--- END</v>
      </c>
    </row>
    <row r="31" spans="3:3">
      <c r="C31" s="155" t="s">
        <v>1613</v>
      </c>
    </row>
    <row r="32" spans="3:3">
      <c r="C32" s="24" t="s">
        <v>1651</v>
      </c>
    </row>
    <row r="33" spans="3:3">
      <c r="C33" s="24" t="s">
        <v>1613</v>
      </c>
    </row>
    <row r="34" spans="3:3">
      <c r="C34" s="157" t="str">
        <f>IF(GeneticTestExpression!L8="*  ..  ##34###34# ##334###334#","//--- END",GeneticTestExpression!L8)</f>
        <v/>
      </c>
    </row>
    <row r="35" spans="3:3">
      <c r="C35" s="157" t="str">
        <f>IF(GeneticTestExpression!L9="*  ..  ##34###34# ##334###334#","//--- END",GeneticTestExpression!L9)</f>
        <v/>
      </c>
    </row>
    <row r="36" spans="3:3">
      <c r="C36" s="157" t="str">
        <f>IF(GeneticTestExpression!L10="*  ..  ##34###34# ##334###334#","//--- END",GeneticTestExpression!L10)</f>
        <v/>
      </c>
    </row>
    <row r="37" spans="3:3">
      <c r="C37" s="157" t="str">
        <f>IF(GeneticTestExpression!L11="*  ..  ##34###34# ##334###334#","//--- END",GeneticTestExpression!L11)</f>
        <v/>
      </c>
    </row>
    <row r="38" spans="3:3">
      <c r="C38" s="157" t="str">
        <f>IF(GeneticTestExpression!L12="*  ..  ##34###34# ##334###334#","//--- END",GeneticTestExpression!L12)</f>
        <v/>
      </c>
    </row>
    <row r="39" spans="3:3">
      <c r="C39" s="157" t="str">
        <f>IF(GeneticTestExpression!L13="*  ..  ##34###34# ##334###334#","//--- END",GeneticTestExpression!L13)</f>
        <v/>
      </c>
    </row>
    <row r="40" spans="3:3">
      <c r="C40" s="157" t="str">
        <f>IF(GeneticTestExpression!L14="*  ..  ##34###34# ##334###334#","//--- END",GeneticTestExpression!L14)</f>
        <v/>
      </c>
    </row>
    <row r="41" spans="3:3">
      <c r="C41" s="157" t="str">
        <f>IF(GeneticTestExpression!L15="*  ..  ##34###34# ##334###334#","//--- END",GeneticTestExpression!L15)</f>
        <v/>
      </c>
    </row>
    <row r="42" spans="3:3">
      <c r="C42" s="157" t="str">
        <f>IF(GeneticTestExpression!L16="*  ..  ##34###34# ##334###334#","//--- END",GeneticTestExpression!L16)</f>
        <v/>
      </c>
    </row>
    <row r="43" spans="3:3">
      <c r="C43" s="157" t="str">
        <f>IF(GeneticTestExpression!L17="*  ..  ##34###34# ##334###334#","//--- END",GeneticTestExpression!L17)</f>
        <v/>
      </c>
    </row>
    <row r="44" spans="3:3">
      <c r="C44" s="157" t="str">
        <f>IF(GeneticTestExpression!L18="*  ..  ##34###34# ##334###334#","//--- END",GeneticTestExpression!L18)</f>
        <v/>
      </c>
    </row>
    <row r="45" spans="3:3">
      <c r="C45" s="157" t="str">
        <f>IF(GeneticTestExpression!L19="*  ..  ##34###34# ##334###334#","//--- END",GeneticTestExpression!L19)</f>
        <v/>
      </c>
    </row>
    <row r="46" spans="3:3">
      <c r="C46" s="157" t="str">
        <f>IF(GeneticTestExpression!L20="*  ..  ##34###34# ##334###334#","//--- END",GeneticTestExpression!L20)</f>
        <v/>
      </c>
    </row>
    <row r="47" spans="3:3">
      <c r="C47" s="157" t="str">
        <f>IF(GeneticTestExpression!L21="*  ..  ##34###34# ##334###334#","//--- END",GeneticTestExpression!L21)</f>
        <v/>
      </c>
    </row>
    <row r="48" spans="3:3">
      <c r="C48" s="157" t="str">
        <f>IF(GeneticTestExpression!L22="*  ..  ##34###34# ##334###334#","//--- END",GeneticTestExpression!L22)</f>
        <v/>
      </c>
    </row>
    <row r="49" spans="3:3">
      <c r="C49" s="157" t="str">
        <f>IF(GeneticTestExpression!L23="*  ..  ##34###34# ##334###334#","//--- END",GeneticTestExpression!L23)</f>
        <v>//--- END</v>
      </c>
    </row>
    <row r="50" spans="3:3">
      <c r="C50" s="157" t="str">
        <f>IF(GeneticTestExpression!L24="*  ..  ##34###34# ##334###334#","//--- END",GeneticTestExpression!L24)</f>
        <v>//--- END</v>
      </c>
    </row>
    <row r="51" spans="3:3">
      <c r="C51" s="157" t="str">
        <f>IF(GeneticTestExpression!L25="*  ..  ##34###34# ##334###334#","//--- END",GeneticTestExpression!L25)</f>
        <v>//--- END</v>
      </c>
    </row>
    <row r="52" spans="3:3">
      <c r="C52" s="157" t="str">
        <f>IF(GeneticTestExpression!L26="*  ..  ##34###34# ##334###334#","//--- END",GeneticTestExpression!L26)</f>
        <v>//--- END</v>
      </c>
    </row>
    <row r="53" spans="3:3">
      <c r="C53" s="157" t="str">
        <f>IF(GeneticTestExpression!L27="*  ..  ##34###34# ##334###334#","//--- END",GeneticTestExpression!L27)</f>
        <v>//--- END</v>
      </c>
    </row>
    <row r="54" spans="3:3">
      <c r="C54" s="157"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J79" zoomScale="85" zoomScaleNormal="8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2411</v>
      </c>
      <c r="D3" s="62" t="s">
        <v>1791</v>
      </c>
      <c r="E3" s="118" t="str">
        <f>$C$1&amp;B14</f>
        <v>http://hl7.eu/fhir/ig/idea4rc/StructureDefinition/GeneticTestExpression</v>
      </c>
    </row>
    <row r="4" spans="1:19">
      <c r="B4" s="62" t="s">
        <v>16</v>
      </c>
      <c r="C4" s="28" t="s">
        <v>2412</v>
      </c>
      <c r="D4" s="62" t="s">
        <v>1792</v>
      </c>
      <c r="E4" s="169" t="s">
        <v>1804</v>
      </c>
      <c r="F4" s="170"/>
      <c r="G4" s="170"/>
    </row>
    <row r="5" spans="1:19">
      <c r="B5" s="62" t="s">
        <v>10</v>
      </c>
      <c r="C5" s="7" t="s">
        <v>2413</v>
      </c>
      <c r="D5" s="62"/>
      <c r="E5" s="7"/>
    </row>
    <row r="6" spans="1:19">
      <c r="B6" s="62" t="s">
        <v>18</v>
      </c>
      <c r="C6" s="56"/>
      <c r="D6" s="62" t="s">
        <v>1793</v>
      </c>
      <c r="E6" s="169" t="str">
        <f>E3</f>
        <v>http://hl7.eu/fhir/ig/idea4rc/StructureDefinition/GeneticTestExpression</v>
      </c>
      <c r="F6" s="170"/>
      <c r="G6" s="170"/>
    </row>
    <row r="7" spans="1:19">
      <c r="B7" s="62" t="s">
        <v>15</v>
      </c>
      <c r="C7" s="119"/>
      <c r="D7" s="62" t="s">
        <v>1794</v>
      </c>
      <c r="E7" s="169" t="str">
        <f>E4</f>
        <v>http://hl7.eu/fhir/ig/idea4rc/StructureDefinition/Condition-primaryCancer-eu-i4rc</v>
      </c>
      <c r="F7" s="170"/>
      <c r="G7" s="170"/>
    </row>
    <row r="8" spans="1:19" ht="59.75" thickBot="1">
      <c r="B8" s="62" t="s">
        <v>1795</v>
      </c>
      <c r="C8" s="7" t="s">
        <v>2413</v>
      </c>
      <c r="D8" s="160" t="s">
        <v>2418</v>
      </c>
      <c r="E8" s="7"/>
      <c r="I8" s="12" t="s">
        <v>1402</v>
      </c>
      <c r="J8" s="12" t="s">
        <v>1403</v>
      </c>
      <c r="K8" s="12" t="s">
        <v>1404</v>
      </c>
      <c r="L8" s="12" t="s">
        <v>1405</v>
      </c>
      <c r="M8" s="11" t="s">
        <v>1406</v>
      </c>
      <c r="P8" s="49" t="s">
        <v>1441</v>
      </c>
      <c r="Q8" s="49">
        <v>6</v>
      </c>
    </row>
    <row r="9" spans="1:19" ht="30.25" thickBot="1">
      <c r="B9" s="62" t="s">
        <v>1796</v>
      </c>
      <c r="C9" s="12" t="s">
        <v>2414</v>
      </c>
      <c r="D9" s="161"/>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GeneticTestExpression!B5</f>
        <v>GeneticTestExpression</v>
      </c>
      <c r="C14" s="11"/>
      <c r="D14" s="4" t="s">
        <v>1827</v>
      </c>
      <c r="E14" s="6"/>
      <c r="F14" s="64"/>
      <c r="G14" s="64"/>
      <c r="I14" s="12"/>
      <c r="J14" s="11"/>
      <c r="K14" s="11"/>
      <c r="L14" s="11"/>
      <c r="M14" s="63"/>
      <c r="N14" s="66"/>
    </row>
    <row r="15" spans="1:19" ht="73.75">
      <c r="A15" s="59"/>
      <c r="B15" s="11" t="str">
        <f>GeneticTestExpression!B8</f>
        <v>episodeEventReference</v>
      </c>
      <c r="C15" s="11" t="str">
        <f>GeneticTestExpression!C8</f>
        <v>Cancer Episode Reference</v>
      </c>
      <c r="D15" s="12"/>
      <c r="E15" s="12"/>
      <c r="F15" s="64" t="s">
        <v>1424</v>
      </c>
      <c r="G15" s="124" t="s">
        <v>2415</v>
      </c>
      <c r="I15" s="12" t="str">
        <f>"* group[=].element[+].code = #"&amp;$B$14&amp;"."&amp;B15</f>
        <v>* group[=].element[+].code = #GeneticTestExpression.episodeEventReference</v>
      </c>
      <c r="J15" s="12" t="str">
        <f t="shared" ref="J15" si="0">"* group[=].element[=].display = ##34#"&amp;C15&amp;"##34#"</f>
        <v>* group[=].element[=].display = ##34#Cancer Episode Reference##34#</v>
      </c>
      <c r="K15" s="12" t="str">
        <f t="shared" ref="K15" si="1">IF(F15="unmatched","//-- unmatched","* group[=].element[=].target.code = #"&amp;$D$14&amp;"."&amp;D15)</f>
        <v>//-- unmatched</v>
      </c>
      <c r="L15" s="12" t="str">
        <f t="shared" ref="L15" si="2">IF(F15="unmatched","//-- unmatched","* group[=].element[=].target.display = ##34#"&amp;E15&amp;"##34#")</f>
        <v>//-- unmatched</v>
      </c>
      <c r="M15" s="12" t="str">
        <f t="shared" ref="M15" si="3">"* group[=].element[=].target.equivalence = #"&amp;F15</f>
        <v>* group[=].element[=].target.equivalence = #unmatched</v>
      </c>
      <c r="N15" s="12" t="str">
        <f t="shared" ref="N15" si="4">IF(G15&lt;&gt;"",CONCATENATE("* group[=].element[=].target.comment = ","##34#",G15,"##34#"),"")</f>
        <v>* group[=].element[=].target.comment = ##34#The relationship is between EpisodeOfCare to the Primary Condition##34#</v>
      </c>
      <c r="P15" s="11">
        <v>1</v>
      </c>
      <c r="Q15" s="11">
        <f t="shared" ref="Q15" si="5">IF(MOD(P15,$Q$8)=0,P15/$Q$8-1,INT(P15/$Q$8))</f>
        <v>0</v>
      </c>
      <c r="R15" s="11">
        <f t="shared" ref="R15" si="6">IF(MOD(P15,$Q$8)=0,$Q$8,MOD(P15,$Q$8))</f>
        <v>1</v>
      </c>
      <c r="S15" s="12" t="str" cm="1">
        <f t="array" ref="S15">INDEX('GeneticTestExp-ConceptMap-1'!$I$15:$N$124,Q15+1,R15)</f>
        <v>* group[=].element[+].code = #GeneticTestExpression.episodeEventReference</v>
      </c>
    </row>
    <row r="16" spans="1:19" ht="59" customHeight="1">
      <c r="A16" s="59"/>
      <c r="B16" s="11" t="str">
        <f>GeneticTestExpression!B9</f>
        <v>geneExpressionAnalysisPerformed</v>
      </c>
      <c r="C16" s="11" t="str">
        <f>GeneticTestExpression!C9</f>
        <v>Cancer Episode Reference</v>
      </c>
      <c r="D16" s="12" t="s">
        <v>2416</v>
      </c>
      <c r="E16" s="12"/>
      <c r="F16" s="64" t="s">
        <v>1407</v>
      </c>
      <c r="G16" s="123" t="s">
        <v>2420</v>
      </c>
      <c r="I16" s="12" t="str">
        <f t="shared" ref="I16:I29" si="7">"* group[=].element[+].code = #"&amp;$B$14&amp;"."&amp;B16</f>
        <v>* group[=].element[+].code = #GeneticTestExpression.geneExpressionAnalysisPerformed</v>
      </c>
      <c r="J16" s="12" t="str">
        <f t="shared" ref="J16:J29" si="8">"* group[=].element[=].display = ##34#"&amp;C16&amp;"##34#"</f>
        <v>* group[=].element[=].display = ##34#Cancer Episode Reference##34#</v>
      </c>
      <c r="K16" s="12" t="str">
        <f t="shared" ref="K16:K29" si="9">IF(F16="unmatched","//-- unmatched","* group[=].element[=].target.code = #"&amp;$D$14&amp;"."&amp;D16)</f>
        <v>* group[=].element[=].target.code = #Condition.evidence:genetic-test.code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##34#if at least one evidence:genetic-test.code in a 'to be defined' Value Set exists##34#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c r="A17" s="59"/>
      <c r="B17" s="11" t="str">
        <f>GeneticTestExpression!B10</f>
        <v>dateOfGeneExpression</v>
      </c>
      <c r="C17" s="11" t="str">
        <f>GeneticTestExpression!C10</f>
        <v>Cancer Episode Reference</v>
      </c>
      <c r="D17" s="12" t="s">
        <v>2417</v>
      </c>
      <c r="E17" s="12"/>
      <c r="F17" s="64" t="s">
        <v>1407</v>
      </c>
      <c r="G17" s="123" t="s">
        <v>2419</v>
      </c>
      <c r="H17" s="58"/>
      <c r="I17" s="12" t="str">
        <f t="shared" si="7"/>
        <v>* group[=].element[+].code = #GeneticTestExpression.dateOfGeneExpression</v>
      </c>
      <c r="J17" s="12" t="str">
        <f t="shared" si="8"/>
        <v>* group[=].element[=].display = ##34#Cancer Episode Reference##34#</v>
      </c>
      <c r="K17" s="12" t="str">
        <f t="shared" si="9"/>
        <v>* group[=].element[=].target.code = #Condition.evidence:genetic-test.detail.effectiveDateTime</v>
      </c>
      <c r="L17" s="12" t="str">
        <f t="shared" si="10"/>
        <v>* group[=].element[=].target.display = ##34###34#</v>
      </c>
      <c r="M17" s="12" t="str">
        <f t="shared" si="11"/>
        <v>* group[=].element[=].target.equivalence = #relatedto</v>
      </c>
      <c r="N17" s="12" t="str">
        <f t="shared" si="12"/>
        <v>* group[=].element[=].target.comment = ##34#With evidence:genetic-test.detail.code in a 'to be defined' Value Set exists##34#</v>
      </c>
      <c r="P17" s="11">
        <v>3</v>
      </c>
      <c r="Q17" s="11">
        <f t="shared" si="13"/>
        <v>0</v>
      </c>
      <c r="R17" s="11">
        <f t="shared" si="14"/>
        <v>3</v>
      </c>
      <c r="S17" s="12" t="str" cm="1">
        <f t="array" ref="S17">INDEX('GeneticTestExp-ConceptMap-1'!$I$15:$N$124,Q17+1,R17)</f>
        <v>//-- unmatched</v>
      </c>
    </row>
    <row r="18" spans="1:19" ht="88.5">
      <c r="A18" s="59"/>
      <c r="B18" s="11" t="str">
        <f>GeneticTestExpression!B11</f>
        <v>geneMutationAnalysisPerformed</v>
      </c>
      <c r="C18" s="11" t="str">
        <f>GeneticTestExpression!C11</f>
        <v>Cancer Episode Reference</v>
      </c>
      <c r="D18" s="12" t="s">
        <v>2416</v>
      </c>
      <c r="E18" s="12"/>
      <c r="F18" s="64" t="s">
        <v>1407</v>
      </c>
      <c r="G18" s="123" t="s">
        <v>2420</v>
      </c>
      <c r="H18" s="58"/>
      <c r="I18" s="12" t="str">
        <f t="shared" si="7"/>
        <v>* group[=].element[+].code = #GeneticTestExpression.geneMutationAnalysisPerformed</v>
      </c>
      <c r="J18" s="12" t="str">
        <f t="shared" si="8"/>
        <v>* group[=].element[=].display = ##34#Cancer Episode Reference##34#</v>
      </c>
      <c r="K18" s="12" t="str">
        <f t="shared" si="9"/>
        <v>* group[=].element[=].target.code = #Condition.evidence:genetic-test.code</v>
      </c>
      <c r="L18" s="12" t="str">
        <f t="shared" si="10"/>
        <v>* group[=].element[=].target.display = ##34###34#</v>
      </c>
      <c r="M18" s="12" t="str">
        <f t="shared" si="11"/>
        <v>* group[=].element[=].target.equivalence = #relatedto</v>
      </c>
      <c r="N18" s="12" t="str">
        <f t="shared" si="12"/>
        <v>* group[=].element[=].target.comment = ##34#if at least one evidence:genetic-test.code in a 'to be defined' Value Set exists##34#</v>
      </c>
      <c r="P18" s="11">
        <v>4</v>
      </c>
      <c r="Q18" s="11">
        <f t="shared" si="13"/>
        <v>0</v>
      </c>
      <c r="R18" s="11">
        <f t="shared" si="14"/>
        <v>4</v>
      </c>
      <c r="S18" s="12" t="str" cm="1">
        <f t="array" ref="S18">INDEX('GeneticTestExp-ConceptMap-1'!$I$15:$N$124,Q18+1,R18)</f>
        <v>//-- unmatched</v>
      </c>
    </row>
    <row r="19" spans="1:19" ht="88.5">
      <c r="A19" s="59"/>
      <c r="B19" s="11" t="str">
        <f>GeneticTestExpression!B12</f>
        <v>dateOfGeneMutation</v>
      </c>
      <c r="C19" s="11" t="str">
        <f>GeneticTestExpression!C12</f>
        <v>Cancer Episode Reference</v>
      </c>
      <c r="D19" s="12" t="s">
        <v>2417</v>
      </c>
      <c r="E19" s="12"/>
      <c r="F19" s="64" t="s">
        <v>1407</v>
      </c>
      <c r="G19" s="123" t="s">
        <v>2419</v>
      </c>
      <c r="H19" s="58"/>
      <c r="I19" s="12" t="str">
        <f t="shared" si="7"/>
        <v>* group[=].element[+].code = #GeneticTestExpression.dateOfGeneMutation</v>
      </c>
      <c r="J19" s="12" t="str">
        <f t="shared" si="8"/>
        <v>* group[=].element[=].display = ##34#Cancer Episode Reference##34#</v>
      </c>
      <c r="K19" s="12" t="str">
        <f t="shared" si="9"/>
        <v>* group[=].element[=].target.code = #Condition.evidence:genetic-test.detail.effectiveDateTime</v>
      </c>
      <c r="L19" s="12" t="str">
        <f t="shared" si="10"/>
        <v>* group[=].element[=].target.display = ##34###34#</v>
      </c>
      <c r="M19" s="12" t="str">
        <f t="shared" si="11"/>
        <v>* group[=].element[=].target.equivalence = #relatedto</v>
      </c>
      <c r="N19" s="12" t="str">
        <f t="shared" si="12"/>
        <v>* group[=].element[=].target.comment = ##34#With evidence:genetic-test.detail.code in a 'to be defined' Value Set exists##34#</v>
      </c>
      <c r="P19" s="11">
        <v>5</v>
      </c>
      <c r="Q19" s="11">
        <f t="shared" si="13"/>
        <v>0</v>
      </c>
      <c r="R19" s="11">
        <f t="shared" si="14"/>
        <v>5</v>
      </c>
      <c r="S19" s="12" t="str" cm="1">
        <f t="array" ref="S19">INDEX('GeneticTestExp-ConceptMap-1'!$I$15:$N$124,Q19+1,R19)</f>
        <v>* group[=].element[=].target.equivalence = #unmatched</v>
      </c>
    </row>
    <row r="20" spans="1:19" ht="88.5">
      <c r="A20" s="59"/>
      <c r="B20" s="11" t="str">
        <f>GeneticTestExpression!B13</f>
        <v>testsForChromosomeTranslocationsPerformed</v>
      </c>
      <c r="C20" s="11" t="str">
        <f>GeneticTestExpression!C13</f>
        <v>Cancer Episode Reference</v>
      </c>
      <c r="D20" s="12" t="s">
        <v>2416</v>
      </c>
      <c r="E20" s="12"/>
      <c r="F20" s="64" t="s">
        <v>1407</v>
      </c>
      <c r="G20" s="123" t="s">
        <v>2420</v>
      </c>
      <c r="H20" s="58"/>
      <c r="I20" s="12" t="str">
        <f t="shared" si="7"/>
        <v>* group[=].element[+].code = #GeneticTestExpression.testsForChromosomeTranslocationsPerformed</v>
      </c>
      <c r="J20" s="12" t="str">
        <f t="shared" si="8"/>
        <v>* group[=].element[=].display = ##34#Cancer Episode Reference##34#</v>
      </c>
      <c r="K20" s="12" t="str">
        <f t="shared" si="9"/>
        <v>* group[=].element[=].target.code = #Condition.evidence:genetic-test.code</v>
      </c>
      <c r="L20" s="12" t="str">
        <f t="shared" si="10"/>
        <v>* group[=].element[=].target.display = ##34###34#</v>
      </c>
      <c r="M20" s="12" t="str">
        <f t="shared" si="11"/>
        <v>* group[=].element[=].target.equivalence = #relatedto</v>
      </c>
      <c r="N20" s="12" t="str">
        <f t="shared" si="12"/>
        <v>* group[=].element[=].target.comment = ##34#if at least one evidence:genetic-test.code in a 'to be defined' Value Set exists##34#</v>
      </c>
      <c r="P20" s="11">
        <v>6</v>
      </c>
      <c r="Q20" s="11">
        <f t="shared" si="13"/>
        <v>0</v>
      </c>
      <c r="R20" s="11">
        <f t="shared" si="14"/>
        <v>6</v>
      </c>
      <c r="S20" s="12" t="str" cm="1">
        <f t="array" ref="S20">INDEX('GeneticTestExp-ConceptMap-1'!$I$15:$N$124,Q20+1,R20)</f>
        <v>* group[=].element[=].target.comment = ##34#The relationship is between EpisodeOfCare to the Primary Condition##34#</v>
      </c>
    </row>
    <row r="21" spans="1:19" ht="88.5">
      <c r="A21" s="59"/>
      <c r="B21" s="11" t="str">
        <f>GeneticTestExpression!B14</f>
        <v>dateOfTraslocation</v>
      </c>
      <c r="C21" s="11" t="str">
        <f>GeneticTestExpression!C14</f>
        <v>Cancer Episode Reference</v>
      </c>
      <c r="D21" s="12" t="s">
        <v>2417</v>
      </c>
      <c r="E21" s="12"/>
      <c r="F21" s="64" t="s">
        <v>1407</v>
      </c>
      <c r="G21" s="123" t="s">
        <v>2419</v>
      </c>
      <c r="H21" s="58"/>
      <c r="I21" s="12" t="str">
        <f t="shared" si="7"/>
        <v>* group[=].element[+].code = #GeneticTestExpression.dateOfTraslocation</v>
      </c>
      <c r="J21" s="12" t="str">
        <f t="shared" si="8"/>
        <v>* group[=].element[=].display = ##34#Cancer Episode Reference##34#</v>
      </c>
      <c r="K21" s="12" t="str">
        <f t="shared" si="9"/>
        <v>* group[=].element[=].target.code = #Condition.evidence:genetic-test.detail.effectiveDateTime</v>
      </c>
      <c r="L21" s="12" t="str">
        <f t="shared" si="10"/>
        <v>* group[=].element[=].target.display = ##34###34#</v>
      </c>
      <c r="M21" s="12" t="str">
        <f t="shared" si="11"/>
        <v>* group[=].element[=].target.equivalence = #relatedto</v>
      </c>
      <c r="N21" s="12" t="str">
        <f t="shared" si="12"/>
        <v>* group[=].element[=].target.comment = ##34#With evidence:genetic-test.detail.code in a 'to be defined' Value Set exists##34#</v>
      </c>
      <c r="P21" s="11">
        <v>7</v>
      </c>
      <c r="Q21" s="11">
        <f t="shared" si="13"/>
        <v>1</v>
      </c>
      <c r="R21" s="11">
        <f t="shared" si="14"/>
        <v>1</v>
      </c>
      <c r="S21" s="12" t="str" cm="1">
        <f t="array" ref="S21">INDEX('GeneticTestExp-ConceptMap-1'!$I$15:$N$124,Q21+1,R21)</f>
        <v>* group[=].element[+].code = #GeneticTestExpression.geneExpressionAnalysisPerformed</v>
      </c>
    </row>
    <row r="22" spans="1:19" ht="88.5">
      <c r="A22" s="59"/>
      <c r="B22" s="11" t="str">
        <f>GeneticTestExpression!B15</f>
        <v>nextGenerationSequencingNgsPerformed</v>
      </c>
      <c r="C22" s="11" t="str">
        <f>GeneticTestExpression!C15</f>
        <v>Cancer Episode Reference</v>
      </c>
      <c r="D22" s="12" t="s">
        <v>2416</v>
      </c>
      <c r="E22" s="12"/>
      <c r="F22" s="64" t="s">
        <v>1407</v>
      </c>
      <c r="G22" s="123" t="s">
        <v>2420</v>
      </c>
      <c r="H22" s="58"/>
      <c r="I22" s="12" t="str">
        <f t="shared" si="7"/>
        <v>* group[=].element[+].code = #GeneticTestExpression.nextGenerationSequencingNgsPerformed</v>
      </c>
      <c r="J22" s="12" t="str">
        <f t="shared" si="8"/>
        <v>* group[=].element[=].display = ##34#Cancer Episode Reference##34#</v>
      </c>
      <c r="K22" s="12" t="str">
        <f t="shared" si="9"/>
        <v>* group[=].element[=].target.code = #Condition.evidence:genetic-test.code</v>
      </c>
      <c r="L22" s="12" t="str">
        <f t="shared" si="10"/>
        <v>* group[=].element[=].target.display = ##34###34#</v>
      </c>
      <c r="M22" s="12" t="str">
        <f t="shared" si="11"/>
        <v>* group[=].element[=].target.equivalence = #relatedto</v>
      </c>
      <c r="N22" s="12" t="str">
        <f t="shared" si="12"/>
        <v>* group[=].element[=].target.comment = ##34#if at least one evidence:genetic-test.code in a 'to be defined' Value Set exists##34#</v>
      </c>
      <c r="P22" s="11">
        <v>8</v>
      </c>
      <c r="Q22" s="11">
        <f t="shared" si="13"/>
        <v>1</v>
      </c>
      <c r="R22" s="11">
        <f t="shared" si="14"/>
        <v>2</v>
      </c>
      <c r="S22" s="12" t="str" cm="1">
        <f t="array" ref="S22">INDEX('GeneticTestExp-ConceptMap-1'!$I$15:$N$124,Q22+1,R22)</f>
        <v>* group[=].element[=].display = ##34#Cancer Episode Reference##34#</v>
      </c>
    </row>
    <row r="23" spans="1:19" ht="88.5">
      <c r="A23" s="59"/>
      <c r="B23" s="11" t="str">
        <f>GeneticTestExpression!B16</f>
        <v>dateOfNgs</v>
      </c>
      <c r="C23" s="11" t="str">
        <f>GeneticTestExpression!C16</f>
        <v>Cancer Episode Reference</v>
      </c>
      <c r="D23" s="12" t="s">
        <v>2417</v>
      </c>
      <c r="E23" s="12"/>
      <c r="F23" s="64" t="s">
        <v>1407</v>
      </c>
      <c r="G23" s="123" t="s">
        <v>2419</v>
      </c>
      <c r="H23" s="58"/>
      <c r="I23" s="12" t="str">
        <f t="shared" si="7"/>
        <v>* group[=].element[+].code = #GeneticTestExpression.dateOfNgs</v>
      </c>
      <c r="J23" s="12" t="str">
        <f t="shared" si="8"/>
        <v>* group[=].element[=].display = ##34#Cancer Episode Reference##34#</v>
      </c>
      <c r="K23" s="12" t="str">
        <f t="shared" si="9"/>
        <v>* group[=].element[=].target.code = #Condition.evidence:genetic-test.detail.effectiveDateTime</v>
      </c>
      <c r="L23" s="12" t="str">
        <f t="shared" si="10"/>
        <v>* group[=].element[=].target.display = ##34###34#</v>
      </c>
      <c r="M23" s="12" t="str">
        <f t="shared" si="11"/>
        <v>* group[=].element[=].target.equivalence = #relatedto</v>
      </c>
      <c r="N23" s="12" t="str">
        <f t="shared" si="12"/>
        <v>* group[=].element[=].target.comment = ##34#With evidence:genetic-test.detail.code in a 'to be defined' Value Set exists##34#</v>
      </c>
      <c r="P23" s="11">
        <v>9</v>
      </c>
      <c r="Q23" s="11">
        <f t="shared" si="13"/>
        <v>1</v>
      </c>
      <c r="R23" s="11">
        <f t="shared" si="14"/>
        <v>3</v>
      </c>
      <c r="S23" s="12" t="str" cm="1">
        <f t="array" ref="S23">INDEX('GeneticTestExp-ConceptMap-1'!$I$15:$N$124,Q23+1,R23)</f>
        <v>* group[=].element[=].target.code = #Condition.evidence:genetic-test.code</v>
      </c>
    </row>
    <row r="24" spans="1:19" ht="29.5" customHeight="1">
      <c r="A24" s="59"/>
      <c r="B24" s="11" t="str">
        <f>GeneticTestExpression!B17</f>
        <v>polymeraseChainReactionPcrTestPerformed</v>
      </c>
      <c r="C24" s="11" t="str">
        <f>GeneticTestExpression!C17</f>
        <v>Cancer Episode Reference</v>
      </c>
      <c r="D24" s="12" t="s">
        <v>2416</v>
      </c>
      <c r="E24" s="12"/>
      <c r="F24" s="64" t="s">
        <v>1407</v>
      </c>
      <c r="G24" s="123" t="s">
        <v>2420</v>
      </c>
      <c r="H24" s="58"/>
      <c r="I24" s="12" t="str">
        <f t="shared" si="7"/>
        <v>* group[=].element[+].code = #GeneticTestExpression.polymeraseChainReactionPcrTestPerformed</v>
      </c>
      <c r="J24" s="12" t="str">
        <f t="shared" si="8"/>
        <v>* group[=].element[=].display = ##34#Cancer Episode Reference##34#</v>
      </c>
      <c r="K24" s="12" t="str">
        <f t="shared" si="9"/>
        <v>* group[=].element[=].target.code = #Condition.evidence:genetic-test.code</v>
      </c>
      <c r="L24" s="12" t="str">
        <f t="shared" si="10"/>
        <v>* group[=].element[=].target.display = ##34###34#</v>
      </c>
      <c r="M24" s="12" t="str">
        <f t="shared" si="11"/>
        <v>* group[=].element[=].target.equivalence = #relatedto</v>
      </c>
      <c r="N24" s="12" t="str">
        <f t="shared" si="12"/>
        <v>* group[=].element[=].target.comment = ##34#if at least one evidence:genetic-test.code in a 'to be defined' Value Set exists##34#</v>
      </c>
      <c r="P24" s="11">
        <v>10</v>
      </c>
      <c r="Q24" s="11">
        <f t="shared" si="13"/>
        <v>1</v>
      </c>
      <c r="R24" s="11">
        <f t="shared" si="14"/>
        <v>4</v>
      </c>
      <c r="S24" s="12" t="str" cm="1">
        <f t="array" ref="S24">INDEX('GeneticTestExp-ConceptMap-1'!$I$15:$N$124,Q24+1,R24)</f>
        <v>* group[=].element[=].target.display = ##34###34#</v>
      </c>
    </row>
    <row r="25" spans="1:19" ht="88.5">
      <c r="A25" s="59"/>
      <c r="B25" s="11" t="str">
        <f>GeneticTestExpression!B18</f>
        <v>dateOfPcr</v>
      </c>
      <c r="C25" s="11" t="str">
        <f>GeneticTestExpression!C18</f>
        <v>Cancer Episode Reference</v>
      </c>
      <c r="D25" s="12" t="s">
        <v>2417</v>
      </c>
      <c r="E25" s="12"/>
      <c r="F25" s="64" t="s">
        <v>1407</v>
      </c>
      <c r="G25" s="123" t="s">
        <v>2419</v>
      </c>
      <c r="H25" s="58"/>
      <c r="I25" s="12" t="str">
        <f t="shared" si="7"/>
        <v>* group[=].element[+].code = #GeneticTestExpression.dateOfPcr</v>
      </c>
      <c r="J25" s="12" t="str">
        <f t="shared" si="8"/>
        <v>* group[=].element[=].display = ##34#Cancer Episode Reference##34#</v>
      </c>
      <c r="K25" s="12" t="str">
        <f t="shared" si="9"/>
        <v>* group[=].element[=].target.code = #Condition.evidence:genetic-test.detail.effectiveDateTime</v>
      </c>
      <c r="L25" s="12" t="str">
        <f t="shared" si="10"/>
        <v>* group[=].element[=].target.display = ##34###34#</v>
      </c>
      <c r="M25" s="12" t="str">
        <f t="shared" si="11"/>
        <v>* group[=].element[=].target.equivalence = #relatedto</v>
      </c>
      <c r="N25" s="12" t="str">
        <f t="shared" si="12"/>
        <v>* group[=].element[=].target.comment = ##34#With evidence:genetic-test.detail.code in a 'to be defined' Value Set exists##34#</v>
      </c>
      <c r="P25" s="11">
        <v>11</v>
      </c>
      <c r="Q25" s="11">
        <f t="shared" si="13"/>
        <v>1</v>
      </c>
      <c r="R25" s="11">
        <f t="shared" si="14"/>
        <v>5</v>
      </c>
      <c r="S25" s="12" t="str" cm="1">
        <f t="array" ref="S25">INDEX('GeneticTestExp-ConceptMap-1'!$I$15:$N$124,Q25+1,R25)</f>
        <v>* group[=].element[=].target.equivalence = #relatedto</v>
      </c>
    </row>
    <row r="26" spans="1:19" ht="88.5">
      <c r="A26" s="59"/>
      <c r="B26" s="11" t="str">
        <f>GeneticTestExpression!B19</f>
        <v>immunohistochemistryPerformed</v>
      </c>
      <c r="C26" s="11" t="str">
        <f>GeneticTestExpression!C19</f>
        <v>Cancer Episode Reference</v>
      </c>
      <c r="D26" s="12" t="s">
        <v>2416</v>
      </c>
      <c r="E26" s="12"/>
      <c r="F26" s="64" t="s">
        <v>1407</v>
      </c>
      <c r="G26" s="123" t="s">
        <v>2420</v>
      </c>
      <c r="H26" s="58"/>
      <c r="I26" s="12" t="str">
        <f t="shared" si="7"/>
        <v>* group[=].element[+].code = #GeneticTestExpression.immunohistochemistryPerformed</v>
      </c>
      <c r="J26" s="12" t="str">
        <f t="shared" si="8"/>
        <v>* group[=].element[=].display = ##34#Cancer Episode Reference##34#</v>
      </c>
      <c r="K26" s="12" t="str">
        <f t="shared" si="9"/>
        <v>* group[=].element[=].target.code = #Condition.evidence:genetic-test.code</v>
      </c>
      <c r="L26" s="12" t="str">
        <f t="shared" si="10"/>
        <v>* group[=].element[=].target.display = ##34###34#</v>
      </c>
      <c r="M26" s="12" t="str">
        <f t="shared" si="11"/>
        <v>* group[=].element[=].target.equivalence = #relatedto</v>
      </c>
      <c r="N26" s="12" t="str">
        <f t="shared" si="12"/>
        <v>* group[=].element[=].target.comment = ##34#if at least one evidence:genetic-test.code in a 'to be defined' Value Set exists##34#</v>
      </c>
      <c r="P26" s="11">
        <v>12</v>
      </c>
      <c r="Q26" s="11">
        <f t="shared" si="13"/>
        <v>1</v>
      </c>
      <c r="R26" s="11">
        <f t="shared" si="14"/>
        <v>6</v>
      </c>
      <c r="S26" s="12" t="str" cm="1">
        <f t="array" ref="S26">INDEX('GeneticTestExp-ConceptMap-1'!$I$15:$N$124,Q26+1,R26)</f>
        <v>* group[=].element[=].target.comment = ##34#if at least one evidence:genetic-test.code in a 'to be defined' Value Set exists##34#</v>
      </c>
    </row>
    <row r="27" spans="1:19" ht="88.5">
      <c r="A27" s="59"/>
      <c r="B27" s="11" t="str">
        <f>GeneticTestExpression!B20</f>
        <v>dateOfImmunohistochemistry</v>
      </c>
      <c r="C27" s="11" t="str">
        <f>GeneticTestExpression!C20</f>
        <v>Cancer Episode Reference</v>
      </c>
      <c r="D27" s="12" t="s">
        <v>2417</v>
      </c>
      <c r="E27" s="12"/>
      <c r="F27" s="64" t="s">
        <v>1407</v>
      </c>
      <c r="G27" s="123" t="s">
        <v>2419</v>
      </c>
      <c r="H27" s="58"/>
      <c r="I27" s="12" t="str">
        <f t="shared" si="7"/>
        <v>* group[=].element[+].code = #GeneticTestExpression.dateOfImmunohistochemistry</v>
      </c>
      <c r="J27" s="12" t="str">
        <f t="shared" si="8"/>
        <v>* group[=].element[=].display = ##34#Cancer Episode Reference##34#</v>
      </c>
      <c r="K27" s="12" t="str">
        <f t="shared" si="9"/>
        <v>* group[=].element[=].target.code = #Condition.evidence:genetic-test.detail.effectiveDateTime</v>
      </c>
      <c r="L27" s="12" t="str">
        <f t="shared" si="10"/>
        <v>* group[=].element[=].target.display = ##34###34#</v>
      </c>
      <c r="M27" s="12" t="str">
        <f t="shared" si="11"/>
        <v>* group[=].element[=].target.equivalence = #relatedto</v>
      </c>
      <c r="N27" s="12" t="str">
        <f t="shared" si="12"/>
        <v>* group[=].element[=].target.comment = ##34#With evidence:genetic-test.detail.code in a 'to be defined' Value Set exists##34#</v>
      </c>
      <c r="P27" s="11">
        <v>13</v>
      </c>
      <c r="Q27" s="11">
        <f t="shared" si="13"/>
        <v>2</v>
      </c>
      <c r="R27" s="11">
        <f t="shared" si="14"/>
        <v>1</v>
      </c>
      <c r="S27" s="12" t="str" cm="1">
        <f t="array" ref="S27">INDEX('GeneticTestExp-ConceptMap-1'!$I$15:$N$124,Q27+1,R27)</f>
        <v>* group[=].element[+].code = #GeneticTestExpression.dateOfGeneExpression</v>
      </c>
    </row>
    <row r="28" spans="1:19" ht="88.5">
      <c r="B28" s="11" t="str">
        <f>GeneticTestExpression!B21</f>
        <v>circulatingTumourDnaCtdnaPerformed</v>
      </c>
      <c r="C28" s="11" t="str">
        <f>GeneticTestExpression!C21</f>
        <v>Cancer Episode Reference</v>
      </c>
      <c r="D28" s="12" t="s">
        <v>2416</v>
      </c>
      <c r="E28" s="12"/>
      <c r="F28" s="64" t="s">
        <v>1407</v>
      </c>
      <c r="G28" s="123" t="s">
        <v>2420</v>
      </c>
      <c r="H28" s="58"/>
      <c r="I28" s="12" t="str">
        <f t="shared" si="7"/>
        <v>* group[=].element[+].code = #GeneticTestExpression.circulatingTumourDnaCtdnaPerformed</v>
      </c>
      <c r="J28" s="12" t="str">
        <f t="shared" si="8"/>
        <v>* group[=].element[=].display = ##34#Cancer Episode Reference##34#</v>
      </c>
      <c r="K28" s="12" t="str">
        <f t="shared" si="9"/>
        <v>* group[=].element[=].target.code = #Condition.evidence:genetic-test.code</v>
      </c>
      <c r="L28" s="12" t="str">
        <f t="shared" si="10"/>
        <v>* group[=].element[=].target.display = ##34###34#</v>
      </c>
      <c r="M28" s="12" t="str">
        <f t="shared" si="11"/>
        <v>* group[=].element[=].target.equivalence = #relatedto</v>
      </c>
      <c r="N28" s="12" t="str">
        <f t="shared" si="12"/>
        <v>* group[=].element[=].target.comment = ##34#if at least one evidence:genetic-test.code in a 'to be defined' Value Set exists##34#</v>
      </c>
      <c r="P28" s="11">
        <v>14</v>
      </c>
      <c r="Q28" s="11">
        <f t="shared" si="13"/>
        <v>2</v>
      </c>
      <c r="R28" s="11">
        <f t="shared" si="14"/>
        <v>2</v>
      </c>
      <c r="S28" s="12" t="str" cm="1">
        <f t="array" ref="S28">INDEX('GeneticTestExp-ConceptMap-1'!$I$15:$N$124,Q28+1,R28)</f>
        <v>* group[=].element[=].display = ##34#Cancer Episode Reference##34#</v>
      </c>
    </row>
    <row r="29" spans="1:19" ht="88.5">
      <c r="B29" s="11" t="str">
        <f>GeneticTestExpression!B22</f>
        <v>dateOfCtdna</v>
      </c>
      <c r="C29" s="11" t="str">
        <f>GeneticTestExpression!C22</f>
        <v>Cancer Episode Reference</v>
      </c>
      <c r="D29" s="12" t="s">
        <v>2417</v>
      </c>
      <c r="E29" s="12"/>
      <c r="F29" s="64" t="s">
        <v>1407</v>
      </c>
      <c r="G29" s="123" t="s">
        <v>2419</v>
      </c>
      <c r="H29" s="58"/>
      <c r="I29" s="12" t="str">
        <f t="shared" si="7"/>
        <v>* group[=].element[+].code = #GeneticTestExpression.dateOfCtdna</v>
      </c>
      <c r="J29" s="12" t="str">
        <f t="shared" si="8"/>
        <v>* group[=].element[=].display = ##34#Cancer Episode Reference##34#</v>
      </c>
      <c r="K29" s="12" t="str">
        <f t="shared" si="9"/>
        <v>* group[=].element[=].target.code = #Condition.evidence:genetic-test.detail.effectiveDateTime</v>
      </c>
      <c r="L29" s="12" t="str">
        <f t="shared" si="10"/>
        <v>* group[=].element[=].target.display = ##34###34#</v>
      </c>
      <c r="M29" s="12" t="str">
        <f t="shared" si="11"/>
        <v>* group[=].element[=].target.equivalence = #relatedto</v>
      </c>
      <c r="N29" s="12" t="str">
        <f t="shared" si="12"/>
        <v>* group[=].element[=].target.comment = ##34#With evidence:genetic-test.detail.code in a 'to be defined' Value Set exists##34#</v>
      </c>
      <c r="P29" s="11">
        <v>15</v>
      </c>
      <c r="Q29" s="11">
        <f t="shared" si="13"/>
        <v>2</v>
      </c>
      <c r="R29" s="11">
        <f t="shared" si="14"/>
        <v>3</v>
      </c>
      <c r="S29" s="12" t="str" cm="1">
        <f t="array" ref="S29">INDEX('GeneticTestExp-ConceptMap-1'!$I$15:$N$124,Q29+1,R29)</f>
        <v>* group[=].element[=].target.code = #Condition.evidence:genetic-test.detail.effectiveDateTime</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INDEX('GeneticTestExp-ConceptMap-1'!$I$15:$N$124,Q31+1,R31)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13"/>
        <v>2</v>
      </c>
      <c r="R32" s="11">
        <f t="shared" si="14"/>
        <v>6</v>
      </c>
      <c r="S32" s="12" t="str" cm="1">
        <f t="array" ref="S32">INDEX('GeneticTestExp-ConceptMap-1'!$I$15:$N$124,Q32+1,R32)</f>
        <v>* group[=].element[=].target.comment = ##34#With evidence:genetic-test.detail.code in a 'to be defined' Value Set exists##34#</v>
      </c>
    </row>
    <row r="33" spans="1:19" ht="29.5">
      <c r="B33" s="11"/>
      <c r="C33" s="11"/>
      <c r="D33" s="12"/>
      <c r="E33" s="12"/>
      <c r="F33" s="64"/>
      <c r="G33" s="124"/>
      <c r="H33" s="58"/>
      <c r="I33" s="12"/>
      <c r="J33" s="12"/>
      <c r="K33" s="12"/>
      <c r="L33" s="12"/>
      <c r="M33" s="12"/>
      <c r="N33" s="12"/>
      <c r="P33" s="11">
        <v>19</v>
      </c>
      <c r="Q33" s="11">
        <f t="shared" si="13"/>
        <v>3</v>
      </c>
      <c r="R33" s="11">
        <f t="shared" si="14"/>
        <v>1</v>
      </c>
      <c r="S33" s="12" t="str" cm="1">
        <f t="array" ref="S33">INDEX('GeneticTestExp-ConceptMap-1'!$I$15:$N$124,Q33+1,R33)</f>
        <v>* group[=].element[+].code = #GeneticTestExpression.geneMutationAnalysisPerformed</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INDEX('GeneticTestExp-ConceptMap-1'!$I$15:$N$124,Q34+1,R34)</f>
        <v>* group[=].element[=].display = ##34#Cancer Episode Reference##34#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#Condition.evidence:genetic-test.code</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INDEX('GeneticTestExp-ConceptMap-1'!$I$15:$N$124,Q37+1,R37)</f>
        <v>* group[=].element[=].target.equivalence = #relatedto</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INDEX('GeneticTestExp-ConceptMap-1'!$I$15:$N$124,Q38+1,R38)</f>
        <v>* group[=].element[=].target.comment = ##34#if at least one evidence:genetic-test.code in a 'to be defined' Value Set exists##34#</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INDEX('GeneticTestExp-ConceptMap-1'!$I$15:$N$124,Q39+1,R39)</f>
        <v>* group[=].element[+].code = #GeneticTestExpression.dateOfGeneMutation</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INDEX('GeneticTestExp-ConceptMap-1'!$I$15:$N$124,Q40+1,R40)</f>
        <v>* group[=].element[=].display = ##34#Cancer Episode Reference##34#</v>
      </c>
    </row>
    <row r="41" spans="1:19" s="2" customFormat="1" ht="29.5">
      <c r="A41"/>
      <c r="B41" s="11"/>
      <c r="C41" s="11"/>
      <c r="D41" s="12"/>
      <c r="E41" s="12"/>
      <c r="F41" s="64"/>
      <c r="G41" s="124"/>
      <c r="H41" s="58"/>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#Condition.evidence:genetic-test.detail.effectiveDateTime</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INDEX('GeneticTestExp-ConceptMap-1'!$I$15:$N$124,Q42+1,R42)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INDEX('GeneticTestExp-ConceptMap-1'!$I$15:$N$124,Q43+1,R43)</f>
        <v>* group[=].element[=].target.equivalence = #relatedto</v>
      </c>
    </row>
    <row r="44" spans="1:19" s="2" customFormat="1" ht="29.5">
      <c r="A44"/>
      <c r="B44" s="11"/>
      <c r="C44" s="11"/>
      <c r="D44" s="12"/>
      <c r="E44" s="12"/>
      <c r="F44" s="64"/>
      <c r="G44" s="124"/>
      <c r="H44" s="58"/>
      <c r="J44" s="58"/>
      <c r="K44" s="58"/>
      <c r="L44" s="58"/>
      <c r="M44" s="66"/>
      <c r="N44" s="66"/>
      <c r="P44" s="11">
        <v>30</v>
      </c>
      <c r="Q44" s="11">
        <f t="shared" si="13"/>
        <v>4</v>
      </c>
      <c r="R44" s="11">
        <f t="shared" si="14"/>
        <v>6</v>
      </c>
      <c r="S44" s="12" t="str" cm="1">
        <f t="array" ref="S44">INDEX('GeneticTestExp-ConceptMap-1'!$I$15:$N$124,Q44+1,R44)</f>
        <v>* group[=].element[=].target.comment = ##34#With evidence:genetic-test.detail.code in a 'to be defined' Value Set exists##34#</v>
      </c>
    </row>
    <row r="45" spans="1:19" ht="29.5">
      <c r="B45" s="11"/>
      <c r="C45" s="11"/>
      <c r="D45" s="12"/>
      <c r="E45" s="12"/>
      <c r="F45" s="64"/>
      <c r="G45" s="124"/>
      <c r="P45" s="11">
        <v>31</v>
      </c>
      <c r="Q45" s="11">
        <f t="shared" si="13"/>
        <v>5</v>
      </c>
      <c r="R45" s="11">
        <f t="shared" si="14"/>
        <v>1</v>
      </c>
      <c r="S45" s="12" t="str" cm="1">
        <f t="array" ref="S45">INDEX('GeneticTestExp-ConceptMap-1'!$I$15:$N$124,Q45+1,R45)</f>
        <v>* group[=].element[+].code = #GeneticTestExpression.testsForChromosomeTranslocationsPerformed</v>
      </c>
    </row>
    <row r="46" spans="1:19">
      <c r="B46" s="11"/>
      <c r="C46" s="11"/>
      <c r="D46" s="12"/>
      <c r="E46" s="12"/>
      <c r="F46" s="64"/>
      <c r="G46" s="124"/>
      <c r="P46" s="11">
        <v>32</v>
      </c>
      <c r="Q46" s="11">
        <f t="shared" si="13"/>
        <v>5</v>
      </c>
      <c r="R46" s="11">
        <f t="shared" si="14"/>
        <v>2</v>
      </c>
      <c r="S46" s="12" t="str" cm="1">
        <f t="array" ref="S46">INDEX('GeneticTestExp-ConceptMap-1'!$I$15:$N$124,Q46+1,R46)</f>
        <v>* group[=].element[=].display = ##34#Cancer Episode Reference##34#</v>
      </c>
    </row>
    <row r="47" spans="1:19">
      <c r="B47" s="11"/>
      <c r="C47" s="11"/>
      <c r="D47" s="12"/>
      <c r="E47" s="12"/>
      <c r="F47" s="64"/>
      <c r="G47" s="124"/>
      <c r="P47" s="11">
        <v>33</v>
      </c>
      <c r="Q47" s="11">
        <f t="shared" si="13"/>
        <v>5</v>
      </c>
      <c r="R47" s="11">
        <f t="shared" si="14"/>
        <v>3</v>
      </c>
      <c r="S47" s="12" t="str" cm="1">
        <f t="array" ref="S47">INDEX('GeneticTestExp-ConceptMap-1'!$I$15:$N$124,Q47+1,R47)</f>
        <v>* group[=].element[=].target.code = #Condition.evidence:genetic-test.code</v>
      </c>
    </row>
    <row r="48" spans="1:19">
      <c r="B48" s="11"/>
      <c r="C48" s="11"/>
      <c r="D48" s="12"/>
      <c r="E48" s="12"/>
      <c r="F48" s="64"/>
      <c r="G48" s="124"/>
      <c r="P48" s="11">
        <v>34</v>
      </c>
      <c r="Q48" s="11">
        <f t="shared" si="13"/>
        <v>5</v>
      </c>
      <c r="R48" s="11">
        <f t="shared" si="14"/>
        <v>4</v>
      </c>
      <c r="S48" s="12" t="str" cm="1">
        <f t="array" ref="S48">INDEX('GeneticTestExp-ConceptMap-1'!$I$15:$N$124,Q48+1,R48)</f>
        <v>* group[=].element[=].target.display = ##34###34#</v>
      </c>
    </row>
    <row r="49" spans="2:19">
      <c r="B49" s="11"/>
      <c r="C49" s="11"/>
      <c r="D49" s="12"/>
      <c r="E49" s="12"/>
      <c r="F49" s="64"/>
      <c r="G49" s="124"/>
      <c r="P49" s="11">
        <v>35</v>
      </c>
      <c r="Q49" s="11">
        <f t="shared" si="13"/>
        <v>5</v>
      </c>
      <c r="R49" s="11">
        <f t="shared" si="14"/>
        <v>5</v>
      </c>
      <c r="S49" s="12" t="str" cm="1">
        <f t="array" ref="S49">INDEX('GeneticTestExp-ConceptMap-1'!$I$15:$N$124,Q49+1,R49)</f>
        <v>* group[=].element[=].target.equivalence = #relatedto</v>
      </c>
    </row>
    <row r="50" spans="2:19" ht="29.5">
      <c r="B50" s="11"/>
      <c r="C50" s="11"/>
      <c r="D50" s="12"/>
      <c r="E50" s="12"/>
      <c r="F50" s="64"/>
      <c r="G50" s="124"/>
      <c r="P50" s="11">
        <v>36</v>
      </c>
      <c r="Q50" s="11">
        <f t="shared" si="13"/>
        <v>5</v>
      </c>
      <c r="R50" s="11">
        <f t="shared" si="14"/>
        <v>6</v>
      </c>
      <c r="S50" s="12" t="str" cm="1">
        <f t="array" ref="S50">INDEX('GeneticTestExp-ConceptMap-1'!$I$15:$N$124,Q50+1,R50)</f>
        <v>* group[=].element[=].target.comment = ##34#if at least one evidence:genetic-test.code in a 'to be defined' Value Set exists##34#</v>
      </c>
    </row>
    <row r="51" spans="2:19">
      <c r="B51" s="11"/>
      <c r="C51" s="11"/>
      <c r="D51" s="12"/>
      <c r="E51" s="12"/>
      <c r="F51" s="64"/>
      <c r="G51" s="124"/>
      <c r="P51" s="11">
        <v>37</v>
      </c>
      <c r="Q51" s="11">
        <f t="shared" si="13"/>
        <v>6</v>
      </c>
      <c r="R51" s="11">
        <f t="shared" si="14"/>
        <v>1</v>
      </c>
      <c r="S51" s="12" t="str" cm="1">
        <f t="array" ref="S51">INDEX('GeneticTestExp-ConceptMap-1'!$I$15:$N$124,Q51+1,R51)</f>
        <v>* group[=].element[+].code = #GeneticTestExpression.dateOfTraslocation</v>
      </c>
    </row>
    <row r="52" spans="2:19">
      <c r="B52" s="11"/>
      <c r="C52" s="11"/>
      <c r="D52" s="12"/>
      <c r="E52" s="12"/>
      <c r="F52" s="64"/>
      <c r="G52" s="124"/>
      <c r="P52" s="11">
        <v>38</v>
      </c>
      <c r="Q52" s="11">
        <f t="shared" si="13"/>
        <v>6</v>
      </c>
      <c r="R52" s="11">
        <f t="shared" si="14"/>
        <v>2</v>
      </c>
      <c r="S52" s="12" t="str" cm="1">
        <f t="array" ref="S52">INDEX('GeneticTestExp-ConceptMap-1'!$I$15:$N$124,Q52+1,R52)</f>
        <v>* group[=].element[=].display = ##34#Cancer Episode Reference##34#</v>
      </c>
    </row>
    <row r="53" spans="2:19" ht="29.5">
      <c r="B53" s="11"/>
      <c r="C53" s="11"/>
      <c r="D53" s="12"/>
      <c r="E53" s="12"/>
      <c r="F53" s="64"/>
      <c r="G53" s="124"/>
      <c r="P53" s="11">
        <v>39</v>
      </c>
      <c r="Q53" s="11">
        <f t="shared" si="13"/>
        <v>6</v>
      </c>
      <c r="R53" s="11">
        <f t="shared" si="14"/>
        <v>3</v>
      </c>
      <c r="S53" s="12" t="str" cm="1">
        <f t="array" ref="S53">INDEX('GeneticTestExp-ConceptMap-1'!$I$15:$N$124,Q53+1,R53)</f>
        <v>* group[=].element[=].target.code = #Condition.evidence:genetic-test.detail.effectiveDateTime</v>
      </c>
    </row>
    <row r="54" spans="2:19">
      <c r="B54" s="11"/>
      <c r="C54" s="11"/>
      <c r="D54" s="12"/>
      <c r="E54" s="12"/>
      <c r="F54" s="64"/>
      <c r="G54" s="124"/>
      <c r="P54" s="11">
        <v>40</v>
      </c>
      <c r="Q54" s="11">
        <f t="shared" si="13"/>
        <v>6</v>
      </c>
      <c r="R54" s="11">
        <f t="shared" si="14"/>
        <v>4</v>
      </c>
      <c r="S54" s="12" t="str" cm="1">
        <f t="array" ref="S54">INDEX('GeneticTestExp-ConceptMap-1'!$I$15:$N$124,Q54+1,R54)</f>
        <v>* group[=].element[=].target.display = ##34###34#</v>
      </c>
    </row>
    <row r="55" spans="2:19">
      <c r="B55" s="11"/>
      <c r="C55" s="11"/>
      <c r="D55" s="12"/>
      <c r="E55" s="12"/>
      <c r="F55" s="64"/>
      <c r="G55" s="124"/>
      <c r="P55" s="11">
        <v>41</v>
      </c>
      <c r="Q55" s="11">
        <f t="shared" si="13"/>
        <v>6</v>
      </c>
      <c r="R55" s="11">
        <f t="shared" si="14"/>
        <v>5</v>
      </c>
      <c r="S55" s="12" t="str" cm="1">
        <f t="array" ref="S55">INDEX('GeneticTestExp-ConceptMap-1'!$I$15:$N$124,Q55+1,R55)</f>
        <v>* group[=].element[=].target.equivalence = #relatedto</v>
      </c>
    </row>
    <row r="56" spans="2:19" ht="29.5">
      <c r="B56" s="11"/>
      <c r="C56" s="11"/>
      <c r="D56" s="12"/>
      <c r="E56" s="12"/>
      <c r="F56" s="64"/>
      <c r="G56" s="124"/>
      <c r="P56" s="11">
        <v>42</v>
      </c>
      <c r="Q56" s="11">
        <f t="shared" si="13"/>
        <v>6</v>
      </c>
      <c r="R56" s="11">
        <f t="shared" si="14"/>
        <v>6</v>
      </c>
      <c r="S56" s="12" t="str" cm="1">
        <f t="array" ref="S56">INDEX('GeneticTestExp-ConceptMap-1'!$I$15:$N$124,Q56+1,R56)</f>
        <v>* group[=].element[=].target.comment = ##34#With evidence:genetic-test.detail.code in a 'to be defined' Value Set exists##34#</v>
      </c>
    </row>
    <row r="57" spans="2:19" ht="29.5">
      <c r="B57" s="11"/>
      <c r="C57" s="11"/>
      <c r="D57" s="12"/>
      <c r="E57" s="12"/>
      <c r="F57" s="64"/>
      <c r="G57" s="124"/>
      <c r="P57" s="11">
        <v>43</v>
      </c>
      <c r="Q57" s="11">
        <f t="shared" si="13"/>
        <v>7</v>
      </c>
      <c r="R57" s="11">
        <f t="shared" si="14"/>
        <v>1</v>
      </c>
      <c r="S57" s="12" t="str" cm="1">
        <f t="array" ref="S57">INDEX('GeneticTestExp-ConceptMap-1'!$I$15:$N$124,Q57+1,R57)</f>
        <v>* group[=].element[+].code = #GeneticTestExpression.nextGenerationSequencingNgsPerformed</v>
      </c>
    </row>
    <row r="58" spans="2:19">
      <c r="B58" s="11"/>
      <c r="C58" s="11"/>
      <c r="D58" s="12"/>
      <c r="E58" s="12"/>
      <c r="F58" s="64"/>
      <c r="G58" s="124"/>
      <c r="P58" s="11">
        <v>44</v>
      </c>
      <c r="Q58" s="11">
        <f t="shared" si="13"/>
        <v>7</v>
      </c>
      <c r="R58" s="11">
        <f t="shared" si="14"/>
        <v>2</v>
      </c>
      <c r="S58" s="12" t="str" cm="1">
        <f t="array" ref="S58">INDEX('GeneticTestExp-ConceptMap-1'!$I$15:$N$124,Q58+1,R58)</f>
        <v>* group[=].element[=].display = ##34#Cancer Episode Reference##34#</v>
      </c>
    </row>
    <row r="59" spans="2:19">
      <c r="B59" s="11"/>
      <c r="C59" s="11"/>
      <c r="D59" s="12"/>
      <c r="E59" s="12"/>
      <c r="F59" s="64"/>
      <c r="G59" s="124"/>
      <c r="P59" s="11">
        <v>45</v>
      </c>
      <c r="Q59" s="11">
        <f t="shared" si="13"/>
        <v>7</v>
      </c>
      <c r="R59" s="11">
        <f t="shared" si="14"/>
        <v>3</v>
      </c>
      <c r="S59" s="12" t="str" cm="1">
        <f t="array" ref="S59">INDEX('GeneticTestExp-ConceptMap-1'!$I$15:$N$124,Q59+1,R59)</f>
        <v>* group[=].element[=].target.code = #Condition.evidence:genetic-test.code</v>
      </c>
    </row>
    <row r="60" spans="2:19">
      <c r="B60" s="11"/>
      <c r="C60" s="11"/>
      <c r="D60" s="12"/>
      <c r="E60" s="12"/>
      <c r="F60" s="64"/>
      <c r="G60" s="124"/>
      <c r="P60" s="11">
        <v>46</v>
      </c>
      <c r="Q60" s="11">
        <f t="shared" si="13"/>
        <v>7</v>
      </c>
      <c r="R60" s="11">
        <f t="shared" si="14"/>
        <v>4</v>
      </c>
      <c r="S60" s="12" t="str" cm="1">
        <f t="array" ref="S60">INDEX('GeneticTestExp-ConceptMap-1'!$I$15:$N$124,Q60+1,R60)</f>
        <v>* group[=].element[=].target.display = ##34###34#</v>
      </c>
    </row>
    <row r="61" spans="2:19">
      <c r="B61" s="11"/>
      <c r="C61" s="11"/>
      <c r="D61" s="12"/>
      <c r="E61" s="12"/>
      <c r="F61" s="64"/>
      <c r="G61" s="124"/>
      <c r="P61" s="11">
        <v>47</v>
      </c>
      <c r="Q61" s="11">
        <f t="shared" si="13"/>
        <v>7</v>
      </c>
      <c r="R61" s="11">
        <f t="shared" si="14"/>
        <v>5</v>
      </c>
      <c r="S61" s="12" t="str" cm="1">
        <f t="array" ref="S61">INDEX('GeneticTestExp-ConceptMap-1'!$I$15:$N$124,Q61+1,R61)</f>
        <v>* group[=].element[=].target.equivalence = #relatedto</v>
      </c>
    </row>
    <row r="62" spans="2:19" ht="29.5">
      <c r="B62" s="11"/>
      <c r="C62" s="11"/>
      <c r="D62" s="12"/>
      <c r="E62" s="12"/>
      <c r="F62" s="64"/>
      <c r="G62" s="124"/>
      <c r="P62" s="11">
        <v>48</v>
      </c>
      <c r="Q62" s="11">
        <f t="shared" si="13"/>
        <v>7</v>
      </c>
      <c r="R62" s="11">
        <f t="shared" si="14"/>
        <v>6</v>
      </c>
      <c r="S62" s="12" t="str" cm="1">
        <f t="array" ref="S62">INDEX('GeneticTestExp-ConceptMap-1'!$I$15:$N$124,Q62+1,R62)</f>
        <v>* group[=].element[=].target.comment = ##34#if at least one evidence:genetic-test.code in a 'to be defined' Value Set exists##34#</v>
      </c>
    </row>
    <row r="63" spans="2:19">
      <c r="B63" s="11"/>
      <c r="C63" s="11"/>
      <c r="D63" s="12"/>
      <c r="E63" s="12"/>
      <c r="F63" s="64"/>
      <c r="G63" s="124"/>
      <c r="P63" s="11">
        <v>49</v>
      </c>
      <c r="Q63" s="11">
        <f t="shared" si="13"/>
        <v>8</v>
      </c>
      <c r="R63" s="11">
        <f t="shared" si="14"/>
        <v>1</v>
      </c>
      <c r="S63" s="12" t="str" cm="1">
        <f t="array" ref="S63">INDEX('GeneticTestExp-ConceptMap-1'!$I$15:$N$124,Q63+1,R63)</f>
        <v>* group[=].element[+].code = #GeneticTestExpression.dateOfNgs</v>
      </c>
    </row>
    <row r="64" spans="2:19">
      <c r="B64" s="11"/>
      <c r="C64" s="11"/>
      <c r="D64" s="12"/>
      <c r="E64" s="12"/>
      <c r="F64" s="64"/>
      <c r="G64" s="124"/>
      <c r="P64" s="11">
        <v>50</v>
      </c>
      <c r="Q64" s="11">
        <f t="shared" si="13"/>
        <v>8</v>
      </c>
      <c r="R64" s="11">
        <f t="shared" si="14"/>
        <v>2</v>
      </c>
      <c r="S64" s="12" t="str" cm="1">
        <f t="array" ref="S64">INDEX('GeneticTestExp-ConceptMap-1'!$I$15:$N$124,Q64+1,R64)</f>
        <v>* group[=].element[=].display = ##34#Cancer Episode Reference##34#</v>
      </c>
    </row>
    <row r="65" spans="2:19" ht="29.5">
      <c r="B65" s="11"/>
      <c r="C65" s="11"/>
      <c r="D65" s="12"/>
      <c r="E65" s="12"/>
      <c r="F65" s="64"/>
      <c r="G65" s="124"/>
      <c r="P65" s="11">
        <v>51</v>
      </c>
      <c r="Q65" s="11">
        <f t="shared" si="13"/>
        <v>8</v>
      </c>
      <c r="R65" s="11">
        <f t="shared" si="14"/>
        <v>3</v>
      </c>
      <c r="S65" s="12" t="str" cm="1">
        <f t="array" ref="S65">INDEX('GeneticTestExp-ConceptMap-1'!$I$15:$N$124,Q65+1,R65)</f>
        <v>* group[=].element[=].target.code = #Condition.evidence:genetic-test.detail.effectiveDateTime</v>
      </c>
    </row>
    <row r="66" spans="2:19">
      <c r="B66" s="11"/>
      <c r="C66" s="11"/>
      <c r="D66" s="12"/>
      <c r="E66" s="12"/>
      <c r="F66" s="64"/>
      <c r="G66" s="124"/>
      <c r="P66" s="11">
        <v>52</v>
      </c>
      <c r="Q66" s="11">
        <f t="shared" si="13"/>
        <v>8</v>
      </c>
      <c r="R66" s="11">
        <f t="shared" si="14"/>
        <v>4</v>
      </c>
      <c r="S66" s="12" t="str" cm="1">
        <f t="array" ref="S66">INDEX('GeneticTestExp-ConceptMap-1'!$I$15:$N$124,Q66+1,R66)</f>
        <v>* group[=].element[=].target.display = ##34###34#</v>
      </c>
    </row>
    <row r="67" spans="2:19">
      <c r="B67" s="11"/>
      <c r="C67" s="11"/>
      <c r="D67" s="12"/>
      <c r="E67" s="12"/>
      <c r="F67" s="64"/>
      <c r="G67" s="124"/>
      <c r="P67" s="11">
        <v>53</v>
      </c>
      <c r="Q67" s="11">
        <f t="shared" si="13"/>
        <v>8</v>
      </c>
      <c r="R67" s="11">
        <f t="shared" si="14"/>
        <v>5</v>
      </c>
      <c r="S67" s="12" t="str" cm="1">
        <f t="array" ref="S67">INDEX('GeneticTestExp-ConceptMap-1'!$I$15:$N$124,Q67+1,R67)</f>
        <v>* group[=].element[=].target.equivalence = #relatedto</v>
      </c>
    </row>
    <row r="68" spans="2:19" ht="29.5">
      <c r="B68" s="11"/>
      <c r="C68" s="11"/>
      <c r="D68" s="12"/>
      <c r="E68" s="12"/>
      <c r="F68" s="64"/>
      <c r="G68" s="124"/>
      <c r="P68" s="11">
        <v>54</v>
      </c>
      <c r="Q68" s="11">
        <f t="shared" si="13"/>
        <v>8</v>
      </c>
      <c r="R68" s="11">
        <f t="shared" si="14"/>
        <v>6</v>
      </c>
      <c r="S68" s="12" t="str" cm="1">
        <f t="array" ref="S68">INDEX('GeneticTestExp-ConceptMap-1'!$I$15:$N$124,Q68+1,R68)</f>
        <v>* group[=].element[=].target.comment = ##34#With evidence:genetic-test.detail.code in a 'to be defined' Value Set exists##34#</v>
      </c>
    </row>
    <row r="69" spans="2:19" ht="29.5">
      <c r="B69" s="11"/>
      <c r="C69" s="11"/>
      <c r="D69" s="12"/>
      <c r="E69" s="12"/>
      <c r="F69" s="64"/>
      <c r="G69" s="124"/>
      <c r="P69" s="11">
        <v>55</v>
      </c>
      <c r="Q69" s="11">
        <f t="shared" si="13"/>
        <v>9</v>
      </c>
      <c r="R69" s="11">
        <f t="shared" si="14"/>
        <v>1</v>
      </c>
      <c r="S69" s="12" t="str" cm="1">
        <f t="array" ref="S69">INDEX('GeneticTestExp-ConceptMap-1'!$I$15:$N$124,Q69+1,R69)</f>
        <v>* group[=].element[+].code = #GeneticTestExpression.polymeraseChainReactionPcrTestPerformed</v>
      </c>
    </row>
    <row r="70" spans="2:19">
      <c r="B70" s="11"/>
      <c r="C70" s="11"/>
      <c r="D70" s="12"/>
      <c r="E70" s="12"/>
      <c r="F70" s="64"/>
      <c r="G70" s="124"/>
      <c r="P70" s="11">
        <v>56</v>
      </c>
      <c r="Q70" s="11">
        <f t="shared" si="13"/>
        <v>9</v>
      </c>
      <c r="R70" s="11">
        <f t="shared" si="14"/>
        <v>2</v>
      </c>
      <c r="S70" s="12" t="str" cm="1">
        <f t="array" ref="S70">INDEX('GeneticTestExp-ConceptMap-1'!$I$15:$N$124,Q70+1,R70)</f>
        <v>* group[=].element[=].display = ##34#Cancer Episode Reference##34#</v>
      </c>
    </row>
    <row r="71" spans="2:19">
      <c r="B71" s="11"/>
      <c r="C71" s="11"/>
      <c r="D71" s="12"/>
      <c r="E71" s="12"/>
      <c r="F71" s="64"/>
      <c r="G71" s="124"/>
      <c r="P71" s="11">
        <v>57</v>
      </c>
      <c r="Q71" s="11">
        <f t="shared" si="13"/>
        <v>9</v>
      </c>
      <c r="R71" s="11">
        <f t="shared" si="14"/>
        <v>3</v>
      </c>
      <c r="S71" s="12" t="str" cm="1">
        <f t="array" ref="S71">INDEX('GeneticTestExp-ConceptMap-1'!$I$15:$N$124,Q71+1,R71)</f>
        <v>* group[=].element[=].target.code = #Condition.evidence:genetic-test.code</v>
      </c>
    </row>
    <row r="72" spans="2:19">
      <c r="B72" s="11"/>
      <c r="C72" s="11"/>
      <c r="D72" s="12"/>
      <c r="E72" s="12"/>
      <c r="F72" s="64"/>
      <c r="G72" s="124"/>
      <c r="P72" s="11">
        <v>58</v>
      </c>
      <c r="Q72" s="11">
        <f t="shared" si="13"/>
        <v>9</v>
      </c>
      <c r="R72" s="11">
        <f t="shared" si="14"/>
        <v>4</v>
      </c>
      <c r="S72" s="12" t="str" cm="1">
        <f t="array" ref="S72">INDEX('GeneticTestExp-ConceptMap-1'!$I$15:$N$124,Q72+1,R72)</f>
        <v>* group[=].element[=].target.display = ##34###34#</v>
      </c>
    </row>
    <row r="73" spans="2:19">
      <c r="B73" s="11"/>
      <c r="C73" s="11"/>
      <c r="D73" s="12"/>
      <c r="E73" s="12"/>
      <c r="F73" s="64"/>
      <c r="G73" s="124"/>
      <c r="P73" s="11">
        <v>59</v>
      </c>
      <c r="Q73" s="11">
        <f t="shared" si="13"/>
        <v>9</v>
      </c>
      <c r="R73" s="11">
        <f t="shared" si="14"/>
        <v>5</v>
      </c>
      <c r="S73" s="12" t="str" cm="1">
        <f t="array" ref="S73">INDEX('GeneticTestExp-ConceptMap-1'!$I$15:$N$124,Q73+1,R73)</f>
        <v>* group[=].element[=].target.equivalence = #relatedto</v>
      </c>
    </row>
    <row r="74" spans="2:19" ht="29.5">
      <c r="B74" s="11"/>
      <c r="C74" s="11"/>
      <c r="D74" s="12"/>
      <c r="E74" s="12"/>
      <c r="F74" s="64"/>
      <c r="G74" s="124"/>
      <c r="P74" s="11">
        <v>60</v>
      </c>
      <c r="Q74" s="11">
        <f t="shared" si="13"/>
        <v>9</v>
      </c>
      <c r="R74" s="11">
        <f t="shared" si="14"/>
        <v>6</v>
      </c>
      <c r="S74" s="12" t="str" cm="1">
        <f t="array" ref="S74">INDEX('GeneticTestExp-ConceptMap-1'!$I$15:$N$124,Q74+1,R74)</f>
        <v>* group[=].element[=].target.comment = ##34#if at least one evidence:genetic-test.code in a 'to be defined' Value Set exists##34#</v>
      </c>
    </row>
    <row r="75" spans="2:19">
      <c r="B75" s="11"/>
      <c r="C75" s="11"/>
      <c r="D75" s="12"/>
      <c r="E75" s="12"/>
      <c r="F75" s="64"/>
      <c r="G75" s="124"/>
      <c r="P75" s="11">
        <v>61</v>
      </c>
      <c r="Q75" s="11">
        <f t="shared" si="13"/>
        <v>10</v>
      </c>
      <c r="R75" s="11">
        <f t="shared" si="14"/>
        <v>1</v>
      </c>
      <c r="S75" s="12" t="str" cm="1">
        <f t="array" ref="S75">INDEX('GeneticTestExp-ConceptMap-1'!$I$15:$N$124,Q75+1,R75)</f>
        <v>* group[=].element[+].code = #GeneticTestExpression.dateOfPcr</v>
      </c>
    </row>
    <row r="76" spans="2:19">
      <c r="B76" s="11"/>
      <c r="C76" s="11"/>
      <c r="D76" s="12"/>
      <c r="E76" s="12"/>
      <c r="F76" s="64"/>
      <c r="G76" s="124"/>
      <c r="P76" s="11">
        <v>62</v>
      </c>
      <c r="Q76" s="11">
        <f t="shared" si="13"/>
        <v>10</v>
      </c>
      <c r="R76" s="11">
        <f t="shared" si="14"/>
        <v>2</v>
      </c>
      <c r="S76" s="12" t="str" cm="1">
        <f t="array" ref="S76">INDEX('GeneticTestExp-ConceptMap-1'!$I$15:$N$124,Q76+1,R76)</f>
        <v>* group[=].element[=].display = ##34#Cancer Episode Reference##34#</v>
      </c>
    </row>
    <row r="77" spans="2:19" ht="29.5">
      <c r="B77" s="11"/>
      <c r="C77" s="11"/>
      <c r="D77" s="12"/>
      <c r="E77" s="12"/>
      <c r="F77" s="64"/>
      <c r="G77" s="124"/>
      <c r="P77" s="11">
        <v>63</v>
      </c>
      <c r="Q77" s="11">
        <f t="shared" si="13"/>
        <v>10</v>
      </c>
      <c r="R77" s="11">
        <f t="shared" si="14"/>
        <v>3</v>
      </c>
      <c r="S77" s="12" t="str" cm="1">
        <f t="array" ref="S77">INDEX('GeneticTestExp-ConceptMap-1'!$I$15:$N$124,Q77+1,R77)</f>
        <v>* group[=].element[=].target.code = #Condition.evidence:genetic-test.detail.effectiveDateTime</v>
      </c>
    </row>
    <row r="78" spans="2:19">
      <c r="B78" s="11"/>
      <c r="C78" s="11"/>
      <c r="D78" s="12"/>
      <c r="E78" s="12"/>
      <c r="F78" s="64"/>
      <c r="G78" s="124"/>
      <c r="P78" s="11">
        <v>64</v>
      </c>
      <c r="Q78" s="11">
        <f t="shared" si="13"/>
        <v>10</v>
      </c>
      <c r="R78" s="11">
        <f t="shared" si="14"/>
        <v>4</v>
      </c>
      <c r="S78" s="12" t="str" cm="1">
        <f t="array" ref="S78">INDEX('GeneticTestExp-ConceptMap-1'!$I$15:$N$124,Q78+1,R78)</f>
        <v>* group[=].element[=].target.display = ##34###34#</v>
      </c>
    </row>
    <row r="79" spans="2:19">
      <c r="B79" s="11"/>
      <c r="C79" s="11"/>
      <c r="D79" s="12"/>
      <c r="E79" s="12"/>
      <c r="F79" s="64"/>
      <c r="G79" s="124"/>
      <c r="P79" s="11">
        <v>65</v>
      </c>
      <c r="Q79" s="11">
        <f t="shared" si="13"/>
        <v>10</v>
      </c>
      <c r="R79" s="11">
        <f t="shared" si="14"/>
        <v>5</v>
      </c>
      <c r="S79" s="12" t="str" cm="1">
        <f t="array" ref="S79">INDEX('GeneticTestExp-ConceptMap-1'!$I$15:$N$124,Q79+1,R79)</f>
        <v>* group[=].element[=].target.equivalence = #relatedto</v>
      </c>
    </row>
    <row r="80" spans="2:19" ht="29.5">
      <c r="B80" s="11"/>
      <c r="C80" s="11"/>
      <c r="D80" s="12"/>
      <c r="E80" s="12"/>
      <c r="F80" s="64"/>
      <c r="G80" s="124"/>
      <c r="P80" s="11">
        <v>66</v>
      </c>
      <c r="Q80" s="11">
        <f t="shared" ref="Q80:Q143" si="15">IF(MOD(P80,$Q$8)=0,P80/$Q$8-1,INT(P80/$Q$8))</f>
        <v>10</v>
      </c>
      <c r="R80" s="11">
        <f t="shared" ref="R80:R143" si="16">IF(MOD(P80,$Q$8)=0,$Q$8,MOD(P80,$Q$8))</f>
        <v>6</v>
      </c>
      <c r="S80" s="12" t="str" cm="1">
        <f t="array" ref="S80">INDEX('GeneticTestExp-ConceptMap-1'!$I$15:$N$124,Q80+1,R80)</f>
        <v>* group[=].element[=].target.comment = ##34#With evidence:genetic-test.detail.code in a 'to be defined' Value Set exists##34#</v>
      </c>
    </row>
    <row r="81" spans="2:19" ht="29.5">
      <c r="B81" s="11"/>
      <c r="C81" s="11"/>
      <c r="D81" s="12"/>
      <c r="E81" s="12"/>
      <c r="F81" s="64"/>
      <c r="G81" s="124"/>
      <c r="P81" s="11">
        <v>67</v>
      </c>
      <c r="Q81" s="11">
        <f t="shared" si="15"/>
        <v>11</v>
      </c>
      <c r="R81" s="11">
        <f t="shared" si="16"/>
        <v>1</v>
      </c>
      <c r="S81" s="12" t="str" cm="1">
        <f t="array" ref="S81">INDEX('GeneticTestExp-ConceptMap-1'!$I$15:$N$124,Q81+1,R81)</f>
        <v>* group[=].element[+].code = #GeneticTestExpression.immunohistochemistryPerformed</v>
      </c>
    </row>
    <row r="82" spans="2:19">
      <c r="B82" s="11"/>
      <c r="C82" s="11"/>
      <c r="D82" s="12"/>
      <c r="E82" s="12"/>
      <c r="F82" s="64"/>
      <c r="G82" s="124"/>
      <c r="P82" s="11">
        <v>68</v>
      </c>
      <c r="Q82" s="11">
        <f t="shared" si="15"/>
        <v>11</v>
      </c>
      <c r="R82" s="11">
        <f t="shared" si="16"/>
        <v>2</v>
      </c>
      <c r="S82" s="12" t="str" cm="1">
        <f t="array" ref="S82">INDEX('GeneticTestExp-ConceptMap-1'!$I$15:$N$124,Q82+1,R82)</f>
        <v>* group[=].element[=].display = ##34#Cancer Episode Reference##34#</v>
      </c>
    </row>
    <row r="83" spans="2:19">
      <c r="B83" s="11"/>
      <c r="C83" s="11"/>
      <c r="D83" s="12"/>
      <c r="E83" s="12"/>
      <c r="F83" s="64"/>
      <c r="G83" s="124"/>
      <c r="P83" s="11">
        <v>69</v>
      </c>
      <c r="Q83" s="11">
        <f t="shared" si="15"/>
        <v>11</v>
      </c>
      <c r="R83" s="11">
        <f t="shared" si="16"/>
        <v>3</v>
      </c>
      <c r="S83" s="12" t="str" cm="1">
        <f t="array" ref="S83">INDEX('GeneticTestExp-ConceptMap-1'!$I$15:$N$124,Q83+1,R83)</f>
        <v>* group[=].element[=].target.code = #Condition.evidence:genetic-test.code</v>
      </c>
    </row>
    <row r="84" spans="2:19">
      <c r="B84" s="11"/>
      <c r="C84" s="11"/>
      <c r="D84" s="12"/>
      <c r="E84" s="12"/>
      <c r="F84" s="64"/>
      <c r="G84" s="124"/>
      <c r="P84" s="11">
        <v>70</v>
      </c>
      <c r="Q84" s="11">
        <f t="shared" si="15"/>
        <v>11</v>
      </c>
      <c r="R84" s="11">
        <f t="shared" si="16"/>
        <v>4</v>
      </c>
      <c r="S84" s="12" t="str" cm="1">
        <f t="array" ref="S84">INDEX('GeneticTestExp-ConceptMap-1'!$I$15:$N$124,Q84+1,R84)</f>
        <v>* group[=].element[=].target.display = ##34###34#</v>
      </c>
    </row>
    <row r="85" spans="2:19">
      <c r="B85" s="11"/>
      <c r="C85" s="11"/>
      <c r="D85" s="12"/>
      <c r="E85" s="12"/>
      <c r="F85" s="64"/>
      <c r="G85" s="124"/>
      <c r="P85" s="11">
        <v>71</v>
      </c>
      <c r="Q85" s="11">
        <f t="shared" si="15"/>
        <v>11</v>
      </c>
      <c r="R85" s="11">
        <f t="shared" si="16"/>
        <v>5</v>
      </c>
      <c r="S85" s="12" t="str" cm="1">
        <f t="array" ref="S85">INDEX('GeneticTestExp-ConceptMap-1'!$I$15:$N$124,Q85+1,R85)</f>
        <v>* group[=].element[=].target.equivalence = #relatedto</v>
      </c>
    </row>
    <row r="86" spans="2:19" ht="29.5">
      <c r="B86" s="11"/>
      <c r="C86" s="11"/>
      <c r="D86" s="12"/>
      <c r="E86" s="12"/>
      <c r="F86" s="64"/>
      <c r="G86" s="124"/>
      <c r="P86" s="11">
        <v>72</v>
      </c>
      <c r="Q86" s="11">
        <f t="shared" si="15"/>
        <v>11</v>
      </c>
      <c r="R86" s="11">
        <f t="shared" si="16"/>
        <v>6</v>
      </c>
      <c r="S86" s="12" t="str" cm="1">
        <f t="array" ref="S86">INDEX('GeneticTestExp-ConceptMap-1'!$I$15:$N$124,Q86+1,R86)</f>
        <v>* group[=].element[=].target.comment = ##34#if at least one evidence:genetic-test.code in a 'to be defined' Value Set exists##34#</v>
      </c>
    </row>
    <row r="87" spans="2:19">
      <c r="B87" s="11"/>
      <c r="C87" s="11"/>
      <c r="D87" s="12"/>
      <c r="E87" s="12"/>
      <c r="F87" s="64"/>
      <c r="G87" s="124"/>
      <c r="P87" s="11">
        <v>73</v>
      </c>
      <c r="Q87" s="11">
        <f t="shared" si="15"/>
        <v>12</v>
      </c>
      <c r="R87" s="11">
        <f t="shared" si="16"/>
        <v>1</v>
      </c>
      <c r="S87" s="12" t="str" cm="1">
        <f t="array" ref="S87">INDEX('GeneticTestExp-ConceptMap-1'!$I$15:$N$124,Q87+1,R87)</f>
        <v>* group[=].element[+].code = #GeneticTestExpression.dateOfImmunohistochemistry</v>
      </c>
    </row>
    <row r="88" spans="2:19">
      <c r="B88" s="11"/>
      <c r="C88" s="11"/>
      <c r="D88" s="12"/>
      <c r="E88" s="12"/>
      <c r="F88" s="64"/>
      <c r="G88" s="124"/>
      <c r="P88" s="11">
        <v>74</v>
      </c>
      <c r="Q88" s="11">
        <f t="shared" si="15"/>
        <v>12</v>
      </c>
      <c r="R88" s="11">
        <f t="shared" si="16"/>
        <v>2</v>
      </c>
      <c r="S88" s="12" t="str" cm="1">
        <f t="array" ref="S88">INDEX('GeneticTestExp-ConceptMap-1'!$I$15:$N$124,Q88+1,R88)</f>
        <v>* group[=].element[=].display = ##34#Cancer Episode Reference##34#</v>
      </c>
    </row>
    <row r="89" spans="2:19" ht="29.5">
      <c r="B89" s="11"/>
      <c r="C89" s="11"/>
      <c r="D89" s="12"/>
      <c r="E89" s="12"/>
      <c r="F89" s="64"/>
      <c r="G89" s="124"/>
      <c r="P89" s="11">
        <v>75</v>
      </c>
      <c r="Q89" s="11">
        <f t="shared" si="15"/>
        <v>12</v>
      </c>
      <c r="R89" s="11">
        <f t="shared" si="16"/>
        <v>3</v>
      </c>
      <c r="S89" s="12" t="str" cm="1">
        <f t="array" ref="S89">INDEX('GeneticTestExp-ConceptMap-1'!$I$15:$N$124,Q89+1,R89)</f>
        <v>* group[=].element[=].target.code = #Condition.evidence:genetic-test.detail.effectiveDateTime</v>
      </c>
    </row>
    <row r="90" spans="2:19">
      <c r="B90" s="11"/>
      <c r="C90" s="11"/>
      <c r="D90" s="12"/>
      <c r="E90" s="12"/>
      <c r="F90" s="64"/>
      <c r="G90" s="124"/>
      <c r="P90" s="11">
        <v>76</v>
      </c>
      <c r="Q90" s="11">
        <f t="shared" si="15"/>
        <v>12</v>
      </c>
      <c r="R90" s="11">
        <f t="shared" si="16"/>
        <v>4</v>
      </c>
      <c r="S90" s="12" t="str" cm="1">
        <f t="array" ref="S90">INDEX('GeneticTestExp-ConceptMap-1'!$I$15:$N$124,Q90+1,R90)</f>
        <v>* group[=].element[=].target.display = ##34###34#</v>
      </c>
    </row>
    <row r="91" spans="2:19">
      <c r="B91" s="11"/>
      <c r="C91" s="11"/>
      <c r="D91" s="12"/>
      <c r="E91" s="12"/>
      <c r="F91" s="64"/>
      <c r="G91" s="124"/>
      <c r="P91" s="11">
        <v>77</v>
      </c>
      <c r="Q91" s="11">
        <f t="shared" si="15"/>
        <v>12</v>
      </c>
      <c r="R91" s="11">
        <f t="shared" si="16"/>
        <v>5</v>
      </c>
      <c r="S91" s="12" t="str" cm="1">
        <f t="array" ref="S91">INDEX('GeneticTestExp-ConceptMap-1'!$I$15:$N$124,Q91+1,R91)</f>
        <v>* group[=].element[=].target.equivalence = #relatedto</v>
      </c>
    </row>
    <row r="92" spans="2:19" ht="29.5">
      <c r="B92" s="11"/>
      <c r="C92" s="11"/>
      <c r="D92" s="12"/>
      <c r="E92" s="12"/>
      <c r="F92" s="64"/>
      <c r="G92" s="124"/>
      <c r="P92" s="11">
        <v>78</v>
      </c>
      <c r="Q92" s="11">
        <f t="shared" si="15"/>
        <v>12</v>
      </c>
      <c r="R92" s="11">
        <f t="shared" si="16"/>
        <v>6</v>
      </c>
      <c r="S92" s="12" t="str" cm="1">
        <f t="array" ref="S92">INDEX('GeneticTestExp-ConceptMap-1'!$I$15:$N$124,Q92+1,R92)</f>
        <v>* group[=].element[=].target.comment = ##34#With evidence:genetic-test.detail.code in a 'to be defined' Value Set exists##34#</v>
      </c>
    </row>
    <row r="93" spans="2:19" ht="29.5">
      <c r="B93" s="11"/>
      <c r="C93" s="11"/>
      <c r="D93" s="12"/>
      <c r="E93" s="12"/>
      <c r="F93" s="64"/>
      <c r="G93" s="124"/>
      <c r="P93" s="11">
        <v>79</v>
      </c>
      <c r="Q93" s="11">
        <f t="shared" si="15"/>
        <v>13</v>
      </c>
      <c r="R93" s="11">
        <f t="shared" si="16"/>
        <v>1</v>
      </c>
      <c r="S93" s="12" t="str" cm="1">
        <f t="array" ref="S93">INDEX('GeneticTestExp-ConceptMap-1'!$I$15:$N$124,Q93+1,R93)</f>
        <v>* group[=].element[+].code = #GeneticTestExpression.circulatingTumourDnaCtdnaPerformed</v>
      </c>
    </row>
    <row r="94" spans="2:19">
      <c r="B94" s="11"/>
      <c r="C94" s="11"/>
      <c r="D94" s="12"/>
      <c r="E94" s="12"/>
      <c r="F94" s="64"/>
      <c r="G94" s="124"/>
      <c r="P94" s="11">
        <v>80</v>
      </c>
      <c r="Q94" s="11">
        <f t="shared" si="15"/>
        <v>13</v>
      </c>
      <c r="R94" s="11">
        <f t="shared" si="16"/>
        <v>2</v>
      </c>
      <c r="S94" s="12" t="str" cm="1">
        <f t="array" ref="S94">INDEX('GeneticTestExp-ConceptMap-1'!$I$15:$N$124,Q94+1,R94)</f>
        <v>* group[=].element[=].display = ##34#Cancer Episode Reference##34#</v>
      </c>
    </row>
    <row r="95" spans="2:19">
      <c r="B95" s="11"/>
      <c r="C95" s="11"/>
      <c r="D95" s="12"/>
      <c r="E95" s="12"/>
      <c r="F95" s="64"/>
      <c r="G95" s="124"/>
      <c r="P95" s="11">
        <v>81</v>
      </c>
      <c r="Q95" s="11">
        <f t="shared" si="15"/>
        <v>13</v>
      </c>
      <c r="R95" s="11">
        <f t="shared" si="16"/>
        <v>3</v>
      </c>
      <c r="S95" s="12" t="str" cm="1">
        <f t="array" ref="S95">INDEX('GeneticTestExp-ConceptMap-1'!$I$15:$N$124,Q95+1,R95)</f>
        <v>* group[=].element[=].target.code = #Condition.evidence:genetic-test.code</v>
      </c>
    </row>
    <row r="96" spans="2:19">
      <c r="B96" s="11"/>
      <c r="C96" s="11"/>
      <c r="D96" s="12"/>
      <c r="E96" s="12"/>
      <c r="F96" s="64"/>
      <c r="G96" s="124"/>
      <c r="P96" s="11">
        <v>82</v>
      </c>
      <c r="Q96" s="11">
        <f t="shared" si="15"/>
        <v>13</v>
      </c>
      <c r="R96" s="11">
        <f t="shared" si="16"/>
        <v>4</v>
      </c>
      <c r="S96" s="12" t="str" cm="1">
        <f t="array" ref="S96">INDEX('GeneticTestExp-ConceptMap-1'!$I$15:$N$124,Q96+1,R96)</f>
        <v>* group[=].element[=].target.display = ##34###34#</v>
      </c>
    </row>
    <row r="97" spans="2:19">
      <c r="B97" s="11"/>
      <c r="C97" s="11"/>
      <c r="D97" s="12"/>
      <c r="E97" s="12"/>
      <c r="F97" s="64"/>
      <c r="G97" s="124"/>
      <c r="P97" s="11">
        <v>83</v>
      </c>
      <c r="Q97" s="11">
        <f t="shared" si="15"/>
        <v>13</v>
      </c>
      <c r="R97" s="11">
        <f t="shared" si="16"/>
        <v>5</v>
      </c>
      <c r="S97" s="12" t="str" cm="1">
        <f t="array" ref="S97">INDEX('GeneticTestExp-ConceptMap-1'!$I$15:$N$124,Q97+1,R97)</f>
        <v>* group[=].element[=].target.equivalence = #relatedto</v>
      </c>
    </row>
    <row r="98" spans="2:19" ht="29.5">
      <c r="B98" s="11"/>
      <c r="C98" s="11"/>
      <c r="D98" s="12"/>
      <c r="E98" s="12"/>
      <c r="F98" s="64"/>
      <c r="G98" s="124"/>
      <c r="P98" s="11">
        <v>84</v>
      </c>
      <c r="Q98" s="11">
        <f t="shared" si="15"/>
        <v>13</v>
      </c>
      <c r="R98" s="11">
        <f t="shared" si="16"/>
        <v>6</v>
      </c>
      <c r="S98" s="12" t="str" cm="1">
        <f t="array" ref="S98">INDEX('GeneticTestExp-ConceptMap-1'!$I$15:$N$124,Q98+1,R98)</f>
        <v>* group[=].element[=].target.comment = ##34#if at least one evidence:genetic-test.code in a 'to be defined' Value Set exists##34#</v>
      </c>
    </row>
    <row r="99" spans="2:19">
      <c r="B99" s="11"/>
      <c r="C99" s="11"/>
      <c r="D99" s="12"/>
      <c r="E99" s="12"/>
      <c r="F99" s="64"/>
      <c r="G99" s="124"/>
      <c r="P99" s="11">
        <v>85</v>
      </c>
      <c r="Q99" s="11">
        <f t="shared" si="15"/>
        <v>14</v>
      </c>
      <c r="R99" s="11">
        <f t="shared" si="16"/>
        <v>1</v>
      </c>
      <c r="S99" s="12" t="str" cm="1">
        <f t="array" ref="S99">INDEX('GeneticTestExp-ConceptMap-1'!$I$15:$N$124,Q99+1,R99)</f>
        <v>* group[=].element[+].code = #GeneticTestExpression.dateOfCtdna</v>
      </c>
    </row>
    <row r="100" spans="2:19">
      <c r="B100" s="11"/>
      <c r="C100" s="11"/>
      <c r="D100" s="12"/>
      <c r="E100" s="12"/>
      <c r="F100" s="64"/>
      <c r="G100" s="124"/>
      <c r="P100" s="11">
        <v>86</v>
      </c>
      <c r="Q100" s="11">
        <f t="shared" si="15"/>
        <v>14</v>
      </c>
      <c r="R100" s="11">
        <f t="shared" si="16"/>
        <v>2</v>
      </c>
      <c r="S100" s="12" t="str" cm="1">
        <f t="array" ref="S100">INDEX('GeneticTestExp-ConceptMap-1'!$I$15:$N$124,Q100+1,R100)</f>
        <v>* group[=].element[=].display = ##34#Cancer Episode Reference##34#</v>
      </c>
    </row>
    <row r="101" spans="2:19" ht="29.5">
      <c r="B101" s="11"/>
      <c r="C101" s="11"/>
      <c r="D101" s="12"/>
      <c r="E101" s="12"/>
      <c r="F101" s="64"/>
      <c r="G101" s="124"/>
      <c r="P101" s="11">
        <v>87</v>
      </c>
      <c r="Q101" s="11">
        <f t="shared" si="15"/>
        <v>14</v>
      </c>
      <c r="R101" s="11">
        <f t="shared" si="16"/>
        <v>3</v>
      </c>
      <c r="S101" s="12" t="str" cm="1">
        <f t="array" ref="S101">INDEX('GeneticTestExp-ConceptMap-1'!$I$15:$N$124,Q101+1,R101)</f>
        <v>* group[=].element[=].target.code = #Condition.evidence:genetic-test.detail.effectiveDateTime</v>
      </c>
    </row>
    <row r="102" spans="2:19">
      <c r="B102" s="11"/>
      <c r="C102" s="11"/>
      <c r="D102" s="12"/>
      <c r="E102" s="12"/>
      <c r="F102" s="64"/>
      <c r="G102" s="124"/>
      <c r="P102" s="11">
        <v>88</v>
      </c>
      <c r="Q102" s="11">
        <f t="shared" si="15"/>
        <v>14</v>
      </c>
      <c r="R102" s="11">
        <f t="shared" si="16"/>
        <v>4</v>
      </c>
      <c r="S102" s="12" t="str" cm="1">
        <f t="array" ref="S102">INDEX('GeneticTestExp-ConceptMap-1'!$I$15:$N$124,Q102+1,R102)</f>
        <v>* group[=].element[=].target.display = ##34###34#</v>
      </c>
    </row>
    <row r="103" spans="2:19">
      <c r="B103" s="11"/>
      <c r="C103" s="11"/>
      <c r="D103" s="12"/>
      <c r="E103" s="12"/>
      <c r="F103" s="64"/>
      <c r="G103" s="124"/>
      <c r="P103" s="11">
        <v>89</v>
      </c>
      <c r="Q103" s="11">
        <f t="shared" si="15"/>
        <v>14</v>
      </c>
      <c r="R103" s="11">
        <f t="shared" si="16"/>
        <v>5</v>
      </c>
      <c r="S103" s="12" t="str" cm="1">
        <f t="array" ref="S103">INDEX('GeneticTestExp-ConceptMap-1'!$I$15:$N$124,Q103+1,R103)</f>
        <v>* group[=].element[=].target.equivalence = #relatedto</v>
      </c>
    </row>
    <row r="104" spans="2:19" ht="29.5">
      <c r="B104" s="11"/>
      <c r="C104" s="11"/>
      <c r="D104" s="12"/>
      <c r="E104" s="12"/>
      <c r="F104" s="64"/>
      <c r="G104" s="124"/>
      <c r="P104" s="11">
        <v>90</v>
      </c>
      <c r="Q104" s="11">
        <f t="shared" si="15"/>
        <v>14</v>
      </c>
      <c r="R104" s="11">
        <f t="shared" si="16"/>
        <v>6</v>
      </c>
      <c r="S104" s="12" t="str" cm="1">
        <f t="array" ref="S104">INDEX('GeneticTestExp-ConceptMap-1'!$I$15:$N$124,Q104+1,R104)</f>
        <v>* group[=].element[=].target.comment = ##34#With evidence:genetic-test.detail.code in a 'to be defined' Value Set exists##34#</v>
      </c>
    </row>
    <row r="105" spans="2:19">
      <c r="B105" s="11"/>
      <c r="C105" s="11"/>
      <c r="D105" s="12"/>
      <c r="E105" s="12"/>
      <c r="F105" s="64"/>
      <c r="G105" s="124"/>
      <c r="P105" s="11">
        <v>91</v>
      </c>
      <c r="Q105" s="11">
        <f t="shared" si="15"/>
        <v>15</v>
      </c>
      <c r="R105" s="11">
        <f t="shared" si="16"/>
        <v>1</v>
      </c>
      <c r="S105" s="12" cm="1">
        <f t="array" ref="S105">INDEX('GeneticTestExp-ConceptMap-1'!$I$15:$N$124,Q105+1,R105)</f>
        <v>0</v>
      </c>
    </row>
    <row r="106" spans="2:19">
      <c r="B106" s="11"/>
      <c r="C106" s="11"/>
      <c r="D106" s="12"/>
      <c r="E106" s="12"/>
      <c r="F106" s="64"/>
      <c r="G106" s="124"/>
      <c r="P106" s="11">
        <v>92</v>
      </c>
      <c r="Q106" s="11">
        <f t="shared" si="15"/>
        <v>15</v>
      </c>
      <c r="R106" s="11">
        <f t="shared" si="16"/>
        <v>2</v>
      </c>
      <c r="S106" s="12" cm="1">
        <f t="array" ref="S106">INDEX('GeneticTestExp-ConceptMap-1'!$I$15:$N$124,Q106+1,R106)</f>
        <v>0</v>
      </c>
    </row>
    <row r="107" spans="2:19">
      <c r="B107" s="11"/>
      <c r="C107" s="11"/>
      <c r="D107" s="12"/>
      <c r="E107" s="12"/>
      <c r="F107" s="64"/>
      <c r="G107" s="124"/>
      <c r="P107" s="11">
        <v>93</v>
      </c>
      <c r="Q107" s="11">
        <f t="shared" si="15"/>
        <v>15</v>
      </c>
      <c r="R107" s="11">
        <f t="shared" si="16"/>
        <v>3</v>
      </c>
      <c r="S107" s="12" cm="1">
        <f t="array" ref="S107">INDEX('GeneticTestExp-ConceptMap-1'!$I$15:$N$124,Q107+1,R107)</f>
        <v>0</v>
      </c>
    </row>
    <row r="108" spans="2:19">
      <c r="B108" s="11"/>
      <c r="C108" s="11"/>
      <c r="D108" s="12"/>
      <c r="E108" s="12"/>
      <c r="F108" s="64"/>
      <c r="G108" s="124"/>
      <c r="P108" s="11">
        <v>94</v>
      </c>
      <c r="Q108" s="11">
        <f t="shared" si="15"/>
        <v>15</v>
      </c>
      <c r="R108" s="11">
        <f t="shared" si="16"/>
        <v>4</v>
      </c>
      <c r="S108" s="12" cm="1">
        <f t="array" ref="S108">INDEX('GeneticTestExp-ConceptMap-1'!$I$15:$N$124,Q108+1,R108)</f>
        <v>0</v>
      </c>
    </row>
    <row r="109" spans="2:19">
      <c r="B109" s="11"/>
      <c r="C109" s="11"/>
      <c r="D109" s="12"/>
      <c r="E109" s="12"/>
      <c r="F109" s="64"/>
      <c r="G109" s="124"/>
      <c r="P109" s="11">
        <v>95</v>
      </c>
      <c r="Q109" s="11">
        <f t="shared" si="15"/>
        <v>15</v>
      </c>
      <c r="R109" s="11">
        <f t="shared" si="16"/>
        <v>5</v>
      </c>
      <c r="S109" s="12" cm="1">
        <f t="array" ref="S109">INDEX('GeneticTestExp-ConceptMap-1'!$I$15:$N$124,Q109+1,R109)</f>
        <v>0</v>
      </c>
    </row>
    <row r="110" spans="2:19">
      <c r="B110" s="11"/>
      <c r="C110" s="11"/>
      <c r="D110" s="12"/>
      <c r="E110" s="12"/>
      <c r="F110" s="64"/>
      <c r="G110" s="124"/>
      <c r="P110" s="11">
        <v>96</v>
      </c>
      <c r="Q110" s="11">
        <f t="shared" si="15"/>
        <v>15</v>
      </c>
      <c r="R110" s="11">
        <f t="shared" si="16"/>
        <v>6</v>
      </c>
      <c r="S110" s="12" cm="1">
        <f t="array" ref="S110">INDEX('GeneticTestExp-ConceptMap-1'!$I$15:$N$124,Q110+1,R110)</f>
        <v>0</v>
      </c>
    </row>
    <row r="111" spans="2:19">
      <c r="B111" s="11"/>
      <c r="C111" s="11"/>
      <c r="D111" s="12"/>
      <c r="E111" s="12"/>
      <c r="F111" s="64"/>
      <c r="G111" s="124"/>
      <c r="P111" s="11">
        <v>97</v>
      </c>
      <c r="Q111" s="11">
        <f t="shared" si="15"/>
        <v>16</v>
      </c>
      <c r="R111" s="11">
        <f t="shared" si="16"/>
        <v>1</v>
      </c>
      <c r="S111" s="12" cm="1">
        <f t="array" ref="S111">INDEX('GeneticTestExp-ConceptMap-1'!$I$15:$N$124,Q111+1,R111)</f>
        <v>0</v>
      </c>
    </row>
    <row r="112" spans="2:19">
      <c r="B112" s="11"/>
      <c r="C112" s="11"/>
      <c r="D112" s="12"/>
      <c r="E112" s="12"/>
      <c r="F112" s="64"/>
      <c r="G112" s="124"/>
      <c r="P112" s="11">
        <v>98</v>
      </c>
      <c r="Q112" s="11">
        <f t="shared" si="15"/>
        <v>16</v>
      </c>
      <c r="R112" s="11">
        <f t="shared" si="16"/>
        <v>2</v>
      </c>
      <c r="S112" s="12" cm="1">
        <f t="array" ref="S112">INDEX('GeneticTestExp-ConceptMap-1'!$I$15:$N$124,Q112+1,R112)</f>
        <v>0</v>
      </c>
    </row>
    <row r="113" spans="2:19">
      <c r="B113" s="11"/>
      <c r="C113" s="11"/>
      <c r="D113" s="12"/>
      <c r="E113" s="12"/>
      <c r="F113" s="64"/>
      <c r="G113" s="124"/>
      <c r="P113" s="11">
        <v>99</v>
      </c>
      <c r="Q113" s="11">
        <f t="shared" si="15"/>
        <v>16</v>
      </c>
      <c r="R113" s="11">
        <f t="shared" si="16"/>
        <v>3</v>
      </c>
      <c r="S113" s="12" cm="1">
        <f t="array" ref="S113">INDEX('GeneticTestExp-ConceptMap-1'!$I$15:$N$124,Q113+1,R113)</f>
        <v>0</v>
      </c>
    </row>
    <row r="114" spans="2:19">
      <c r="P114" s="11">
        <v>100</v>
      </c>
      <c r="Q114" s="11">
        <f t="shared" si="15"/>
        <v>16</v>
      </c>
      <c r="R114" s="11">
        <f t="shared" si="16"/>
        <v>4</v>
      </c>
      <c r="S114" s="12" cm="1">
        <f t="array" ref="S114">INDEX('GeneticTestExp-ConceptMap-1'!$I$15:$N$124,Q114+1,R114)</f>
        <v>0</v>
      </c>
    </row>
    <row r="115" spans="2:19">
      <c r="P115" s="11">
        <v>101</v>
      </c>
      <c r="Q115" s="11">
        <f t="shared" si="15"/>
        <v>16</v>
      </c>
      <c r="R115" s="11">
        <f t="shared" si="16"/>
        <v>5</v>
      </c>
      <c r="S115" s="12" cm="1">
        <f t="array" ref="S115">INDEX('GeneticTestExp-ConceptMap-1'!$I$15:$N$124,Q115+1,R115)</f>
        <v>0</v>
      </c>
    </row>
    <row r="116" spans="2:19">
      <c r="P116" s="11">
        <v>102</v>
      </c>
      <c r="Q116" s="11">
        <f t="shared" si="15"/>
        <v>16</v>
      </c>
      <c r="R116" s="11">
        <f t="shared" si="16"/>
        <v>6</v>
      </c>
      <c r="S116" s="12" cm="1">
        <f t="array" ref="S116">INDEX('GeneticTestExp-ConceptMap-1'!$I$15:$N$124,Q116+1,R116)</f>
        <v>0</v>
      </c>
    </row>
    <row r="117" spans="2:19">
      <c r="P117" s="11">
        <v>103</v>
      </c>
      <c r="Q117" s="11">
        <f t="shared" si="15"/>
        <v>17</v>
      </c>
      <c r="R117" s="11">
        <f t="shared" si="16"/>
        <v>1</v>
      </c>
      <c r="S117" s="12" cm="1">
        <f t="array" ref="S117">INDEX('GeneticTestExp-ConceptMap-1'!$I$15:$N$124,Q117+1,R117)</f>
        <v>0</v>
      </c>
    </row>
    <row r="118" spans="2:19">
      <c r="P118" s="11">
        <v>104</v>
      </c>
      <c r="Q118" s="11">
        <f t="shared" si="15"/>
        <v>17</v>
      </c>
      <c r="R118" s="11">
        <f t="shared" si="16"/>
        <v>2</v>
      </c>
      <c r="S118" s="12" cm="1">
        <f t="array" ref="S118">INDEX('GeneticTestExp-ConceptMap-1'!$I$15:$N$124,Q118+1,R118)</f>
        <v>0</v>
      </c>
    </row>
    <row r="119" spans="2:19">
      <c r="P119" s="11">
        <v>105</v>
      </c>
      <c r="Q119" s="11">
        <f t="shared" si="15"/>
        <v>17</v>
      </c>
      <c r="R119" s="11">
        <f t="shared" si="16"/>
        <v>3</v>
      </c>
      <c r="S119" s="12" cm="1">
        <f t="array" ref="S119">INDEX('GeneticTestExp-ConceptMap-1'!$I$15:$N$124,Q119+1,R119)</f>
        <v>0</v>
      </c>
    </row>
    <row r="120" spans="2:19">
      <c r="P120" s="11">
        <v>106</v>
      </c>
      <c r="Q120" s="11">
        <f t="shared" si="15"/>
        <v>17</v>
      </c>
      <c r="R120" s="11">
        <f t="shared" si="16"/>
        <v>4</v>
      </c>
      <c r="S120" s="12" cm="1">
        <f t="array" ref="S120">INDEX('GeneticTestExp-ConceptMap-1'!$I$15:$N$124,Q120+1,R120)</f>
        <v>0</v>
      </c>
    </row>
    <row r="121" spans="2:19">
      <c r="P121" s="11">
        <v>107</v>
      </c>
      <c r="Q121" s="11">
        <f t="shared" si="15"/>
        <v>17</v>
      </c>
      <c r="R121" s="11">
        <f t="shared" si="16"/>
        <v>5</v>
      </c>
      <c r="S121" s="12" cm="1">
        <f t="array" ref="S121">INDEX('GeneticTestExp-ConceptMap-1'!$I$15:$N$124,Q121+1,R121)</f>
        <v>0</v>
      </c>
    </row>
    <row r="122" spans="2:19">
      <c r="P122" s="11">
        <v>108</v>
      </c>
      <c r="Q122" s="11">
        <f t="shared" si="15"/>
        <v>17</v>
      </c>
      <c r="R122" s="11">
        <f t="shared" si="16"/>
        <v>6</v>
      </c>
      <c r="S122" s="12" cm="1">
        <f t="array" ref="S122">INDEX('GeneticTestExp-ConceptMap-1'!$I$15:$N$124,Q122+1,R122)</f>
        <v>0</v>
      </c>
    </row>
    <row r="123" spans="2:19">
      <c r="P123" s="11">
        <v>109</v>
      </c>
      <c r="Q123" s="11">
        <f t="shared" si="15"/>
        <v>18</v>
      </c>
      <c r="R123" s="11">
        <f t="shared" si="16"/>
        <v>1</v>
      </c>
      <c r="S123" s="12" cm="1">
        <f t="array" ref="S123">INDEX('GeneticTestExp-ConceptMap-1'!$I$15:$N$124,Q123+1,R123)</f>
        <v>0</v>
      </c>
    </row>
    <row r="124" spans="2:19">
      <c r="P124" s="11">
        <v>110</v>
      </c>
      <c r="Q124" s="11">
        <f t="shared" si="15"/>
        <v>18</v>
      </c>
      <c r="R124" s="11">
        <f t="shared" si="16"/>
        <v>2</v>
      </c>
      <c r="S124" s="12" cm="1">
        <f t="array" ref="S124">INDEX('GeneticTestExp-ConceptMap-1'!$I$15:$N$124,Q124+1,R124)</f>
        <v>0</v>
      </c>
    </row>
    <row r="125" spans="2:19">
      <c r="P125" s="11">
        <v>111</v>
      </c>
      <c r="Q125" s="11">
        <f t="shared" si="15"/>
        <v>18</v>
      </c>
      <c r="R125" s="11">
        <f t="shared" si="16"/>
        <v>3</v>
      </c>
      <c r="S125" s="12" cm="1">
        <f t="array" ref="S125">INDEX('GeneticTestExp-ConceptMap-1'!$I$15:$N$124,Q125+1,R125)</f>
        <v>0</v>
      </c>
    </row>
    <row r="126" spans="2:19">
      <c r="P126" s="11">
        <v>112</v>
      </c>
      <c r="Q126" s="11">
        <f t="shared" si="15"/>
        <v>18</v>
      </c>
      <c r="R126" s="11">
        <f t="shared" si="16"/>
        <v>4</v>
      </c>
      <c r="S126" s="12" cm="1">
        <f t="array" ref="S126">INDEX('GeneticTestExp-ConceptMap-1'!$I$15:$N$124,Q126+1,R126)</f>
        <v>0</v>
      </c>
    </row>
    <row r="127" spans="2:19">
      <c r="P127" s="11">
        <v>113</v>
      </c>
      <c r="Q127" s="11">
        <f t="shared" si="15"/>
        <v>18</v>
      </c>
      <c r="R127" s="11">
        <f t="shared" si="16"/>
        <v>5</v>
      </c>
      <c r="S127" s="12" cm="1">
        <f t="array" ref="S127">INDEX('GeneticTestExp-ConceptMap-1'!$I$15:$N$124,Q127+1,R127)</f>
        <v>0</v>
      </c>
    </row>
    <row r="128" spans="2:19">
      <c r="P128" s="11">
        <v>114</v>
      </c>
      <c r="Q128" s="11">
        <f t="shared" si="15"/>
        <v>18</v>
      </c>
      <c r="R128" s="11">
        <f t="shared" si="16"/>
        <v>6</v>
      </c>
      <c r="S128" s="12" cm="1">
        <f t="array" ref="S128">INDEX('GeneticTestExp-ConceptMap-1'!$I$15:$N$124,Q128+1,R128)</f>
        <v>0</v>
      </c>
    </row>
    <row r="129" spans="16:19">
      <c r="P129" s="11">
        <v>115</v>
      </c>
      <c r="Q129" s="11">
        <f t="shared" si="15"/>
        <v>19</v>
      </c>
      <c r="R129" s="11">
        <f t="shared" si="16"/>
        <v>1</v>
      </c>
      <c r="S129" s="12" cm="1">
        <f t="array" ref="S129">INDEX('GeneticTestExp-ConceptMap-1'!$I$15:$N$124,Q129+1,R129)</f>
        <v>0</v>
      </c>
    </row>
    <row r="130" spans="16:19">
      <c r="P130" s="11">
        <v>116</v>
      </c>
      <c r="Q130" s="11">
        <f t="shared" si="15"/>
        <v>19</v>
      </c>
      <c r="R130" s="11">
        <f t="shared" si="16"/>
        <v>2</v>
      </c>
      <c r="S130" s="12" cm="1">
        <f t="array" ref="S130">INDEX('GeneticTestExp-ConceptMap-1'!$I$15:$N$124,Q130+1,R130)</f>
        <v>0</v>
      </c>
    </row>
    <row r="131" spans="16:19">
      <c r="P131" s="11">
        <v>117</v>
      </c>
      <c r="Q131" s="11">
        <f t="shared" si="15"/>
        <v>19</v>
      </c>
      <c r="R131" s="11">
        <f t="shared" si="16"/>
        <v>3</v>
      </c>
      <c r="S131" s="12" cm="1">
        <f t="array" ref="S131">INDEX('GeneticTestExp-ConceptMap-1'!$I$15:$N$124,Q131+1,R131)</f>
        <v>0</v>
      </c>
    </row>
    <row r="132" spans="16:19">
      <c r="P132" s="11">
        <v>118</v>
      </c>
      <c r="Q132" s="11">
        <f t="shared" si="15"/>
        <v>19</v>
      </c>
      <c r="R132" s="11">
        <f t="shared" si="16"/>
        <v>4</v>
      </c>
      <c r="S132" s="12" cm="1">
        <f t="array" ref="S132">INDEX('GeneticTestExp-ConceptMap-1'!$I$15:$N$124,Q132+1,R132)</f>
        <v>0</v>
      </c>
    </row>
    <row r="133" spans="16:19">
      <c r="P133" s="11">
        <v>119</v>
      </c>
      <c r="Q133" s="11">
        <f t="shared" si="15"/>
        <v>19</v>
      </c>
      <c r="R133" s="11">
        <f t="shared" si="16"/>
        <v>5</v>
      </c>
      <c r="S133" s="12" cm="1">
        <f t="array" ref="S133">INDEX('GeneticTestExp-ConceptMap-1'!$I$15:$N$124,Q133+1,R133)</f>
        <v>0</v>
      </c>
    </row>
    <row r="134" spans="16:19">
      <c r="P134" s="11">
        <v>120</v>
      </c>
      <c r="Q134" s="11">
        <f t="shared" si="15"/>
        <v>19</v>
      </c>
      <c r="R134" s="11">
        <f t="shared" si="16"/>
        <v>6</v>
      </c>
      <c r="S134" s="12" cm="1">
        <f t="array" ref="S134">INDEX('GeneticTestExp-ConceptMap-1'!$I$15:$N$124,Q134+1,R134)</f>
        <v>0</v>
      </c>
    </row>
    <row r="135" spans="16:19">
      <c r="P135" s="11">
        <v>121</v>
      </c>
      <c r="Q135" s="11">
        <f t="shared" si="15"/>
        <v>20</v>
      </c>
      <c r="R135" s="11">
        <f t="shared" si="16"/>
        <v>1</v>
      </c>
      <c r="S135" s="12" cm="1">
        <f t="array" ref="S135">INDEX('GeneticTestExp-ConceptMap-1'!$I$15:$N$124,Q135+1,R135)</f>
        <v>0</v>
      </c>
    </row>
    <row r="136" spans="16:19">
      <c r="P136" s="11">
        <v>122</v>
      </c>
      <c r="Q136" s="11">
        <f t="shared" si="15"/>
        <v>20</v>
      </c>
      <c r="R136" s="11">
        <f t="shared" si="16"/>
        <v>2</v>
      </c>
      <c r="S136" s="12" cm="1">
        <f t="array" ref="S136">INDEX('GeneticTestExp-ConceptMap-1'!$I$15:$N$124,Q136+1,R136)</f>
        <v>0</v>
      </c>
    </row>
    <row r="137" spans="16:19">
      <c r="P137" s="11">
        <v>123</v>
      </c>
      <c r="Q137" s="11">
        <f t="shared" si="15"/>
        <v>20</v>
      </c>
      <c r="R137" s="11">
        <f t="shared" si="16"/>
        <v>3</v>
      </c>
      <c r="S137" s="12" cm="1">
        <f t="array" ref="S137">INDEX('GeneticTestExp-ConceptMap-1'!$I$15:$N$124,Q137+1,R137)</f>
        <v>0</v>
      </c>
    </row>
    <row r="138" spans="16:19">
      <c r="P138" s="11">
        <v>124</v>
      </c>
      <c r="Q138" s="11">
        <f t="shared" si="15"/>
        <v>20</v>
      </c>
      <c r="R138" s="11">
        <f t="shared" si="16"/>
        <v>4</v>
      </c>
      <c r="S138" s="12" cm="1">
        <f t="array" ref="S138">INDEX('GeneticTestExp-ConceptMap-1'!$I$15:$N$124,Q138+1,R138)</f>
        <v>0</v>
      </c>
    </row>
    <row r="139" spans="16:19">
      <c r="P139" s="11">
        <v>125</v>
      </c>
      <c r="Q139" s="11">
        <f t="shared" si="15"/>
        <v>20</v>
      </c>
      <c r="R139" s="11">
        <f t="shared" si="16"/>
        <v>5</v>
      </c>
      <c r="S139" s="12" cm="1">
        <f t="array" ref="S139">INDEX('GeneticTestExp-ConceptMap-1'!$I$15:$N$124,Q139+1,R139)</f>
        <v>0</v>
      </c>
    </row>
    <row r="140" spans="16:19">
      <c r="P140" s="11">
        <v>126</v>
      </c>
      <c r="Q140" s="11">
        <f t="shared" si="15"/>
        <v>20</v>
      </c>
      <c r="R140" s="11">
        <f t="shared" si="16"/>
        <v>6</v>
      </c>
      <c r="S140" s="12" cm="1">
        <f t="array" ref="S140">INDEX('GeneticTestExp-ConceptMap-1'!$I$15:$N$124,Q140+1,R140)</f>
        <v>0</v>
      </c>
    </row>
    <row r="141" spans="16:19">
      <c r="P141" s="11">
        <v>127</v>
      </c>
      <c r="Q141" s="11">
        <f t="shared" si="15"/>
        <v>21</v>
      </c>
      <c r="R141" s="11">
        <f t="shared" si="16"/>
        <v>1</v>
      </c>
      <c r="S141" s="12" cm="1">
        <f t="array" ref="S141">INDEX('GeneticTestExp-ConceptMap-1'!$I$15:$N$124,Q141+1,R141)</f>
        <v>0</v>
      </c>
    </row>
    <row r="142" spans="16:19">
      <c r="P142" s="11">
        <v>128</v>
      </c>
      <c r="Q142" s="11">
        <f t="shared" si="15"/>
        <v>21</v>
      </c>
      <c r="R142" s="11">
        <f t="shared" si="16"/>
        <v>2</v>
      </c>
      <c r="S142" s="12" cm="1">
        <f t="array" ref="S142">INDEX('GeneticTestExp-ConceptMap-1'!$I$15:$N$124,Q142+1,R142)</f>
        <v>0</v>
      </c>
    </row>
    <row r="143" spans="16:19">
      <c r="P143" s="11">
        <v>129</v>
      </c>
      <c r="Q143" s="11">
        <f t="shared" si="15"/>
        <v>21</v>
      </c>
      <c r="R143" s="11">
        <f t="shared" si="16"/>
        <v>3</v>
      </c>
      <c r="S143" s="12" cm="1">
        <f t="array" ref="S143">INDEX('GeneticTestExp-ConceptMap-1'!$I$15:$N$124,Q143+1,R143)</f>
        <v>0</v>
      </c>
    </row>
    <row r="144" spans="16:19">
      <c r="P144" s="11">
        <v>130</v>
      </c>
      <c r="Q144" s="11">
        <f t="shared" ref="Q144:Q184" si="17">IF(MOD(P144,$Q$8)=0,P144/$Q$8-1,INT(P144/$Q$8))</f>
        <v>21</v>
      </c>
      <c r="R144" s="11">
        <f t="shared" ref="R144:R184" si="18">IF(MOD(P144,$Q$8)=0,$Q$8,MOD(P144,$Q$8))</f>
        <v>4</v>
      </c>
      <c r="S144" s="12" cm="1">
        <f t="array" ref="S144">INDEX('GeneticTestExp-ConceptMap-1'!$I$15:$N$124,Q144+1,R144)</f>
        <v>0</v>
      </c>
    </row>
    <row r="145" spans="16:19">
      <c r="P145" s="11">
        <v>131</v>
      </c>
      <c r="Q145" s="11">
        <f t="shared" si="17"/>
        <v>21</v>
      </c>
      <c r="R145" s="11">
        <f t="shared" si="18"/>
        <v>5</v>
      </c>
      <c r="S145" s="12" cm="1">
        <f t="array" ref="S145">INDEX('GeneticTestExp-ConceptMap-1'!$I$15:$N$124,Q145+1,R145)</f>
        <v>0</v>
      </c>
    </row>
    <row r="146" spans="16:19">
      <c r="P146" s="11">
        <v>132</v>
      </c>
      <c r="Q146" s="11">
        <f t="shared" si="17"/>
        <v>21</v>
      </c>
      <c r="R146" s="11">
        <f t="shared" si="18"/>
        <v>6</v>
      </c>
      <c r="S146" s="12" cm="1">
        <f t="array" ref="S146">INDEX('GeneticTestExp-ConceptMap-1'!$I$15:$N$124,Q146+1,R146)</f>
        <v>0</v>
      </c>
    </row>
    <row r="147" spans="16:19">
      <c r="P147" s="11">
        <v>133</v>
      </c>
      <c r="Q147" s="11">
        <f t="shared" si="17"/>
        <v>22</v>
      </c>
      <c r="R147" s="11">
        <f t="shared" si="18"/>
        <v>1</v>
      </c>
      <c r="S147" s="12" cm="1">
        <f t="array" ref="S147">INDEX('GeneticTestExp-ConceptMap-1'!$I$15:$N$124,Q147+1,R147)</f>
        <v>0</v>
      </c>
    </row>
    <row r="148" spans="16:19">
      <c r="P148" s="11">
        <v>134</v>
      </c>
      <c r="Q148" s="11">
        <f t="shared" si="17"/>
        <v>22</v>
      </c>
      <c r="R148" s="11">
        <f t="shared" si="18"/>
        <v>2</v>
      </c>
      <c r="S148" s="12" cm="1">
        <f t="array" ref="S148">INDEX('GeneticTestExp-ConceptMap-1'!$I$15:$N$124,Q148+1,R148)</f>
        <v>0</v>
      </c>
    </row>
    <row r="149" spans="16:19">
      <c r="P149" s="11">
        <v>135</v>
      </c>
      <c r="Q149" s="11">
        <f t="shared" si="17"/>
        <v>22</v>
      </c>
      <c r="R149" s="11">
        <f t="shared" si="18"/>
        <v>3</v>
      </c>
      <c r="S149" s="12" cm="1">
        <f t="array" ref="S149">INDEX('GeneticTestExp-ConceptMap-1'!$I$15:$N$124,Q149+1,R149)</f>
        <v>0</v>
      </c>
    </row>
    <row r="150" spans="16:19">
      <c r="P150" s="11">
        <v>136</v>
      </c>
      <c r="Q150" s="11">
        <f t="shared" si="17"/>
        <v>22</v>
      </c>
      <c r="R150" s="11">
        <f t="shared" si="18"/>
        <v>4</v>
      </c>
      <c r="S150" s="12" cm="1">
        <f t="array" ref="S150">INDEX('GeneticTestExp-ConceptMap-1'!$I$15:$N$124,Q150+1,R150)</f>
        <v>0</v>
      </c>
    </row>
    <row r="151" spans="16:19">
      <c r="P151" s="11">
        <v>137</v>
      </c>
      <c r="Q151" s="11">
        <f t="shared" si="17"/>
        <v>22</v>
      </c>
      <c r="R151" s="11">
        <f t="shared" si="18"/>
        <v>5</v>
      </c>
      <c r="S151" s="12" cm="1">
        <f t="array" ref="S151">INDEX('GeneticTestExp-ConceptMap-1'!$I$15:$N$124,Q151+1,R151)</f>
        <v>0</v>
      </c>
    </row>
    <row r="152" spans="16:19">
      <c r="P152" s="11">
        <v>138</v>
      </c>
      <c r="Q152" s="11">
        <f t="shared" si="17"/>
        <v>22</v>
      </c>
      <c r="R152" s="11">
        <f t="shared" si="18"/>
        <v>6</v>
      </c>
      <c r="S152" s="12" cm="1">
        <f t="array" ref="S152">INDEX('GeneticTestExp-ConceptMap-1'!$I$15:$N$124,Q152+1,R152)</f>
        <v>0</v>
      </c>
    </row>
    <row r="153" spans="16:19">
      <c r="P153" s="11">
        <v>139</v>
      </c>
      <c r="Q153" s="11">
        <f t="shared" si="17"/>
        <v>23</v>
      </c>
      <c r="R153" s="11">
        <f t="shared" si="18"/>
        <v>1</v>
      </c>
      <c r="S153" s="12" cm="1">
        <f t="array" ref="S153">INDEX('GeneticTestExp-ConceptMap-1'!$I$15:$N$124,Q153+1,R153)</f>
        <v>0</v>
      </c>
    </row>
    <row r="154" spans="16:19">
      <c r="P154" s="11">
        <v>140</v>
      </c>
      <c r="Q154" s="11">
        <f t="shared" si="17"/>
        <v>23</v>
      </c>
      <c r="R154" s="11">
        <f t="shared" si="18"/>
        <v>2</v>
      </c>
      <c r="S154" s="12" cm="1">
        <f t="array" ref="S154">INDEX('GeneticTestExp-ConceptMap-1'!$I$15:$N$124,Q154+1,R154)</f>
        <v>0</v>
      </c>
    </row>
    <row r="155" spans="16:19">
      <c r="P155" s="11">
        <v>141</v>
      </c>
      <c r="Q155" s="11">
        <f t="shared" si="17"/>
        <v>23</v>
      </c>
      <c r="R155" s="11">
        <f t="shared" si="18"/>
        <v>3</v>
      </c>
      <c r="S155" s="12" cm="1">
        <f t="array" ref="S155">INDEX('GeneticTestExp-ConceptMap-1'!$I$15:$N$124,Q155+1,R155)</f>
        <v>0</v>
      </c>
    </row>
    <row r="156" spans="16:19">
      <c r="P156" s="11">
        <v>142</v>
      </c>
      <c r="Q156" s="11">
        <f t="shared" si="17"/>
        <v>23</v>
      </c>
      <c r="R156" s="11">
        <f t="shared" si="18"/>
        <v>4</v>
      </c>
      <c r="S156" s="12" cm="1">
        <f t="array" ref="S156">INDEX('GeneticTestExp-ConceptMap-1'!$I$15:$N$124,Q156+1,R156)</f>
        <v>0</v>
      </c>
    </row>
    <row r="157" spans="16:19">
      <c r="P157" s="11">
        <v>143</v>
      </c>
      <c r="Q157" s="11">
        <f t="shared" si="17"/>
        <v>23</v>
      </c>
      <c r="R157" s="11">
        <f t="shared" si="18"/>
        <v>5</v>
      </c>
      <c r="S157" s="12" cm="1">
        <f t="array" ref="S157">INDEX('GeneticTestExp-ConceptMap-1'!$I$15:$N$124,Q157+1,R157)</f>
        <v>0</v>
      </c>
    </row>
    <row r="158" spans="16:19">
      <c r="P158" s="11">
        <v>144</v>
      </c>
      <c r="Q158" s="11">
        <f t="shared" si="17"/>
        <v>23</v>
      </c>
      <c r="R158" s="11">
        <f t="shared" si="18"/>
        <v>6</v>
      </c>
      <c r="S158" s="12" cm="1">
        <f t="array" ref="S158">INDEX('GeneticTestExp-ConceptMap-1'!$I$15:$N$124,Q158+1,R158)</f>
        <v>0</v>
      </c>
    </row>
    <row r="159" spans="16:19">
      <c r="P159" s="11">
        <v>145</v>
      </c>
      <c r="Q159" s="11">
        <f t="shared" si="17"/>
        <v>24</v>
      </c>
      <c r="R159" s="11">
        <f t="shared" si="18"/>
        <v>1</v>
      </c>
      <c r="S159" s="12" cm="1">
        <f t="array" ref="S159">INDEX('GeneticTestExp-ConceptMap-1'!$I$15:$N$124,Q159+1,R159)</f>
        <v>0</v>
      </c>
    </row>
    <row r="160" spans="16:19">
      <c r="P160" s="11">
        <v>146</v>
      </c>
      <c r="Q160" s="11">
        <f t="shared" si="17"/>
        <v>24</v>
      </c>
      <c r="R160" s="11">
        <f t="shared" si="18"/>
        <v>2</v>
      </c>
      <c r="S160" s="12" cm="1">
        <f t="array" ref="S160">INDEX('GeneticTestExp-ConceptMap-1'!$I$15:$N$124,Q160+1,R160)</f>
        <v>0</v>
      </c>
    </row>
    <row r="161" spans="16:19">
      <c r="P161" s="11">
        <v>147</v>
      </c>
      <c r="Q161" s="11">
        <f t="shared" si="17"/>
        <v>24</v>
      </c>
      <c r="R161" s="11">
        <f t="shared" si="18"/>
        <v>3</v>
      </c>
      <c r="S161" s="12" cm="1">
        <f t="array" ref="S161">INDEX('GeneticTestExp-ConceptMap-1'!$I$15:$N$124,Q161+1,R161)</f>
        <v>0</v>
      </c>
    </row>
    <row r="162" spans="16:19">
      <c r="P162" s="11">
        <v>148</v>
      </c>
      <c r="Q162" s="11">
        <f t="shared" si="17"/>
        <v>24</v>
      </c>
      <c r="R162" s="11">
        <f t="shared" si="18"/>
        <v>4</v>
      </c>
      <c r="S162" s="12" cm="1">
        <f t="array" ref="S162">INDEX('GeneticTestExp-ConceptMap-1'!$I$15:$N$124,Q162+1,R162)</f>
        <v>0</v>
      </c>
    </row>
    <row r="163" spans="16:19">
      <c r="P163" s="11">
        <v>149</v>
      </c>
      <c r="Q163" s="11">
        <f t="shared" si="17"/>
        <v>24</v>
      </c>
      <c r="R163" s="11">
        <f t="shared" si="18"/>
        <v>5</v>
      </c>
      <c r="S163" s="12" cm="1">
        <f t="array" ref="S163">INDEX('GeneticTestExp-ConceptMap-1'!$I$15:$N$124,Q163+1,R163)</f>
        <v>0</v>
      </c>
    </row>
    <row r="164" spans="16:19">
      <c r="P164" s="11">
        <v>150</v>
      </c>
      <c r="Q164" s="11">
        <f t="shared" si="17"/>
        <v>24</v>
      </c>
      <c r="R164" s="11">
        <f t="shared" si="18"/>
        <v>6</v>
      </c>
      <c r="S164" s="12" cm="1">
        <f t="array" ref="S164">INDEX('GeneticTestExp-ConceptMap-1'!$I$15:$N$124,Q164+1,R164)</f>
        <v>0</v>
      </c>
    </row>
    <row r="165" spans="16:19">
      <c r="P165" s="11">
        <v>151</v>
      </c>
      <c r="Q165" s="11">
        <f t="shared" si="17"/>
        <v>25</v>
      </c>
      <c r="R165" s="11">
        <f t="shared" si="18"/>
        <v>1</v>
      </c>
      <c r="S165" s="12" cm="1">
        <f t="array" ref="S165">INDEX('GeneticTestExp-ConceptMap-1'!$I$15:$N$124,Q165+1,R165)</f>
        <v>0</v>
      </c>
    </row>
    <row r="166" spans="16:19">
      <c r="P166" s="11">
        <v>152</v>
      </c>
      <c r="Q166" s="11">
        <f t="shared" si="17"/>
        <v>25</v>
      </c>
      <c r="R166" s="11">
        <f t="shared" si="18"/>
        <v>2</v>
      </c>
      <c r="S166" s="12" cm="1">
        <f t="array" ref="S166">INDEX('GeneticTestExp-ConceptMap-1'!$I$15:$N$124,Q166+1,R166)</f>
        <v>0</v>
      </c>
    </row>
    <row r="167" spans="16:19">
      <c r="P167" s="11">
        <v>153</v>
      </c>
      <c r="Q167" s="11">
        <f t="shared" si="17"/>
        <v>25</v>
      </c>
      <c r="R167" s="11">
        <f t="shared" si="18"/>
        <v>3</v>
      </c>
      <c r="S167" s="12" cm="1">
        <f t="array" ref="S167">INDEX('GeneticTestExp-ConceptMap-1'!$I$15:$N$124,Q167+1,R167)</f>
        <v>0</v>
      </c>
    </row>
    <row r="168" spans="16:19">
      <c r="P168" s="11">
        <v>154</v>
      </c>
      <c r="Q168" s="11">
        <f t="shared" si="17"/>
        <v>25</v>
      </c>
      <c r="R168" s="11">
        <f t="shared" si="18"/>
        <v>4</v>
      </c>
      <c r="S168" s="12" cm="1">
        <f t="array" ref="S168">INDEX('GeneticTestExp-ConceptMap-1'!$I$15:$N$124,Q168+1,R168)</f>
        <v>0</v>
      </c>
    </row>
    <row r="169" spans="16:19">
      <c r="P169" s="11">
        <v>155</v>
      </c>
      <c r="Q169" s="11">
        <f t="shared" si="17"/>
        <v>25</v>
      </c>
      <c r="R169" s="11">
        <f t="shared" si="18"/>
        <v>5</v>
      </c>
      <c r="S169" s="12" cm="1">
        <f t="array" ref="S169">INDEX('GeneticTestExp-ConceptMap-1'!$I$15:$N$124,Q169+1,R169)</f>
        <v>0</v>
      </c>
    </row>
    <row r="170" spans="16:19">
      <c r="P170" s="11">
        <v>156</v>
      </c>
      <c r="Q170" s="11">
        <f t="shared" si="17"/>
        <v>25</v>
      </c>
      <c r="R170" s="11">
        <f t="shared" si="18"/>
        <v>6</v>
      </c>
      <c r="S170" s="12" cm="1">
        <f t="array" ref="S170">INDEX('GeneticTestExp-ConceptMap-1'!$I$15:$N$124,Q170+1,R170)</f>
        <v>0</v>
      </c>
    </row>
    <row r="171" spans="16:19">
      <c r="P171" s="11">
        <v>157</v>
      </c>
      <c r="Q171" s="11">
        <f t="shared" si="17"/>
        <v>26</v>
      </c>
      <c r="R171" s="11">
        <f t="shared" si="18"/>
        <v>1</v>
      </c>
      <c r="S171" s="12" cm="1">
        <f t="array" ref="S171">INDEX('GeneticTestExp-ConceptMap-1'!$I$15:$N$124,Q171+1,R171)</f>
        <v>0</v>
      </c>
    </row>
    <row r="172" spans="16:19">
      <c r="P172" s="11">
        <v>158</v>
      </c>
      <c r="Q172" s="11">
        <f t="shared" si="17"/>
        <v>26</v>
      </c>
      <c r="R172" s="11">
        <f t="shared" si="18"/>
        <v>2</v>
      </c>
      <c r="S172" s="12" cm="1">
        <f t="array" ref="S172">INDEX('GeneticTestExp-ConceptMap-1'!$I$15:$N$124,Q172+1,R172)</f>
        <v>0</v>
      </c>
    </row>
    <row r="173" spans="16:19">
      <c r="P173" s="11">
        <v>159</v>
      </c>
      <c r="Q173" s="11">
        <f t="shared" si="17"/>
        <v>26</v>
      </c>
      <c r="R173" s="11">
        <f t="shared" si="18"/>
        <v>3</v>
      </c>
      <c r="S173" s="12" cm="1">
        <f t="array" ref="S173">INDEX('GeneticTestExp-ConceptMap-1'!$I$15:$N$124,Q173+1,R173)</f>
        <v>0</v>
      </c>
    </row>
    <row r="174" spans="16:19">
      <c r="P174" s="11">
        <v>160</v>
      </c>
      <c r="Q174" s="11">
        <f t="shared" si="17"/>
        <v>26</v>
      </c>
      <c r="R174" s="11">
        <f t="shared" si="18"/>
        <v>4</v>
      </c>
      <c r="S174" s="12" cm="1">
        <f t="array" ref="S174">INDEX('GeneticTestExp-ConceptMap-1'!$I$15:$N$124,Q174+1,R174)</f>
        <v>0</v>
      </c>
    </row>
    <row r="175" spans="16:19">
      <c r="P175" s="11">
        <v>161</v>
      </c>
      <c r="Q175" s="11">
        <f t="shared" si="17"/>
        <v>26</v>
      </c>
      <c r="R175" s="11">
        <f t="shared" si="18"/>
        <v>5</v>
      </c>
      <c r="S175" s="12" cm="1">
        <f t="array" ref="S175">INDEX('GeneticTestExp-ConceptMap-1'!$I$15:$N$124,Q175+1,R175)</f>
        <v>0</v>
      </c>
    </row>
    <row r="176" spans="16:19">
      <c r="P176" s="11">
        <v>162</v>
      </c>
      <c r="Q176" s="11">
        <f t="shared" si="17"/>
        <v>26</v>
      </c>
      <c r="R176" s="11">
        <f t="shared" si="18"/>
        <v>6</v>
      </c>
      <c r="S176" s="12" cm="1">
        <f t="array" ref="S176">INDEX('GeneticTestExp-ConceptMap-1'!$I$15:$N$124,Q176+1,R176)</f>
        <v>0</v>
      </c>
    </row>
    <row r="177" spans="16:19">
      <c r="P177" s="11">
        <v>163</v>
      </c>
      <c r="Q177" s="11">
        <f t="shared" si="17"/>
        <v>27</v>
      </c>
      <c r="R177" s="11">
        <f t="shared" si="18"/>
        <v>1</v>
      </c>
      <c r="S177" s="12" cm="1">
        <f t="array" ref="S177">INDEX('GeneticTestExp-ConceptMap-1'!$I$15:$N$124,Q177+1,R177)</f>
        <v>0</v>
      </c>
    </row>
    <row r="178" spans="16:19">
      <c r="P178" s="11">
        <v>164</v>
      </c>
      <c r="Q178" s="11">
        <f t="shared" si="17"/>
        <v>27</v>
      </c>
      <c r="R178" s="11">
        <f t="shared" si="18"/>
        <v>2</v>
      </c>
      <c r="S178" s="12" cm="1">
        <f t="array" ref="S178">INDEX('GeneticTestExp-ConceptMap-1'!$I$15:$N$124,Q178+1,R178)</f>
        <v>0</v>
      </c>
    </row>
    <row r="179" spans="16:19">
      <c r="P179" s="11">
        <v>165</v>
      </c>
      <c r="Q179" s="11">
        <f t="shared" si="17"/>
        <v>27</v>
      </c>
      <c r="R179" s="11">
        <f t="shared" si="18"/>
        <v>3</v>
      </c>
      <c r="S179" s="12" cm="1">
        <f t="array" ref="S179">INDEX('GeneticTestExp-ConceptMap-1'!$I$15:$N$124,Q179+1,R179)</f>
        <v>0</v>
      </c>
    </row>
    <row r="180" spans="16:19">
      <c r="P180" s="11">
        <v>166</v>
      </c>
      <c r="Q180" s="11">
        <f t="shared" si="17"/>
        <v>27</v>
      </c>
      <c r="R180" s="11">
        <f t="shared" si="18"/>
        <v>4</v>
      </c>
      <c r="S180" s="12" cm="1">
        <f t="array" ref="S180">INDEX('GeneticTestExp-ConceptMap-1'!$I$15:$N$124,Q180+1,R180)</f>
        <v>0</v>
      </c>
    </row>
    <row r="181" spans="16:19">
      <c r="P181" s="11">
        <v>167</v>
      </c>
      <c r="Q181" s="11">
        <f t="shared" si="17"/>
        <v>27</v>
      </c>
      <c r="R181" s="11">
        <f t="shared" si="18"/>
        <v>5</v>
      </c>
      <c r="S181" s="12" cm="1">
        <f t="array" ref="S181">INDEX('GeneticTestExp-ConceptMap-1'!$I$15:$N$124,Q181+1,R181)</f>
        <v>0</v>
      </c>
    </row>
    <row r="182" spans="16:19">
      <c r="P182" s="11">
        <v>168</v>
      </c>
      <c r="Q182" s="11">
        <f t="shared" si="17"/>
        <v>27</v>
      </c>
      <c r="R182" s="11">
        <f t="shared" si="18"/>
        <v>6</v>
      </c>
      <c r="S182" s="12" cm="1">
        <f t="array" ref="S182">INDEX('GeneticTestExp-ConceptMap-1'!$I$15:$N$124,Q182+1,R182)</f>
        <v>0</v>
      </c>
    </row>
    <row r="183" spans="16:19">
      <c r="P183" s="11">
        <v>169</v>
      </c>
      <c r="Q183" s="11">
        <f t="shared" si="17"/>
        <v>28</v>
      </c>
      <c r="R183" s="11">
        <f t="shared" si="18"/>
        <v>1</v>
      </c>
      <c r="S183" s="12" cm="1">
        <f t="array" ref="S183">INDEX('GeneticTestExp-ConceptMap-1'!$I$15:$N$124,Q183+1,R183)</f>
        <v>0</v>
      </c>
    </row>
    <row r="184" spans="16:19">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2421</v>
      </c>
    </row>
    <row r="3" spans="2:7">
      <c r="B3" s="24" t="s">
        <v>20</v>
      </c>
    </row>
    <row r="4" spans="2:7">
      <c r="B4" s="65" t="str">
        <f>"Instance: "&amp;'GeneticTestExp-ConceptMap-1'!C4</f>
        <v>Instance: geneticTestExpression2FHIR</v>
      </c>
    </row>
    <row r="5" spans="2:7">
      <c r="B5" s="65" t="s">
        <v>1447</v>
      </c>
    </row>
    <row r="6" spans="2:7">
      <c r="B6" s="65" t="s">
        <v>1438</v>
      </c>
    </row>
    <row r="7" spans="2:7">
      <c r="B7" s="65" t="s">
        <v>1798</v>
      </c>
    </row>
    <row r="8" spans="2:7">
      <c r="B8" s="65" t="str">
        <f>"* name = ##34#"&amp;'GeneticTestExp-ConceptMap-1'!C3&amp;"##34#"</f>
        <v>* name = ##34#GeneticTestExpression2FHIR##34#</v>
      </c>
    </row>
    <row r="9" spans="2:7">
      <c r="B9" s="65" t="str">
        <f>"* title = ##34#"&amp;'GeneticTestExp-ConceptMap-1'!C5&amp;"##34#"</f>
        <v>* title = ##34#Genetic Test Expression Model to this guide Map##34#</v>
      </c>
    </row>
    <row r="10" spans="2:7">
      <c r="B10" s="65" t="s">
        <v>1439</v>
      </c>
    </row>
    <row r="11" spans="2:7">
      <c r="B11" s="65" t="s">
        <v>1440</v>
      </c>
    </row>
    <row r="12" spans="2:7">
      <c r="B12" s="65" t="str">
        <f>"* description = ##34#"&amp;'GeneticTestExp-ConceptMap-1'!C8&amp;"##34#"</f>
        <v>* description = ##34#Genetic Test Expression Model to this guide Map##34#</v>
      </c>
    </row>
    <row r="13" spans="2:7">
      <c r="B13" s="65" t="str">
        <f>"* purpose = ##34#"&amp;'GeneticTestExp-ConceptMap-1'!C9&amp;"##34#"</f>
        <v>* purpose = ##34#It shows how the Genetic Test Expression Model is mapped into this guide##34#</v>
      </c>
    </row>
    <row r="14" spans="2:7">
      <c r="B14" s="69" t="str">
        <f>"* sourceUri = ##34#"&amp;'GeneticTestExp-ConceptMap-1'!E3&amp;"##34#"</f>
        <v>* sourceUri = ##34#http://hl7.eu/fhir/ig/idea4rc/StructureDefinition/GeneticTestExpression##34#</v>
      </c>
    </row>
    <row r="15" spans="2:7">
      <c r="B15" s="69" t="str">
        <f>"* targetUri = ##34#"&amp;'GeneticTestExp-ConceptMap-1'!E4&amp;"##34#"</f>
        <v>* targetUri = ##34#http://hl7.eu/fhir/ig/idea4rc/StructureDefinition/Condition-primaryCancer-eu-i4rc##34#</v>
      </c>
    </row>
    <row r="16" spans="2:7">
      <c r="B16" s="68" t="str">
        <f>"* group[+].source = ##34#"&amp;'GeneticTestExp-ConceptMap-1'!E6&amp;"##34#"</f>
        <v>* group[+].source = ##34#http://hl7.eu/fhir/ig/idea4rc/StructureDefinition/GeneticTestExpression##34#</v>
      </c>
    </row>
    <row r="17" spans="2:7">
      <c r="B17" s="68" t="str">
        <f>"* group[=].target = ##34#"&amp;'GeneticTestExp-ConceptMap-1'!E7&amp;"##34#"</f>
        <v>* group[=].target = ##34#http://hl7.eu/fhir/ig/idea4rc/StructureDefinition/Condition-primaryCancer-eu-i4rc##34#</v>
      </c>
    </row>
    <row r="18" spans="2:7">
      <c r="B18" s="122"/>
    </row>
    <row r="19" spans="2:7">
      <c r="B19" s="12" t="str">
        <f>IF('GeneticTestExp-ConceptMap-1'!S15=0,"//---END",'GeneticTestExp-ConceptMap-1'!S15)</f>
        <v>* group[=].element[+].code = #GeneticTestExpression.episodeEventReference</v>
      </c>
    </row>
    <row r="20" spans="2:7">
      <c r="B20" s="12" t="str">
        <f>IF('GeneticTestExp-ConceptMap-1'!S16=0,"//---END",'GeneticTestExp-ConceptMap-1'!S16)</f>
        <v>* group[=].element[=].display = ##34#Cancer Episode Reference##34#</v>
      </c>
    </row>
    <row r="21" spans="2:7">
      <c r="B21" s="12" t="str">
        <f>IF('GeneticTestExp-ConceptMap-1'!S17=0,"//---END",'GeneticTestExp-ConceptMap-1'!S17)</f>
        <v>//-- unmatched</v>
      </c>
    </row>
    <row r="22" spans="2:7">
      <c r="B22" s="12" t="str">
        <f>IF('GeneticTestExp-ConceptMap-1'!S18=0,"//---END",'GeneticTestExp-ConceptMap-1'!S18)</f>
        <v>//-- unmatched</v>
      </c>
    </row>
    <row r="23" spans="2:7">
      <c r="B23" s="12" t="str">
        <f>IF('GeneticTestExp-ConceptMap-1'!S19=0,"//---END",'GeneticTestExp-ConceptMap-1'!S19)</f>
        <v>* group[=].element[=].target.equivalence = #unmatched</v>
      </c>
    </row>
    <row r="24" spans="2:7">
      <c r="B24" s="12" t="str">
        <f>IF('GeneticTestExp-ConceptMap-1'!S20=0,"//---END",'GeneticTestExp-ConceptMap-1'!S20)</f>
        <v>* group[=].element[=].target.comment = ##34#The relationship is between EpisodeOfCare to the Primary Condition##34#</v>
      </c>
      <c r="G24" s="7"/>
    </row>
    <row r="25" spans="2:7">
      <c r="B25" s="12" t="str">
        <f>IF('GeneticTestExp-ConceptMap-1'!S21=0,"//---END",'GeneticTestExp-ConceptMap-1'!S21)</f>
        <v>* group[=].element[+].code = #GeneticTestExpression.geneExpressionAnalysisPerformed</v>
      </c>
    </row>
    <row r="26" spans="2:7">
      <c r="B26" s="12" t="str">
        <f>IF('GeneticTestExp-ConceptMap-1'!S22=0,"//---END",'GeneticTestExp-ConceptMap-1'!S22)</f>
        <v>* group[=].element[=].display = ##34#Cancer Episode Reference##34#</v>
      </c>
    </row>
    <row r="27" spans="2:7">
      <c r="B27" s="12" t="str">
        <f>IF('GeneticTestExp-ConceptMap-1'!S23=0,"//---END",'GeneticTestExp-ConceptMap-1'!S23)</f>
        <v>* group[=].element[=].target.code = #Condition.evidence:genetic-test.code</v>
      </c>
    </row>
    <row r="28" spans="2:7">
      <c r="B28" s="12" t="str">
        <f>IF('GeneticTestExp-ConceptMap-1'!S24=0,"//---END",'GeneticTestExp-ConceptMap-1'!S24)</f>
        <v>* group[=].element[=].target.display = ##34###34#</v>
      </c>
    </row>
    <row r="29" spans="2:7">
      <c r="B29" s="12" t="str">
        <f>IF('GeneticTestExp-ConceptMap-1'!S25=0,"//---END",'GeneticTestExp-ConceptMap-1'!S25)</f>
        <v>* group[=].element[=].target.equivalence = #relatedto</v>
      </c>
    </row>
    <row r="30" spans="2:7">
      <c r="B30" s="12" t="str">
        <f>IF('GeneticTestExp-ConceptMap-1'!S26=0,"//---END",'GeneticTestExp-ConceptMap-1'!S26)</f>
        <v>* group[=].element[=].target.comment = ##34#if at least one evidence:genetic-test.code in a 'to be defined' Value Set exists##34#</v>
      </c>
    </row>
    <row r="31" spans="2:7">
      <c r="B31" s="12" t="str">
        <f>IF('GeneticTestExp-ConceptMap-1'!S27=0,"//---END",'GeneticTestExp-ConceptMap-1'!S27)</f>
        <v>* group[=].element[+].code = #GeneticTestExpression.dateOfGeneExpression</v>
      </c>
    </row>
    <row r="32" spans="2:7">
      <c r="B32" s="12" t="str">
        <f>IF('GeneticTestExp-ConceptMap-1'!S28=0,"//---END",'GeneticTestExp-ConceptMap-1'!S28)</f>
        <v>* group[=].element[=].display = ##34#Cancer Episode Reference##34#</v>
      </c>
    </row>
    <row r="33" spans="2:2">
      <c r="B33" s="12" t="str">
        <f>IF('GeneticTestExp-ConceptMap-1'!S29=0,"//---END",'GeneticTestExp-ConceptMap-1'!S29)</f>
        <v>* group[=].element[=].target.code = #Condition.evidence:genetic-test.detail.effectiveDateTime</v>
      </c>
    </row>
    <row r="34" spans="2:2">
      <c r="B34" s="12" t="str">
        <f>IF('GeneticTestExp-ConceptMap-1'!S30=0,"//---END",'GeneticTestExp-ConceptMap-1'!S30)</f>
        <v>* group[=].element[=].target.display = ##34###34#</v>
      </c>
    </row>
    <row r="35" spans="2:2">
      <c r="B35" s="12" t="str">
        <f>IF('GeneticTestExp-ConceptMap-1'!S31=0,"//---END",'GeneticTestExp-ConceptMap-1'!S31)</f>
        <v>* group[=].element[=].target.equivalence = #relatedto</v>
      </c>
    </row>
    <row r="36" spans="2:2">
      <c r="B36" s="12" t="str">
        <f>IF('GeneticTestExp-ConceptMap-1'!S32=0,"//---END",'GeneticTestExp-ConceptMap-1'!S32)</f>
        <v>* group[=].element[=].target.comment = ##34#With evidence:genetic-test.detail.code in a 'to be defined' Value Set exists##34#</v>
      </c>
    </row>
    <row r="37" spans="2:2">
      <c r="B37" s="12" t="str">
        <f>IF('GeneticTestExp-ConceptMap-1'!S33=0,"//---END",'GeneticTestExp-ConceptMap-1'!S33)</f>
        <v>* group[=].element[+].code = #GeneticTestExpression.geneMutationAnalysisPerformed</v>
      </c>
    </row>
    <row r="38" spans="2:2">
      <c r="B38" s="12" t="str">
        <f>IF('GeneticTestExp-ConceptMap-1'!S34=0,"//---END",'GeneticTestExp-ConceptMap-1'!S34)</f>
        <v>* group[=].element[=].display = ##34#Cancer Episode Reference##34#</v>
      </c>
    </row>
    <row r="39" spans="2:2">
      <c r="B39" s="12" t="str">
        <f>IF('GeneticTestExp-ConceptMap-1'!S35=0,"//---END",'GeneticTestExp-ConceptMap-1'!S35)</f>
        <v>* group[=].element[=].target.code = #Condition.evidence:genetic-test.code</v>
      </c>
    </row>
    <row r="40" spans="2:2">
      <c r="B40" s="12" t="str">
        <f>IF('GeneticTestExp-ConceptMap-1'!S36=0,"//---END",'GeneticTestExp-ConceptMap-1'!S36)</f>
        <v>* group[=].element[=].target.display = ##34###34#</v>
      </c>
    </row>
    <row r="41" spans="2:2">
      <c r="B41" s="12" t="str">
        <f>IF('GeneticTestExp-ConceptMap-1'!S37=0,"//---END",'GeneticTestExp-ConceptMap-1'!S37)</f>
        <v>* group[=].element[=].target.equivalence = #relatedto</v>
      </c>
    </row>
    <row r="42" spans="2:2">
      <c r="B42" s="12" t="str">
        <f>IF('GeneticTestExp-ConceptMap-1'!S38=0,"//---END",'GeneticTestExp-ConceptMap-1'!S38)</f>
        <v>* group[=].element[=].target.comment = ##34#if at least one evidence:genetic-test.code in a 'to be defined' Value Set exists##34#</v>
      </c>
    </row>
    <row r="43" spans="2:2">
      <c r="B43" s="12" t="str">
        <f>IF('GeneticTestExp-ConceptMap-1'!S39=0,"//---END",'GeneticTestExp-ConceptMap-1'!S39)</f>
        <v>* group[=].element[+].code = #GeneticTestExpression.dateOfGeneMutation</v>
      </c>
    </row>
    <row r="44" spans="2:2">
      <c r="B44" s="12" t="str">
        <f>IF('GeneticTestExp-ConceptMap-1'!S40=0,"//---END",'GeneticTestExp-ConceptMap-1'!S40)</f>
        <v>* group[=].element[=].display = ##34#Cancer Episode Reference##34#</v>
      </c>
    </row>
    <row r="45" spans="2:2">
      <c r="B45" s="12" t="str">
        <f>IF('GeneticTestExp-ConceptMap-1'!S41=0,"//---END",'GeneticTestExp-ConceptMap-1'!S41)</f>
        <v>* group[=].element[=].target.code = #Condition.evidence:genetic-test.detail.effectiveDateTime</v>
      </c>
    </row>
    <row r="46" spans="2:2">
      <c r="B46" s="12" t="str">
        <f>IF('GeneticTestExp-ConceptMap-1'!S42=0,"//---END",'GeneticTestExp-ConceptMap-1'!S42)</f>
        <v>* group[=].element[=].target.display = ##34###34#</v>
      </c>
    </row>
    <row r="47" spans="2:2">
      <c r="B47" s="12" t="str">
        <f>IF('GeneticTestExp-ConceptMap-1'!S43=0,"//---END",'GeneticTestExp-ConceptMap-1'!S43)</f>
        <v>* group[=].element[=].target.equivalence = #relatedto</v>
      </c>
    </row>
    <row r="48" spans="2:2">
      <c r="B48" s="12" t="str">
        <f>IF('GeneticTestExp-ConceptMap-1'!S44=0,"//---END",'GeneticTestExp-ConceptMap-1'!S44)</f>
        <v>* group[=].element[=].target.comment = ##34#With evidence:genetic-test.detail.code in a 'to be defined' Value Set exists##34#</v>
      </c>
    </row>
    <row r="49" spans="2:2">
      <c r="B49" s="12" t="str">
        <f>IF('GeneticTestExp-ConceptMap-1'!S45=0,"//---END",'GeneticTestExp-ConceptMap-1'!S45)</f>
        <v>* group[=].element[+].code = #GeneticTestExpression.testsForChromosomeTranslocationsPerformed</v>
      </c>
    </row>
    <row r="50" spans="2:2">
      <c r="B50" s="12" t="str">
        <f>IF('GeneticTestExp-ConceptMap-1'!S46=0,"//---END",'GeneticTestExp-ConceptMap-1'!S46)</f>
        <v>* group[=].element[=].display = ##34#Cancer Episode Reference##34#</v>
      </c>
    </row>
    <row r="51" spans="2:2">
      <c r="B51" s="12" t="str">
        <f>IF('GeneticTestExp-ConceptMap-1'!S47=0,"//---END",'GeneticTestExp-ConceptMap-1'!S47)</f>
        <v>* group[=].element[=].target.code = #Condition.evidence:genetic-test.code</v>
      </c>
    </row>
    <row r="52" spans="2:2">
      <c r="B52" s="12" t="str">
        <f>IF('GeneticTestExp-ConceptMap-1'!S48=0,"//---END",'GeneticTestExp-ConceptMap-1'!S48)</f>
        <v>* group[=].element[=].target.display = ##34###34#</v>
      </c>
    </row>
    <row r="53" spans="2:2">
      <c r="B53" s="12" t="str">
        <f>IF('GeneticTestExp-ConceptMap-1'!S49=0,"//---END",'GeneticTestExp-ConceptMap-1'!S49)</f>
        <v>* group[=].element[=].target.equivalence = #relatedto</v>
      </c>
    </row>
    <row r="54" spans="2:2">
      <c r="B54" s="12" t="str">
        <f>IF('GeneticTestExp-ConceptMap-1'!S50=0,"//---END",'GeneticTestExp-ConceptMap-1'!S50)</f>
        <v>* group[=].element[=].target.comment = ##34#if at least one evidence:genetic-test.code in a 'to be defined' Value Set exists##34#</v>
      </c>
    </row>
    <row r="55" spans="2:2">
      <c r="B55" s="12" t="str">
        <f>IF('GeneticTestExp-ConceptMap-1'!S51=0,"//---END",'GeneticTestExp-ConceptMap-1'!S51)</f>
        <v>* group[=].element[+].code = #GeneticTestExpression.dateOfTraslocation</v>
      </c>
    </row>
    <row r="56" spans="2:2">
      <c r="B56" s="12" t="str">
        <f>IF('GeneticTestExp-ConceptMap-1'!S52=0,"//---END",'GeneticTestExp-ConceptMap-1'!S52)</f>
        <v>* group[=].element[=].display = ##34#Cancer Episode Reference##34#</v>
      </c>
    </row>
    <row r="57" spans="2:2">
      <c r="B57" s="12" t="str">
        <f>IF('GeneticTestExp-ConceptMap-1'!S53=0,"//---END",'GeneticTestExp-ConceptMap-1'!S53)</f>
        <v>* group[=].element[=].target.code = #Condition.evidence:genetic-test.detail.effectiveDateTime</v>
      </c>
    </row>
    <row r="58" spans="2:2">
      <c r="B58" s="12" t="str">
        <f>IF('GeneticTestExp-ConceptMap-1'!S54=0,"//---END",'GeneticTestExp-ConceptMap-1'!S54)</f>
        <v>* group[=].element[=].target.display = ##34###34#</v>
      </c>
    </row>
    <row r="59" spans="2:2">
      <c r="B59" s="12" t="str">
        <f>IF('GeneticTestExp-ConceptMap-1'!S55=0,"//---END",'GeneticTestExp-ConceptMap-1'!S55)</f>
        <v>* group[=].element[=].target.equivalence = #relatedto</v>
      </c>
    </row>
    <row r="60" spans="2:2">
      <c r="B60" s="12" t="str">
        <f>IF('GeneticTestExp-ConceptMap-1'!S56=0,"//---END",'GeneticTestExp-ConceptMap-1'!S56)</f>
        <v>* group[=].element[=].target.comment = ##34#With evidence:genetic-test.detail.code in a 'to be defined' Value Set exists##34#</v>
      </c>
    </row>
    <row r="61" spans="2:2">
      <c r="B61" s="12" t="str">
        <f>IF('GeneticTestExp-ConceptMap-1'!S57=0,"//---END",'GeneticTestExp-ConceptMap-1'!S57)</f>
        <v>* group[=].element[+].code = #GeneticTestExpression.nextGenerationSequencingNgsPerformed</v>
      </c>
    </row>
    <row r="62" spans="2:2">
      <c r="B62" s="12" t="str">
        <f>IF('GeneticTestExp-ConceptMap-1'!S58=0,"//---END",'GeneticTestExp-ConceptMap-1'!S58)</f>
        <v>* group[=].element[=].display = ##34#Cancer Episode Reference##34#</v>
      </c>
    </row>
    <row r="63" spans="2:2">
      <c r="B63" s="12" t="str">
        <f>IF('GeneticTestExp-ConceptMap-1'!S59=0,"//---END",'GeneticTestExp-ConceptMap-1'!S59)</f>
        <v>* group[=].element[=].target.code = #Condition.evidence:genetic-test.code</v>
      </c>
    </row>
    <row r="64" spans="2:2">
      <c r="B64" s="12" t="str">
        <f>IF('GeneticTestExp-ConceptMap-1'!S60=0,"//---END",'GeneticTestExp-ConceptMap-1'!S60)</f>
        <v>* group[=].element[=].target.display = ##34###34#</v>
      </c>
    </row>
    <row r="65" spans="2:2">
      <c r="B65" s="12" t="str">
        <f>IF('GeneticTestExp-ConceptMap-1'!S61=0,"//---END",'GeneticTestExp-ConceptMap-1'!S61)</f>
        <v>* group[=].element[=].target.equivalence = #relatedto</v>
      </c>
    </row>
    <row r="66" spans="2:2">
      <c r="B66" s="12" t="str">
        <f>IF('GeneticTestExp-ConceptMap-1'!S62=0,"//---END",'GeneticTestExp-ConceptMap-1'!S62)</f>
        <v>* group[=].element[=].target.comment = ##34#if at least one evidence:genetic-test.code in a 'to be defined' Value Set exists##34#</v>
      </c>
    </row>
    <row r="67" spans="2:2">
      <c r="B67" s="12" t="str">
        <f>IF('GeneticTestExp-ConceptMap-1'!S63=0,"//---END",'GeneticTestExp-ConceptMap-1'!S63)</f>
        <v>* group[=].element[+].code = #GeneticTestExpression.dateOfNgs</v>
      </c>
    </row>
    <row r="68" spans="2:2">
      <c r="B68" s="12" t="str">
        <f>IF('GeneticTestExp-ConceptMap-1'!S64=0,"//---END",'GeneticTestExp-ConceptMap-1'!S64)</f>
        <v>* group[=].element[=].display = ##34#Cancer Episode Reference##34#</v>
      </c>
    </row>
    <row r="69" spans="2:2">
      <c r="B69" s="12" t="str">
        <f>IF('GeneticTestExp-ConceptMap-1'!S65=0,"//---END",'GeneticTestExp-ConceptMap-1'!S65)</f>
        <v>* group[=].element[=].target.code = #Condition.evidence:genetic-test.detail.effectiveDateTime</v>
      </c>
    </row>
    <row r="70" spans="2:2">
      <c r="B70" s="12" t="str">
        <f>IF('GeneticTestExp-ConceptMap-1'!S66=0,"//---END",'GeneticTestExp-ConceptMap-1'!S66)</f>
        <v>* group[=].element[=].target.display = ##34###34#</v>
      </c>
    </row>
    <row r="71" spans="2:2">
      <c r="B71" s="12" t="str">
        <f>IF('GeneticTestExp-ConceptMap-1'!S67=0,"//---END",'GeneticTestExp-ConceptMap-1'!S67)</f>
        <v>* group[=].element[=].target.equivalence = #relatedto</v>
      </c>
    </row>
    <row r="72" spans="2:2">
      <c r="B72" s="12" t="str">
        <f>IF('GeneticTestExp-ConceptMap-1'!S68=0,"//---END",'GeneticTestExp-ConceptMap-1'!S68)</f>
        <v>* group[=].element[=].target.comment = ##34#With evidence:genetic-test.detail.code in a 'to be defined' Value Set exists##34#</v>
      </c>
    </row>
    <row r="73" spans="2:2">
      <c r="B73" s="12" t="str">
        <f>IF('GeneticTestExp-ConceptMap-1'!S69=0,"//---END",'GeneticTestExp-ConceptMap-1'!S69)</f>
        <v>* group[=].element[+].code = #GeneticTestExpression.polymeraseChainReactionPcrTestPerformed</v>
      </c>
    </row>
    <row r="74" spans="2:2">
      <c r="B74" s="12" t="str">
        <f>IF('GeneticTestExp-ConceptMap-1'!S70=0,"//---END",'GeneticTestExp-ConceptMap-1'!S70)</f>
        <v>* group[=].element[=].display = ##34#Cancer Episode Reference##34#</v>
      </c>
    </row>
    <row r="75" spans="2:2">
      <c r="B75" s="12" t="str">
        <f>IF('GeneticTestExp-ConceptMap-1'!S71=0,"//---END",'GeneticTestExp-ConceptMap-1'!S71)</f>
        <v>* group[=].element[=].target.code = #Condition.evidence:genetic-test.code</v>
      </c>
    </row>
    <row r="76" spans="2:2">
      <c r="B76" s="12" t="str">
        <f>IF('GeneticTestExp-ConceptMap-1'!S72=0,"//---END",'GeneticTestExp-ConceptMap-1'!S72)</f>
        <v>* group[=].element[=].target.display = ##34###34#</v>
      </c>
    </row>
    <row r="77" spans="2:2">
      <c r="B77" s="12" t="str">
        <f>IF('GeneticTestExp-ConceptMap-1'!S73=0,"//---END",'GeneticTestExp-ConceptMap-1'!S73)</f>
        <v>* group[=].element[=].target.equivalence = #relatedto</v>
      </c>
    </row>
    <row r="78" spans="2:2">
      <c r="B78" s="12" t="str">
        <f>IF('GeneticTestExp-ConceptMap-1'!S74=0,"//---END",'GeneticTestExp-ConceptMap-1'!S74)</f>
        <v>* group[=].element[=].target.comment = ##34#if at least one evidence:genetic-test.code in a 'to be defined' Value Set exists##34#</v>
      </c>
    </row>
    <row r="79" spans="2:2">
      <c r="B79" s="12" t="str">
        <f>IF('GeneticTestExp-ConceptMap-1'!S75=0,"//---END",'GeneticTestExp-ConceptMap-1'!S75)</f>
        <v>* group[=].element[+].code = #GeneticTestExpression.dateOfPcr</v>
      </c>
    </row>
    <row r="80" spans="2:2">
      <c r="B80" s="12" t="str">
        <f>IF('GeneticTestExp-ConceptMap-1'!S76=0,"//---END",'GeneticTestExp-ConceptMap-1'!S76)</f>
        <v>* group[=].element[=].display = ##34#Cancer Episode Reference##34#</v>
      </c>
    </row>
    <row r="81" spans="2:2">
      <c r="B81" s="12" t="str">
        <f>IF('GeneticTestExp-ConceptMap-1'!S77=0,"//---END",'GeneticTestExp-ConceptMap-1'!S77)</f>
        <v>* group[=].element[=].target.code = #Condition.evidence:genetic-test.detail.effectiveDateTime</v>
      </c>
    </row>
    <row r="82" spans="2:2">
      <c r="B82" s="12" t="str">
        <f>IF('GeneticTestExp-ConceptMap-1'!S78=0,"//---END",'GeneticTestExp-ConceptMap-1'!S78)</f>
        <v>* group[=].element[=].target.display = ##34###34#</v>
      </c>
    </row>
    <row r="83" spans="2:2">
      <c r="B83" s="12" t="str">
        <f>IF('GeneticTestExp-ConceptMap-1'!S79=0,"//---END",'GeneticTestExp-ConceptMap-1'!S79)</f>
        <v>* group[=].element[=].target.equivalence = #relatedto</v>
      </c>
    </row>
    <row r="84" spans="2:2">
      <c r="B84" s="12" t="str">
        <f>IF('GeneticTestExp-ConceptMap-1'!S80=0,"//---END",'GeneticTestExp-ConceptMap-1'!S80)</f>
        <v>* group[=].element[=].target.comment = ##34#With evidence:genetic-test.detail.code in a 'to be defined' Value Set exists##34#</v>
      </c>
    </row>
    <row r="85" spans="2:2">
      <c r="B85" s="12" t="str">
        <f>IF('GeneticTestExp-ConceptMap-1'!S81=0,"//---END",'GeneticTestExp-ConceptMap-1'!S81)</f>
        <v>* group[=].element[+].code = #GeneticTestExpression.immunohistochemistryPerformed</v>
      </c>
    </row>
    <row r="86" spans="2:2">
      <c r="B86" s="12" t="str">
        <f>IF('GeneticTestExp-ConceptMap-1'!S82=0,"//---END",'GeneticTestExp-ConceptMap-1'!S82)</f>
        <v>* group[=].element[=].display = ##34#Cancer Episode Reference##34#</v>
      </c>
    </row>
    <row r="87" spans="2:2">
      <c r="B87" s="12" t="str">
        <f>IF('GeneticTestExp-ConceptMap-1'!S83=0,"//---END",'GeneticTestExp-ConceptMap-1'!S83)</f>
        <v>* group[=].element[=].target.code = #Condition.evidence:genetic-test.code</v>
      </c>
    </row>
    <row r="88" spans="2:2">
      <c r="B88" s="12" t="str">
        <f>IF('GeneticTestExp-ConceptMap-1'!S84=0,"//---END",'GeneticTestExp-ConceptMap-1'!S84)</f>
        <v>* group[=].element[=].target.display = ##34###34#</v>
      </c>
    </row>
    <row r="89" spans="2:2">
      <c r="B89" s="12" t="str">
        <f>IF('GeneticTestExp-ConceptMap-1'!S85=0,"//---END",'GeneticTestExp-ConceptMap-1'!S85)</f>
        <v>* group[=].element[=].target.equivalence = #relatedto</v>
      </c>
    </row>
    <row r="90" spans="2:2">
      <c r="B90" s="12" t="str">
        <f>IF('GeneticTestExp-ConceptMap-1'!S86=0,"//---END",'GeneticTestExp-ConceptMap-1'!S86)</f>
        <v>* group[=].element[=].target.comment = ##34#if at least one evidence:genetic-test.code in a 'to be defined' Value Set exists##34#</v>
      </c>
    </row>
    <row r="91" spans="2:2">
      <c r="B91" s="12" t="str">
        <f>IF('GeneticTestExp-ConceptMap-1'!S87=0,"//---END",'GeneticTestExp-ConceptMap-1'!S87)</f>
        <v>* group[=].element[+].code = #GeneticTestExpression.dateOfImmunohistochemistry</v>
      </c>
    </row>
    <row r="92" spans="2:2">
      <c r="B92" s="12" t="str">
        <f>IF('GeneticTestExp-ConceptMap-1'!S88=0,"//---END",'GeneticTestExp-ConceptMap-1'!S88)</f>
        <v>* group[=].element[=].display = ##34#Cancer Episode Reference##34#</v>
      </c>
    </row>
    <row r="93" spans="2:2">
      <c r="B93" s="12" t="str">
        <f>IF('GeneticTestExp-ConceptMap-1'!S89=0,"//---END",'GeneticTestExp-ConceptMap-1'!S89)</f>
        <v>* group[=].element[=].target.code = #Condition.evidence:genetic-test.detail.effectiveDateTime</v>
      </c>
    </row>
    <row r="94" spans="2:2">
      <c r="B94" s="12" t="str">
        <f>IF('GeneticTestExp-ConceptMap-1'!S90=0,"//---END",'GeneticTestExp-ConceptMap-1'!S90)</f>
        <v>* group[=].element[=].target.display = ##34###34#</v>
      </c>
    </row>
    <row r="95" spans="2:2">
      <c r="B95" s="12" t="str">
        <f>IF('GeneticTestExp-ConceptMap-1'!S91=0,"//---END",'GeneticTestExp-ConceptMap-1'!S91)</f>
        <v>* group[=].element[=].target.equivalence = #relatedto</v>
      </c>
    </row>
    <row r="96" spans="2:2">
      <c r="B96" s="12" t="str">
        <f>IF('GeneticTestExp-ConceptMap-1'!S92=0,"//---END",'GeneticTestExp-ConceptMap-1'!S92)</f>
        <v>* group[=].element[=].target.comment = ##34#With evidence:genetic-test.detail.code in a 'to be defined' Value Set exists##34#</v>
      </c>
    </row>
    <row r="97" spans="2:2">
      <c r="B97" s="12" t="str">
        <f>IF('GeneticTestExp-ConceptMap-1'!S93=0,"//---END",'GeneticTestExp-ConceptMap-1'!S93)</f>
        <v>* group[=].element[+].code = #GeneticTestExpression.circulatingTumourDnaCtdnaPerformed</v>
      </c>
    </row>
    <row r="98" spans="2:2">
      <c r="B98" s="12" t="str">
        <f>IF('GeneticTestExp-ConceptMap-1'!S94=0,"//---END",'GeneticTestExp-ConceptMap-1'!S94)</f>
        <v>* group[=].element[=].display = ##34#Cancer Episode Reference##34#</v>
      </c>
    </row>
    <row r="99" spans="2:2">
      <c r="B99" s="12" t="str">
        <f>IF('GeneticTestExp-ConceptMap-1'!S95=0,"//---END",'GeneticTestExp-ConceptMap-1'!S95)</f>
        <v>* group[=].element[=].target.code = #Condition.evidence:genetic-test.code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#relatedto</v>
      </c>
    </row>
    <row r="102" spans="2:2">
      <c r="B102" s="12" t="str">
        <f>IF('GeneticTestExp-ConceptMap-1'!S98=0,"//---END",'GeneticTestExp-ConceptMap-1'!S98)</f>
        <v>* group[=].element[=].target.comment = ##34#if at least one evidence:genetic-test.code in a 'to be defined' Value Set exists##34#</v>
      </c>
    </row>
    <row r="103" spans="2:2">
      <c r="B103" s="12" t="str">
        <f>IF('GeneticTestExp-ConceptMap-1'!S99=0,"//---END",'GeneticTestExp-ConceptMap-1'!S99)</f>
        <v>* group[=].element[+].code = #GeneticTestExpression.dateOfCtdna</v>
      </c>
    </row>
    <row r="104" spans="2:2">
      <c r="B104" s="12" t="str">
        <f>IF('GeneticTestExp-ConceptMap-1'!S100=0,"//---END",'GeneticTestExp-ConceptMap-1'!S100)</f>
        <v>* group[=].element[=].display = ##34#Cancer Episode Reference##34#</v>
      </c>
    </row>
    <row r="105" spans="2:2">
      <c r="B105" s="12" t="str">
        <f>IF('GeneticTestExp-ConceptMap-1'!S101=0,"//---END",'GeneticTestExp-ConceptMap-1'!S101)</f>
        <v>* group[=].element[=].target.code = #Condition.evidence:genetic-test.detail.effectiveDateTime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#relatedto</v>
      </c>
    </row>
    <row r="108" spans="2:2">
      <c r="B108" s="12" t="str">
        <f>IF('GeneticTestExp-ConceptMap-1'!S104=0,"//---END",'GeneticTestExp-ConceptMap-1'!S104)</f>
        <v>* group[=].element[=].target.comment = ##34#With evidence:genetic-test.detail.code in a 'to be defined' Value Set exists##34#</v>
      </c>
    </row>
    <row r="109" spans="2:2">
      <c r="B109" s="12" t="str">
        <f>IF('GeneticTestExp-ConceptMap-1'!S105=0,"//---END",'GeneticTestExp-ConceptMap-1'!S105)</f>
        <v>//---END</v>
      </c>
    </row>
    <row r="110" spans="2:2">
      <c r="B110" s="12" t="str">
        <f>IF('GeneticTestExp-ConceptMap-1'!S106=0,"//---END",'GeneticTestExp-ConceptMap-1'!S106)</f>
        <v>//---END</v>
      </c>
    </row>
    <row r="111" spans="2:2">
      <c r="B111" s="12" t="str">
        <f>IF('GeneticTestExp-ConceptMap-1'!S107=0,"//---END",'GeneticTestExp-ConceptMap-1'!S107)</f>
        <v>//---END</v>
      </c>
    </row>
    <row r="112" spans="2:2">
      <c r="B112" s="12" t="str">
        <f>IF('GeneticTestExp-ConceptMap-1'!S108=0,"//---END",'GeneticTestExp-ConceptMap-1'!S108)</f>
        <v>//---END</v>
      </c>
    </row>
    <row r="113" spans="2:2">
      <c r="B113" s="12" t="str">
        <f>IF('GeneticTestExp-ConceptMap-1'!S109=0,"//---END",'GeneticTestExp-ConceptMap-1'!S109)</f>
        <v>//---END</v>
      </c>
    </row>
    <row r="114" spans="2:2">
      <c r="B114" s="12" t="str">
        <f>IF('GeneticTestExp-ConceptMap-1'!S110=0,"//---END",'GeneticTestExp-ConceptMap-1'!S110)</f>
        <v>//---END</v>
      </c>
    </row>
    <row r="115" spans="2:2">
      <c r="B115" s="12" t="str">
        <f>IF('GeneticTestExp-ConceptMap-1'!S111=0,"//---END",'GeneticTestExp-ConceptMap-1'!S111)</f>
        <v>//---END</v>
      </c>
    </row>
    <row r="116" spans="2:2">
      <c r="B116" s="12" t="str">
        <f>IF('GeneticTestExp-ConceptMap-1'!S112=0,"//---END",'GeneticTestExp-ConceptMap-1'!S112)</f>
        <v>//---END</v>
      </c>
    </row>
    <row r="117" spans="2:2">
      <c r="B117" s="12" t="str">
        <f>IF('GeneticTestExp-ConceptMap-1'!S113=0,"//---END",'GeneticTestExp-ConceptMap-1'!S113)</f>
        <v>//---END</v>
      </c>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79</vt:i4>
      </vt:variant>
    </vt:vector>
  </HeadingPairs>
  <TitlesOfParts>
    <vt:vector size="79"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2023-09-19T07:45:19Z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