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44A1DE91-3ACA-4409-9C0A-7280133AF626}" xr6:coauthVersionLast="47" xr6:coauthVersionMax="47" xr10:uidLastSave="{00000000-0000-0000-0000-000000000000}"/>
  <bookViews>
    <workbookView xWindow="-90" yWindow="-21710" windowWidth="38620" windowHeight="21100" tabRatio="819" firstSheet="29" activeTab="39"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199" l="1"/>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104" i="232"/>
  <c r="B105" i="232"/>
  <c r="B106" i="232"/>
  <c r="B107" i="232"/>
  <c r="B108" i="232"/>
  <c r="B109" i="232"/>
  <c r="B52" i="232"/>
  <c r="B53" i="232"/>
  <c r="B54" i="232"/>
  <c r="B55" i="232"/>
  <c r="B56" i="232"/>
  <c r="B57" i="232"/>
  <c r="B58" i="232"/>
  <c r="B59" i="232"/>
  <c r="B60" i="232"/>
  <c r="B61" i="232"/>
  <c r="B62" i="232"/>
  <c r="B63" i="232"/>
  <c r="B64" i="232"/>
  <c r="B65" i="232"/>
  <c r="B6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Q16" i="245"/>
  <c r="S16" i="245" s="1" a="1"/>
  <c r="S16" i="245" s="1"/>
  <c r="R16" i="245"/>
  <c r="Q17" i="245"/>
  <c r="R17" i="245"/>
  <c r="S17" i="245" a="1"/>
  <c r="S17" i="245"/>
  <c r="Q18" i="245"/>
  <c r="S18" i="245" s="1" a="1"/>
  <c r="S18" i="245" s="1"/>
  <c r="R18" i="245"/>
  <c r="Q19" i="245"/>
  <c r="R19" i="245"/>
  <c r="S19" i="245" a="1"/>
  <c r="S19" i="245"/>
  <c r="Q20" i="245"/>
  <c r="S20" i="245" s="1" a="1"/>
  <c r="S20" i="245" s="1"/>
  <c r="R20" i="245"/>
  <c r="Q21" i="245"/>
  <c r="R21" i="245"/>
  <c r="S21" i="245" a="1"/>
  <c r="S21" i="245"/>
  <c r="Q22" i="245"/>
  <c r="S22" i="245" s="1" a="1"/>
  <c r="S22" i="245" s="1"/>
  <c r="R22" i="245"/>
  <c r="Q23" i="245"/>
  <c r="R23" i="245"/>
  <c r="S23" i="245" a="1"/>
  <c r="S23" i="245"/>
  <c r="Q24" i="245"/>
  <c r="S24" i="245" s="1" a="1"/>
  <c r="S24" i="245" s="1"/>
  <c r="R24" i="245"/>
  <c r="Q25" i="245"/>
  <c r="R25" i="245"/>
  <c r="S25" i="245" a="1"/>
  <c r="S25" i="245"/>
  <c r="Q26" i="245"/>
  <c r="S26" i="245" s="1" a="1"/>
  <c r="S26" i="245" s="1"/>
  <c r="R26" i="245"/>
  <c r="Q27" i="245"/>
  <c r="R27" i="245"/>
  <c r="S27" i="245" a="1"/>
  <c r="S27" i="245"/>
  <c r="Q28" i="245"/>
  <c r="S28" i="245" s="1" a="1"/>
  <c r="S28" i="245" s="1"/>
  <c r="R28" i="245"/>
  <c r="Q29" i="245"/>
  <c r="R29" i="245"/>
  <c r="S29" i="245" a="1"/>
  <c r="S29" i="245"/>
  <c r="Q30" i="245"/>
  <c r="S30" i="245" s="1" a="1"/>
  <c r="S30" i="245" s="1"/>
  <c r="R30" i="245"/>
  <c r="Q31" i="245"/>
  <c r="R31" i="245"/>
  <c r="S31" i="245" a="1"/>
  <c r="S31" i="245"/>
  <c r="Q32" i="245"/>
  <c r="S32" i="245" s="1" a="1"/>
  <c r="S32" i="245" s="1"/>
  <c r="R32" i="245"/>
  <c r="Q33" i="245"/>
  <c r="R33" i="245"/>
  <c r="S33" i="245" a="1"/>
  <c r="S33" i="245"/>
  <c r="Q34" i="245"/>
  <c r="S34" i="245" s="1" a="1"/>
  <c r="S34" i="245" s="1"/>
  <c r="R34" i="245"/>
  <c r="Q35" i="245"/>
  <c r="R35" i="245"/>
  <c r="S35" i="245" a="1"/>
  <c r="S35" i="245"/>
  <c r="Q36" i="245"/>
  <c r="S36" i="245" s="1" a="1"/>
  <c r="S36" i="245" s="1"/>
  <c r="R36" i="245"/>
  <c r="Q37" i="245"/>
  <c r="R37" i="245"/>
  <c r="S37" i="245" a="1"/>
  <c r="S37" i="245"/>
  <c r="Q38" i="245"/>
  <c r="S38" i="245" s="1" a="1"/>
  <c r="S38" i="245" s="1"/>
  <c r="R38" i="245"/>
  <c r="Q39" i="245"/>
  <c r="R39" i="245"/>
  <c r="S39" i="245" a="1"/>
  <c r="S39" i="245"/>
  <c r="Q40" i="245"/>
  <c r="S40" i="245" s="1" a="1"/>
  <c r="S40" i="245" s="1"/>
  <c r="R40" i="245"/>
  <c r="Q41" i="245"/>
  <c r="R41" i="245"/>
  <c r="S41" i="245" a="1"/>
  <c r="S41" i="245"/>
  <c r="Q42" i="245"/>
  <c r="S42" i="245" s="1" a="1"/>
  <c r="S42" i="245" s="1"/>
  <c r="R42" i="245"/>
  <c r="Q43" i="245"/>
  <c r="R43" i="245"/>
  <c r="S43" i="245" a="1"/>
  <c r="S43" i="245"/>
  <c r="Q44" i="245"/>
  <c r="S44" i="245" s="1" a="1"/>
  <c r="S44" i="245" s="1"/>
  <c r="R44" i="245"/>
  <c r="Q45" i="245"/>
  <c r="R45" i="245"/>
  <c r="S45" i="245" a="1"/>
  <c r="S45" i="245"/>
  <c r="Q46" i="245"/>
  <c r="S46" i="245" s="1" a="1"/>
  <c r="S46" i="245" s="1"/>
  <c r="R46" i="245"/>
  <c r="Q47" i="245"/>
  <c r="R47" i="245"/>
  <c r="S47" i="245" a="1"/>
  <c r="S47" i="245"/>
  <c r="Q48" i="245"/>
  <c r="S48" i="245" s="1" a="1"/>
  <c r="S48" i="245" s="1"/>
  <c r="R48" i="245"/>
  <c r="Q49" i="245"/>
  <c r="R49" i="245"/>
  <c r="S49" i="245" a="1"/>
  <c r="S49" i="245"/>
  <c r="Q50" i="245"/>
  <c r="S50" i="245" s="1" a="1"/>
  <c r="S50" i="245" s="1"/>
  <c r="R50" i="245"/>
  <c r="Q51" i="245"/>
  <c r="R51" i="245"/>
  <c r="S51" i="245" a="1"/>
  <c r="S51" i="245"/>
  <c r="Q52" i="245"/>
  <c r="S52" i="245" s="1" a="1"/>
  <c r="S52" i="245" s="1"/>
  <c r="R52" i="245"/>
  <c r="Q53" i="245"/>
  <c r="R53" i="245"/>
  <c r="S53" i="245" a="1"/>
  <c r="S53" i="245"/>
  <c r="Q54" i="245"/>
  <c r="S54" i="245" s="1" a="1"/>
  <c r="S54" i="245" s="1"/>
  <c r="R5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56" i="231"/>
  <c r="R56" i="231"/>
  <c r="S56" i="231" a="1"/>
  <c r="S56" i="231" s="1"/>
  <c r="Q57" i="231"/>
  <c r="S57" i="231" s="1" a="1"/>
  <c r="S57" i="231" s="1"/>
  <c r="R57" i="231"/>
  <c r="Q58" i="231"/>
  <c r="R58" i="231"/>
  <c r="S58" i="231" a="1"/>
  <c r="S58" i="231" s="1"/>
  <c r="Q59" i="231"/>
  <c r="R59" i="231"/>
  <c r="S59" i="231" a="1"/>
  <c r="S59" i="231" s="1"/>
  <c r="Q60" i="231"/>
  <c r="R60" i="231"/>
  <c r="S60" i="231" a="1"/>
  <c r="S60" i="231" s="1"/>
  <c r="Q61" i="231"/>
  <c r="R61" i="231"/>
  <c r="S61" i="231" a="1"/>
  <c r="S61" i="231"/>
  <c r="Q62" i="231"/>
  <c r="R62" i="231"/>
  <c r="S62" i="231" a="1"/>
  <c r="S62" i="231" s="1"/>
  <c r="Q63" i="231"/>
  <c r="R63" i="231"/>
  <c r="S63" i="231" a="1"/>
  <c r="S63" i="231"/>
  <c r="Q64" i="231"/>
  <c r="R64" i="231"/>
  <c r="S64" i="231" a="1"/>
  <c r="S64" i="231" s="1"/>
  <c r="Q65" i="231"/>
  <c r="R65" i="231"/>
  <c r="S65" i="231" a="1"/>
  <c r="S65" i="231" s="1"/>
  <c r="Q18" i="231"/>
  <c r="S18" i="231" s="1" a="1"/>
  <c r="S18" i="231" s="1"/>
  <c r="R18" i="231"/>
  <c r="Q19" i="231"/>
  <c r="R19" i="231"/>
  <c r="S19" i="231" a="1"/>
  <c r="S19" i="231" s="1"/>
  <c r="Q20" i="231"/>
  <c r="S20" i="231" s="1" a="1"/>
  <c r="S20" i="231" s="1"/>
  <c r="R20" i="231"/>
  <c r="Q21" i="231"/>
  <c r="R21" i="231"/>
  <c r="S21" i="231" a="1"/>
  <c r="S21" i="231" s="1"/>
  <c r="Q22" i="231"/>
  <c r="S22" i="231" s="1" a="1"/>
  <c r="S22" i="231" s="1"/>
  <c r="R22" i="231"/>
  <c r="Q23" i="231"/>
  <c r="R23" i="231"/>
  <c r="S23" i="231" a="1"/>
  <c r="S23" i="231" s="1"/>
  <c r="Q24" i="231"/>
  <c r="S24" i="231" s="1" a="1"/>
  <c r="S24" i="231" s="1"/>
  <c r="R24" i="231"/>
  <c r="Q25" i="231"/>
  <c r="R25" i="231"/>
  <c r="S25" i="231" a="1"/>
  <c r="S25" i="231" s="1"/>
  <c r="Q26" i="231"/>
  <c r="S26" i="231" s="1" a="1"/>
  <c r="S26" i="231" s="1"/>
  <c r="R26" i="231"/>
  <c r="Q27" i="231"/>
  <c r="R27" i="231"/>
  <c r="S27" i="231" a="1"/>
  <c r="S27" i="231" s="1"/>
  <c r="Q28" i="231"/>
  <c r="S28" i="231" s="1" a="1"/>
  <c r="S28" i="231" s="1"/>
  <c r="R28" i="231"/>
  <c r="Q29" i="231"/>
  <c r="R29" i="231"/>
  <c r="S29" i="231" a="1"/>
  <c r="S29" i="231" s="1"/>
  <c r="Q30" i="231"/>
  <c r="S30" i="231" s="1" a="1"/>
  <c r="S30" i="231" s="1"/>
  <c r="R30" i="231"/>
  <c r="Q31" i="231"/>
  <c r="R31" i="231"/>
  <c r="S31" i="231" a="1"/>
  <c r="S31" i="231" s="1"/>
  <c r="Q32" i="231"/>
  <c r="R32" i="231"/>
  <c r="Q33" i="231"/>
  <c r="R33" i="231"/>
  <c r="S33" i="231" a="1"/>
  <c r="S33" i="231" s="1"/>
  <c r="Q34" i="231"/>
  <c r="S34" i="231" s="1" a="1"/>
  <c r="S34" i="231" s="1"/>
  <c r="R34" i="231"/>
  <c r="Q35" i="231"/>
  <c r="R35" i="231"/>
  <c r="S35" i="231" a="1"/>
  <c r="S35" i="231" s="1"/>
  <c r="Q36" i="231"/>
  <c r="S36" i="231" s="1" a="1"/>
  <c r="S36" i="231" s="1"/>
  <c r="R36" i="231"/>
  <c r="Q37" i="231"/>
  <c r="R37" i="231"/>
  <c r="S37" i="231" a="1"/>
  <c r="S37" i="231" s="1"/>
  <c r="Q38" i="231"/>
  <c r="S38" i="231" s="1" a="1"/>
  <c r="S38" i="231" s="1"/>
  <c r="R38" i="231"/>
  <c r="Q39" i="231"/>
  <c r="R39" i="231"/>
  <c r="S39" i="231" a="1"/>
  <c r="S39" i="231" s="1"/>
  <c r="Q40" i="231"/>
  <c r="S40" i="231" s="1" a="1"/>
  <c r="S40" i="231" s="1"/>
  <c r="R40" i="231"/>
  <c r="Q41" i="231"/>
  <c r="R41" i="231"/>
  <c r="S41" i="231" a="1"/>
  <c r="S41" i="231" s="1"/>
  <c r="Q42" i="231"/>
  <c r="S42" i="231" s="1" a="1"/>
  <c r="S42" i="231" s="1"/>
  <c r="R42" i="231"/>
  <c r="Q43" i="231"/>
  <c r="R43" i="231"/>
  <c r="S43" i="231" a="1"/>
  <c r="S43" i="231" s="1"/>
  <c r="Q44" i="231"/>
  <c r="S44" i="231" s="1" a="1"/>
  <c r="S44" i="231" s="1"/>
  <c r="R44" i="231"/>
  <c r="Q45" i="231"/>
  <c r="R45" i="231"/>
  <c r="S45" i="231" a="1"/>
  <c r="S45" i="231" s="1"/>
  <c r="Q46" i="231"/>
  <c r="S46" i="231" s="1" a="1"/>
  <c r="S46" i="231" s="1"/>
  <c r="R46" i="231"/>
  <c r="Q47" i="231"/>
  <c r="R47" i="231"/>
  <c r="S47" i="231" a="1"/>
  <c r="S47" i="231" s="1"/>
  <c r="Q48" i="231"/>
  <c r="S48" i="231" s="1" a="1"/>
  <c r="S48" i="231" s="1"/>
  <c r="R48" i="231"/>
  <c r="Q49" i="231"/>
  <c r="R49" i="231"/>
  <c r="S49" i="231" a="1"/>
  <c r="S49" i="231" s="1"/>
  <c r="Q50" i="231"/>
  <c r="S50" i="231" s="1" a="1"/>
  <c r="S50" i="231" s="1"/>
  <c r="R50" i="231"/>
  <c r="Q51" i="231"/>
  <c r="R51" i="231"/>
  <c r="S51" i="231" a="1"/>
  <c r="S51" i="231" s="1"/>
  <c r="Q52" i="231"/>
  <c r="S52" i="231" s="1" a="1"/>
  <c r="S52" i="231" s="1"/>
  <c r="R52" i="231"/>
  <c r="Q53" i="231"/>
  <c r="R53" i="231"/>
  <c r="S53" i="231" a="1"/>
  <c r="S53" i="231" s="1"/>
  <c r="Q54" i="231"/>
  <c r="S54" i="231" s="1" a="1"/>
  <c r="S54" i="231" s="1"/>
  <c r="R54" i="231"/>
  <c r="Q55" i="231"/>
  <c r="R55" i="231"/>
  <c r="S55" i="231" a="1"/>
  <c r="S55" i="231" s="1"/>
  <c r="Q16" i="231"/>
  <c r="S16" i="231" s="1" a="1"/>
  <c r="S16" i="231" s="1"/>
  <c r="R16" i="231"/>
  <c r="Q17" i="231"/>
  <c r="R17" i="231"/>
  <c r="S17" i="231" a="1"/>
  <c r="S17"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I21" i="231"/>
  <c r="J21" i="231"/>
  <c r="K21" i="231"/>
  <c r="L21" i="231"/>
  <c r="M21" i="231"/>
  <c r="N21" i="231"/>
  <c r="B16" i="231"/>
  <c r="C16" i="231"/>
  <c r="E7" i="231"/>
  <c r="B14" i="231"/>
  <c r="B14" i="245" s="1"/>
  <c r="C67" i="230"/>
  <c r="C68" i="230"/>
  <c r="C69" i="230"/>
  <c r="C70" i="230"/>
  <c r="C71" i="230"/>
  <c r="C72" i="230"/>
  <c r="C73" i="230"/>
  <c r="C74" i="230"/>
  <c r="C52" i="230"/>
  <c r="C53" i="230"/>
  <c r="C54" i="230"/>
  <c r="C55" i="230"/>
  <c r="C56" i="230"/>
  <c r="C57" i="230"/>
  <c r="C58" i="230"/>
  <c r="C59" i="230"/>
  <c r="C35" i="230"/>
  <c r="C36" i="230"/>
  <c r="C37" i="230"/>
  <c r="C38" i="230"/>
  <c r="C39" i="230"/>
  <c r="C40" i="230"/>
  <c r="C41" i="230"/>
  <c r="C42" i="230"/>
  <c r="C9" i="230"/>
  <c r="C10" i="230"/>
  <c r="C11" i="230"/>
  <c r="C12" i="230"/>
  <c r="C13" i="230"/>
  <c r="C14"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S112" i="178" s="1" a="1"/>
  <c r="S112" i="178" s="1"/>
  <c r="B116" i="179" s="1"/>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S124" i="178" a="1"/>
  <c r="S124" i="178" s="1"/>
  <c r="B128" i="179" s="1"/>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S130" i="178" s="1" a="1"/>
  <c r="S130" i="178" s="1"/>
  <c r="B134" i="179" s="1"/>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S148" i="178" a="1"/>
  <c r="S148" i="178" s="1"/>
  <c r="B152" i="179" s="1"/>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S292" i="178" s="1" a="1"/>
  <c r="S292" i="178" s="1"/>
  <c r="B296" i="179" s="1"/>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S298" i="178" s="1" a="1"/>
  <c r="S298" i="178" s="1"/>
  <c r="B302" i="179" s="1"/>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26" i="200"/>
  <c r="B232" i="200"/>
  <c r="B234" i="200"/>
  <c r="B240" i="200"/>
  <c r="B242" i="200"/>
  <c r="B248" i="200"/>
  <c r="B250" i="200"/>
  <c r="B256" i="200"/>
  <c r="B258" i="200"/>
  <c r="B264" i="200"/>
  <c r="B266" i="200"/>
  <c r="B272" i="200"/>
  <c r="B274" i="200"/>
  <c r="B280" i="200"/>
  <c r="B282" i="200"/>
  <c r="B288" i="200"/>
  <c r="B290" i="200"/>
  <c r="B296" i="200"/>
  <c r="B298" i="200"/>
  <c r="B304" i="200"/>
  <c r="B306" i="200"/>
  <c r="B312" i="200"/>
  <c r="B314" i="200"/>
  <c r="B206" i="200"/>
  <c r="B207" i="200"/>
  <c r="B208" i="200"/>
  <c r="B209" i="200"/>
  <c r="B210" i="200"/>
  <c r="B211" i="200"/>
  <c r="B212" i="200"/>
  <c r="B213" i="200"/>
  <c r="B173" i="200"/>
  <c r="B174" i="200"/>
  <c r="B175" i="200"/>
  <c r="B176" i="200"/>
  <c r="B177" i="200"/>
  <c r="B178"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140" i="200"/>
  <c r="B141" i="200"/>
  <c r="B142" i="200"/>
  <c r="B143" i="200"/>
  <c r="B144" i="200"/>
  <c r="B145" i="200"/>
  <c r="B146" i="200"/>
  <c r="B147" i="200"/>
  <c r="B148" i="200"/>
  <c r="B149" i="200"/>
  <c r="B150" i="200"/>
  <c r="B151" i="200"/>
  <c r="B152" i="200"/>
  <c r="B153" i="200"/>
  <c r="B154" i="200"/>
  <c r="B155" i="200"/>
  <c r="B156" i="200"/>
  <c r="B157" i="200"/>
  <c r="B158" i="200"/>
  <c r="B159" i="200"/>
  <c r="B160" i="200"/>
  <c r="B161" i="200"/>
  <c r="B162" i="200"/>
  <c r="B163" i="200"/>
  <c r="B164" i="200"/>
  <c r="B165" i="200"/>
  <c r="B166" i="200"/>
  <c r="B109" i="200"/>
  <c r="B110" i="200"/>
  <c r="B111" i="200"/>
  <c r="B112" i="200"/>
  <c r="B113" i="200"/>
  <c r="B114" i="200"/>
  <c r="B115" i="200"/>
  <c r="B116" i="200"/>
  <c r="B117" i="200"/>
  <c r="B118" i="200"/>
  <c r="B119" i="200"/>
  <c r="B120" i="200"/>
  <c r="B121" i="200"/>
  <c r="B122" i="200"/>
  <c r="B123" i="200"/>
  <c r="B124" i="200"/>
  <c r="B125" i="200"/>
  <c r="B126" i="200"/>
  <c r="B127" i="200"/>
  <c r="B128" i="200"/>
  <c r="B129" i="200"/>
  <c r="B130" i="200"/>
  <c r="B131" i="200"/>
  <c r="B132" i="200"/>
  <c r="B133" i="200"/>
  <c r="B134" i="200"/>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76" i="200"/>
  <c r="B77" i="200"/>
  <c r="B78" i="200"/>
  <c r="B79" i="200"/>
  <c r="B80" i="200"/>
  <c r="B81" i="200"/>
  <c r="B82" i="200"/>
  <c r="B83" i="200"/>
  <c r="B84" i="200"/>
  <c r="B85" i="200"/>
  <c r="B86" i="200"/>
  <c r="B87" i="200"/>
  <c r="B88" i="200"/>
  <c r="B89" i="200"/>
  <c r="B90" i="200"/>
  <c r="B91" i="200"/>
  <c r="B92" i="200"/>
  <c r="B93" i="200"/>
  <c r="B94" i="200"/>
  <c r="B95" i="200"/>
  <c r="B96" i="200"/>
  <c r="B97" i="200"/>
  <c r="B98" i="200"/>
  <c r="B99" i="200"/>
  <c r="B100" i="200"/>
  <c r="Q16" i="255"/>
  <c r="S16" i="255" s="1" a="1"/>
  <c r="S16" i="255" s="1"/>
  <c r="B219" i="200" s="1"/>
  <c r="R16" i="255"/>
  <c r="Q17" i="255"/>
  <c r="R17" i="255"/>
  <c r="S17" i="255" s="1" a="1"/>
  <c r="S17" i="255" s="1"/>
  <c r="B220" i="200" s="1"/>
  <c r="Q18" i="255"/>
  <c r="S18" i="255" s="1" a="1"/>
  <c r="S18" i="255" s="1"/>
  <c r="B221" i="200" s="1"/>
  <c r="R18" i="255"/>
  <c r="Q19" i="255"/>
  <c r="R19" i="255"/>
  <c r="S19" i="255" s="1" a="1"/>
  <c r="S19" i="255" s="1"/>
  <c r="B222" i="200" s="1"/>
  <c r="Q20" i="255"/>
  <c r="S20" i="255" s="1" a="1"/>
  <c r="S20" i="255" s="1"/>
  <c r="B223" i="200" s="1"/>
  <c r="R20" i="255"/>
  <c r="Q21" i="255"/>
  <c r="R21" i="255"/>
  <c r="S21" i="255" s="1" a="1"/>
  <c r="S21" i="255" s="1"/>
  <c r="B224" i="200" s="1"/>
  <c r="Q22" i="255"/>
  <c r="S22" i="255" s="1" a="1"/>
  <c r="S22" i="255" s="1"/>
  <c r="B225" i="200" s="1"/>
  <c r="R22" i="255"/>
  <c r="Q23" i="255"/>
  <c r="R23" i="255"/>
  <c r="S23" i="255" s="1" a="1"/>
  <c r="S23" i="255" s="1"/>
  <c r="Q24" i="255"/>
  <c r="S24" i="255" s="1" a="1"/>
  <c r="S24" i="255" s="1"/>
  <c r="B227" i="200" s="1"/>
  <c r="R24" i="255"/>
  <c r="Q25" i="255"/>
  <c r="S25" i="255" s="1" a="1"/>
  <c r="S25" i="255" s="1"/>
  <c r="B228" i="200" s="1"/>
  <c r="R25" i="255"/>
  <c r="Q26" i="255"/>
  <c r="S26" i="255" s="1" a="1"/>
  <c r="S26" i="255" s="1"/>
  <c r="B229" i="200" s="1"/>
  <c r="R26" i="255"/>
  <c r="Q27" i="255"/>
  <c r="S27" i="255" s="1" a="1"/>
  <c r="S27" i="255" s="1"/>
  <c r="B230" i="200" s="1"/>
  <c r="R27" i="255"/>
  <c r="Q28" i="255"/>
  <c r="S28" i="255" s="1" a="1"/>
  <c r="S28" i="255" s="1"/>
  <c r="B231" i="200" s="1"/>
  <c r="R28" i="255"/>
  <c r="Q29" i="255"/>
  <c r="S29" i="255" s="1" a="1"/>
  <c r="S29" i="255" s="1"/>
  <c r="R29" i="255"/>
  <c r="Q30" i="255"/>
  <c r="S30" i="255" s="1" a="1"/>
  <c r="S30" i="255" s="1"/>
  <c r="B233" i="200" s="1"/>
  <c r="R30" i="255"/>
  <c r="Q31" i="255"/>
  <c r="S31" i="255" s="1" a="1"/>
  <c r="S31" i="255" s="1"/>
  <c r="R31" i="255"/>
  <c r="Q32" i="255"/>
  <c r="S32" i="255" s="1" a="1"/>
  <c r="S32" i="255" s="1"/>
  <c r="B235" i="200" s="1"/>
  <c r="R32" i="255"/>
  <c r="Q33" i="255"/>
  <c r="S33" i="255" s="1" a="1"/>
  <c r="S33" i="255" s="1"/>
  <c r="B236" i="200" s="1"/>
  <c r="R33" i="255"/>
  <c r="Q34" i="255"/>
  <c r="S34" i="255" s="1" a="1"/>
  <c r="S34" i="255" s="1"/>
  <c r="B237" i="200" s="1"/>
  <c r="R34" i="255"/>
  <c r="Q35" i="255"/>
  <c r="S35" i="255" s="1" a="1"/>
  <c r="S35" i="255" s="1"/>
  <c r="B238" i="200" s="1"/>
  <c r="R35" i="255"/>
  <c r="Q36" i="255"/>
  <c r="S36" i="255" s="1" a="1"/>
  <c r="S36" i="255" s="1"/>
  <c r="B239" i="200" s="1"/>
  <c r="R36" i="255"/>
  <c r="Q37" i="255"/>
  <c r="S37" i="255" s="1" a="1"/>
  <c r="S37" i="255" s="1"/>
  <c r="R37" i="255"/>
  <c r="Q38" i="255"/>
  <c r="S38" i="255" s="1" a="1"/>
  <c r="S38" i="255" s="1"/>
  <c r="B241" i="200" s="1"/>
  <c r="R38" i="255"/>
  <c r="Q39" i="255"/>
  <c r="S39" i="255" s="1" a="1"/>
  <c r="S39" i="255" s="1"/>
  <c r="R39" i="255"/>
  <c r="Q40" i="255"/>
  <c r="S40" i="255" s="1" a="1"/>
  <c r="S40" i="255" s="1"/>
  <c r="B243" i="200" s="1"/>
  <c r="R40" i="255"/>
  <c r="Q41" i="255"/>
  <c r="S41" i="255" s="1" a="1"/>
  <c r="S41" i="255" s="1"/>
  <c r="B244" i="200" s="1"/>
  <c r="R41" i="255"/>
  <c r="Q42" i="255"/>
  <c r="S42" i="255" s="1" a="1"/>
  <c r="S42" i="255" s="1"/>
  <c r="B245" i="200" s="1"/>
  <c r="R42" i="255"/>
  <c r="Q43" i="255"/>
  <c r="S43" i="255" s="1" a="1"/>
  <c r="S43" i="255" s="1"/>
  <c r="B246" i="200" s="1"/>
  <c r="R43" i="255"/>
  <c r="Q44" i="255"/>
  <c r="S44" i="255" s="1" a="1"/>
  <c r="S44" i="255" s="1"/>
  <c r="B247" i="200" s="1"/>
  <c r="R44" i="255"/>
  <c r="Q45" i="255"/>
  <c r="S45" i="255" s="1" a="1"/>
  <c r="S45" i="255" s="1"/>
  <c r="R45" i="255"/>
  <c r="Q46" i="255"/>
  <c r="S46" i="255" s="1" a="1"/>
  <c r="S46" i="255" s="1"/>
  <c r="B249" i="200" s="1"/>
  <c r="R46" i="255"/>
  <c r="Q47" i="255"/>
  <c r="S47" i="255" s="1" a="1"/>
  <c r="S47" i="255" s="1"/>
  <c r="R47" i="255"/>
  <c r="Q48" i="255"/>
  <c r="S48" i="255" s="1" a="1"/>
  <c r="S48" i="255" s="1"/>
  <c r="B251" i="200" s="1"/>
  <c r="R48" i="255"/>
  <c r="Q49" i="255"/>
  <c r="S49" i="255" s="1" a="1"/>
  <c r="S49" i="255" s="1"/>
  <c r="B252" i="200" s="1"/>
  <c r="R49" i="255"/>
  <c r="Q50" i="255"/>
  <c r="S50" i="255" s="1" a="1"/>
  <c r="S50" i="255" s="1"/>
  <c r="B253" i="200" s="1"/>
  <c r="R50" i="255"/>
  <c r="Q51" i="255"/>
  <c r="S51" i="255" s="1" a="1"/>
  <c r="S51" i="255" s="1"/>
  <c r="B254" i="200" s="1"/>
  <c r="R51" i="255"/>
  <c r="Q52" i="255"/>
  <c r="S52" i="255" s="1" a="1"/>
  <c r="S52" i="255" s="1"/>
  <c r="B255" i="200" s="1"/>
  <c r="R52" i="255"/>
  <c r="Q53" i="255"/>
  <c r="S53" i="255" s="1" a="1"/>
  <c r="S53" i="255" s="1"/>
  <c r="R53" i="255"/>
  <c r="Q54" i="255"/>
  <c r="S54" i="255" s="1" a="1"/>
  <c r="S54" i="255" s="1"/>
  <c r="B257" i="200" s="1"/>
  <c r="R54" i="255"/>
  <c r="Q55" i="255"/>
  <c r="S55" i="255" s="1" a="1"/>
  <c r="S55" i="255" s="1"/>
  <c r="R55" i="255"/>
  <c r="Q56" i="255"/>
  <c r="S56" i="255" s="1" a="1"/>
  <c r="S56" i="255" s="1"/>
  <c r="B259" i="200" s="1"/>
  <c r="R56" i="255"/>
  <c r="Q57" i="255"/>
  <c r="S57" i="255" s="1" a="1"/>
  <c r="S57" i="255" s="1"/>
  <c r="B260" i="200" s="1"/>
  <c r="R57" i="255"/>
  <c r="Q58" i="255"/>
  <c r="S58" i="255" s="1" a="1"/>
  <c r="S58" i="255" s="1"/>
  <c r="B261" i="200" s="1"/>
  <c r="R58" i="255"/>
  <c r="Q59" i="255"/>
  <c r="S59" i="255" s="1" a="1"/>
  <c r="S59" i="255" s="1"/>
  <c r="B262" i="200" s="1"/>
  <c r="R59" i="255"/>
  <c r="Q60" i="255"/>
  <c r="S60" i="255" s="1" a="1"/>
  <c r="S60" i="255" s="1"/>
  <c r="B263" i="200" s="1"/>
  <c r="R60" i="255"/>
  <c r="Q61" i="255"/>
  <c r="S61" i="255" s="1" a="1"/>
  <c r="S61" i="255" s="1"/>
  <c r="R61" i="255"/>
  <c r="Q62" i="255"/>
  <c r="S62" i="255" s="1" a="1"/>
  <c r="S62" i="255" s="1"/>
  <c r="B265" i="200" s="1"/>
  <c r="R62" i="255"/>
  <c r="Q63" i="255"/>
  <c r="S63" i="255" s="1" a="1"/>
  <c r="S63" i="255" s="1"/>
  <c r="R63" i="255"/>
  <c r="Q64" i="255"/>
  <c r="S64" i="255" s="1" a="1"/>
  <c r="S64" i="255" s="1"/>
  <c r="B267" i="200" s="1"/>
  <c r="R64" i="255"/>
  <c r="Q65" i="255"/>
  <c r="S65" i="255" s="1" a="1"/>
  <c r="S65" i="255" s="1"/>
  <c r="B268" i="200" s="1"/>
  <c r="R65" i="255"/>
  <c r="Q66" i="255"/>
  <c r="S66" i="255" s="1" a="1"/>
  <c r="S66" i="255" s="1"/>
  <c r="B269" i="200" s="1"/>
  <c r="R66" i="255"/>
  <c r="Q67" i="255"/>
  <c r="S67" i="255" s="1" a="1"/>
  <c r="S67" i="255" s="1"/>
  <c r="B270" i="200" s="1"/>
  <c r="R67" i="255"/>
  <c r="Q68" i="255"/>
  <c r="R68" i="255"/>
  <c r="Q69" i="255"/>
  <c r="S69" i="255" s="1" a="1"/>
  <c r="S69" i="255" s="1"/>
  <c r="R69" i="255"/>
  <c r="Q70" i="255"/>
  <c r="S70" i="255" s="1" a="1"/>
  <c r="S70" i="255" s="1"/>
  <c r="B273" i="200" s="1"/>
  <c r="R70" i="255"/>
  <c r="Q71" i="255"/>
  <c r="S71" i="255" s="1" a="1"/>
  <c r="S71" i="255" s="1"/>
  <c r="R71" i="255"/>
  <c r="Q72" i="255"/>
  <c r="S72" i="255" s="1" a="1"/>
  <c r="S72" i="255" s="1"/>
  <c r="B275" i="200" s="1"/>
  <c r="R72" i="255"/>
  <c r="Q73" i="255"/>
  <c r="S73" i="255" s="1" a="1"/>
  <c r="S73" i="255" s="1"/>
  <c r="B276" i="200" s="1"/>
  <c r="R73" i="255"/>
  <c r="Q74" i="255"/>
  <c r="S74" i="255" s="1" a="1"/>
  <c r="S74" i="255" s="1"/>
  <c r="B277" i="200" s="1"/>
  <c r="R74" i="255"/>
  <c r="Q75" i="255"/>
  <c r="S75" i="255" s="1" a="1"/>
  <c r="S75" i="255" s="1"/>
  <c r="B278" i="200" s="1"/>
  <c r="R75" i="255"/>
  <c r="Q76" i="255"/>
  <c r="S76" i="255" s="1" a="1"/>
  <c r="S76" i="255" s="1"/>
  <c r="B279" i="200" s="1"/>
  <c r="R76" i="255"/>
  <c r="Q77" i="255"/>
  <c r="S77" i="255" s="1" a="1"/>
  <c r="S77" i="255" s="1"/>
  <c r="R77" i="255"/>
  <c r="Q78" i="255"/>
  <c r="S78" i="255" s="1" a="1"/>
  <c r="S78" i="255" s="1"/>
  <c r="B281" i="200" s="1"/>
  <c r="R78" i="255"/>
  <c r="Q79" i="255"/>
  <c r="S79" i="255" s="1" a="1"/>
  <c r="S79" i="255" s="1"/>
  <c r="R79" i="255"/>
  <c r="Q80" i="255"/>
  <c r="S80" i="255" s="1" a="1"/>
  <c r="S80" i="255" s="1"/>
  <c r="B283" i="200" s="1"/>
  <c r="R80" i="255"/>
  <c r="Q81" i="255"/>
  <c r="S81" i="255" s="1" a="1"/>
  <c r="S81" i="255" s="1"/>
  <c r="B284" i="200" s="1"/>
  <c r="R81" i="255"/>
  <c r="Q82" i="255"/>
  <c r="S82" i="255" s="1" a="1"/>
  <c r="S82" i="255" s="1"/>
  <c r="B285" i="200" s="1"/>
  <c r="R82" i="255"/>
  <c r="Q83" i="255"/>
  <c r="S83" i="255" s="1" a="1"/>
  <c r="S83" i="255" s="1"/>
  <c r="B286" i="200" s="1"/>
  <c r="R83" i="255"/>
  <c r="Q84" i="255"/>
  <c r="S84" i="255" s="1" a="1"/>
  <c r="S84" i="255" s="1"/>
  <c r="B287" i="200" s="1"/>
  <c r="R84" i="255"/>
  <c r="Q85" i="255"/>
  <c r="S85" i="255" s="1" a="1"/>
  <c r="S85" i="255" s="1"/>
  <c r="R85" i="255"/>
  <c r="Q86" i="255"/>
  <c r="S86" i="255" s="1" a="1"/>
  <c r="S86" i="255" s="1"/>
  <c r="B289" i="200" s="1"/>
  <c r="R86" i="255"/>
  <c r="Q87" i="255"/>
  <c r="S87" i="255" s="1" a="1"/>
  <c r="S87" i="255" s="1"/>
  <c r="R87" i="255"/>
  <c r="Q88" i="255"/>
  <c r="S88" i="255" s="1" a="1"/>
  <c r="S88" i="255" s="1"/>
  <c r="B291" i="200" s="1"/>
  <c r="R88" i="255"/>
  <c r="Q89" i="255"/>
  <c r="S89" i="255" s="1" a="1"/>
  <c r="S89" i="255" s="1"/>
  <c r="B292" i="200" s="1"/>
  <c r="R89" i="255"/>
  <c r="Q90" i="255"/>
  <c r="S90" i="255" s="1" a="1"/>
  <c r="S90" i="255" s="1"/>
  <c r="B293" i="200" s="1"/>
  <c r="R90" i="255"/>
  <c r="Q91" i="255"/>
  <c r="S91" i="255" s="1" a="1"/>
  <c r="S91" i="255" s="1"/>
  <c r="B294" i="200" s="1"/>
  <c r="R91" i="255"/>
  <c r="Q92" i="255"/>
  <c r="R92" i="255"/>
  <c r="Q93" i="255"/>
  <c r="S93" i="255" s="1" a="1"/>
  <c r="S93" i="255" s="1"/>
  <c r="R93" i="255"/>
  <c r="Q94" i="255"/>
  <c r="S94" i="255" s="1" a="1"/>
  <c r="S94" i="255" s="1"/>
  <c r="B297" i="200" s="1"/>
  <c r="R94" i="255"/>
  <c r="Q95" i="255"/>
  <c r="S95" i="255" s="1" a="1"/>
  <c r="S95" i="255" s="1"/>
  <c r="R95" i="255"/>
  <c r="Q96" i="255"/>
  <c r="S96" i="255" s="1" a="1"/>
  <c r="S96" i="255" s="1"/>
  <c r="B299" i="200" s="1"/>
  <c r="R96" i="255"/>
  <c r="Q97" i="255"/>
  <c r="S97" i="255" s="1" a="1"/>
  <c r="S97" i="255" s="1"/>
  <c r="B300" i="200" s="1"/>
  <c r="R97" i="255"/>
  <c r="Q98" i="255"/>
  <c r="S98" i="255" s="1" a="1"/>
  <c r="S98" i="255" s="1"/>
  <c r="B301" i="200" s="1"/>
  <c r="R98" i="255"/>
  <c r="Q99" i="255"/>
  <c r="S99" i="255" s="1" a="1"/>
  <c r="S99" i="255" s="1"/>
  <c r="B302" i="200" s="1"/>
  <c r="R99" i="255"/>
  <c r="Q100" i="255"/>
  <c r="S100" i="255" s="1" a="1"/>
  <c r="S100" i="255" s="1"/>
  <c r="B303" i="200" s="1"/>
  <c r="R100" i="255"/>
  <c r="Q101" i="255"/>
  <c r="S101" i="255" s="1" a="1"/>
  <c r="S101" i="255" s="1"/>
  <c r="R101" i="255"/>
  <c r="Q102" i="255"/>
  <c r="S102" i="255" s="1" a="1"/>
  <c r="S102" i="255" s="1"/>
  <c r="B305" i="200" s="1"/>
  <c r="R102" i="255"/>
  <c r="Q103" i="255"/>
  <c r="S103" i="255" s="1" a="1"/>
  <c r="S103" i="255" s="1"/>
  <c r="R103" i="255"/>
  <c r="Q104" i="255"/>
  <c r="S104" i="255" s="1" a="1"/>
  <c r="S104" i="255" s="1"/>
  <c r="B307" i="200" s="1"/>
  <c r="R104" i="255"/>
  <c r="Q105" i="255"/>
  <c r="S105" i="255" s="1" a="1"/>
  <c r="S105" i="255" s="1"/>
  <c r="B308" i="200" s="1"/>
  <c r="R105" i="255"/>
  <c r="Q106" i="255"/>
  <c r="S106" i="255" s="1" a="1"/>
  <c r="S106" i="255" s="1"/>
  <c r="B309" i="200" s="1"/>
  <c r="R106" i="255"/>
  <c r="Q107" i="255"/>
  <c r="S107" i="255" s="1" a="1"/>
  <c r="S107" i="255" s="1"/>
  <c r="B310" i="200" s="1"/>
  <c r="R107" i="255"/>
  <c r="Q108" i="255"/>
  <c r="S108" i="255" s="1" a="1"/>
  <c r="S108" i="255" s="1"/>
  <c r="B311" i="200" s="1"/>
  <c r="R108" i="255"/>
  <c r="Q109" i="255"/>
  <c r="S109" i="255" s="1" a="1"/>
  <c r="S109" i="255" s="1"/>
  <c r="R109" i="255"/>
  <c r="Q110" i="255"/>
  <c r="S110" i="255" s="1" a="1"/>
  <c r="S110" i="255" s="1"/>
  <c r="B313" i="200" s="1"/>
  <c r="R110" i="255"/>
  <c r="Q111" i="255"/>
  <c r="S111" i="255" s="1" a="1"/>
  <c r="S111" i="255" s="1"/>
  <c r="R111" i="255"/>
  <c r="Q112" i="255"/>
  <c r="S112" i="255" s="1" a="1"/>
  <c r="S112" i="255" s="1"/>
  <c r="B315" i="200" s="1"/>
  <c r="R112" i="255"/>
  <c r="Q113" i="255"/>
  <c r="S113" i="255" s="1" a="1"/>
  <c r="S113" i="255" s="1"/>
  <c r="B316"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Q149" i="199"/>
  <c r="S149" i="199" s="1" a="1"/>
  <c r="S149" i="199" s="1"/>
  <c r="R149" i="199"/>
  <c r="Q150" i="199"/>
  <c r="S150" i="199" s="1" a="1"/>
  <c r="S150" i="199" s="1"/>
  <c r="R150" i="199"/>
  <c r="Q151" i="199"/>
  <c r="S151" i="199" s="1" a="1"/>
  <c r="S151" i="199" s="1"/>
  <c r="R151" i="199"/>
  <c r="Q152" i="199"/>
  <c r="S152" i="199" s="1" a="1"/>
  <c r="S152" i="199" s="1"/>
  <c r="R152" i="199"/>
  <c r="Q153" i="199"/>
  <c r="S153" i="199" s="1" a="1"/>
  <c r="S153" i="199" s="1"/>
  <c r="R153"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I24" i="199"/>
  <c r="J24" i="199"/>
  <c r="K24" i="199"/>
  <c r="L24" i="199"/>
  <c r="M24" i="199"/>
  <c r="N24" i="199"/>
  <c r="I25" i="199"/>
  <c r="J25" i="199"/>
  <c r="K25" i="199"/>
  <c r="L25" i="199"/>
  <c r="M25" i="199"/>
  <c r="N25" i="199"/>
  <c r="I26" i="199"/>
  <c r="J26" i="199"/>
  <c r="K26" i="199"/>
  <c r="L26" i="199"/>
  <c r="M26" i="199"/>
  <c r="N26" i="199"/>
  <c r="I27" i="199"/>
  <c r="J27" i="199"/>
  <c r="K27" i="199"/>
  <c r="L27" i="199"/>
  <c r="M27" i="199"/>
  <c r="N27" i="199"/>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66" i="214"/>
  <c r="B167" i="214"/>
  <c r="B168" i="214"/>
  <c r="B169" i="214"/>
  <c r="B170" i="214"/>
  <c r="B171" i="214"/>
  <c r="B172"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5" i="213"/>
  <c r="S165" i="213" s="1" a="1"/>
  <c r="S165" i="213" s="1"/>
  <c r="R165" i="213"/>
  <c r="Q166" i="213"/>
  <c r="S166" i="213" s="1" a="1"/>
  <c r="S166" i="213" s="1"/>
  <c r="R166" i="213"/>
  <c r="Q167" i="213"/>
  <c r="S167" i="213" s="1" a="1"/>
  <c r="S167" i="213" s="1"/>
  <c r="R167" i="213"/>
  <c r="Q168" i="213"/>
  <c r="S168" i="213" s="1" a="1"/>
  <c r="S168" i="213"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R24" i="213"/>
  <c r="Q25" i="213"/>
  <c r="R25" i="213"/>
  <c r="S25" i="213" a="1"/>
  <c r="S25" i="213"/>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s="1"/>
  <c r="Q32" i="213"/>
  <c r="S32" i="213" s="1" a="1"/>
  <c r="S32" i="213" s="1"/>
  <c r="R32" i="213"/>
  <c r="Q33" i="213"/>
  <c r="R33" i="213"/>
  <c r="S33" i="213" a="1"/>
  <c r="S33" i="213"/>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s="1"/>
  <c r="Q40" i="213"/>
  <c r="S40" i="213" s="1" a="1"/>
  <c r="S40" i="213" s="1"/>
  <c r="R40" i="213"/>
  <c r="Q41" i="213"/>
  <c r="R41" i="213"/>
  <c r="S41" i="213" a="1"/>
  <c r="S41" i="213"/>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s="1"/>
  <c r="Q48" i="213"/>
  <c r="S48" i="213" s="1" a="1"/>
  <c r="S48" i="213" s="1"/>
  <c r="R48" i="213"/>
  <c r="Q49" i="213"/>
  <c r="R49" i="213"/>
  <c r="S49" i="213" a="1"/>
  <c r="S49" i="213"/>
  <c r="Q50" i="213"/>
  <c r="S50" i="213" s="1" a="1"/>
  <c r="S50" i="213" s="1"/>
  <c r="R50" i="213"/>
  <c r="Q51" i="213"/>
  <c r="R51" i="213"/>
  <c r="S51" i="213" a="1"/>
  <c r="S51" i="213" s="1"/>
  <c r="Q52" i="213"/>
  <c r="S52" i="213" s="1" a="1"/>
  <c r="R52" i="213"/>
  <c r="S52" i="213"/>
  <c r="Q53" i="213"/>
  <c r="R53" i="213"/>
  <c r="S53" i="213" a="1"/>
  <c r="S53" i="213"/>
  <c r="Q54" i="213"/>
  <c r="S54" i="213" s="1" a="1"/>
  <c r="R54" i="213"/>
  <c r="S54" i="213"/>
  <c r="Q55" i="213"/>
  <c r="R55" i="213"/>
  <c r="S55" i="213" a="1"/>
  <c r="S55" i="213" s="1"/>
  <c r="Q56" i="213"/>
  <c r="S56" i="213" s="1" a="1"/>
  <c r="S56" i="213" s="1"/>
  <c r="R56" i="213"/>
  <c r="Q57" i="213"/>
  <c r="R57" i="213"/>
  <c r="S57" i="213" a="1"/>
  <c r="S57" i="213"/>
  <c r="Q58" i="213"/>
  <c r="S58" i="213" s="1" a="1"/>
  <c r="R58" i="213"/>
  <c r="S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c r="Q66" i="213"/>
  <c r="S66" i="213" s="1" a="1"/>
  <c r="S66" i="213" s="1"/>
  <c r="R66" i="213"/>
  <c r="Q67" i="213"/>
  <c r="R67" i="213"/>
  <c r="S67" i="213" a="1"/>
  <c r="S67" i="213" s="1"/>
  <c r="Q68" i="213"/>
  <c r="S68" i="213" s="1" a="1"/>
  <c r="R68" i="213"/>
  <c r="S68" i="213"/>
  <c r="Q69" i="213"/>
  <c r="R69" i="213"/>
  <c r="S69" i="213" a="1"/>
  <c r="S69" i="213"/>
  <c r="Q70" i="213"/>
  <c r="S70" i="213" s="1" a="1"/>
  <c r="R70" i="213"/>
  <c r="S70" i="213"/>
  <c r="Q71" i="213"/>
  <c r="R71" i="213"/>
  <c r="S71" i="213" a="1"/>
  <c r="S71" i="213" s="1"/>
  <c r="Q72" i="213"/>
  <c r="S72" i="213" s="1" a="1"/>
  <c r="R72" i="213"/>
  <c r="S72" i="213"/>
  <c r="Q73" i="213"/>
  <c r="R73" i="213"/>
  <c r="S73" i="213" a="1"/>
  <c r="S73" i="213"/>
  <c r="Q74" i="213"/>
  <c r="S74" i="213" s="1" a="1"/>
  <c r="R74" i="213"/>
  <c r="S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c r="Q82" i="213"/>
  <c r="S82" i="213" s="1" a="1"/>
  <c r="S82" i="213" s="1"/>
  <c r="R82" i="213"/>
  <c r="Q83" i="213"/>
  <c r="R83" i="213"/>
  <c r="S83" i="213" a="1"/>
  <c r="S83" i="213" s="1"/>
  <c r="Q84" i="213"/>
  <c r="S84" i="213" s="1" a="1"/>
  <c r="R84" i="213"/>
  <c r="S84" i="213"/>
  <c r="Q85" i="213"/>
  <c r="R85" i="213"/>
  <c r="S85" i="213" a="1"/>
  <c r="S85" i="213"/>
  <c r="Q86" i="213"/>
  <c r="S86" i="213" s="1" a="1"/>
  <c r="R86" i="213"/>
  <c r="S86" i="213"/>
  <c r="Q87" i="213"/>
  <c r="R87" i="213"/>
  <c r="S87" i="213" a="1"/>
  <c r="S87" i="213" s="1"/>
  <c r="Q88" i="213"/>
  <c r="S88" i="213" s="1" a="1"/>
  <c r="R88" i="213"/>
  <c r="S88" i="213"/>
  <c r="Q89" i="213"/>
  <c r="R89" i="213"/>
  <c r="S89" i="213" a="1"/>
  <c r="S89" i="213"/>
  <c r="Q90" i="213"/>
  <c r="S90" i="213" s="1" a="1"/>
  <c r="R90" i="213"/>
  <c r="S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c r="Q98" i="213"/>
  <c r="S98" i="213" s="1" a="1"/>
  <c r="S98" i="213" s="1"/>
  <c r="R98" i="213"/>
  <c r="Q99" i="213"/>
  <c r="R99" i="213"/>
  <c r="S99" i="213" a="1"/>
  <c r="S99" i="213" s="1"/>
  <c r="Q100" i="213"/>
  <c r="S100" i="213" s="1" a="1"/>
  <c r="R100" i="213"/>
  <c r="S100" i="213"/>
  <c r="Q101" i="213"/>
  <c r="R101" i="213"/>
  <c r="S101" i="213" a="1"/>
  <c r="S101" i="213"/>
  <c r="Q102" i="213"/>
  <c r="S102" i="213" s="1" a="1"/>
  <c r="R102" i="213"/>
  <c r="S102" i="213"/>
  <c r="Q103" i="213"/>
  <c r="R103" i="213"/>
  <c r="S103" i="213" a="1"/>
  <c r="S103" i="213" s="1"/>
  <c r="Q104" i="213"/>
  <c r="S104" i="213" s="1" a="1"/>
  <c r="R104" i="213"/>
  <c r="S104" i="213"/>
  <c r="Q105" i="213"/>
  <c r="R105" i="213"/>
  <c r="S105" i="213" a="1"/>
  <c r="S105" i="213"/>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c r="Q114" i="213"/>
  <c r="S114" i="213" s="1" a="1"/>
  <c r="S114" i="213" s="1"/>
  <c r="R114" i="213"/>
  <c r="Q115" i="213"/>
  <c r="R115" i="213"/>
  <c r="S115" i="213" a="1"/>
  <c r="S115" i="213" s="1"/>
  <c r="Q116" i="213"/>
  <c r="S116" i="213" s="1" a="1"/>
  <c r="R116" i="213"/>
  <c r="S116" i="213"/>
  <c r="Q117" i="213"/>
  <c r="R117" i="213"/>
  <c r="S117" i="213" a="1"/>
  <c r="S117" i="213"/>
  <c r="Q118" i="213"/>
  <c r="S118" i="213" s="1" a="1"/>
  <c r="R118" i="213"/>
  <c r="S118" i="213"/>
  <c r="Q119" i="213"/>
  <c r="R119" i="213"/>
  <c r="S119" i="213" a="1"/>
  <c r="S119" i="213" s="1"/>
  <c r="Q120" i="213"/>
  <c r="S120" i="213" s="1" a="1"/>
  <c r="R120" i="213"/>
  <c r="S120" i="213"/>
  <c r="Q121" i="213"/>
  <c r="R121" i="213"/>
  <c r="S121" i="213" a="1"/>
  <c r="S121" i="213"/>
  <c r="Q122" i="213"/>
  <c r="S122" i="213" s="1" a="1"/>
  <c r="R122" i="213"/>
  <c r="S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c r="Q130" i="213"/>
  <c r="S130" i="213" s="1" a="1"/>
  <c r="S130" i="213" s="1"/>
  <c r="R130" i="213"/>
  <c r="Q131" i="213"/>
  <c r="R131" i="213"/>
  <c r="S131" i="213" a="1"/>
  <c r="S131" i="213" s="1"/>
  <c r="Q132" i="213"/>
  <c r="S132" i="213" s="1" a="1"/>
  <c r="R132" i="213"/>
  <c r="S132" i="213"/>
  <c r="Q133" i="213"/>
  <c r="R133" i="213"/>
  <c r="S133" i="213" s="1" a="1"/>
  <c r="S133" i="213" s="1"/>
  <c r="Q134" i="213"/>
  <c r="S134" i="213" s="1" a="1"/>
  <c r="R134" i="213"/>
  <c r="S134" i="213"/>
  <c r="Q135" i="213"/>
  <c r="R135" i="213"/>
  <c r="S135" i="213" a="1"/>
  <c r="S135" i="213" s="1"/>
  <c r="Q136" i="213"/>
  <c r="S136" i="213" s="1" a="1"/>
  <c r="S136" i="213" s="1"/>
  <c r="R136" i="213"/>
  <c r="Q137" i="213"/>
  <c r="R137" i="213"/>
  <c r="S137" i="213" s="1" a="1"/>
  <c r="S137" i="213" s="1"/>
  <c r="Q138" i="213"/>
  <c r="S138" i="213" s="1" a="1"/>
  <c r="S138" i="213" s="1"/>
  <c r="R138" i="213"/>
  <c r="Q139" i="213"/>
  <c r="R139" i="213"/>
  <c r="S139" i="213" s="1"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s="1" a="1"/>
  <c r="S145" i="213" s="1"/>
  <c r="Q146" i="213"/>
  <c r="S146" i="213" s="1" a="1"/>
  <c r="S146" i="213" s="1"/>
  <c r="R146" i="213"/>
  <c r="Q147" i="213"/>
  <c r="R147" i="213"/>
  <c r="S147" i="213" a="1"/>
  <c r="S147" i="213" s="1"/>
  <c r="Q148" i="213"/>
  <c r="S148" i="213" s="1" a="1"/>
  <c r="R148" i="213"/>
  <c r="S148" i="213"/>
  <c r="Q149" i="213"/>
  <c r="R149" i="213"/>
  <c r="S149" i="213" s="1" a="1"/>
  <c r="S149" i="213" s="1"/>
  <c r="Q150" i="213"/>
  <c r="S150" i="213" s="1" a="1"/>
  <c r="R150" i="213"/>
  <c r="S150" i="213"/>
  <c r="Q151" i="213"/>
  <c r="R151" i="213"/>
  <c r="S151" i="213" a="1"/>
  <c r="S151" i="213" s="1"/>
  <c r="Q152" i="213"/>
  <c r="S152" i="213" s="1" a="1"/>
  <c r="S152" i="213" s="1"/>
  <c r="R152" i="213"/>
  <c r="Q153" i="213"/>
  <c r="R153" i="213"/>
  <c r="S153" i="213" s="1" a="1"/>
  <c r="S153" i="213" s="1"/>
  <c r="Q154" i="213"/>
  <c r="S154" i="213" s="1" a="1"/>
  <c r="S154" i="213" s="1"/>
  <c r="R154" i="213"/>
  <c r="Q155" i="213"/>
  <c r="R155" i="213"/>
  <c r="S155" i="213" s="1" a="1"/>
  <c r="S155" i="213" s="1"/>
  <c r="Q156" i="213"/>
  <c r="S156" i="213" s="1" a="1"/>
  <c r="S156" i="213" s="1"/>
  <c r="R156" i="213"/>
  <c r="Q157" i="213"/>
  <c r="R157" i="213"/>
  <c r="S157" i="213" a="1"/>
  <c r="S157" i="213" s="1"/>
  <c r="Q158" i="213"/>
  <c r="S158" i="213" s="1" a="1"/>
  <c r="S158" i="213" s="1"/>
  <c r="R158" i="213"/>
  <c r="Q159" i="213"/>
  <c r="S159" i="213" s="1" a="1"/>
  <c r="S159" i="213" s="1"/>
  <c r="R159" i="213"/>
  <c r="Q160" i="213"/>
  <c r="S160" i="213" s="1" a="1"/>
  <c r="R160" i="213"/>
  <c r="S160" i="213"/>
  <c r="Q161" i="213"/>
  <c r="S161" i="213" s="1" a="1"/>
  <c r="S161" i="213" s="1"/>
  <c r="R161" i="213"/>
  <c r="Q162" i="213"/>
  <c r="S162" i="213" s="1" a="1"/>
  <c r="S162" i="213" s="1"/>
  <c r="R162" i="213"/>
  <c r="Q163" i="213"/>
  <c r="S163" i="213" s="1" a="1"/>
  <c r="S163" i="213" s="1"/>
  <c r="R163" i="213"/>
  <c r="Q164" i="213"/>
  <c r="S164" i="213" s="1" a="1"/>
  <c r="S164" i="213" s="1"/>
  <c r="R164"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16" i="213"/>
  <c r="S16" i="213" s="1" a="1"/>
  <c r="S16" i="213" s="1"/>
  <c r="R16" i="213"/>
  <c r="Q17" i="213"/>
  <c r="R17" i="213"/>
  <c r="S17" i="213" a="1"/>
  <c r="S17" i="213" s="1"/>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32" i="231" l="1" a="1"/>
  <c r="S32" i="231"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95" i="200" s="1"/>
  <c r="S68" i="255" a="1"/>
  <c r="S68" i="255" s="1"/>
  <c r="B271"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J15" i="255"/>
  <c r="I15" i="255"/>
  <c r="B216" i="200"/>
  <c r="B215" i="200"/>
  <c r="B203" i="200"/>
  <c r="B202"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205" i="200" s="1"/>
  <c r="R15" i="256"/>
  <c r="Q15" i="256"/>
  <c r="N15" i="256"/>
  <c r="M15" i="256"/>
  <c r="L15" i="256"/>
  <c r="K15" i="256"/>
  <c r="J15" i="256"/>
  <c r="B14" i="256"/>
  <c r="E3" i="256"/>
  <c r="E6" i="256" s="1"/>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6" i="256" l="1" a="1"/>
  <c r="S16" i="256" s="1"/>
  <c r="S15" i="255" a="1"/>
  <c r="S15" i="255" s="1"/>
  <c r="B218" i="200" s="1"/>
  <c r="B27" i="199" l="1"/>
  <c r="C27" i="199"/>
  <c r="B16" i="199"/>
  <c r="C16" i="199"/>
  <c r="B17" i="199"/>
  <c r="C17" i="199"/>
  <c r="B18" i="199"/>
  <c r="C18" i="199"/>
  <c r="B19" i="199"/>
  <c r="C19" i="199"/>
  <c r="B20" i="199"/>
  <c r="C20" i="199"/>
  <c r="B21" i="199"/>
  <c r="C21" i="199"/>
  <c r="B22" i="199"/>
  <c r="C22" i="199"/>
  <c r="B23" i="199"/>
  <c r="C23" i="199"/>
  <c r="B24" i="199"/>
  <c r="C24" i="199"/>
  <c r="B25" i="199"/>
  <c r="C25" i="199"/>
  <c r="B26" i="199"/>
  <c r="C26"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C41" i="178"/>
  <c r="A42" i="178"/>
  <c r="B42" i="178"/>
  <c r="C42" i="178"/>
  <c r="A43" i="178"/>
  <c r="B43" i="178"/>
  <c r="C43" i="178"/>
  <c r="A44" i="178"/>
  <c r="A33" i="178"/>
  <c r="B33" i="178"/>
  <c r="C33" i="178"/>
  <c r="A34" i="178"/>
  <c r="B34" i="178"/>
  <c r="C34" i="178"/>
  <c r="A35" i="178"/>
  <c r="B35" i="178"/>
  <c r="C35" i="178"/>
  <c r="A31" i="178"/>
  <c r="B31" i="178"/>
  <c r="C31" i="178"/>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L14" i="193"/>
  <c r="N14" i="193" s="1"/>
  <c r="P14" i="193"/>
  <c r="C45" i="195" s="1"/>
  <c r="L15" i="193"/>
  <c r="N15" i="193" s="1"/>
  <c r="C52" i="195"/>
  <c r="C51" i="195"/>
  <c r="C37" i="195"/>
  <c r="C38" i="195"/>
  <c r="C36" i="195"/>
  <c r="R3" i="193"/>
  <c r="C53" i="195" s="1"/>
  <c r="P3" i="193"/>
  <c r="C66" i="230"/>
  <c r="C64" i="230"/>
  <c r="C65" i="230"/>
  <c r="C63" i="230"/>
  <c r="C51" i="230"/>
  <c r="C49" i="230"/>
  <c r="C50" i="230"/>
  <c r="C48" i="230"/>
  <c r="R3" i="229"/>
  <c r="P3" i="229"/>
  <c r="R14" i="193" l="1"/>
  <c r="C60" i="195" s="1"/>
  <c r="R13" i="193"/>
  <c r="C59" i="195" s="1"/>
  <c r="R15" i="193"/>
  <c r="C61" i="195" s="1"/>
  <c r="R22" i="24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L10" i="193"/>
  <c r="L11" i="193"/>
  <c r="L12" i="193"/>
  <c r="C32" i="195"/>
  <c r="C33" i="195"/>
  <c r="C15" i="195"/>
  <c r="C34" i="195"/>
  <c r="B22" i="178"/>
  <c r="C18" i="178"/>
  <c r="C19"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7" i="231"/>
  <c r="C18" i="231"/>
  <c r="C19" i="231"/>
  <c r="C20" i="231"/>
  <c r="C21" i="231"/>
  <c r="B20" i="231"/>
  <c r="B21" i="231"/>
  <c r="B17" i="231"/>
  <c r="B18" i="231"/>
  <c r="B19"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4" i="213"/>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B14" i="200"/>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N12" i="193" l="1"/>
  <c r="C31" i="195" s="1"/>
  <c r="R12" i="193"/>
  <c r="C58" i="195" s="1"/>
  <c r="P12" i="193"/>
  <c r="C43" i="195" s="1"/>
  <c r="C11" i="195"/>
  <c r="R11" i="193"/>
  <c r="C57" i="195" s="1"/>
  <c r="P11" i="193"/>
  <c r="C42" i="195" s="1"/>
  <c r="N9" i="193"/>
  <c r="P9" i="193"/>
  <c r="C40" i="195" s="1"/>
  <c r="R9" i="193"/>
  <c r="C55" i="195" s="1"/>
  <c r="C8" i="195"/>
  <c r="R8" i="193"/>
  <c r="C54" i="195" s="1"/>
  <c r="P8" i="193"/>
  <c r="C39" i="195" s="1"/>
  <c r="I16" i="178"/>
  <c r="E3" i="213"/>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39" i="200" s="1"/>
  <c r="S16" i="205" a="1"/>
  <c r="S16" i="205" s="1"/>
  <c r="B153" i="208" s="1"/>
  <c r="C12" i="195"/>
  <c r="N11" i="193"/>
  <c r="C30" i="195" s="1"/>
  <c r="C9" i="195"/>
  <c r="C14" i="195"/>
  <c r="C10" i="195"/>
  <c r="C13" i="195"/>
  <c r="R12" i="229"/>
  <c r="P12" i="229"/>
  <c r="C8" i="230"/>
  <c r="R8" i="229"/>
  <c r="P8" i="229"/>
  <c r="P11" i="229"/>
  <c r="R11" i="229"/>
  <c r="P10" i="229"/>
  <c r="R10" i="229"/>
  <c r="N16" i="229"/>
  <c r="R16" i="229"/>
  <c r="P16" i="229"/>
  <c r="R9" i="229"/>
  <c r="P9" i="229"/>
  <c r="P15" i="229"/>
  <c r="R15" i="229"/>
  <c r="N10" i="229"/>
  <c r="P14" i="229"/>
  <c r="R14" i="229"/>
  <c r="N9" i="229"/>
  <c r="R13" i="229"/>
  <c r="P13" i="229"/>
  <c r="N14" i="229"/>
  <c r="N13" i="229"/>
  <c r="N11" i="229"/>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<sst xmlns="http://schemas.openxmlformats.org/spreadsheetml/2006/main" count="7109" uniqueCount="2458">
  <si>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</si>
  <si>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</si>
  <si>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</si>
  <si>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</si>
  <si>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</si>
  <si>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</si>
  <si>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</si>
  <si>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</si>
  <si>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</si>
  <si>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</si>
  <si>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</si>
  <si>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</si>
  <si>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</si>
  <si>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</si>
  <si>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</si>
  <si>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</si>
  <si>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</si>
  <si>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</si>
  <si>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</si>
  <si>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</si>
  <si>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</si>
  <si>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</si>
  <si>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</si>
  <si>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</si>
  <si>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</si>
  <si>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</si>
  <si>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</si>
  <si>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</si>
  <si>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</si>
  <si>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</si>
  <si>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</si>
  <si>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</si>
  <si>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</si>
  <si>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</si>
  <si>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</si>
  <si>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</si>
  <si>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</si>
  <si>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</si>
  <si>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</si>
  <si>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</si>
  <si>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</si>
  <si>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</si>
  <si>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</si>
  <si>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</si>
  <si>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</si>
  <si>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</si>
  <si>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</si>
  <si>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</si>
  <si>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</si>
  <si>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</si>
  <si>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</si>
  <si>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</si>
  <si>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</si>
  <si>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</si>
  <si>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</si>
  <si>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</si>
  <si>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</si>
  <si>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</si>
  <si>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</si>
  <si>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</si>
  <si>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</si>
  <si>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</si>
  <si>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</si>
  <si>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</si>
  <si>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</si>
  <si>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</si>
  <si>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</si>
  <si>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</si>
  <si>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</si>
  <si>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</si>
  <si>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</si>
  <si>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</si>
  <si>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</si>
  <si>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</si>
  <si>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</si>
  <si>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</si>
  <si>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</si>
  <si>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</si>
  <si>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</si>
  <si>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</si>
  <si>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</si>
  <si>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</si>
  <si>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</si>
  <si>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</si>
  <si>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</si>
  <si>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</si>
  <si>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</si>
  <si>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</si>
  <si>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</si>
  <si>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</si>
  <si>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</si>
  <si>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</si>
  <si>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</si>
  <si>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</si>
  <si>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</si>
  <si>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</si>
  <si>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</si>
  <si>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</si>
  <si>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</si>
  <si>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</si>
  <si>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</si>
  <si>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</si>
  <si>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</si>
  <si>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</si>
  <si>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</si>
  <si>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</si>
  <si>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</si>
  <si>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</si>
  <si>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</si>
  <si>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</si>
  <si>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</si>
  <si>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</si>
  <si>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</si>
  <si>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</si>
  <si>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</si>
  <si>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</si>
  <si>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</si>
  <si>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</si>
  <si>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</si>
  <si>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</si>
  <si>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</si>
  <si>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</si>
  <si>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</si>
  <si>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</si>
  <si>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</si>
  <si>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</si>
  <si>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</si>
  <si>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</si>
  <si>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</si>
  <si>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</si>
  <si>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</si>
  <si>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</si>
  <si>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</si>
  <si>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</si>
  <si>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</si>
  <si>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</si>
  <si>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</si>
  <si>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</si>
  <si>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</si>
  <si>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</si>
  <si>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</si>
  <si>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</si>
  <si>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</si>
  <si>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</si>
  <si>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</si>
  <si>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</si>
  <si>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</si>
  <si>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</si>
  <si>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</si>
  <si>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</si>
  <si>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</si>
  <si>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</si>
  <si>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</si>
  <si>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</si>
  <si>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</si>
  <si>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</si>
  <si>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</si>
  <si>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</si>
  <si>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</si>
  <si>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</si>
  <si>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</si>
  <si>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</si>
  <si>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</si>
  <si>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</si>
  <si>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</si>
  <si>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</si>
  <si>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</si>
  <si>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</si>
  <si>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</si>
  <si>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</si>
  <si>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</si>
  <si>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</si>
  <si>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</si>
  <si>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</si>
  <si>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</si>
  <si>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</si>
  <si>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</si>
  <si>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</si>
  <si>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</si>
  <si>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</si>
  <si>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</si>
  <si>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</si>
  <si>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</si>
  <si>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</si>
  <si>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</si>
  <si>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</si>
  <si>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</si>
  <si>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</si>
  <si>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</si>
  <si>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</si>
  <si>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</si>
  <si>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</si>
  <si>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</si>
  <si>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</si>
  <si>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</si>
  <si>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</si>
  <si>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</si>
  <si>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</si>
  <si>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</si>
  <si>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</si>
  <si>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</si>
  <si>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</si>
  <si>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</si>
  <si>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</si>
  <si>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</si>
  <si>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</si>
  <si>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</si>
  <si>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</si>
  <si>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</si>
  <si>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</si>
  <si>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</si>
  <si>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</si>
  <si>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</si>
  <si>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</si>
  <si>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</si>
  <si>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</si>
  <si>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</si>
  <si>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</si>
  <si>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</si>
  <si>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</si>
  <si>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</si>
  <si>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</si>
  <si>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</si>
  <si>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</si>
  <si>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</si>
  <si>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</si>
  <si>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</si>
  <si>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</si>
  <si>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</si>
  <si>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</si>
  <si>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</si>
  <si>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</si>
  <si>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</si>
  <si>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</si>
  <si>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</si>
  <si>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</si>
  <si>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</si>
  <si>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</si>
  <si>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</si>
  <si>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</si>
  <si>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</si>
  <si>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</si>
  <si>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</si>
  <si>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</si>
  <si>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</si>
  <si>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</si>
  <si>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</si>
  <si>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</si>
  <si>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</si>
  <si>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</si>
  <si>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</si>
  <si>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</si>
  <si>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</si>
  <si>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</si>
  <si>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</si>
  <si>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</si>
  <si>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</si>
  <si>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</si>
  <si>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</si>
  <si>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</si>
  <si>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</si>
  <si>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</si>
  <si>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</si>
  <si>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</si>
  <si>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</si>
  <si>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</si>
  <si>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</si>
  <si>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</si>
  <si>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</si>
  <si>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</si>
  <si>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</si>
  <si>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</si>
  <si>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</si>
  <si>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</si>
  <si>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</si>
  <si>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</si>
  <si>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</si>
  <si>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</si>
  <si>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</si>
  <si>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</si>
  <si>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</si>
  <si>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</si>
  <si>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</si>
  <si>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</si>
  <si>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</si>
  <si>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</si>
  <si>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</si>
  <si>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</si>
  <si>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</si>
  <si>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</si>
  <si>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</si>
  <si>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</si>
  <si>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</si>
  <si>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</si>
  <si>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</si>
  <si>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</si>
  <si>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</si>
  <si>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</si>
  <si>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</si>
  <si>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</si>
  <si>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</si>
  <si>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</si>
  <si>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</si>
  <si>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</si>
  <si>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</si>
  <si>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</si>
  <si>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</si>
  <si>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</si>
  <si>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</si>
  <si>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</si>
  <si>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</si>
  <si>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</si>
  <si>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</si>
  <si>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</si>
  <si>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</si>
  <si>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</si>
  <si>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</si>
  <si>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</si>
  <si>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</si>
  <si>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</si>
  <si>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</si>
  <si>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</si>
  <si>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</si>
  <si>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</si>
  <si>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</si>
  <si>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</si>
  <si>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</si>
  <si>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</si>
  <si>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</si>
  <si>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</si>
  <si>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</si>
  <si>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</si>
  <si>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</si>
  <si>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</si>
  <si>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</si>
  <si>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</si>
  <si>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</si>
  <si>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</si>
  <si>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</si>
  <si>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</si>
  <si>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</si>
  <si>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</si>
  <si>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</si>
  <si>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</si>
  <si>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</si>
  <si>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</si>
  <si>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</si>
  <si>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</si>
  <si>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</si>
  <si>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</si>
  <si>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</si>
  <si>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</si>
  <si>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</si>
  <si>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</si>
  <si>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</si>
  <si>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</si>
  <si>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</si>
  <si>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</si>
  <si>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</si>
  <si>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</si>
  <si>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</si>
  <si>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</si>
  <si>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</si>
  <si>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</si>
  <si>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</si>
  <si>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</si>
  <si>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</si>
  <si>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</si>
  <si>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</si>
  <si>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</si>
  <si>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</si>
  <si>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</si>
  <si>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</si>
  <si>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</si>
  <si>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</si>
  <si>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</si>
  <si>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</si>
  <si>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</si>
  <si>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</si>
  <si>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</si>
  <si>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</si>
  <si>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</si>
  <si>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</si>
  <si>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</si>
  <si>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</si>
  <si>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</si>
  <si>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</si>
  <si>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</si>
  <si>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</si>
  <si>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</si>
  <si>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</si>
  <si>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</si>
  <si>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</si>
  <si>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</si>
  <si>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</si>
  <si>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</si>
  <si>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</si>
  <si>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</si>
  <si>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</si>
  <si>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</si>
  <si>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</si>
  <si>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</si>
  <si>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</si>
  <si>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</si>
  <si>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</si>
  <si>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</si>
  <si>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</si>
  <si>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</si>
  <si>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</si>
  <si>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</si>
  <si>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</si>
  <si>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</si>
  <si>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</si>
  <si>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</si>
  <si>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</si>
  <si>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</si>
  <si>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</si>
  <si>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</si>
  <si>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</si>
  <si>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</si>
  <si>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</si>
  <si>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</si>
  <si>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</si>
  <si>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</si>
  <si>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</si>
  <si>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</si>
  <si>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</si>
  <si>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</si>
  <si>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</si>
  <si>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</si>
  <si>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</si>
  <si>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</si>
  <si>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</si>
  <si>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</si>
  <si>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</si>
  <si>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</si>
  <si>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</si>
  <si>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</si>
  <si>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</si>
  <si>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</si>
  <si>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</si>
  <si>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</si>
  <si>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</si>
  <si>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</si>
  <si>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</si>
  <si>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</si>
  <si>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</si>
  <si>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</si>
  <si>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</si>
  <si>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</si>
  <si>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</si>
  <si>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</si>
  <si>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</si>
  <si>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</si>
  <si>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</si>
  <si>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</si>
  <si>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</si>
  <si>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</si>
  <si>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</si>
  <si>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</si>
  <si>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</si>
  <si>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</si>
  <si>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</si>
  <si>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</si>
  <si>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</si>
  <si>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</si>
  <si>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</si>
  <si>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</si>
  <si>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</si>
  <si>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</si>
  <si>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</si>
  <si>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</si>
  <si>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</si>
  <si>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</si>
  <si>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</si>
  <si>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</si>
  <si>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</si>
  <si>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</si>
  <si>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</si>
  <si>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</si>
  <si>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</si>
  <si>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</si>
  <si>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</si>
  <si>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</si>
  <si>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</si>
  <si>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</si>
  <si>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</si>
  <si>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</si>
  <si>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</si>
  <si>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</si>
  <si>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</si>
  <si>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</si>
  <si>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</si>
  <si>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</si>
  <si>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</si>
  <si>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</si>
  <si>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</si>
  <si>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</si>
  <si>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</si>
  <si>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</si>
  <si>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</si>
  <si>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</si>
  <si>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</si>
  <si>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</si>
  <si>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</si>
  <si>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</si>
  <si>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</si>
  <si>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</si>
  <si>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</si>
  <si>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</si>
  <si>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</si>
  <si>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</si>
  <si>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</si>
  <si>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</si>
  <si>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</si>
  <si>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</si>
  <si>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</si>
  <si>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</si>
  <si>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</si>
  <si>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</si>
  <si>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</si>
  <si>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</si>
  <si>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</si>
  <si>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</si>
  <si>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</si>
  <si>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</si>
  <si>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</si>
  <si>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</si>
  <si>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</si>
  <si>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</si>
  <si>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</si>
  <si>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</si>
  <si>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</si>
  <si>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</si>
  <si>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</si>
  <si>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</si>
  <si>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</si>
  <si>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</si>
  <si>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</si>
  <si>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</si>
  <si>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</si>
  <si>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</si>
  <si>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</si>
  <si>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</si>
  <si>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</si>
  <si>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</si>
  <si>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</si>
  <si>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</si>
  <si>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</si>
  <si>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</si>
  <si>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</si>
  <si>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</si>
  <si>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</si>
  <si>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</si>
  <si>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</si>
  <si>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</si>
  <si>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</si>
  <si>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</si>
  <si>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</si>
  <si>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</si>
  <si>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</si>
  <si>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</si>
  <si>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</si>
  <si>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</si>
  <si>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</si>
  <si>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</si>
  <si>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</si>
  <si>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</si>
  <si>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</si>
  <si>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</si>
  <si>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</si>
  <si>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</si>
  <si>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</si>
  <si>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</si>
  <si>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</si>
  <si>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</si>
  <si>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</si>
  <si>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</si>
  <si>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</si>
  <si>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</si>
  <si>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</si>
  <si>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</si>
  <si>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</si>
  <si>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</si>
  <si>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</si>
  <si>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</si>
  <si>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</si>
  <si>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</si>
  <si>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</si>
  <si>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</si>
  <si>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</si>
  <si>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</si>
  <si>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</si>
  <si>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</si>
  <si>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</si>
  <si>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</si>
  <si>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</si>
  <si>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</si>
  <si>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</si>
  <si>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</si>
  <si>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</si>
  <si>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</si>
  <si>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</si>
  <si>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</si>
  <si>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</si>
  <si>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</si>
  <si>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</si>
  <si>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</si>
  <si>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</si>
  <si>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</si>
  <si>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</si>
  <si>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</si>
  <si>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</si>
  <si>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</si>
  <si>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</si>
  <si>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</si>
  <si>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</si>
  <si>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</si>
  <si>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</si>
  <si>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</si>
  <si>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</si>
  <si>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</si>
  <si>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</si>
  <si>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</si>
  <si>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</si>
  <si>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</si>
  <si>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</si>
  <si>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</si>
  <si>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</si>
  <si>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</si>
  <si>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</si>
  <si>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</si>
  <si>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</si>
  <si>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</si>
  <si>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</si>
  <si>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</si>
  <si>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</si>
  <si>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</si>
  <si>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</si>
  <si>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</si>
  <si>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</si>
  <si>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</si>
  <si>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</si>
  <si>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</si>
  <si>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</si>
  <si>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</si>
  <si>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</si>
  <si>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</si>
  <si>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</si>
  <si>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</si>
  <si>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</si>
  <si>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</si>
  <si>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</si>
  <si>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</si>
  <si>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</si>
  <si>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</si>
  <si>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</si>
  <si>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</si>
  <si>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</si>
  <si>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</si>
  <si>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</si>
  <si>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</si>
  <si>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</si>
  <si>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</si>
  <si>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</si>
  <si>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</si>
  <si>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</si>
  <si>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</si>
  <si>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</si>
  <si>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</si>
  <si>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</si>
  <si>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</si>
  <si>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</si>
  <si>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</si>
  <si>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</si>
  <si>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</si>
  <si>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</si>
  <si>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</si>
  <si>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</si>
  <si>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</si>
  <si>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</si>
  <si>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</si>
  <si>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</si>
  <si>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</si>
  <si>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</si>
  <si>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</si>
  <si>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</si>
  <si>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</si>
  <si>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</si>
  <si>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</si>
  <si>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</si>
  <si>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</si>
  <si>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</si>
  <si>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</si>
  <si>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</si>
  <si>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</si>
  <si>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</si>
  <si>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</si>
  <si>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</si>
  <si>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</si>
  <si>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</si>
  <si>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</si>
  <si>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</si>
  <si>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</si>
  <si>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</si>
  <si>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</si>
  <si>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</si>
  <si>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</si>
  <si>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</si>
  <si>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</si>
  <si>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</si>
  <si>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</si>
  <si>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</si>
  <si>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</si>
  <si>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</si>
  <si>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</si>
  <si>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</si>
  <si>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</si>
  <si>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</si>
  <si>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</si>
  <si>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</si>
  <si>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</si>
  <si>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</si>
  <si>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</si>
  <si>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</si>
  <si>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</si>
  <si>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</si>
  <si>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</si>
  <si>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</si>
  <si>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</si>
  <si>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</si>
  <si>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</si>
  <si>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</si>
  <si>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</si>
  <si>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</si>
  <si>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</si>
  <si>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</si>
  <si>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</si>
  <si>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</si>
  <si>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</si>
  <si>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</si>
  <si>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</si>
  <si>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</si>
  <si>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</si>
  <si>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</si>
  <si>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</si>
  <si>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</si>
  <si>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</si>
  <si>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</si>
  <si>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</si>
  <si>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</si>
  <si>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</si>
  <si>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</si>
  <si>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</si>
  <si>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</si>
  <si>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</si>
  <si>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</si>
  <si>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</si>
  <si>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</si>
  <si>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</si>
  <si>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</si>
  <si>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</si>
  <si>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</si>
  <si>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</si>
  <si>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</si>
  <si>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</si>
  <si>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</si>
  <si>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</si>
  <si>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</si>
  <si>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</si>
  <si>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</si>
  <si>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</si>
  <si>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</si>
  <si>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</si>
  <si>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</si>
  <si>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</si>
  <si>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</si>
  <si>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</si>
  <si>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</si>
  <si>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</si>
  <si>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</si>
  <si>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</si>
  <si>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</si>
  <si>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</si>
  <si>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</si>
  <si>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</si>
  <si>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</si>
  <si>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</si>
  <si>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</si>
  <si>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</si>
  <si>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</si>
  <si>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</si>
  <si>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</si>
  <si>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</si>
  <si>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</si>
  <si>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</si>
  <si>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</si>
  <si>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</si>
  <si>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</si>
  <si>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</si>
  <si>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</si>
  <si>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</si>
  <si>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</si>
  <si>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</si>
  <si>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</si>
  <si>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</si>
  <si>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</si>
  <si>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</si>
  <si>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</si>
  <si>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</si>
  <si>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</si>
  <si>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</si>
  <si>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</si>
  <si>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</si>
  <si>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</si>
  <si>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</si>
  <si>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</si>
  <si>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</si>
  <si>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</si>
  <si>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</si>
  <si>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</si>
  <si>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</si>
  <si>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</si>
  <si>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</si>
  <si>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</si>
  <si>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</si>
  <si>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</si>
  <si>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</si>
  <si>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</si>
  <si>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</si>
  <si>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</si>
  <si>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</si>
  <si>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</si>
  <si>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</si>
  <si>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</si>
  <si>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</si>
  <si>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</si>
  <si>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</si>
  <si>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</si>
  <si>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</si>
  <si>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</si>
  <si>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</si>
  <si>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</si>
  <si>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</si>
  <si>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</si>
  <si>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</si>
  <si>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</si>
  <si>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</si>
  <si>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</si>
  <si>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</si>
  <si>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</si>
  <si>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</si>
  <si>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</si>
  <si>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</si>
  <si>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</si>
  <si>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</si>
  <si>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</si>
  <si>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</si>
  <si>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</si>
  <si>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</si>
  <si>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</si>
  <si>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</si>
  <si>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</si>
  <si>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</si>
  <si>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</si>
  <si>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</si>
  <si>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</si>
  <si>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</si>
  <si>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</si>
  <si>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</si>
  <si>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</si>
  <si>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</si>
  <si>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</si>
  <si>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</si>
  <si>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</si>
  <si>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</si>
  <si>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</si>
  <si>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</si>
  <si>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</si>
  <si>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</si>
  <si>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</si>
  <si>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</si>
  <si>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</si>
  <si>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</si>
  <si>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</si>
  <si>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</si>
  <si>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</si>
  <si>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</si>
  <si>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</si>
  <si>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</si>
  <si>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</si>
  <si>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</si>
  <si>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</si>
  <si>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</si>
  <si>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</si>
  <si>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</si>
  <si>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</si>
  <si>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</si>
  <si>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</si>
  <si>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</si>
  <si>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</si>
  <si>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</si>
  <si>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</si>
  <si>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</si>
  <si>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</si>
  <si>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</si>
  <si>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</si>
  <si>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</si>
  <si>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</si>
  <si>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</si>
  <si>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</si>
  <si>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</si>
  <si>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</si>
  <si>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</si>
  <si>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</si>
  <si>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</si>
  <si>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</si>
  <si>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</si>
  <si>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</si>
  <si>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</si>
  <si>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</si>
  <si>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</si>
  <si>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</si>
  <si>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</si>
  <si>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</si>
  <si>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</si>
  <si>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</si>
  <si>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</si>
  <si>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</si>
  <si>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</si>
  <si>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</si>
  <si>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</si>
  <si>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</si>
  <si>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</si>
  <si>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</si>
  <si>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</si>
  <si>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</si>
  <si>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</si>
  <si>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</si>
  <si>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</si>
  <si>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</si>
  <si>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</si>
  <si>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</si>
  <si>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</si>
  <si>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</si>
  <si>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</si>
  <si>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</si>
  <si>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</si>
  <si>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</si>
  <si>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</si>
  <si>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</si>
  <si>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</si>
  <si>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</si>
  <si>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</si>
  <si>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</si>
  <si>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</si>
  <si>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</si>
  <si>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</si>
  <si>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</si>
  <si>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</si>
  <si>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</si>
  <si>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</si>
  <si>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</si>
  <si>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</si>
  <si>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</si>
  <si>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</si>
  <si>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</si>
  <si>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</si>
  <si>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</si>
  <si>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</si>
  <si>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</si>
  <si>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</si>
  <si>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</si>
  <si>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</si>
  <si>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</si>
  <si>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</si>
  <si>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</si>
  <si>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</si>
  <si>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</si>
  <si>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</si>
  <si>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</si>
  <si>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</si>
  <si>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</si>
  <si>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</si>
  <si>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</si>
  <si>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</si>
  <si>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</si>
  <si>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</si>
  <si>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</si>
  <si>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</si>
  <si>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</si>
  <si>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</si>
  <si>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</si>
  <si>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</si>
  <si>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</si>
  <si>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</si>
  <si>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</si>
  <si>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</si>
  <si>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</si>
  <si>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</si>
  <si>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</si>
  <si>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</si>
  <si>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</si>
  <si>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</si>
  <si>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</si>
  <si>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</si>
  <si>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</si>
  <si>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</si>
  <si>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</si>
  <si>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</si>
  <si>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</si>
  <si>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</si>
  <si>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</si>
  <si>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</si>
  <si>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</si>
  <si>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</si>
  <si>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</si>
  <si>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</si>
  <si>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</si>
  <si>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</si>
  <si>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</si>
  <si>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</si>
  <si>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</si>
  <si>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</si>
  <si>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</si>
  <si>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</si>
  <si>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</si>
  <si>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</si>
  <si>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</si>
  <si>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</si>
  <si>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</si>
  <si>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</si>
  <si>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</si>
  <si>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</si>
  <si>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</si>
  <si>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</si>
  <si>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</si>
  <si>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</si>
  <si>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</si>
  <si>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</si>
  <si>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</si>
  <si>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</si>
  <si>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</si>
  <si>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</si>
  <si>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</si>
  <si>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</si>
  <si>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</si>
  <si>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</si>
  <si>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</si>
  <si>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</si>
  <si>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</si>
  <si>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</si>
  <si>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</si>
  <si>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</si>
  <si>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</si>
  <si>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</si>
  <si>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</si>
  <si>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</si>
  <si>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</si>
  <si>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</si>
  <si>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</si>
  <si>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</si>
  <si>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</si>
  <si>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</si>
  <si>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</si>
  <si>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</si>
  <si>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</si>
  <si>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</si>
  <si>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</si>
  <si>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</si>
  <si>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</si>
  <si>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</si>
  <si>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</si>
  <si>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</si>
  <si>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</si>
  <si>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</si>
  <si>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</si>
  <si>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</si>
  <si>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</si>
  <si>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</si>
  <si>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</si>
  <si>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</si>
  <si>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</si>
  <si>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</si>
  <si>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</si>
  <si>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</si>
  <si>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</si>
  <si>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</si>
  <si>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</si>
  <si>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</si>
  <si>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</si>
  <si>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</si>
  <si>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</si>
  <si>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</si>
  <si>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</si>
  <si>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</si>
  <si>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</si>
  <si>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</si>
  <si>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</si>
  <si>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</si>
  <si>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</si>
  <si>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</si>
  <si>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</si>
  <si>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</si>
  <si>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</si>
  <si>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</si>
  <si>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</si>
  <si>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</si>
  <si>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</si>
  <si>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</si>
  <si>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</si>
  <si>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</si>
  <si>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</si>
  <si>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</si>
  <si>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</si>
  <si>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</si>
  <si>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</si>
  <si>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</si>
  <si>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</si>
  <si>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</si>
  <si>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</si>
  <si>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</si>
  <si>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</si>
  <si>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</si>
  <si>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</si>
  <si>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</si>
  <si>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</si>
  <si>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</si>
  <si>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</si>
  <si>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</si>
  <si>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</si>
  <si>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</si>
  <si>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</si>
  <si>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</si>
  <si>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</si>
  <si>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</si>
  <si>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</si>
  <si>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</si>
  <si>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</si>
  <si>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</si>
  <si>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</si>
  <si>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</si>
  <si>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</si>
  <si>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</si>
  <si>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</si>
  <si>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</si>
  <si>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</si>
  <si>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</si>
  <si>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</si>
  <si>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</si>
  <si>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</si>
  <si>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</si>
  <si>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</si>
  <si>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</si>
  <si>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</si>
  <si>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</si>
  <si>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</si>
  <si>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</si>
  <si>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</si>
  <si>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</si>
  <si>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</si>
  <si>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</si>
  <si>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</si>
  <si>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</si>
  <si>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</si>
  <si>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</si>
  <si>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</si>
  <si>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</si>
  <si>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</si>
  <si>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</si>
  <si>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</si>
  <si>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</si>
  <si>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</si>
  <si>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</si>
  <si>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</si>
  <si>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</si>
  <si>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</si>
  <si>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</si>
  <si>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</si>
  <si>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</si>
  <si>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</si>
  <si>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</si>
  <si>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</si>
  <si>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</si>
  <si>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</si>
  <si>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</si>
  <si>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</si>
  <si>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</si>
  <si>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</si>
  <si>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</si>
  <si>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</si>
  <si>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</si>
  <si>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</si>
  <si>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</si>
  <si>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</si>
  <si>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</si>
  <si>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</si>
  <si>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</si>
  <si>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</si>
  <si>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</si>
  <si>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</si>
  <si>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</si>
  <si>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</si>
  <si>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</si>
  <si>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</si>
  <si>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</si>
  <si>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</si>
  <si>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</si>
  <si>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</si>
  <si>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</si>
  <si>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</si>
  <si>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</si>
  <si>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</si>
  <si>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</si>
  <si>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</si>
  <si>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</si>
  <si>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</si>
  <si>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</si>
  <si>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</si>
  <si>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</si>
  <si>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</si>
  <si>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</si>
  <si>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</si>
  <si>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</si>
  <si>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</si>
  <si>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</si>
  <si>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</si>
  <si>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</si>
  <si>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</si>
  <si>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</si>
  <si>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</si>
  <si>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</si>
  <si>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</si>
  <si>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</si>
  <si>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</si>
  <si>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</si>
  <si>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</si>
  <si>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</si>
  <si>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</si>
  <si>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</si>
  <si>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</si>
  <si>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</si>
  <si>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</si>
  <si>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</si>
  <si>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</si>
  <si>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</si>
  <si>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</si>
  <si>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</si>
  <si>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</si>
  <si>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</si>
  <si>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</si>
  <si>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</si>
  <si>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</si>
  <si>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</si>
  <si>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</si>
  <si>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</si>
  <si>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</si>
  <si>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</si>
  <si>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</si>
  <si>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</si>
  <si>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</si>
  <si>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</si>
  <si>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</si>
  <si>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</si>
  <si>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</si>
  <si>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</si>
  <si>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</si>
  <si>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</si>
  <si>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</si>
  <si>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</si>
  <si>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</si>
  <si>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</si>
  <si>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</si>
  <si>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</si>
  <si>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</si>
  <si>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</si>
  <si>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</si>
  <si>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</si>
  <si>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</si>
  <si>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</si>
  <si>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</si>
  <si>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</si>
  <si>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</si>
  <si>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</si>
  <si>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</si>
  <si>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</si>
  <si>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</si>
  <si>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</si>
  <si>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</si>
  <si>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</si>
  <si>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</si>
  <si>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</si>
  <si>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</si>
  <si>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</si>
  <si>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</si>
  <si>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</si>
  <si>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</si>
  <si>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</si>
  <si>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</si>
  <si>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</si>
  <si>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</si>
  <si>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</si>
  <si>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</si>
  <si>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</si>
  <si>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</si>
  <si>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</si>
  <si>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</si>
  <si>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</si>
  <si>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</si>
  <si>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</si>
  <si>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</si>
  <si>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</si>
  <si>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</si>
  <si>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</si>
  <si>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</si>
  <si>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</si>
  <si>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</si>
  <si>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</si>
  <si>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</si>
  <si>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</si>
  <si>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</si>
  <si>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</si>
  <si>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</si>
  <si>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</si>
  <si>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</si>
  <si>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</si>
  <si>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</si>
  <si>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</si>
  <si>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</si>
  <si>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</si>
  <si>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</si>
  <si>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</si>
  <si>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</si>
  <si>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</si>
  <si>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</si>
  <si>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</si>
  <si>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</si>
  <si>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</si>
  <si>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</si>
  <si>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</si>
  <si>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</si>
  <si>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</si>
  <si>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</si>
  <si>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</si>
  <si>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</si>
  <si>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</si>
  <si>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</si>
  <si>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</si>
  <si>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</si>
  <si>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</si>
  <si>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</si>
  <si>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</si>
  <si>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</si>
  <si>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</si>
  <si>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</si>
  <si>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</si>
  <si>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</si>
  <si>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</si>
  <si>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</si>
  <si>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</si>
  <si>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</si>
  <si>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</si>
  <si>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</si>
  <si>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</si>
  <si>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</si>
  <si>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</si>
  <si>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</si>
  <si>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</si>
  <si>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</si>
  <si>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</si>
  <si>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</si>
  <si>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</si>
  <si>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</si>
  <si>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</si>
  <si>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</si>
  <si>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</si>
  <si>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</si>
  <si>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</si>
  <si>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</si>
  <si>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</si>
  <si>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</si>
  <si>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</si>
  <si>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</si>
  <si>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</si>
  <si>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</si>
  <si>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</si>
  <si>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</si>
  <si>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</si>
  <si>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</si>
  <si>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</si>
  <si>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</si>
  <si>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</si>
  <si>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</si>
  <si>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</si>
  <si>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</si>
  <si>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</si>
  <si>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</si>
  <si>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</si>
  <si>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</si>
  <si>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</si>
  <si>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</si>
  <si>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</si>
  <si>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</si>
  <si>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</si>
  <si>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</si>
  <si>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</si>
  <si>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</si>
  <si>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</si>
  <si>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</si>
  <si>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</si>
  <si>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</si>
  <si>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</si>
  <si>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</si>
  <si>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</si>
  <si>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</si>
  <si>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</si>
  <si>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</si>
  <si>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</si>
  <si>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</si>
  <si>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</si>
  <si>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</si>
  <si>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</si>
  <si>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</si>
  <si>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</si>
  <si>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</si>
  <si>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</si>
  <si>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</si>
  <si>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</si>
  <si>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</si>
  <si>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</si>
  <si>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</si>
  <si>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</si>
  <si>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</si>
  <si>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</si>
  <si>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</si>
  <si>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</si>
  <si>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</si>
  <si>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</si>
  <si>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</si>
  <si>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</si>
  <si>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</si>
  <si>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</si>
  <si>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</si>
  <si>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</si>
  <si>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</si>
  <si>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</si>
  <si>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</si>
  <si>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</si>
  <si>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</si>
  <si>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</si>
  <si>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</si>
  <si>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</si>
  <si>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</si>
  <si>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</si>
  <si>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</si>
  <si>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</si>
  <si>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</si>
  <si>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</si>
  <si>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</si>
  <si>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</si>
  <si>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</si>
  <si>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</si>
  <si>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</si>
  <si>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</si>
  <si>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</si>
  <si>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</si>
  <si>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</si>
  <si>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</si>
  <si>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</si>
  <si>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</si>
  <si>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</si>
  <si>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</si>
  <si>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</si>
  <si>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</si>
  <si>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</si>
  <si>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</si>
  <si>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</si>
  <si>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</si>
  <si>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</si>
  <si>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</si>
  <si>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</si>
  <si>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</si>
  <si>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</si>
  <si>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</si>
  <si>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</si>
  <si>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</si>
  <si>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</si>
  <si>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</si>
  <si>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</si>
  <si>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</si>
  <si>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</si>
  <si>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</si>
  <si>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</si>
  <si>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</si>
  <si>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</si>
  <si>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</si>
  <si>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</si>
  <si>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</si>
  <si>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</si>
  <si>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</si>
  <si>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</si>
  <si>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</si>
  <si>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</si>
  <si>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</si>
  <si>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</si>
  <si>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</si>
  <si>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</si>
  <si>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</si>
  <si>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</si>
  <si>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</si>
  <si>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</si>
  <si>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</si>
  <si>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</si>
  <si>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</si>
  <si>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</si>
  <si>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</si>
  <si>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</si>
  <si>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</si>
  <si>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</si>
  <si>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</si>
  <si>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</si>
  <si>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</si>
  <si>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</si>
  <si>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</si>
  <si>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</si>
  <si>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</si>
  <si>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</si>
  <si>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</si>
  <si>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</si>
  <si>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</si>
  <si>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</si>
  <si>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</si>
  <si>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</si>
  <si>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</si>
  <si>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</si>
  <si>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</si>
  <si>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</si>
  <si>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</si>
  <si>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</si>
  <si>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</si>
  <si>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</si>
  <si>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</si>
  <si>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</si>
  <si>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</si>
  <si>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</si>
  <si>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</si>
  <si>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</si>
  <si>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</si>
  <si>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</si>
  <si>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</si>
  <si>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</si>
  <si>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</si>
  <si>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</si>
  <si>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</si>
  <si>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</si>
  <si>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</si>
  <si>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</si>
  <si>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</si>
  <si>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</si>
  <si>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</si>
  <si>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</si>
  <si>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</si>
  <si>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</si>
  <si>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</si>
  <si>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</si>
  <si>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</si>
  <si>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</si>
  <si>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</si>
  <si>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</si>
  <si>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</si>
  <si>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</si>
  <si>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</si>
  <si>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</si>
  <si>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</si>
  <si>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</si>
  <si>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</si>
  <si>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</si>
  <si>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</si>
  <si>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</si>
  <si>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</si>
  <si>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</si>
  <si>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</si>
  <si>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</si>
  <si>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</si>
  <si>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</si>
  <si>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</si>
  <si>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</si>
  <si>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</si>
  <si>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</si>
  <si>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</si>
  <si>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</si>
  <si>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</si>
  <si>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</si>
  <si>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</si>
  <si>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</si>
  <si>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</si>
  <si>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</si>
  <si>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</si>
  <si>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</si>
  <si>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</si>
  <si>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</si>
  <si>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</si>
  <si>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</si>
  <si>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</si>
  <si>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</si>
  <si>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</si>
  <si>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</si>
  <si>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</si>
  <si>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</si>
  <si>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</si>
  <si>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</si>
  <si>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</si>
  <si>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</si>
  <si>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</si>
  <si>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</si>
  <si>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</si>
  <si>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</si>
  <si>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</si>
  <si>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</si>
  <si>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</si>
  <si>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</si>
  <si>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</si>
  <si>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</si>
  <si>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</si>
  <si>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</si>
  <si>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</si>
  <si>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</si>
  <si>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</si>
  <si>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</si>
  <si>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</si>
  <si>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</si>
  <si>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</si>
  <si>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</si>
  <si>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</si>
  <si>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</si>
  <si>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</si>
  <si>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</si>
  <si>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</si>
  <si>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</si>
  <si>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</si>
  <si>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</si>
  <si>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</si>
  <si>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</si>
  <si>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</si>
  <si>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</si>
  <si>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</si>
  <si>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</si>
  <si>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</si>
  <si>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</si>
  <si>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</si>
  <si>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</si>
  <si>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</si>
  <si>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</si>
  <si>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</si>
  <si>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</si>
  <si>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</si>
  <si>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</si>
  <si>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</si>
  <si>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</si>
  <si>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</si>
  <si>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</si>
  <si>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</si>
  <si>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</si>
  <si>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</si>
  <si>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</si>
  <si>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</si>
  <si>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</si>
  <si>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</si>
  <si>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</si>
  <si>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</si>
  <si>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</si>
  <si>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</si>
  <si>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</si>
  <si>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</si>
  <si>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</si>
  <si>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</si>
  <si>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</si>
  <si>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</si>
  <si>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</si>
  <si>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</si>
  <si>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</si>
  <si>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</si>
  <si>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</si>
  <si>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</si>
  <si>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</si>
  <si>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</si>
  <si>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</si>
  <si>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</si>
  <si>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</si>
  <si>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</si>
  <si>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</si>
  <si>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</si>
  <si>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</si>
  <si>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</si>
  <si>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</si>
  <si>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</si>
  <si>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</si>
  <si>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</si>
  <si>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</si>
  <si>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</si>
  <si>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</si>
  <si>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</si>
  <si>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</si>
  <si>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</si>
  <si>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</si>
  <si>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</si>
  <si>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</si>
  <si>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</si>
  <si>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</si>
  <si>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</si>
  <si>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</si>
  <si>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</si>
  <si>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</si>
  <si>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</si>
  <si>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</si>
  <si>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</si>
  <si>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</si>
  <si>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</si>
  <si>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</si>
  <si>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</si>
  <si>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</si>
  <si>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</si>
  <si>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</si>
  <si>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</si>
  <si>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</si>
  <si>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</si>
  <si>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</si>
  <si>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</si>
  <si>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</si>
  <si>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</si>
  <si>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</si>
  <si>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</si>
  <si>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</si>
  <si>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</si>
  <si>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</si>
  <si>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</si>
  <si>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</si>
  <si>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</si>
  <si>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</si>
  <si>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</si>
  <si>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</si>
  <si>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</si>
  <si>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</si>
  <si>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</si>
  <si>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</si>
  <si>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</si>
  <si>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</si>
  <si>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</si>
  <si>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</si>
  <si>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</si>
  <si>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</si>
  <si>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</si>
  <si>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</si>
  <si>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</si>
  <si>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</si>
  <si>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</si>
  <si>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</si>
  <si>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</si>
  <si>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</si>
  <si>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</si>
  <si>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</si>
  <si>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</si>
  <si>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</si>
  <si>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</si>
  <si>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</si>
  <si>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</si>
  <si>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</si>
  <si>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</si>
  <si>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</si>
  <si>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</si>
  <si>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</si>
  <si>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</si>
  <si>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</si>
  <si>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</si>
  <si>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</si>
  <si>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</si>
  <si>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</si>
  <si>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</si>
  <si>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</si>
  <si>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</si>
  <si>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</si>
  <si>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</si>
  <si>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</si>
  <si>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</si>
  <si>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</si>
  <si>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</si>
  <si>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</si>
  <si>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</si>
  <si>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</si>
  <si>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</si>
  <si>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</si>
  <si>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</si>
  <si>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</si>
  <si>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</si>
  <si>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</si>
  <si>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</si>
  <si>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</si>
  <si>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</si>
  <si>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</si>
  <si>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</si>
  <si>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</si>
  <si>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</si>
  <si>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</si>
  <si>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</si>
  <si>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</si>
  <si>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</si>
  <si>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</si>
  <si>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</si>
  <si>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</si>
  <si>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</si>
  <si>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</si>
  <si>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</si>
  <si>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</si>
  <si>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</si>
  <si>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</si>
  <si>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</si>
  <si>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</si>
  <si>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</si>
  <si>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</si>
  <si>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</si>
  <si>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</si>
  <si>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</si>
  <si>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</si>
  <si>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</si>
  <si>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</si>
  <si>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</si>
  <si>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</si>
  <si>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</si>
  <si>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</si>
  <si>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</si>
  <si>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</si>
  <si>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</si>
  <si>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</si>
  <si>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</si>
  <si>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</si>
  <si>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</si>
  <si>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</si>
  <si>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</si>
  <si>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</si>
  <si>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</si>
  <si>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</si>
  <si>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</si>
  <si>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</si>
  <si>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</si>
  <si>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</si>
  <si>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</si>
  <si>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</si>
  <si>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</si>
  <si>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</si>
  <si>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</si>
  <si>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</si>
  <si>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</si>
  <si>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</si>
  <si>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</si>
  <si>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</si>
  <si>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</si>
  <si>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</si>
  <si>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</si>
  <si>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</si>
  <si>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</si>
  <si>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</si>
  <si>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</si>
  <si>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</si>
  <si>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</si>
  <si>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</si>
  <si>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</si>
  <si>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</si>
  <si>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</si>
  <si>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</si>
  <si>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</si>
  <si>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</si>
  <si>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</si>
  <si>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</si>
  <si>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</si>
  <si>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</si>
  <si>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</si>
  <si>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</si>
  <si>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</si>
  <si>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</si>
  <si>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</si>
  <si>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</si>
  <si>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</si>
  <si>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</si>
  <si>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</si>
  <si>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</si>
  <si>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</si>
  <si>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</si>
  <si>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</si>
  <si>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</si>
  <si>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</si>
  <si>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</si>
  <si>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</si>
  <si>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</si>
  <si>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</si>
  <si>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</si>
  <si>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</si>
  <si>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</si>
  <si>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</si>
  <si>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</si>
  <si>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</si>
  <si>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</si>
  <si>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</si>
  <si>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</si>
  <si>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</si>
  <si>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</si>
  <si>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</si>
  <si>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</si>
  <si>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</si>
  <si>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</si>
  <si>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</si>
  <si>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</si>
  <si>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</si>
  <si>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</si>
  <si>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</si>
  <si>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</si>
  <si>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</si>
  <si>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</si>
  <si>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</si>
  <si>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</si>
  <si>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</si>
  <si>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</si>
  <si>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</si>
  <si>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</si>
  <si>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</si>
  <si>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</si>
  <si>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</si>
  <si>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</si>
  <si>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</si>
  <si>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</si>
  <si>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</si>
  <si>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</si>
  <si>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</si>
  <si>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</si>
  <si>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</si>
  <si>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</si>
  <si>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</si>
  <si>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</si>
  <si>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</si>
  <si>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</si>
  <si>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</si>
  <si>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</si>
  <si>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</si>
  <si>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</si>
  <si>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</si>
  <si>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</si>
  <si>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</si>
  <si>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</si>
  <si>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</si>
  <si>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</si>
  <si>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</si>
  <si>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</si>
  <si>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</si>
  <si>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</si>
  <si>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</si>
  <si>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</si>
  <si>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</si>
  <si>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</si>
  <si>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</si>
  <si>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</si>
  <si>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</si>
  <si>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</si>
  <si>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</si>
  <si>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</si>
  <si>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</si>
  <si>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</si>
  <si>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</si>
  <si>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</si>
  <si>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</si>
  <si>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</si>
  <si>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</si>
  <si>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</si>
  <si>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</si>
  <si>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</si>
  <si>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</si>
  <si>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</si>
  <si>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</si>
  <si>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</si>
  <si>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</si>
  <si>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</si>
  <si>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</si>
  <si>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</si>
  <si>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</si>
  <si>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</si>
  <si>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</si>
  <si>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</si>
  <si>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</si>
  <si>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</si>
  <si>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</si>
  <si>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</si>
  <si>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</si>
  <si>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</si>
  <si>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</si>
  <si>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</si>
  <si>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</si>
  <si>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</si>
  <si>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</si>
  <si>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</si>
  <si>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</si>
  <si>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</si>
  <si>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</si>
  <si>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</si>
  <si>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</si>
  <si>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</si>
  <si>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</si>
  <si>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</si>
  <si>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</si>
  <si>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</si>
  <si>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</si>
  <si>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</si>
  <si>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</si>
  <si>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</si>
  <si>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</si>
  <si>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</si>
  <si>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</si>
  <si>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</si>
  <si>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</si>
  <si>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</si>
  <si>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</si>
  <si>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</si>
  <si>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</si>
  <si>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</si>
  <si>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</si>
  <si>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</si>
  <si>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</si>
  <si>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</si>
  <si>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</si>
  <si>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</si>
  <si>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</si>
  <si>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</si>
  <si>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</si>
  <si>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</si>
  <si>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</si>
  <si>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</si>
  <si>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</si>
  <si>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</si>
  <si>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</si>
  <si>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</si>
  <si>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</si>
  <si>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</si>
  <si>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</si>
  <si>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</si>
  <si>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</si>
  <si>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</si>
  <si>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</si>
  <si>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</si>
  <si>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</si>
  <si>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</si>
  <si>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</si>
  <si>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</si>
  <si>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</si>
  <si>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</si>
  <si>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</si>
  <si>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</si>
  <si>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</si>
  <si>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</si>
  <si>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</si>
  <si>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</si>
  <si>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</si>
  <si>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</si>
  <si>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</si>
  <si>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</si>
  <si>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</si>
  <si>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</si>
  <si>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</si>
  <si>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</si>
  <si>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</si>
  <si>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</si>
  <si>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</si>
  <si>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</si>
  <si>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</si>
  <si>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</si>
  <si>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</si>
  <si>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</si>
  <si>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</si>
  <si>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</si>
  <si>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</si>
  <si>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</si>
  <si>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</si>
  <si>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</si>
  <si>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</si>
  <si>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</si>
  <si>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</si>
  <si>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</si>
  <si>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</si>
  <si>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</si>
  <si>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</si>
  <si>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</si>
  <si>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</si>
  <si>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</si>
  <si>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</si>
  <si>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</si>
  <si>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</si>
  <si>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</si>
  <si>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</si>
  <si>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</si>
  <si>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</si>
  <si>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</si>
  <si>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</si>
  <si>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</si>
  <si>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</si>
  <si>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</si>
  <si>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</si>
  <si>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</si>
  <si>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</si>
  <si>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</si>
  <si>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</si>
  <si>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</si>
  <si>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</si>
  <si>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</si>
  <si>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</si>
  <si>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</si>
  <si>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</si>
  <si>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</si>
  <si>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</si>
  <si>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</si>
  <si>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</si>
  <si>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</si>
  <si>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</si>
  <si>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</si>
  <si>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</si>
  <si>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</si>
  <si>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</si>
  <si>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</si>
  <si>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</si>
  <si>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</si>
  <si>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</si>
  <si>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</si>
  <si>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</si>
  <si>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</si>
  <si>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</si>
  <si>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</si>
  <si>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</si>
  <si>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</si>
  <si>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</si>
  <si>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</si>
  <si>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</si>
  <si>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</si>
  <si>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</si>
  <si>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</si>
  <si>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</si>
  <si>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</si>
  <si>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</si>
  <si>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</si>
  <si>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</si>
  <si>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</si>
  <si>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</si>
  <si>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</si>
  <si>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</si>
  <si>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</si>
  <si>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</si>
  <si>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</si>
  <si>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</si>
  <si>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</si>
  <si>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</si>
  <si>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</si>
  <si>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</si>
  <si>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</si>
  <si>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</si>
  <si>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</si>
  <si>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</si>
  <si>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</si>
  <si>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</si>
  <si>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</si>
  <si>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</si>
  <si>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</si>
  <si>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</si>
  <si>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</si>
  <si>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</si>
  <si>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</si>
  <si>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</si>
  <si>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</si>
  <si>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</si>
  <si>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</si>
  <si>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</si>
  <si>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</si>
  <si>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</si>
  <si>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</si>
  <si>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</si>
  <si>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</si>
  <si>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</si>
  <si>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</si>
  <si>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</si>
  <si>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</si>
  <si>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</si>
  <si>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</si>
  <si>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</si>
  <si>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</si>
  <si>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</si>
  <si>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</si>
  <si>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</si>
  <si>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</si>
  <si>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</si>
  <si>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</si>
  <si>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</si>
  <si>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</si>
  <si>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</si>
  <si>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</si>
  <si>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</si>
  <si>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</si>
  <si>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</si>
  <si>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</si>
  <si>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</si>
  <si>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</si>
  <si>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</si>
  <si>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</si>
  <si>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</si>
  <si>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</si>
  <si>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</si>
  <si>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</si>
  <si>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</si>
  <si>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</si>
  <si>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</si>
  <si>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</si>
  <si>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</si>
  <si>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</si>
  <si>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</si>
  <si>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</si>
  <si>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</si>
  <si>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</si>
  <si>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</si>
  <si>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</si>
  <si>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</si>
  <si>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</si>
  <si>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</si>
  <si>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</si>
  <si>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</si>
  <si>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</si>
  <si>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</si>
  <si>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</si>
  <si>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</si>
  <si>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</si>
  <si>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</si>
  <si>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</si>
  <si>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</si>
  <si>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</si>
  <si>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</si>
  <si>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</si>
  <si>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</si>
  <si>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</si>
  <si>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</si>
  <si>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</si>
  <si>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</si>
  <si>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</si>
  <si>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</si>
  <si>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</si>
  <si>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</si>
  <si>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</si>
  <si>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</si>
  <si>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</si>
  <si>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</si>
  <si>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</si>
  <si>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</si>
  <si>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</si>
  <si>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</si>
  <si>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</si>
  <si>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</si>
  <si>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</si>
  <si>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</si>
  <si>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</si>
  <si>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</si>
  <si>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</si>
  <si>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</si>
  <si>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</si>
  <si>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</si>
  <si>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</si>
  <si>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</si>
  <si>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</si>
  <si>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</si>
  <si>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</si>
  <si>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</si>
  <si>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</si>
  <si>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</si>
  <si>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</si>
  <si>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</si>
  <si>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</si>
  <si>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</si>
  <si>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</si>
  <si>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</si>
  <si>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</si>
  <si>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</si>
  <si>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</si>
  <si>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</si>
  <si>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</si>
  <si>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</si>
  <si>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</si>
  <si>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</si>
  <si>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</si>
  <si>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</si>
  <si>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</si>
  <si>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</si>
  <si>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</si>
  <si>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</si>
  <si>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</si>
  <si>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</si>
  <si>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</si>
  <si>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</si>
  <si>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</si>
  <si>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</si>
  <si>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</si>
  <si>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</si>
  <si>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</si>
  <si>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</si>
  <si>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</si>
  <si>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</si>
  <si>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</si>
  <si>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</si>
  <si>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</si>
  <si>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</si>
  <si>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</si>
  <si>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</si>
  <si>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</si>
  <si>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</si>
  <si>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</si>
  <si>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</si>
  <si>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documented in the metastatic condiiton</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</si>
  <si>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</si>
  <si>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</si>
  <si>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</si>
  <si>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</si>
  <si>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</si>
  <si>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</si>
  <si>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</si>
  <si>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</si>
  <si>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</si>
  <si>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</si>
  <si>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</si>
  <si>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</si>
  <si>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</si>
  <si>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</si>
  <si>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</si>
  <si>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</si>
  <si>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</si>
  <si>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</si>
  <si>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</si>
  <si>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</si>
  <si>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</si>
  <si>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</si>
  <si>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</si>
  <si>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</si>
  <si>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</si>
  <si>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</si>
  <si>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</si>
  <si>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</si>
  <si>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</si>
  <si>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</si>
  <si>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</si>
  <si>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</si>
  <si>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</si>
  <si>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</si>
  <si>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</si>
  <si>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</si>
  <si>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</si>
  <si>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</si>
  <si>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</si>
  <si>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</si>
  <si>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</si>
  <si>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</si>
  <si>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</si>
  <si>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</si>
  <si>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</si>
  <si>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</si>
  <si>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</si>
  <si>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</si>
  <si>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</si>
  <si>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</si>
  <si>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</si>
  <si>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</si>
  <si>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</si>
  <si>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</si>
  <si>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</si>
  <si>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</si>
  <si>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</si>
  <si>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</si>
  <si>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</si>
  <si>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</si>
  <si>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If M0  false otherwise true. Check if the unknown case is present</t>
  </si>
  <si>
    <t>If N0  false otherwise true. Check if the unknown case is present</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</si>
  <si>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</si>
  <si>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</si>
  <si>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</si>
  <si>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</si>
  <si>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</si>
  <si>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</si>
  <si>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</si>
  <si>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</si>
  <si>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</si>
  <si>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</si>
  <si>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</si>
  <si>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</si>
  <si>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</si>
  <si>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</si>
  <si>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</si>
  <si>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</si>
  <si>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</si>
  <si>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</si>
  <si>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</si>
  <si>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</si>
  <si>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</si>
  <si>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</si>
  <si>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</si>
  <si>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</si>
  <si>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</si>
  <si>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</si>
  <si>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</si>
  <si>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</si>
  <si>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</si>
  <si>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</si>
  <si>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</si>
  <si>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</si>
  <si>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</si>
  <si>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</si>
  <si>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</si>
  <si>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</si>
  <si>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</si>
  <si>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</si>
  <si>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</si>
  <si>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</si>
  <si>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</si>
  <si>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</si>
  <si>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</si>
  <si>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</si>
  <si>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</si>
  <si>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</si>
  <si>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</si>
  <si>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</si>
  <si>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</si>
  <si>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</si>
  <si>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</si>
  <si>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</si>
  <si>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</si>
  <si>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</si>
  <si>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</si>
  <si>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</si>
  <si>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</si>
  <si>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</si>
  <si>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</si>
  <si>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</si>
  <si>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</si>
  <si>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</si>
  <si>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</si>
  <si>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</si>
  <si>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</si>
  <si>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</si>
  <si>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</si>
  <si>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</si>
  <si>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</si>
  <si>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</si>
  <si>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</si>
  <si>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</si>
  <si>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</si>
  <si>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</si>
  <si>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</si>
  <si>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</si>
  <si>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http://hl7.org/fhir/StructureDefinition/DomainResource</t>
  </si>
  <si>
    <t>Intended as the diagnosis at the last follow up. 
use = $diagnosis-role#AD (AdmissionDiagnosis)
Details in the referred Condition</t>
  </si>
  <si>
    <t>TO BE MAPPED</t>
  </si>
  <si>
    <t>Intended as the diagnosis at the last follow up. 
Parent Encounter.diagnosis with use = $diagnosis-role#AD (AdmissionDiagnosis)
Details in the referred Condition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</si>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</sst>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9" borderId="0" applyNumberFormat="0" applyBorder="0" applyAlignment="0" applyProtection="0"/>
  </cellStyleXfs>
  <cellXfs count="163">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6"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7" borderId="1" xfId="0" applyFont="1" applyFill="1" applyBorder="1" applyAlignment="1">
      <alignment horizontal="center" vertical="top"/>
    </xf>
    <xf numFmtId="0" fontId="0" fillId="18"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9"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0" borderId="15" xfId="0" applyFill="1" applyBorder="1"/>
    <xf numFmtId="0" fontId="0" fillId="20"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7" borderId="18" xfId="0" applyFont="1" applyFill="1" applyBorder="1" applyAlignment="1">
      <alignment horizontal="center" vertical="top"/>
    </xf>
    <xf numFmtId="0" fontId="14" fillId="0" borderId="31" xfId="0" applyFont="1" applyBorder="1" applyAlignment="1">
      <alignment horizontal="center" vertical="top"/>
    </xf>
    <xf numFmtId="0" fontId="14" fillId="21"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2" borderId="1" xfId="0" applyFill="1" applyBorder="1"/>
    <xf numFmtId="0" fontId="0" fillId="3" borderId="15" xfId="0" applyFill="1" applyBorder="1"/>
    <xf numFmtId="0" fontId="14" fillId="22"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6.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8.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9.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0.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1.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8.vml"/><Relationship Id="rId1" Type="http://schemas.openxmlformats.org/officeDocument/2006/relationships/printerSettings" Target="../printerSettings/printerSettings19.bin"/><Relationship Id="rId4" Type="http://schemas.microsoft.com/office/2017/10/relationships/threadedComment" Target="../threadedComments/threadedComment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4.vml"/><Relationship Id="rId1" Type="http://schemas.openxmlformats.org/officeDocument/2006/relationships/printerSettings" Target="../printerSettings/printerSettings25.bin"/><Relationship Id="rId4" Type="http://schemas.microsoft.com/office/2017/10/relationships/threadedComment" Target="../threadedComments/threadedComment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7.vml"/><Relationship Id="rId1" Type="http://schemas.openxmlformats.org/officeDocument/2006/relationships/printerSettings" Target="../printerSettings/printerSettings28.bin"/><Relationship Id="rId4" Type="http://schemas.microsoft.com/office/2017/10/relationships/threadedComment" Target="../threadedComments/threadedComment7.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8.xml"/><Relationship Id="rId4" Type="http://schemas.openxmlformats.org/officeDocument/2006/relationships/comments" Target="../comments10.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38.vml"/><Relationship Id="rId1" Type="http://schemas.openxmlformats.org/officeDocument/2006/relationships/printerSettings" Target="../printerSettings/printerSettings41.bin"/><Relationship Id="rId4" Type="http://schemas.microsoft.com/office/2017/10/relationships/threadedComment" Target="../threadedComments/threadedComment10.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45.vml"/><Relationship Id="rId1" Type="http://schemas.openxmlformats.org/officeDocument/2006/relationships/printerSettings" Target="../printerSettings/printerSettings48.bin"/><Relationship Id="rId4" Type="http://schemas.microsoft.com/office/2017/10/relationships/threadedComment" Target="../threadedComments/threadedComment12.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zoomScaleNormal="100" workbookViewId="0">
      <selection activeCell="B38" sqref="B3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9" t="s">
        <v>2080</v>
      </c>
      <c r="J7" s="119" t="s">
        <v>2081</v>
      </c>
      <c r="L7" s="17" t="str">
        <f>CONCATENATE("Description: "," ##334#",B7,"##334#",)</f>
        <v>Description:  ##334#Subject of care 
Maturity Level: 0 Draft##334#</v>
      </c>
    </row>
    <row r="8" spans="1:18" ht="59" x14ac:dyDescent="0.75">
      <c r="A8" s="102">
        <v>0</v>
      </c>
      <c r="B8" s="3" t="s">
        <v>1519</v>
      </c>
      <c r="C8" s="2" t="s">
        <v>78</v>
      </c>
      <c r="D8" s="2" t="s">
        <v>23</v>
      </c>
      <c r="E8" s="3">
        <v>1</v>
      </c>
      <c r="F8" s="3">
        <v>1</v>
      </c>
      <c r="G8" s="103"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20"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11" t="s">
        <v>1521</v>
      </c>
      <c r="C10" s="12" t="s">
        <v>1436</v>
      </c>
      <c r="D10" s="12" t="s">
        <v>26</v>
      </c>
      <c r="E10" s="11">
        <v>1</v>
      </c>
      <c r="F10" s="11">
        <v>1</v>
      </c>
      <c r="G10" s="67" t="s">
        <v>1468</v>
      </c>
      <c r="H10" s="120"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11" t="s">
        <v>1522</v>
      </c>
      <c r="C11" s="12" t="s">
        <v>27</v>
      </c>
      <c r="D11" s="12" t="s">
        <v>28</v>
      </c>
      <c r="E11" s="11">
        <v>1</v>
      </c>
      <c r="F11" s="11">
        <v>1</v>
      </c>
      <c r="G11" s="67" t="s">
        <v>1468</v>
      </c>
      <c r="H11" s="120" t="s">
        <v>1984</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11" t="s">
        <v>1523</v>
      </c>
      <c r="C12" s="12" t="s">
        <v>29</v>
      </c>
      <c r="D12" s="12" t="s">
        <v>1437</v>
      </c>
      <c r="E12" s="11">
        <v>0</v>
      </c>
      <c r="F12" s="11">
        <v>1</v>
      </c>
      <c r="G12" s="67" t="s">
        <v>1468</v>
      </c>
      <c r="H12" s="120"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11" t="s">
        <v>1524</v>
      </c>
      <c r="C13" s="12" t="s">
        <v>30</v>
      </c>
      <c r="D13" s="12" t="s">
        <v>1438</v>
      </c>
      <c r="E13" s="11">
        <v>0</v>
      </c>
      <c r="F13" s="11">
        <v>1</v>
      </c>
      <c r="G13" s="67" t="s">
        <v>1383</v>
      </c>
      <c r="H13" s="120"/>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11" t="s">
        <v>1525</v>
      </c>
      <c r="C14" s="12" t="s">
        <v>31</v>
      </c>
      <c r="D14" s="12" t="s">
        <v>32</v>
      </c>
      <c r="E14" s="11">
        <v>0</v>
      </c>
      <c r="F14" s="11">
        <v>1</v>
      </c>
      <c r="G14" s="67" t="s">
        <v>1383</v>
      </c>
      <c r="H14" s="120"/>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11" t="s">
        <v>1526</v>
      </c>
      <c r="C15" s="11" t="s">
        <v>33</v>
      </c>
      <c r="D15" s="11" t="s">
        <v>34</v>
      </c>
      <c r="E15" s="11">
        <v>1</v>
      </c>
      <c r="F15" s="11">
        <v>1</v>
      </c>
      <c r="G15" s="67" t="s">
        <v>1468</v>
      </c>
      <c r="H15" s="120" t="s">
        <v>1985</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1934</v>
      </c>
      <c r="C16" s="11" t="s">
        <v>1935</v>
      </c>
      <c r="D16" s="11" t="s">
        <v>1936</v>
      </c>
      <c r="E16" s="11">
        <v>0</v>
      </c>
      <c r="F16" s="11">
        <v>1</v>
      </c>
      <c r="G16" s="67" t="s">
        <v>1990</v>
      </c>
      <c r="H16" s="120"/>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1937</v>
      </c>
      <c r="C17" s="11" t="s">
        <v>1938</v>
      </c>
      <c r="D17" s="11" t="s">
        <v>1939</v>
      </c>
      <c r="E17" s="11">
        <v>0</v>
      </c>
      <c r="F17" s="11">
        <v>1</v>
      </c>
      <c r="G17" s="67" t="s">
        <v>1383</v>
      </c>
      <c r="H17" s="120"/>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1500</v>
      </c>
      <c r="C18" s="4" t="s">
        <v>35</v>
      </c>
      <c r="D18" s="4" t="s">
        <v>2087</v>
      </c>
      <c r="E18" s="6">
        <v>1</v>
      </c>
      <c r="F18" s="6">
        <v>1</v>
      </c>
      <c r="G18" s="4" t="s">
        <v>1</v>
      </c>
      <c r="H18" s="120"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11" t="s">
        <v>1506</v>
      </c>
      <c r="C19" s="12" t="s">
        <v>36</v>
      </c>
      <c r="D19" s="69" t="s">
        <v>37</v>
      </c>
      <c r="E19" s="11">
        <v>0</v>
      </c>
      <c r="F19" s="11">
        <v>1</v>
      </c>
      <c r="G19" s="67" t="s">
        <v>44</v>
      </c>
      <c r="H19" s="120"/>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11" t="s">
        <v>1511</v>
      </c>
      <c r="C20" s="12" t="s">
        <v>1439</v>
      </c>
      <c r="D20" s="67" t="s">
        <v>1942</v>
      </c>
      <c r="E20" s="11">
        <v>0</v>
      </c>
      <c r="F20" s="11">
        <v>1</v>
      </c>
      <c r="G20" s="67" t="s">
        <v>44</v>
      </c>
      <c r="H20" s="120"/>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11" t="s">
        <v>1516</v>
      </c>
      <c r="C21" s="12" t="s">
        <v>1440</v>
      </c>
      <c r="D21" s="67" t="s">
        <v>1943</v>
      </c>
      <c r="E21" s="11">
        <v>0</v>
      </c>
      <c r="F21" s="11">
        <v>1</v>
      </c>
      <c r="G21" s="67" t="s">
        <v>44</v>
      </c>
      <c r="H21" s="120"/>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8" t="s">
        <v>1512</v>
      </c>
      <c r="C22" s="12" t="s">
        <v>1441</v>
      </c>
      <c r="D22" s="67" t="s">
        <v>1944</v>
      </c>
      <c r="E22" s="11">
        <v>0</v>
      </c>
      <c r="F22" s="11">
        <v>1</v>
      </c>
      <c r="G22" s="67" t="s">
        <v>44</v>
      </c>
      <c r="H22" s="120"/>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11" t="s">
        <v>1503</v>
      </c>
      <c r="C23" s="12" t="s">
        <v>1442</v>
      </c>
      <c r="D23" s="67" t="s">
        <v>1945</v>
      </c>
      <c r="E23" s="11">
        <v>0</v>
      </c>
      <c r="F23" s="11">
        <v>1</v>
      </c>
      <c r="G23" s="67" t="s">
        <v>44</v>
      </c>
      <c r="H23" s="120"/>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11" t="s">
        <v>1513</v>
      </c>
      <c r="C24" s="12" t="s">
        <v>1443</v>
      </c>
      <c r="D24" s="67" t="s">
        <v>1946</v>
      </c>
      <c r="E24" s="11">
        <v>0</v>
      </c>
      <c r="F24" s="11">
        <v>1</v>
      </c>
      <c r="G24" s="67" t="s">
        <v>44</v>
      </c>
      <c r="H24" s="120"/>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11" t="s">
        <v>1514</v>
      </c>
      <c r="C25" s="12" t="s">
        <v>1444</v>
      </c>
      <c r="D25" s="67" t="s">
        <v>1947</v>
      </c>
      <c r="E25" s="11">
        <v>0</v>
      </c>
      <c r="F25" s="11">
        <v>1</v>
      </c>
      <c r="G25" s="67" t="s">
        <v>44</v>
      </c>
      <c r="H25" s="120"/>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11" t="s">
        <v>1515</v>
      </c>
      <c r="C26" s="12" t="s">
        <v>1445</v>
      </c>
      <c r="D26" s="67" t="s">
        <v>1948</v>
      </c>
      <c r="E26" s="11">
        <v>0</v>
      </c>
      <c r="F26" s="11">
        <v>1</v>
      </c>
      <c r="G26" s="67" t="s">
        <v>44</v>
      </c>
      <c r="H26" s="120"/>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11" t="s">
        <v>1507</v>
      </c>
      <c r="C27" s="12" t="s">
        <v>1446</v>
      </c>
      <c r="D27" s="67" t="s">
        <v>1949</v>
      </c>
      <c r="E27" s="11">
        <v>0</v>
      </c>
      <c r="F27" s="11">
        <v>1</v>
      </c>
      <c r="G27" s="67" t="s">
        <v>44</v>
      </c>
      <c r="H27" s="120"/>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11" t="s">
        <v>1508</v>
      </c>
      <c r="C28" s="12" t="s">
        <v>1447</v>
      </c>
      <c r="D28" s="67" t="s">
        <v>1950</v>
      </c>
      <c r="E28" s="11">
        <v>0</v>
      </c>
      <c r="F28" s="11">
        <v>1</v>
      </c>
      <c r="G28" s="67" t="s">
        <v>44</v>
      </c>
      <c r="H28" s="120"/>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8" t="s">
        <v>1504</v>
      </c>
      <c r="C29" s="12" t="s">
        <v>1448</v>
      </c>
      <c r="D29" s="67" t="s">
        <v>1951</v>
      </c>
      <c r="E29" s="11">
        <v>0</v>
      </c>
      <c r="F29" s="11">
        <v>1</v>
      </c>
      <c r="G29" s="67" t="s">
        <v>44</v>
      </c>
      <c r="H29" s="120"/>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11" t="s">
        <v>1505</v>
      </c>
      <c r="C30" s="12" t="s">
        <v>1449</v>
      </c>
      <c r="D30" s="67" t="s">
        <v>1952</v>
      </c>
      <c r="E30" s="11">
        <v>0</v>
      </c>
      <c r="F30" s="11">
        <v>1</v>
      </c>
      <c r="G30" s="67" t="s">
        <v>44</v>
      </c>
      <c r="H30" s="120"/>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11" t="s">
        <v>1501</v>
      </c>
      <c r="C31" s="12" t="s">
        <v>1450</v>
      </c>
      <c r="D31" s="67" t="s">
        <v>1953</v>
      </c>
      <c r="E31" s="11">
        <v>0</v>
      </c>
      <c r="F31" s="11">
        <v>1</v>
      </c>
      <c r="G31" s="67" t="s">
        <v>44</v>
      </c>
      <c r="H31" s="120"/>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11" t="s">
        <v>1509</v>
      </c>
      <c r="C32" s="12" t="s">
        <v>1451</v>
      </c>
      <c r="D32" s="67" t="s">
        <v>1954</v>
      </c>
      <c r="E32" s="11">
        <v>0</v>
      </c>
      <c r="F32" s="11">
        <v>1</v>
      </c>
      <c r="G32" s="67" t="s">
        <v>44</v>
      </c>
      <c r="H32" s="120"/>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8" t="s">
        <v>1517</v>
      </c>
      <c r="C33" s="12" t="s">
        <v>1452</v>
      </c>
      <c r="D33" s="67" t="s">
        <v>1955</v>
      </c>
      <c r="E33" s="11">
        <v>0</v>
      </c>
      <c r="F33" s="11">
        <v>1</v>
      </c>
      <c r="G33" s="67" t="s">
        <v>44</v>
      </c>
      <c r="H33" s="120"/>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11" t="s">
        <v>1510</v>
      </c>
      <c r="C34" s="12" t="s">
        <v>1453</v>
      </c>
      <c r="D34" s="67" t="s">
        <v>1956</v>
      </c>
      <c r="E34" s="11">
        <v>0</v>
      </c>
      <c r="F34" s="11">
        <v>1</v>
      </c>
      <c r="G34" s="67" t="s">
        <v>44</v>
      </c>
      <c r="H34" s="120"/>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11" t="s">
        <v>1502</v>
      </c>
      <c r="C35" s="12" t="s">
        <v>1454</v>
      </c>
      <c r="D35" s="67" t="s">
        <v>1957</v>
      </c>
      <c r="E35" s="11">
        <v>0</v>
      </c>
      <c r="F35" s="11">
        <v>1</v>
      </c>
      <c r="G35" s="67" t="s">
        <v>44</v>
      </c>
      <c r="H35" s="120"/>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8" t="s">
        <v>1940</v>
      </c>
      <c r="C36" s="12" t="s">
        <v>1958</v>
      </c>
      <c r="D36" s="67" t="s">
        <v>1959</v>
      </c>
      <c r="E36" s="11">
        <v>0</v>
      </c>
      <c r="F36" s="11">
        <v>1</v>
      </c>
      <c r="G36" s="67" t="s">
        <v>44</v>
      </c>
      <c r="H36" s="120"/>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8" t="s">
        <v>1941</v>
      </c>
      <c r="C37" s="12" t="s">
        <v>1960</v>
      </c>
      <c r="D37" s="67" t="s">
        <v>1961</v>
      </c>
      <c r="E37" s="11">
        <v>0</v>
      </c>
      <c r="F37" s="11">
        <v>1</v>
      </c>
      <c r="G37" s="67" t="s">
        <v>44</v>
      </c>
      <c r="H37" s="120"/>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11" t="s">
        <v>1518</v>
      </c>
      <c r="C38" s="12" t="s">
        <v>1455</v>
      </c>
      <c r="D38" s="67" t="s">
        <v>1962</v>
      </c>
      <c r="E38" s="11">
        <v>0</v>
      </c>
      <c r="F38" s="11">
        <v>1</v>
      </c>
      <c r="G38" s="67" t="s">
        <v>44</v>
      </c>
      <c r="H38" s="120"/>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8" t="s">
        <v>1527</v>
      </c>
      <c r="C39" s="12" t="s">
        <v>38</v>
      </c>
      <c r="D39" s="12" t="s">
        <v>38</v>
      </c>
      <c r="E39" s="11">
        <v>0</v>
      </c>
      <c r="F39" s="11">
        <v>1</v>
      </c>
      <c r="G39" s="67" t="s">
        <v>1468</v>
      </c>
      <c r="H39" s="120" t="s">
        <v>1986</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1528</v>
      </c>
      <c r="C40" s="12" t="s">
        <v>39</v>
      </c>
      <c r="D40" s="12" t="s">
        <v>39</v>
      </c>
      <c r="E40" s="11">
        <v>0</v>
      </c>
      <c r="F40" s="11">
        <v>1</v>
      </c>
      <c r="G40" s="67" t="s">
        <v>1468</v>
      </c>
      <c r="H40" s="120" t="s">
        <v>1987</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1963</v>
      </c>
      <c r="C41" s="11" t="s">
        <v>1964</v>
      </c>
      <c r="D41" s="12" t="s">
        <v>2086</v>
      </c>
      <c r="E41" s="11">
        <v>1</v>
      </c>
      <c r="F41" s="11">
        <v>1</v>
      </c>
      <c r="G41" s="11" t="s">
        <v>1</v>
      </c>
      <c r="H41" s="120"/>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4" t="s">
        <v>2088</v>
      </c>
      <c r="C42" s="11" t="s">
        <v>1965</v>
      </c>
      <c r="D42" s="11" t="s">
        <v>1965</v>
      </c>
      <c r="E42" s="11">
        <v>1</v>
      </c>
      <c r="F42" s="11">
        <v>1</v>
      </c>
      <c r="G42" s="11" t="s">
        <v>44</v>
      </c>
      <c r="H42" s="120"/>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4" t="s">
        <v>2089</v>
      </c>
      <c r="C43" s="11" t="s">
        <v>1966</v>
      </c>
      <c r="D43" s="11" t="s">
        <v>1966</v>
      </c>
      <c r="E43" s="11">
        <v>1</v>
      </c>
      <c r="F43" s="11">
        <v>1</v>
      </c>
      <c r="G43" s="11" t="s">
        <v>44</v>
      </c>
      <c r="H43" s="120"/>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4" t="s">
        <v>2090</v>
      </c>
      <c r="C44" s="11" t="s">
        <v>1967</v>
      </c>
      <c r="D44" s="11" t="s">
        <v>1967</v>
      </c>
      <c r="E44" s="11">
        <v>1</v>
      </c>
      <c r="F44" s="11">
        <v>1</v>
      </c>
      <c r="G44" s="11" t="s">
        <v>44</v>
      </c>
      <c r="H44" s="120"/>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4" t="s">
        <v>2091</v>
      </c>
      <c r="C45" s="11" t="s">
        <v>1968</v>
      </c>
      <c r="D45" s="11" t="s">
        <v>1968</v>
      </c>
      <c r="E45" s="11">
        <v>1</v>
      </c>
      <c r="F45" s="11">
        <v>1</v>
      </c>
      <c r="G45" s="11" t="s">
        <v>44</v>
      </c>
      <c r="H45" s="120"/>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4" t="s">
        <v>2092</v>
      </c>
      <c r="C46" s="11" t="s">
        <v>1969</v>
      </c>
      <c r="D46" s="11" t="s">
        <v>1969</v>
      </c>
      <c r="E46" s="11">
        <v>1</v>
      </c>
      <c r="F46" s="11">
        <v>1</v>
      </c>
      <c r="G46" s="11" t="s">
        <v>44</v>
      </c>
      <c r="H46" s="120"/>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4" t="s">
        <v>2093</v>
      </c>
      <c r="C47" s="11" t="s">
        <v>1970</v>
      </c>
      <c r="D47" s="11" t="s">
        <v>1983</v>
      </c>
      <c r="E47" s="11">
        <v>1</v>
      </c>
      <c r="F47" s="11">
        <v>1</v>
      </c>
      <c r="G47" s="11" t="s">
        <v>44</v>
      </c>
      <c r="H47" s="120"/>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4" t="s">
        <v>2094</v>
      </c>
      <c r="C48" s="11" t="s">
        <v>1971</v>
      </c>
      <c r="D48" s="11" t="s">
        <v>1971</v>
      </c>
      <c r="E48" s="11">
        <v>1</v>
      </c>
      <c r="F48" s="11">
        <v>1</v>
      </c>
      <c r="G48" s="11" t="s">
        <v>44</v>
      </c>
      <c r="H48" s="120"/>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4" t="s">
        <v>2095</v>
      </c>
      <c r="C49" s="11" t="s">
        <v>1972</v>
      </c>
      <c r="D49" s="11" t="s">
        <v>1972</v>
      </c>
      <c r="E49" s="11">
        <v>1</v>
      </c>
      <c r="F49" s="11">
        <v>1</v>
      </c>
      <c r="G49" s="11" t="s">
        <v>44</v>
      </c>
      <c r="H49" s="120"/>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4" t="s">
        <v>2096</v>
      </c>
      <c r="C50" s="11" t="s">
        <v>1973</v>
      </c>
      <c r="D50" s="11" t="s">
        <v>1973</v>
      </c>
      <c r="E50" s="11">
        <v>1</v>
      </c>
      <c r="F50" s="11">
        <v>1</v>
      </c>
      <c r="G50" s="11" t="s">
        <v>44</v>
      </c>
      <c r="H50" s="120"/>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4" t="s">
        <v>2097</v>
      </c>
      <c r="C51" s="11" t="s">
        <v>1974</v>
      </c>
      <c r="D51" s="11" t="s">
        <v>1974</v>
      </c>
      <c r="E51" s="11">
        <v>1</v>
      </c>
      <c r="F51" s="11">
        <v>1</v>
      </c>
      <c r="G51" s="11" t="s">
        <v>44</v>
      </c>
      <c r="H51" s="120"/>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4" t="s">
        <v>2098</v>
      </c>
      <c r="C52" s="11" t="s">
        <v>1975</v>
      </c>
      <c r="D52" s="11" t="s">
        <v>1975</v>
      </c>
      <c r="E52" s="11">
        <v>1</v>
      </c>
      <c r="F52" s="11">
        <v>1</v>
      </c>
      <c r="G52" s="11" t="s">
        <v>44</v>
      </c>
      <c r="H52" s="120"/>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1976</v>
      </c>
      <c r="C53" s="11" t="s">
        <v>1977</v>
      </c>
      <c r="D53" s="11" t="s">
        <v>2085</v>
      </c>
      <c r="E53" s="11">
        <v>1</v>
      </c>
      <c r="F53" s="11">
        <v>1</v>
      </c>
      <c r="G53" s="11" t="s">
        <v>44</v>
      </c>
      <c r="H53" s="120"/>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1978</v>
      </c>
      <c r="C54" s="11" t="s">
        <v>1979</v>
      </c>
      <c r="D54" s="11" t="s">
        <v>1979</v>
      </c>
      <c r="E54" s="11">
        <v>1</v>
      </c>
      <c r="F54" s="11">
        <v>1</v>
      </c>
      <c r="G54" s="11" t="s">
        <v>1468</v>
      </c>
      <c r="H54" s="120" t="s">
        <v>1988</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1980</v>
      </c>
      <c r="C55" s="11" t="s">
        <v>1981</v>
      </c>
      <c r="D55" s="11" t="s">
        <v>1982</v>
      </c>
      <c r="E55" s="11">
        <v>1</v>
      </c>
      <c r="F55" s="11">
        <v>1</v>
      </c>
      <c r="G55" s="11" t="s">
        <v>1991</v>
      </c>
      <c r="H55" s="120"/>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1" t="str">
        <f>Subject!P1</f>
        <v>// -------------------------------------------------------------------------------</v>
      </c>
    </row>
    <row r="116" spans="3:3" x14ac:dyDescent="0.75">
      <c r="C116" s="121" t="str">
        <f>Subject!P2</f>
        <v>// Obligations H&amp;N</v>
      </c>
    </row>
    <row r="117" spans="3:3" x14ac:dyDescent="0.75">
      <c r="C117" s="121"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1" t="str">
        <f>Subject!R1</f>
        <v>// -------------------------------------------------------------------------------</v>
      </c>
    </row>
    <row r="175" spans="3:3" x14ac:dyDescent="0.75">
      <c r="C175" s="121" t="str">
        <f>Subject!R2</f>
        <v>// Obligations Sarcoma</v>
      </c>
    </row>
    <row r="176" spans="3:3" x14ac:dyDescent="0.75">
      <c r="C176" s="121"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1" t="s">
        <v>1554</v>
      </c>
      <c r="F4" s="152"/>
      <c r="G4" s="152"/>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1554</v>
      </c>
      <c r="F7" s="152"/>
      <c r="G7" s="152"/>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2084</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1536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6"/>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1537</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Subject!B11</f>
        <v>smoking</v>
      </c>
      <c r="C15" s="11" t="str">
        <f>Subject!C11</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1543</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Subject!B15</f>
        <v>alcohol</v>
      </c>
      <c r="C15" s="11" t="str">
        <f>Subject!C15</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1545</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7" t="s">
        <v>1989</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1546</v>
      </c>
      <c r="E36" s="12"/>
      <c r="F36" s="49" t="s">
        <v>1316</v>
      </c>
      <c r="G36" s="77" t="s">
        <v>1989</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1546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1547</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1548</v>
      </c>
      <c r="E15" s="12"/>
      <c r="F15" s="49" t="s">
        <v>1317</v>
      </c>
      <c r="G15" s="77"/>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7"/>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7"/>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7"/>
      <c r="H23" s="43"/>
      <c r="I23" s="12"/>
      <c r="J23" s="12"/>
      <c r="K23" s="12"/>
      <c r="L23" s="12"/>
      <c r="M23" s="12"/>
      <c r="N23" s="2"/>
      <c r="P23" s="11">
        <v>9</v>
      </c>
      <c r="Q23" s="11">
        <f t="shared" si="7"/>
        <v>1</v>
      </c>
      <c r="R23" s="11">
        <f t="shared" si="8"/>
        <v>3</v>
      </c>
      <c r="S23" s="12"/>
    </row>
    <row r="24" spans="1:19" x14ac:dyDescent="0.75">
      <c r="A24" s="44"/>
      <c r="B24" s="68"/>
      <c r="C24" s="68"/>
      <c r="D24" s="87" t="s">
        <v>1475</v>
      </c>
      <c r="E24" s="88" t="str">
        <f>$E$3</f>
        <v>http://hl7.eu/fhir/ig/idea4rc/StructureDefinition/Subject</v>
      </c>
      <c r="F24" s="89"/>
      <c r="G24" s="90"/>
      <c r="H24" s="43"/>
      <c r="I24" s="16" t="s">
        <v>1331</v>
      </c>
      <c r="J24" s="52" t="s">
        <v>1332</v>
      </c>
      <c r="K24" s="16" t="s">
        <v>1329</v>
      </c>
      <c r="L24" s="52" t="s">
        <v>1330</v>
      </c>
      <c r="M24" s="48" t="s">
        <v>1324</v>
      </c>
      <c r="N24" s="51" t="s">
        <v>1384</v>
      </c>
      <c r="P24" s="11"/>
      <c r="Q24" s="11"/>
      <c r="R24" s="11"/>
      <c r="S24" s="12"/>
    </row>
    <row r="25" spans="1:19" ht="44.25" customHeight="1" x14ac:dyDescent="0.75">
      <c r="A25" s="44"/>
      <c r="B25" s="68"/>
      <c r="C25" s="68"/>
      <c r="D25" s="87" t="s">
        <v>1476</v>
      </c>
      <c r="E25" s="88" t="s">
        <v>1549</v>
      </c>
      <c r="F25" s="89"/>
      <c r="G25" s="90"/>
      <c r="H25" s="43"/>
      <c r="I25" s="90"/>
      <c r="J25" s="90"/>
      <c r="K25" s="90"/>
      <c r="L25" s="90"/>
      <c r="M25" s="90"/>
      <c r="N25" s="90"/>
      <c r="P25" s="11"/>
      <c r="Q25" s="11"/>
      <c r="R25" s="11"/>
      <c r="S25" s="12"/>
    </row>
    <row r="26" spans="1:19" ht="44.25" customHeight="1" x14ac:dyDescent="0.75">
      <c r="A26" s="44"/>
      <c r="B26" s="68"/>
      <c r="C26" s="68"/>
      <c r="D26" s="87"/>
      <c r="E26" s="88"/>
      <c r="F26" s="89"/>
      <c r="G26" s="90"/>
      <c r="H26" s="43"/>
      <c r="I26" s="90"/>
      <c r="J26" s="90"/>
      <c r="K26" s="90"/>
      <c r="L26" s="90"/>
      <c r="M26" s="90"/>
      <c r="N26" s="90"/>
      <c r="P26" s="68"/>
      <c r="Q26" s="68"/>
      <c r="R26" s="68"/>
      <c r="S26" s="69"/>
    </row>
    <row r="27" spans="1:19" ht="88.5" customHeight="1" x14ac:dyDescent="0.75">
      <c r="A27" s="44"/>
      <c r="B27" s="11" t="str">
        <f>Subject!B39</f>
        <v>ecogPsAtDiagnosis</v>
      </c>
      <c r="C27" s="12" t="str">
        <f>Subject!C39</f>
        <v>Eastern Cooperative Oncology Group performance status (ECOG PS)  at diagnosis</v>
      </c>
      <c r="D27" s="12" t="s">
        <v>1630</v>
      </c>
      <c r="E27" s="12"/>
      <c r="F27" s="49" t="s">
        <v>1317</v>
      </c>
      <c r="G27" s="135" t="s">
        <v>2286</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7"/>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7"/>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7"/>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7"/>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7"/>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7"/>
      <c r="H33" s="43"/>
      <c r="I33" s="12"/>
      <c r="J33" s="12"/>
      <c r="K33" s="12"/>
      <c r="L33" s="12"/>
      <c r="M33" s="12"/>
      <c r="N33" s="12"/>
      <c r="P33" s="11">
        <v>7</v>
      </c>
      <c r="Q33" s="11">
        <f t="shared" si="12"/>
        <v>1</v>
      </c>
      <c r="R33" s="11">
        <f t="shared" si="13"/>
        <v>1</v>
      </c>
      <c r="S33" s="12"/>
    </row>
    <row r="34" spans="1:19" x14ac:dyDescent="0.75">
      <c r="B34" s="11"/>
      <c r="C34" s="11"/>
      <c r="D34" s="12"/>
      <c r="E34" s="12"/>
      <c r="F34" s="49"/>
      <c r="G34" s="77"/>
      <c r="H34" s="43"/>
      <c r="I34" s="12"/>
      <c r="J34" s="12"/>
      <c r="K34" s="12"/>
      <c r="L34" s="12"/>
      <c r="M34" s="12"/>
      <c r="N34" s="12"/>
      <c r="P34" s="11">
        <v>8</v>
      </c>
      <c r="Q34" s="11">
        <f t="shared" si="12"/>
        <v>1</v>
      </c>
      <c r="R34" s="11">
        <f t="shared" si="13"/>
        <v>2</v>
      </c>
      <c r="S34" s="12"/>
    </row>
    <row r="35" spans="1:19" x14ac:dyDescent="0.75">
      <c r="B35" s="11"/>
      <c r="C35" s="11"/>
      <c r="D35" s="12"/>
      <c r="E35" s="12"/>
      <c r="F35" s="49"/>
      <c r="G35" s="77"/>
      <c r="H35" s="43"/>
      <c r="I35" s="12"/>
      <c r="J35" s="12"/>
      <c r="K35" s="12"/>
      <c r="L35" s="12"/>
      <c r="M35" s="12"/>
      <c r="N35" s="12"/>
      <c r="P35" s="11">
        <v>9</v>
      </c>
      <c r="Q35" s="11">
        <f t="shared" si="12"/>
        <v>1</v>
      </c>
      <c r="R35" s="11">
        <f t="shared" si="13"/>
        <v>3</v>
      </c>
      <c r="S35" s="12"/>
    </row>
    <row r="36" spans="1:19" x14ac:dyDescent="0.75">
      <c r="B36" s="11"/>
      <c r="C36" s="11"/>
      <c r="D36" s="12"/>
      <c r="E36" s="12"/>
      <c r="F36" s="49"/>
      <c r="G36" s="77"/>
      <c r="H36" s="43"/>
      <c r="I36" s="12"/>
      <c r="J36" s="12"/>
      <c r="K36" s="12"/>
      <c r="L36" s="12"/>
      <c r="M36" s="12"/>
      <c r="N36" s="12"/>
      <c r="P36" s="11">
        <v>10</v>
      </c>
      <c r="Q36" s="11">
        <f t="shared" si="12"/>
        <v>1</v>
      </c>
      <c r="R36" s="11">
        <f t="shared" si="13"/>
        <v>4</v>
      </c>
      <c r="S36" s="12"/>
    </row>
    <row r="37" spans="1:19" x14ac:dyDescent="0.75">
      <c r="B37" s="11"/>
      <c r="C37" s="11"/>
      <c r="D37" s="12"/>
      <c r="E37" s="12"/>
      <c r="F37" s="49"/>
      <c r="G37" s="77"/>
      <c r="H37" s="43"/>
      <c r="I37" s="12"/>
      <c r="J37" s="12"/>
      <c r="K37" s="12"/>
      <c r="L37" s="12"/>
      <c r="M37" s="12"/>
      <c r="N37" s="12"/>
      <c r="P37" s="11">
        <v>11</v>
      </c>
      <c r="Q37" s="11">
        <f t="shared" si="12"/>
        <v>1</v>
      </c>
      <c r="R37" s="11">
        <f t="shared" si="13"/>
        <v>5</v>
      </c>
      <c r="S37" s="12"/>
    </row>
    <row r="38" spans="1:19" x14ac:dyDescent="0.75">
      <c r="B38" s="11"/>
      <c r="C38" s="11"/>
      <c r="D38" s="12"/>
      <c r="E38" s="12"/>
      <c r="F38" s="49"/>
      <c r="G38" s="77"/>
      <c r="H38" s="43"/>
      <c r="I38" s="12"/>
      <c r="J38" s="12"/>
      <c r="K38" s="12"/>
      <c r="L38" s="12"/>
      <c r="M38" s="12"/>
      <c r="N38" s="12"/>
      <c r="P38" s="11">
        <v>12</v>
      </c>
      <c r="Q38" s="11">
        <f t="shared" si="12"/>
        <v>1</v>
      </c>
      <c r="R38" s="11">
        <f t="shared" si="13"/>
        <v>6</v>
      </c>
      <c r="S38" s="12"/>
    </row>
    <row r="39" spans="1:19" x14ac:dyDescent="0.75">
      <c r="B39" s="11"/>
      <c r="C39" s="11"/>
      <c r="D39" s="12"/>
      <c r="E39" s="12"/>
      <c r="F39" s="49"/>
      <c r="G39" s="77"/>
      <c r="H39" s="43"/>
      <c r="I39" s="12"/>
      <c r="J39" s="12"/>
      <c r="K39" s="12"/>
      <c r="L39" s="12"/>
      <c r="M39" s="12"/>
      <c r="N39" s="12"/>
      <c r="P39" s="11">
        <v>13</v>
      </c>
      <c r="Q39" s="11">
        <f t="shared" si="12"/>
        <v>2</v>
      </c>
      <c r="R39" s="11">
        <f t="shared" si="13"/>
        <v>1</v>
      </c>
      <c r="S39" s="12"/>
    </row>
    <row r="40" spans="1:19" x14ac:dyDescent="0.75">
      <c r="B40" s="11"/>
      <c r="C40" s="11"/>
      <c r="D40" s="12"/>
      <c r="E40" s="12"/>
      <c r="F40" s="49"/>
      <c r="G40" s="77"/>
      <c r="H40" s="43"/>
      <c r="I40" s="12"/>
      <c r="J40" s="12"/>
      <c r="K40" s="12"/>
      <c r="L40" s="12"/>
      <c r="M40" s="12"/>
      <c r="N40" s="12"/>
      <c r="P40" s="11">
        <v>14</v>
      </c>
      <c r="Q40" s="11">
        <f t="shared" si="12"/>
        <v>2</v>
      </c>
      <c r="R40" s="11">
        <f t="shared" si="13"/>
        <v>2</v>
      </c>
      <c r="S40" s="12"/>
    </row>
    <row r="41" spans="1:19" x14ac:dyDescent="0.75">
      <c r="B41" s="11"/>
      <c r="C41" s="11"/>
      <c r="D41" s="12"/>
      <c r="E41" s="12"/>
      <c r="F41" s="49"/>
      <c r="G41" s="77"/>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8"/>
      <c r="C45" s="68"/>
      <c r="D45" s="87" t="s">
        <v>1475</v>
      </c>
      <c r="E45" s="88" t="str">
        <f>$E$3</f>
        <v>http://hl7.eu/fhir/ig/idea4rc/StructureDefinition/Subject</v>
      </c>
      <c r="F45" s="89"/>
      <c r="G45" s="90"/>
      <c r="H45" s="43"/>
      <c r="I45" s="16" t="s">
        <v>1331</v>
      </c>
      <c r="J45" s="52" t="s">
        <v>1332</v>
      </c>
      <c r="K45" s="16" t="s">
        <v>1329</v>
      </c>
      <c r="L45" s="52" t="s">
        <v>1330</v>
      </c>
      <c r="M45" s="48" t="s">
        <v>1324</v>
      </c>
      <c r="N45" s="51" t="s">
        <v>1384</v>
      </c>
      <c r="P45" s="11"/>
      <c r="Q45" s="11"/>
      <c r="R45" s="11"/>
      <c r="S45" s="12"/>
    </row>
    <row r="46" spans="1:19" ht="44.25" customHeight="1" x14ac:dyDescent="0.75">
      <c r="A46" s="44"/>
      <c r="B46" s="68"/>
      <c r="C46" s="68"/>
      <c r="D46" s="87" t="s">
        <v>1476</v>
      </c>
      <c r="E46" s="88" t="s">
        <v>1992</v>
      </c>
      <c r="F46" s="89"/>
      <c r="G46" s="90"/>
      <c r="H46" s="43"/>
      <c r="I46" s="90"/>
      <c r="J46" s="90"/>
      <c r="K46" s="90"/>
      <c r="L46" s="90"/>
      <c r="M46" s="90"/>
      <c r="N46" s="90"/>
      <c r="P46" s="11"/>
      <c r="Q46" s="11"/>
      <c r="R46" s="11"/>
      <c r="S46" s="12"/>
    </row>
    <row r="47" spans="1:19" ht="44.25" customHeight="1" x14ac:dyDescent="0.75">
      <c r="A47" s="44"/>
      <c r="B47" s="68"/>
      <c r="C47" s="68"/>
      <c r="D47" s="87"/>
      <c r="E47" s="88"/>
      <c r="F47" s="89"/>
      <c r="G47" s="90"/>
      <c r="H47" s="43"/>
      <c r="I47" s="90"/>
      <c r="J47" s="90"/>
      <c r="K47" s="90"/>
      <c r="L47" s="90"/>
      <c r="M47" s="90"/>
      <c r="N47" s="90"/>
      <c r="P47" s="68"/>
      <c r="Q47" s="68"/>
      <c r="R47" s="68"/>
      <c r="S47" s="69"/>
    </row>
    <row r="48" spans="1:19" s="2" customFormat="1" ht="44.25" x14ac:dyDescent="0.75">
      <c r="A48"/>
      <c r="B48" s="11" t="str">
        <f>Subject!B17</f>
        <v>charlsonComorbidityIndex</v>
      </c>
      <c r="C48" s="11" t="str">
        <f>Subject!C17</f>
        <v>Charlson Comorbidity index</v>
      </c>
      <c r="D48" s="12" t="s">
        <v>1548</v>
      </c>
      <c r="E48" s="12"/>
      <c r="F48" s="49" t="s">
        <v>1317</v>
      </c>
      <c r="G48" s="135" t="s">
        <v>2285</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8"/>
      <c r="C62" s="68"/>
      <c r="D62" s="87" t="s">
        <v>1475</v>
      </c>
      <c r="E62" s="88" t="str">
        <f>$E$3</f>
        <v>http://hl7.eu/fhir/ig/idea4rc/StructureDefinition/Subject</v>
      </c>
      <c r="F62" s="89"/>
      <c r="G62" s="90"/>
      <c r="H62" s="43"/>
      <c r="I62" s="16" t="s">
        <v>1331</v>
      </c>
      <c r="J62" s="52" t="s">
        <v>1332</v>
      </c>
      <c r="K62" s="16" t="s">
        <v>1329</v>
      </c>
      <c r="L62" s="52" t="s">
        <v>1330</v>
      </c>
      <c r="M62" s="48" t="s">
        <v>1324</v>
      </c>
      <c r="N62" s="51" t="s">
        <v>1384</v>
      </c>
      <c r="P62" s="11"/>
      <c r="Q62" s="11"/>
      <c r="R62" s="11"/>
      <c r="S62" s="12"/>
    </row>
    <row r="63" spans="1:19" ht="44.25" customHeight="1" x14ac:dyDescent="0.75">
      <c r="A63" s="44"/>
      <c r="B63" s="68"/>
      <c r="C63" s="68"/>
      <c r="D63" s="87" t="s">
        <v>1476</v>
      </c>
      <c r="E63" s="88" t="s">
        <v>1993</v>
      </c>
      <c r="F63" s="89"/>
      <c r="G63" s="90"/>
      <c r="H63" s="43"/>
      <c r="I63" s="90"/>
      <c r="J63" s="90"/>
      <c r="K63" s="90"/>
      <c r="L63" s="90"/>
      <c r="M63" s="90"/>
      <c r="N63" s="90"/>
      <c r="P63" s="11"/>
      <c r="Q63" s="11"/>
      <c r="R63" s="11"/>
      <c r="S63" s="12"/>
    </row>
    <row r="64" spans="1:19" ht="44.25" customHeight="1" x14ac:dyDescent="0.75">
      <c r="A64" s="44"/>
      <c r="B64" s="68"/>
      <c r="C64" s="68"/>
      <c r="D64" s="87"/>
      <c r="E64" s="88"/>
      <c r="F64" s="89"/>
      <c r="G64" s="90"/>
      <c r="H64" s="43"/>
      <c r="I64" s="90"/>
      <c r="J64" s="90"/>
      <c r="K64" s="90"/>
      <c r="L64" s="90"/>
      <c r="M64" s="90"/>
      <c r="N64" s="12"/>
      <c r="P64" s="68"/>
      <c r="Q64" s="68"/>
      <c r="R64" s="68"/>
      <c r="S64" s="69"/>
    </row>
    <row r="65" spans="1:19" s="2" customFormat="1" ht="73.75" x14ac:dyDescent="0.75">
      <c r="A65"/>
      <c r="B65" s="11" t="str">
        <f>Subject!B16</f>
        <v>bMI</v>
      </c>
      <c r="C65" s="11" t="str">
        <f>Subject!C16</f>
        <v xml:space="preserve">Height/weight (BMI)
</v>
      </c>
      <c r="D65" s="12" t="s">
        <v>1630</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8"/>
      <c r="C74" s="68"/>
      <c r="D74" s="87" t="s">
        <v>1475</v>
      </c>
      <c r="E74" s="88" t="str">
        <f>$E$3</f>
        <v>http://hl7.eu/fhir/ig/idea4rc/StructureDefinition/Subject</v>
      </c>
      <c r="F74" s="89"/>
      <c r="G74" s="90"/>
      <c r="H74" s="43"/>
      <c r="I74" s="16" t="s">
        <v>1331</v>
      </c>
      <c r="J74" s="52" t="s">
        <v>1332</v>
      </c>
      <c r="K74" s="16" t="s">
        <v>1329</v>
      </c>
      <c r="L74" s="52" t="s">
        <v>1330</v>
      </c>
      <c r="M74" s="48" t="s">
        <v>1324</v>
      </c>
      <c r="N74" s="51" t="s">
        <v>1384</v>
      </c>
      <c r="P74" s="11"/>
      <c r="Q74" s="11"/>
      <c r="R74" s="11"/>
      <c r="S74" s="12"/>
    </row>
    <row r="75" spans="1:19" ht="44.25" customHeight="1" x14ac:dyDescent="0.75">
      <c r="A75" s="44"/>
      <c r="B75" s="68"/>
      <c r="C75" s="68"/>
      <c r="D75" s="87" t="s">
        <v>1476</v>
      </c>
      <c r="E75" s="88" t="s">
        <v>2278</v>
      </c>
      <c r="F75" s="89"/>
      <c r="G75" s="90"/>
      <c r="H75" s="43"/>
      <c r="I75" s="90"/>
      <c r="J75" s="90"/>
      <c r="K75" s="90"/>
      <c r="L75" s="90"/>
      <c r="M75" s="90"/>
      <c r="N75" s="90"/>
      <c r="P75" s="11"/>
      <c r="Q75" s="11"/>
      <c r="R75" s="11"/>
      <c r="S75" s="12"/>
    </row>
    <row r="76" spans="1:19" ht="44.25" customHeight="1" x14ac:dyDescent="0.75">
      <c r="A76" s="44"/>
      <c r="B76" s="68"/>
      <c r="C76" s="68"/>
      <c r="D76" s="87"/>
      <c r="E76" s="88"/>
      <c r="F76" s="89"/>
      <c r="G76" s="90"/>
      <c r="H76" s="43"/>
      <c r="I76" s="90"/>
      <c r="J76" s="90"/>
      <c r="K76" s="90"/>
      <c r="L76" s="90"/>
      <c r="M76" s="90"/>
      <c r="N76" s="12"/>
      <c r="P76" s="68"/>
      <c r="Q76" s="68"/>
      <c r="R76" s="68"/>
      <c r="S76" s="69"/>
    </row>
    <row r="77" spans="1:19" s="2" customFormat="1" ht="88.5" x14ac:dyDescent="0.75">
      <c r="A77"/>
      <c r="B77" s="11" t="str">
        <f>Subject!B53</f>
        <v>occurrenceOfOtherCancer</v>
      </c>
      <c r="C77" s="11" t="str">
        <f>Subject!C53</f>
        <v>Occurrence of other cancer</v>
      </c>
      <c r="D77" s="12" t="s">
        <v>1630</v>
      </c>
      <c r="E77" s="12"/>
      <c r="F77" s="49" t="s">
        <v>1317</v>
      </c>
      <c r="G77" s="135" t="s">
        <v>2279</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6"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8"/>
      <c r="C86" s="68"/>
      <c r="D86" s="87" t="s">
        <v>1475</v>
      </c>
      <c r="E86" s="88" t="str">
        <f>$E$3</f>
        <v>http://hl7.eu/fhir/ig/idea4rc/StructureDefinition/Subject</v>
      </c>
      <c r="F86" s="89"/>
      <c r="G86" s="90"/>
      <c r="H86" s="43"/>
      <c r="I86" s="16" t="s">
        <v>1331</v>
      </c>
      <c r="J86" s="52" t="s">
        <v>1332</v>
      </c>
      <c r="K86" s="16" t="s">
        <v>1329</v>
      </c>
      <c r="L86" s="52" t="s">
        <v>1330</v>
      </c>
      <c r="M86" s="48" t="s">
        <v>1324</v>
      </c>
      <c r="N86" s="51" t="s">
        <v>1384</v>
      </c>
      <c r="P86" s="11"/>
      <c r="Q86" s="11"/>
      <c r="R86" s="11"/>
      <c r="S86" s="12"/>
    </row>
    <row r="87" spans="1:19" ht="44.25" customHeight="1" x14ac:dyDescent="0.75">
      <c r="A87" s="44"/>
      <c r="B87" s="68"/>
      <c r="C87" s="68"/>
      <c r="D87" s="87" t="s">
        <v>1476</v>
      </c>
      <c r="E87" s="88" t="s">
        <v>2280</v>
      </c>
      <c r="F87" s="89"/>
      <c r="G87" s="90"/>
      <c r="H87" s="43"/>
      <c r="I87" s="90"/>
      <c r="J87" s="90"/>
      <c r="K87" s="90"/>
      <c r="L87" s="90"/>
      <c r="M87" s="90"/>
      <c r="N87" s="90"/>
      <c r="P87" s="11"/>
      <c r="Q87" s="11"/>
      <c r="R87" s="11"/>
      <c r="S87" s="12"/>
    </row>
    <row r="88" spans="1:19" ht="44.25" customHeight="1" x14ac:dyDescent="0.75">
      <c r="A88" s="44"/>
      <c r="B88" s="68"/>
      <c r="C88" s="68"/>
      <c r="D88" s="87"/>
      <c r="E88" s="88"/>
      <c r="F88" s="89"/>
      <c r="G88" s="90"/>
      <c r="H88" s="43"/>
      <c r="I88" s="90"/>
      <c r="J88" s="90"/>
      <c r="K88" s="90"/>
      <c r="L88" s="90"/>
      <c r="M88" s="90"/>
      <c r="N88" s="12"/>
      <c r="P88" s="68"/>
      <c r="Q88" s="68"/>
      <c r="R88" s="68"/>
      <c r="S88" s="69"/>
    </row>
    <row r="89" spans="1:19" s="2" customFormat="1" ht="88.5" x14ac:dyDescent="0.75">
      <c r="A89"/>
      <c r="B89" s="11" t="str">
        <f>Subject!B54</f>
        <v>previousCancerTreatment</v>
      </c>
      <c r="C89" s="11" t="str">
        <f>Subject!C54</f>
        <v>Previous cancer treatment</v>
      </c>
      <c r="D89" s="12" t="s">
        <v>1630</v>
      </c>
      <c r="E89" s="12"/>
      <c r="F89" s="49" t="s">
        <v>1317</v>
      </c>
      <c r="G89" s="135" t="s">
        <v>2281</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6"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8"/>
      <c r="C99" s="68"/>
      <c r="D99" s="87" t="s">
        <v>1475</v>
      </c>
      <c r="E99" s="88" t="str">
        <f>$E$3</f>
        <v>http://hl7.eu/fhir/ig/idea4rc/StructureDefinition/Subject</v>
      </c>
      <c r="F99" s="89"/>
      <c r="G99" s="90"/>
      <c r="H99" s="43"/>
      <c r="I99" s="16" t="s">
        <v>1331</v>
      </c>
      <c r="J99" s="52" t="s">
        <v>1332</v>
      </c>
      <c r="K99" s="16" t="s">
        <v>1329</v>
      </c>
      <c r="L99" s="52" t="s">
        <v>1330</v>
      </c>
      <c r="M99" s="48" t="s">
        <v>1324</v>
      </c>
      <c r="N99" s="51" t="s">
        <v>1384</v>
      </c>
      <c r="P99" s="11"/>
      <c r="Q99" s="11"/>
      <c r="R99" s="11"/>
      <c r="S99" s="12"/>
    </row>
    <row r="100" spans="1:19" ht="44.25" customHeight="1" x14ac:dyDescent="0.75">
      <c r="A100" s="44"/>
      <c r="B100" s="68"/>
      <c r="C100" s="68"/>
      <c r="D100" s="87" t="s">
        <v>1476</v>
      </c>
      <c r="E100" s="88" t="s">
        <v>2284</v>
      </c>
      <c r="F100" s="89"/>
      <c r="G100" s="90"/>
      <c r="H100" s="43"/>
      <c r="I100" s="90"/>
      <c r="J100" s="90"/>
      <c r="K100" s="90"/>
      <c r="L100" s="90"/>
      <c r="M100" s="90"/>
      <c r="N100" s="90"/>
      <c r="P100" s="11"/>
      <c r="Q100" s="11"/>
      <c r="R100" s="11"/>
      <c r="S100" s="12"/>
    </row>
    <row r="101" spans="1:19" ht="44.25" customHeight="1" x14ac:dyDescent="0.75">
      <c r="A101" s="44"/>
      <c r="B101" s="68"/>
      <c r="C101" s="68"/>
      <c r="D101" s="87"/>
      <c r="E101" s="88"/>
      <c r="F101" s="89"/>
      <c r="G101" s="90"/>
      <c r="H101" s="43"/>
      <c r="I101" s="90"/>
      <c r="J101" s="90"/>
      <c r="K101" s="90"/>
      <c r="L101" s="90"/>
      <c r="M101" s="90"/>
      <c r="N101" s="12"/>
      <c r="P101" s="68"/>
      <c r="Q101" s="68"/>
      <c r="R101" s="68"/>
      <c r="S101" s="69"/>
    </row>
    <row r="102" spans="1:19" s="2" customFormat="1" ht="73.75" x14ac:dyDescent="0.75">
      <c r="A102"/>
      <c r="B102" s="11" t="str">
        <f>Subject!B55</f>
        <v>lastContact</v>
      </c>
      <c r="C102" s="11" t="str">
        <f>Subject!C55</f>
        <v>Last Contact</v>
      </c>
      <c r="D102" s="12" t="s">
        <v>2283</v>
      </c>
      <c r="E102" s="12"/>
      <c r="F102" s="49" t="s">
        <v>1317</v>
      </c>
      <c r="G102" s="135" t="s">
        <v>2282</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6"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4" t="str">
        <f>"Instance: "&amp;'Subject-ConceptMap-1'!C4</f>
        <v>Instance: subject2FHIR</v>
      </c>
    </row>
    <row r="5" spans="2:7" x14ac:dyDescent="0.75">
      <c r="B5" s="104" t="s">
        <v>1334</v>
      </c>
    </row>
    <row r="6" spans="2:7" x14ac:dyDescent="0.75">
      <c r="B6" s="104" t="s">
        <v>1325</v>
      </c>
    </row>
    <row r="7" spans="2:7" x14ac:dyDescent="0.75">
      <c r="B7" s="104" t="s">
        <v>1480</v>
      </c>
    </row>
    <row r="8" spans="2:7" x14ac:dyDescent="0.75">
      <c r="B8" s="104" t="str">
        <f>"* name = ##34#"&amp;'Subject-ConceptMap-1'!C3&amp;"##34#"</f>
        <v>* name = ##34#Subject2FHIR##34#</v>
      </c>
    </row>
    <row r="9" spans="2:7" x14ac:dyDescent="0.75">
      <c r="B9" s="104" t="str">
        <f>"* title = ##34#"&amp;'Subject-ConceptMap-1'!C5&amp;"##34#"</f>
        <v>* title = ##34#Subject Model to this guide Map##34#</v>
      </c>
    </row>
    <row r="10" spans="2:7" x14ac:dyDescent="0.75">
      <c r="B10" s="104" t="s">
        <v>1326</v>
      </c>
    </row>
    <row r="11" spans="2:7" x14ac:dyDescent="0.75">
      <c r="B11" s="104" t="s">
        <v>1327</v>
      </c>
    </row>
    <row r="12" spans="2:7" x14ac:dyDescent="0.75">
      <c r="B12" s="104" t="str">
        <f>"* description = ##34#"&amp;'Subject-ConceptMap-1'!C8&amp;"##34#"</f>
        <v>* description = ##34#Subject Model to this guide Map##34#</v>
      </c>
    </row>
    <row r="13" spans="2:7" x14ac:dyDescent="0.75">
      <c r="B13" s="104" t="str">
        <f>"* purpose = ##34#"&amp;'Subject-ConceptMap-1'!C9&amp;"##34#"</f>
        <v>* purpose = ##34#It shows how the Subject model is mapped into this guide##34#</v>
      </c>
    </row>
    <row r="14" spans="2:7" x14ac:dyDescent="0.75">
      <c r="B14" s="105" t="str">
        <f>"* sourceUri = ##34#"&amp;'Subject-ConceptMap-1'!E3&amp;"##34#"</f>
        <v>* sourceUri = ##34#http://hl7.eu/fhir/ig/idea4rc/StructureDefinition/Subject##34#</v>
      </c>
    </row>
    <row r="15" spans="2:7" x14ac:dyDescent="0.75">
      <c r="B15" s="105" t="str">
        <f>"* targetUri = ##34#"&amp;'Subject-ConceptMap-1'!E4&amp;"##34#"</f>
        <v>* targetUri = ##34#http://hl7.eu/fhir/ig/idea4rc/StructureDefinition/patient-eu-i4rc##34#</v>
      </c>
    </row>
    <row r="16" spans="2:7" x14ac:dyDescent="0.75">
      <c r="B16" s="106" t="str">
        <f>"* group[+].source = ##34#"&amp;'Subject-ConceptMap-1'!E6&amp;"##34#"</f>
        <v>* group[+].source = ##34#http://hl7.eu/fhir/ig/idea4rc/StructureDefinition/Subject##34#</v>
      </c>
    </row>
    <row r="17" spans="2:7" x14ac:dyDescent="0.75">
      <c r="B17" s="106" t="str">
        <f>"* group[=].target = ##34#"&amp;'Subject-ConceptMap-1'!E7&amp;"##34#"</f>
        <v>* group[=].target = ##34#http://hl7.eu/fhir/ig/idea4rc/StructureDefinition/patient-eu-i4rc##34#</v>
      </c>
    </row>
    <row r="18" spans="2:7" x14ac:dyDescent="0.75">
      <c r="B18" s="107"/>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08"/>
    </row>
    <row r="125" spans="2:2" x14ac:dyDescent="0.75">
      <c r="B125" s="106" t="str">
        <f>"* group[+].source = ##34#"&amp;'Subject-ConceptMap-2'!E6&amp;"##34#"</f>
        <v>* group[+].source = ##34#http://hl7.eu/fhir/ig/idea4rc/StructureDefinition/Subject##34#</v>
      </c>
    </row>
    <row r="126" spans="2:2" x14ac:dyDescent="0.75">
      <c r="B126" s="109" t="str">
        <f>"* group[=].target = ##34#"&amp;'Subject-ConceptMap-2'!E7&amp;"##34#"</f>
        <v>* group[=].target = ##34#http://hl7.eu/fhir/ig/idea4rc/StructureDefinition/observation-tobaccouse-eu-i4rc##34#</v>
      </c>
    </row>
    <row r="127" spans="2:2" x14ac:dyDescent="0.75">
      <c r="B127" s="110"/>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08"/>
    </row>
    <row r="157" spans="2:3" x14ac:dyDescent="0.75">
      <c r="B157" s="106" t="str">
        <f>"* group[+].source = ##34#"&amp;'Subject-ConceptMap-3'!E6&amp;"##34#"</f>
        <v>* group[+].source = ##34#http://hl7.eu/fhir/ig/idea4rc/StructureDefinition/Subject##34#</v>
      </c>
    </row>
    <row r="158" spans="2:3" x14ac:dyDescent="0.75">
      <c r="B158" s="109" t="str">
        <f>"* group[=].target = ##34#"&amp;'Subject-ConceptMap-3'!E7&amp;"##34#"</f>
        <v>* group[=].target = ##34#http://hl7.eu/fhir/ig/idea4rc/StructureDefinition/observation-alcoholuse-eu-i4rc##34#</v>
      </c>
    </row>
    <row r="159" spans="2:3" x14ac:dyDescent="0.75">
      <c r="B159" s="111"/>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08"/>
    </row>
    <row r="171" spans="2:3" x14ac:dyDescent="0.75">
      <c r="B171" s="109" t="str">
        <f>"* group[+].source = ##34#"&amp;'Subject-ConceptMap-4'!E6&amp;"##34#"</f>
        <v>* group[+].source = ##34#http://hl7.eu/fhir/ig/idea4rc/StructureDefinition/Subject##34#</v>
      </c>
    </row>
    <row r="172" spans="2:3" x14ac:dyDescent="0.75">
      <c r="B172" s="109" t="str">
        <f>"* group[=].target = ##34#"&amp;'Subject-ConceptMap-4'!E7&amp;"##34#"</f>
        <v>* group[=].target = ##34#http://hl7.eu/fhir/ig/idea4rc/StructureDefinition/observation-comorbidity-eu-i4rc##34#</v>
      </c>
    </row>
    <row r="173" spans="2:3" x14ac:dyDescent="0.75">
      <c r="B173" s="110"/>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0"/>
    </row>
    <row r="377" spans="2:2" s="7" customFormat="1" x14ac:dyDescent="0.75">
      <c r="B377" s="112" t="str">
        <f>"* group[+].source = ##34#"&amp;'Subject-ConceptMap-5-x'!E6&amp;"##34#"</f>
        <v>* group[+].source = ##34#http://hl7.eu/fhir/ig/idea4rc/StructureDefinition/Subject##34#</v>
      </c>
    </row>
    <row r="378" spans="2:2" s="7" customFormat="1" x14ac:dyDescent="0.75">
      <c r="B378" s="112" t="str">
        <f>"* group[=].target = ##34#"&amp;'Subject-ConceptMap-5-x'!E7&amp;"##34#"</f>
        <v>* group[=].target = ##34#http://hl7.eu/fhir/ig/idea4rc/StructureDefinition/observation-karnofsky-performance-statuseu-i4rc##34#</v>
      </c>
    </row>
    <row r="379" spans="2:2" s="7" customFormat="1" x14ac:dyDescent="0.75">
      <c r="B379" s="110"/>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08"/>
    </row>
    <row r="391" spans="2:2" x14ac:dyDescent="0.75">
      <c r="B391" s="109" t="str">
        <f>"* group[+].source = ##34#"&amp;'Subject-ConceptMap-5-x'!E24&amp;"##34#"</f>
        <v>* group[+].source = ##34#http://hl7.eu/fhir/ig/idea4rc/StructureDefinition/Subject##34#</v>
      </c>
    </row>
    <row r="392" spans="2:2" x14ac:dyDescent="0.75">
      <c r="B392" s="109" t="str">
        <f>"* group[=].target = ##34#"&amp;'Subject-ConceptMap-5-x'!E25&amp;"##34#"</f>
        <v>* group[=].target = ##34#http://hl7.eu/fhir/ig/idea4rc/StructureDefinition/observation-ecog-performance-status-eu-i4rc##34#</v>
      </c>
    </row>
    <row r="393" spans="2:2" x14ac:dyDescent="0.75">
      <c r="B393" s="110"/>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08"/>
    </row>
    <row r="404" spans="2:2" x14ac:dyDescent="0.75">
      <c r="B404" s="109" t="str">
        <f>"* group[+].source = ##34#"&amp;'Subject-ConceptMap-5-x'!E45&amp;"##34#"</f>
        <v>* group[+].source = ##34#http://hl7.eu/fhir/ig/idea4rc/StructureDefinition/Subject##34#</v>
      </c>
    </row>
    <row r="405" spans="2:2" x14ac:dyDescent="0.75">
      <c r="B405" s="109" t="str">
        <f>"* group[=].target = ##34#"&amp;'Subject-ConceptMap-5-x'!E46&amp;"##34#"</f>
        <v>* group[=].target = ##34#http://hl7.eu/fhir/ig/idea4rc/StructureDefinition/observation-cci-eu-i4rc##34#</v>
      </c>
    </row>
    <row r="406" spans="2:2" x14ac:dyDescent="0.75">
      <c r="B406" s="110"/>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09" t="str">
        <f>B404</f>
        <v>* group[+].source = ##34#http://hl7.eu/fhir/ig/idea4rc/StructureDefinition/Subject##34#</v>
      </c>
    </row>
    <row r="416" spans="2:2" x14ac:dyDescent="0.75">
      <c r="B416" s="109" t="str">
        <f>"* group[=].target = ##34#"&amp;'Subject-ConceptMap-5-x'!E63&amp;"##34#"</f>
        <v>* group[=].target = ##34#http://hl7.org/fhir/StructureDefinition/bmi##34#</v>
      </c>
    </row>
    <row r="417" spans="2:2" x14ac:dyDescent="0.75">
      <c r="B417" s="110"/>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09" t="str">
        <f>B415</f>
        <v>* group[+].source = ##34#http://hl7.eu/fhir/ig/idea4rc/StructureDefinition/Subject##34#</v>
      </c>
    </row>
    <row r="427" spans="2:2" x14ac:dyDescent="0.75">
      <c r="B427" s="109" t="str">
        <f>"* group[=].target = ##34#"&amp;'Subject-ConceptMap-5-x'!E75&amp;"##34#"</f>
        <v>* group[=].target = ##34#http://hl7.eu/fhir/ig/idea4rc/StructureDefinition/observation-yesNo-eu-i4rc##34#</v>
      </c>
    </row>
    <row r="428" spans="2:2" x14ac:dyDescent="0.75">
      <c r="B428" s="110"/>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09" t="str">
        <f>B426</f>
        <v>* group[+].source = ##34#http://hl7.eu/fhir/ig/idea4rc/StructureDefinition/Subject##34#</v>
      </c>
    </row>
    <row r="438" spans="2:2" x14ac:dyDescent="0.75">
      <c r="B438" s="109" t="str">
        <f>"* group[=].target = ##34#"&amp;'Subject-ConceptMap-5-x'!E87&amp;"##34#"</f>
        <v>* group[=].target = ##34#http://hl7.eu/fhir/ig/idea4rc/StructureDefinition/observation-treatment-eu-i4rc##34#</v>
      </c>
    </row>
    <row r="439" spans="2:2" x14ac:dyDescent="0.75">
      <c r="B439" s="110"/>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09" t="str">
        <f>B437</f>
        <v>* group[+].source = ##34#http://hl7.eu/fhir/ig/idea4rc/StructureDefinition/Subject##34#</v>
      </c>
    </row>
    <row r="449" spans="2:2" x14ac:dyDescent="0.75">
      <c r="B449" s="109" t="str">
        <f>"* group[=].target = ##34#"&amp;'Subject-ConceptMap-5-x'!E100&amp;"##34#"</f>
        <v>* group[=].target = ##34#http://hl7.eu/fhir/ig/idea4rc/StructureDefinition/observation-dateLastContact-eu-i4rc##34#</v>
      </c>
    </row>
    <row r="450" spans="2:2" x14ac:dyDescent="0.75">
      <c r="B450" s="110"/>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HospitalPatientRecordsI4rc</v>
      </c>
    </row>
    <row r="5" spans="1:18" ht="15.5" thickBot="1" x14ac:dyDescent="0.9">
      <c r="A5" s="14" t="s">
        <v>16</v>
      </c>
      <c r="B5" s="30" t="s">
        <v>1837</v>
      </c>
      <c r="L5" s="16" t="str">
        <f>CONCATENATE("Id: ",B5)</f>
        <v>Id: HospitalPatientRecords</v>
      </c>
    </row>
    <row r="6" spans="1:18" ht="15.5" thickBot="1" x14ac:dyDescent="0.9">
      <c r="A6" s="14" t="s">
        <v>10</v>
      </c>
      <c r="B6" s="30" t="s">
        <v>1838</v>
      </c>
      <c r="L6" s="17" t="str">
        <f>CONCATENATE("Title: ##34#",B6,"##34#")</f>
        <v>Title: ##34#Hospital Patient Records##34#</v>
      </c>
    </row>
    <row r="7" spans="1:18" x14ac:dyDescent="0.75">
      <c r="A7" s="26" t="s">
        <v>2</v>
      </c>
      <c r="B7" s="96" t="s">
        <v>1838</v>
      </c>
      <c r="C7" s="9" t="s">
        <v>3</v>
      </c>
      <c r="D7" s="1" t="s">
        <v>4</v>
      </c>
      <c r="E7" s="3" t="s">
        <v>5</v>
      </c>
      <c r="F7" s="3" t="s">
        <v>6</v>
      </c>
      <c r="G7" s="3" t="s">
        <v>7</v>
      </c>
      <c r="H7" s="64" t="s">
        <v>1384</v>
      </c>
      <c r="I7" s="119" t="s">
        <v>2080</v>
      </c>
      <c r="J7" s="119" t="s">
        <v>2081</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1827</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1828</v>
      </c>
      <c r="C9" s="11" t="s">
        <v>1829</v>
      </c>
      <c r="D9" s="11" t="s">
        <v>1830</v>
      </c>
      <c r="E9" s="11">
        <v>1</v>
      </c>
      <c r="F9" s="11">
        <v>1</v>
      </c>
      <c r="G9" s="73" t="s">
        <v>1</v>
      </c>
      <c r="H9" s="11" t="s">
        <v>1831</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1836</v>
      </c>
      <c r="C10" s="11" t="s">
        <v>1825</v>
      </c>
      <c r="D10" s="11" t="s">
        <v>1826</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1832</v>
      </c>
      <c r="C11" s="11" t="s">
        <v>1833</v>
      </c>
      <c r="D11" s="11" t="s">
        <v>1834</v>
      </c>
      <c r="E11" s="11">
        <v>1</v>
      </c>
      <c r="F11" s="11">
        <v>1</v>
      </c>
      <c r="G11" s="11" t="s">
        <v>43</v>
      </c>
      <c r="H11" s="11" t="s">
        <v>1835</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HospitalPatientRecords!L1</f>
        <v>//===================================================</v>
      </c>
    </row>
    <row r="2" spans="3:7" ht="16.75" thickBot="1" x14ac:dyDescent="0.9">
      <c r="C2" s="24" t="str">
        <f>HospitalPatientRecords!L2</f>
        <v>//  Logical Model</v>
      </c>
      <c r="G2" s="29" t="s">
        <v>1839</v>
      </c>
    </row>
    <row r="3" spans="3:7" x14ac:dyDescent="0.75">
      <c r="C3" s="24" t="str">
        <f>HospitalPatientRecords!L3</f>
        <v>//===================================================</v>
      </c>
    </row>
    <row r="4" spans="3:7" x14ac:dyDescent="0.75">
      <c r="C4" s="100" t="str">
        <f>HospitalPatientRecords!L4</f>
        <v>Logical: HospitalPatientRecordsI4rc</v>
      </c>
    </row>
    <row r="5" spans="3:7" x14ac:dyDescent="0.75">
      <c r="C5" s="100" t="str">
        <f>HospitalPatientRecords!L5</f>
        <v>Id: HospitalPatientRecords</v>
      </c>
    </row>
    <row r="6" spans="3:7" x14ac:dyDescent="0.75">
      <c r="C6" s="100" t="str">
        <f>HospitalPatientRecords!L6</f>
        <v>Title: ##34#Hospital Patient Records##34#</v>
      </c>
    </row>
    <row r="7" spans="3:7" x14ac:dyDescent="0.75">
      <c r="C7" s="100" t="str">
        <f>HospitalPatientRecords!L7</f>
        <v>Description:  ##334#Hospital Patient Records##334#</v>
      </c>
    </row>
    <row r="8" spans="3:7" ht="29.5" x14ac:dyDescent="0.75">
      <c r="C8" s="101"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1" t="str">
        <f>IF(HospitalPatientRecords!L9="*  ..  ##34###34# ##334###334#","//--- END",HospitalPatientRecords!L9)</f>
        <v>* hospital 1..1 BackboneElement ##34#Hospital##34# ##334#Hospital element containing the data regarding the patient followed by the hospital##334#</v>
      </c>
    </row>
    <row r="10" spans="3:7" x14ac:dyDescent="0.75">
      <c r="C10" s="101" t="str">
        <f>IF(HospitalPatientRecords!L10="*  ..  ##34###34# ##334###334#","//--- END",HospitalPatientRecords!L10)</f>
        <v>* hospital.name 1..1 string ##34#Hospital Name##34# ##334#Hospital where the patients is included in the registry##334#</v>
      </c>
    </row>
    <row r="11" spans="3:7" ht="59" x14ac:dyDescent="0.75">
      <c r="C11" s="101"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1" t="str">
        <f>IF(HospitalPatientRecords!L12="*  ..  ##34###34# ##334###334#","//--- END",HospitalPatientRecords!L12)</f>
        <v>//--- END</v>
      </c>
    </row>
    <row r="13" spans="3:7" x14ac:dyDescent="0.75">
      <c r="C13" s="101" t="str">
        <f>IF(HospitalPatientRecords!L13="*  ..  ##34###34# ##334###334#","//--- END",HospitalPatientRecords!L13)</f>
        <v>//--- END</v>
      </c>
    </row>
    <row r="14" spans="3:7" x14ac:dyDescent="0.75">
      <c r="C14" s="101" t="str">
        <f>IF(HospitalPatientRecords!L14="*  ..  ##34###34# ##334###334#","//--- END",HospitalPatientRecords!L14)</f>
        <v>//--- END</v>
      </c>
    </row>
    <row r="18" spans="3:3" x14ac:dyDescent="0.75">
      <c r="C18" s="99" t="s">
        <v>1387</v>
      </c>
    </row>
    <row r="19" spans="3:3" x14ac:dyDescent="0.75">
      <c r="C19" s="24" t="s">
        <v>1421</v>
      </c>
    </row>
    <row r="20" spans="3:3" x14ac:dyDescent="0.75">
      <c r="C20" s="24" t="s">
        <v>1387</v>
      </c>
    </row>
    <row r="21" spans="3:3" ht="29.5" x14ac:dyDescent="0.75">
      <c r="C21" s="101" t="str">
        <f>IF(HospitalPatientRecords!N8="*  ..  ##34###34# ##334###334#","//--- END",HospitalPatientRecords!N8)</f>
        <v>* patient ^comment = ##334#A patient element data
-##334#</v>
      </c>
    </row>
    <row r="22" spans="3:3" ht="29.5" x14ac:dyDescent="0.75">
      <c r="C22" s="101" t="str">
        <f>IF(HospitalPatientRecords!N9="*  ..  ##34###34# ##334###334#","//--- END",HospitalPatientRecords!N9)</f>
        <v>* hospital ^comment = ##334#A hospital element data
-##334#</v>
      </c>
    </row>
    <row r="23" spans="3:3" x14ac:dyDescent="0.75">
      <c r="C23" s="101" t="str">
        <f>IF(HospitalPatientRecords!N10="*  ..  ##34###34# ##334###334#","//--- END",HospitalPatientRecords!N10)</f>
        <v/>
      </c>
    </row>
    <row r="24" spans="3:3" ht="29.5" x14ac:dyDescent="0.75">
      <c r="C24" s="101" t="str">
        <f>IF(HospitalPatientRecords!N11="*  ..  ##34###34# ##334###334#","//--- END",HospitalPatientRecords!N11)</f>
        <v>* firstContactDate ^comment = ##334#Date
-##334#</v>
      </c>
    </row>
    <row r="25" spans="3:3" x14ac:dyDescent="0.75">
      <c r="C25" s="101" t="str">
        <f>IF(HospitalPatientRecords!N12="*  ..  ##34###34# ##334###334#","//--- END",HospitalPatientRecords!N12)</f>
        <v>//--- END</v>
      </c>
    </row>
    <row r="26" spans="3:3" x14ac:dyDescent="0.75">
      <c r="C26" s="101" t="str">
        <f>IF(HospitalPatientRecords!N13="*  ..  ##34###34# ##334###334#","//--- END",HospitalPatientRecords!N13)</f>
        <v>//--- END</v>
      </c>
    </row>
    <row r="27" spans="3:3" x14ac:dyDescent="0.75">
      <c r="C27" s="101" t="str">
        <f>IF(HospitalPatientRecords!N14="*  ..  ##34###34# ##334###334#","//--- END",HospitalPatientRecords!N14)</f>
        <v>//--- END</v>
      </c>
    </row>
    <row r="30" spans="3:3" x14ac:dyDescent="0.75">
      <c r="C30" s="99" t="str">
        <f>HospitalPatientRecords!P1</f>
        <v>// -------------------------------------------------------------------------------</v>
      </c>
    </row>
    <row r="31" spans="3:3" x14ac:dyDescent="0.75">
      <c r="C31" s="24" t="str">
        <f>HospitalPatientRecords!P2</f>
        <v>// Obligations H&amp;N</v>
      </c>
    </row>
    <row r="32" spans="3:3" x14ac:dyDescent="0.75">
      <c r="C32" s="24" t="str">
        <f>HospitalPatientRecords!P3</f>
        <v>// -------------------------------------------------------------------------------</v>
      </c>
    </row>
    <row r="33" spans="3:3" x14ac:dyDescent="0.75">
      <c r="C33" s="101" t="str">
        <f>IF(HospitalPatientRecords!P8="*  ..  ##34###34# ##334###334#","//--- END",HospitalPatientRecords!P8)</f>
        <v>* patient insert ObligationActorAndCode($actor-headneck, #handle)</v>
      </c>
    </row>
    <row r="34" spans="3:3" x14ac:dyDescent="0.75">
      <c r="C34" s="101" t="str">
        <f>IF(HospitalPatientRecords!P9="*  ..  ##34###34# ##334###334#","//--- END",HospitalPatientRecords!P9)</f>
        <v>* hospital insert ObligationActorAndCode($actor-headneck, #handle)</v>
      </c>
    </row>
    <row r="35" spans="3:3" x14ac:dyDescent="0.75">
      <c r="C35" s="101" t="str">
        <f>IF(HospitalPatientRecords!P10="*  ..  ##34###34# ##334###334#","//--- END",HospitalPatientRecords!P10)</f>
        <v>* hospital.name insert ObligationActorAndCode($actor-headneck, #handle)</v>
      </c>
    </row>
    <row r="36" spans="3:3" x14ac:dyDescent="0.75">
      <c r="C36" s="101" t="str">
        <f>IF(HospitalPatientRecords!P11="*  ..  ##34###34# ##334###334#","//--- END",HospitalPatientRecords!P11)</f>
        <v>* firstContactDate insert ObligationActorAndCode($actor-headneck, #handle)</v>
      </c>
    </row>
    <row r="37" spans="3:3" x14ac:dyDescent="0.75">
      <c r="C37" s="101" t="str">
        <f>IF(HospitalPatientRecords!P12="*  ..  ##34###34# ##334###334#","//--- END",HospitalPatientRecords!P12)</f>
        <v>//--- END</v>
      </c>
    </row>
    <row r="38" spans="3:3" x14ac:dyDescent="0.75">
      <c r="C38" s="101" t="str">
        <f>IF(HospitalPatientRecords!P13="*  ..  ##34###34# ##334###334#","//--- END",HospitalPatientRecords!P13)</f>
        <v>//--- END</v>
      </c>
    </row>
    <row r="39" spans="3:3" x14ac:dyDescent="0.75">
      <c r="C39" s="101" t="str">
        <f>IF(HospitalPatientRecords!P14="*  ..  ##34###34# ##334###334#","//--- END",HospitalPatientRecords!P14)</f>
        <v>//--- END</v>
      </c>
    </row>
    <row r="42" spans="3:3" x14ac:dyDescent="0.75">
      <c r="C42" s="99"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1" t="str">
        <f>IF(HospitalPatientRecords!R8="*  ..  ##34###34# ##334###334#","//--- END",HospitalPatientRecords!R8)</f>
        <v/>
      </c>
    </row>
    <row r="46" spans="3:3" x14ac:dyDescent="0.75">
      <c r="C46" s="101" t="str">
        <f>IF(HospitalPatientRecords!R9="*  ..  ##34###34# ##334###334#","//--- END",HospitalPatientRecords!R9)</f>
        <v/>
      </c>
    </row>
    <row r="47" spans="3:3" x14ac:dyDescent="0.75">
      <c r="C47" s="101" t="str">
        <f>IF(HospitalPatientRecords!R10="*  ..  ##34###34# ##334###334#","//--- END",HospitalPatientRecords!R10)</f>
        <v/>
      </c>
    </row>
    <row r="48" spans="3:3" x14ac:dyDescent="0.75">
      <c r="C48" s="101" t="str">
        <f>IF(HospitalPatientRecords!R11="*  ..  ##34###34# ##334###334#","//--- END",HospitalPatientRecords!R11)</f>
        <v/>
      </c>
    </row>
    <row r="49" spans="3:3" x14ac:dyDescent="0.75">
      <c r="C49" s="101" t="str">
        <f>IF(HospitalPatientRecords!R12="*  ..  ##34###34# ##334###334#","//--- END",HospitalPatientRecords!R12)</f>
        <v>//--- END</v>
      </c>
    </row>
    <row r="50" spans="3:3" x14ac:dyDescent="0.75">
      <c r="C50" s="101" t="str">
        <f>IF(HospitalPatientRecords!R13="*  ..  ##34###34# ##334###334#","//--- END",HospitalPatientRecords!R13)</f>
        <v>//--- END</v>
      </c>
    </row>
    <row r="51" spans="3:3" x14ac:dyDescent="0.75">
      <c r="C51" s="101"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http://hl7.eu/fhir/ig/idea4rc/StructureDefinition/HospitalPatientRecords</v>
      </c>
    </row>
    <row r="4" spans="1:19" x14ac:dyDescent="0.75">
      <c r="B4" s="47" t="s">
        <v>16</v>
      </c>
      <c r="C4" s="28" t="s">
        <v>1921</v>
      </c>
      <c r="D4" s="47" t="s">
        <v>1474</v>
      </c>
      <c r="E4" s="151" t="s">
        <v>1924</v>
      </c>
      <c r="F4" s="152"/>
      <c r="G4" s="152"/>
    </row>
    <row r="5" spans="1:19" x14ac:dyDescent="0.75">
      <c r="B5" s="47" t="s">
        <v>10</v>
      </c>
      <c r="C5" s="7" t="s">
        <v>1922</v>
      </c>
      <c r="D5" s="47"/>
      <c r="E5" s="7"/>
    </row>
    <row r="6" spans="1:19" x14ac:dyDescent="0.75">
      <c r="B6" s="47" t="s">
        <v>18</v>
      </c>
      <c r="C6" s="41"/>
      <c r="D6" s="47" t="s">
        <v>1475</v>
      </c>
      <c r="E6" s="151" t="str">
        <f>E3</f>
        <v>http://hl7.eu/fhir/ig/idea4rc/StructureDefinition/HospitalPatientRecords</v>
      </c>
      <c r="F6" s="152"/>
      <c r="G6" s="152"/>
    </row>
    <row r="7" spans="1:19" x14ac:dyDescent="0.75">
      <c r="B7" s="47" t="s">
        <v>15</v>
      </c>
      <c r="C7" s="72"/>
      <c r="D7" s="47" t="s">
        <v>1476</v>
      </c>
      <c r="E7" s="151" t="str">
        <f>E4</f>
        <v>http://hl7.eu/fhir/ig/idea4rc/StructureDefinition/episodeOfCare-eu-i4rc</v>
      </c>
      <c r="F7" s="152"/>
      <c r="G7" s="152"/>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1925</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1926</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1927</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1928</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9" sqref="B9"/>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1916</v>
      </c>
      <c r="L4" s="16" t="str">
        <f>CONCATENATE("Logical: ",B4)</f>
        <v>Logical: PatientFollowUpI4rc</v>
      </c>
    </row>
    <row r="5" spans="1:18" ht="15.5" thickBot="1" x14ac:dyDescent="0.9">
      <c r="A5" s="14" t="s">
        <v>16</v>
      </c>
      <c r="B5" s="30" t="s">
        <v>1856</v>
      </c>
      <c r="L5" s="16" t="str">
        <f>CONCATENATE("Id: ",B5)</f>
        <v>Id: PatientFollowUp</v>
      </c>
    </row>
    <row r="6" spans="1:18" ht="15.5" thickBot="1" x14ac:dyDescent="0.9">
      <c r="A6" s="14" t="s">
        <v>10</v>
      </c>
      <c r="B6" s="30" t="s">
        <v>1857</v>
      </c>
      <c r="L6" s="17" t="str">
        <f>CONCATENATE("Title: ##34#",B6,"##34#")</f>
        <v>Title: ##34#Patient Follow Up##34#</v>
      </c>
    </row>
    <row r="7" spans="1:18" x14ac:dyDescent="0.75">
      <c r="A7" s="26" t="s">
        <v>2</v>
      </c>
      <c r="B7" s="30" t="s">
        <v>1857</v>
      </c>
      <c r="C7" s="9" t="s">
        <v>3</v>
      </c>
      <c r="D7" s="1" t="s">
        <v>4</v>
      </c>
      <c r="E7" s="3" t="s">
        <v>5</v>
      </c>
      <c r="F7" s="3" t="s">
        <v>6</v>
      </c>
      <c r="G7" s="3" t="s">
        <v>7</v>
      </c>
      <c r="H7" s="64" t="s">
        <v>1384</v>
      </c>
      <c r="I7" s="119" t="s">
        <v>2080</v>
      </c>
      <c r="J7" s="119" t="s">
        <v>2081</v>
      </c>
      <c r="L7" s="17" t="str">
        <f>CONCATENATE("Description: "," ##334#",B7,"##334#",)</f>
        <v>Description:  ##334#Patient Follow Up##334#</v>
      </c>
    </row>
    <row r="8" spans="1:18" ht="29.5" x14ac:dyDescent="0.75">
      <c r="A8" s="59">
        <v>0</v>
      </c>
      <c r="B8" s="11" t="s">
        <v>1487</v>
      </c>
      <c r="C8" s="11" t="s">
        <v>14</v>
      </c>
      <c r="D8" s="11" t="s">
        <v>1840</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59" x14ac:dyDescent="0.75">
      <c r="A9" s="59">
        <v>1</v>
      </c>
      <c r="B9" s="6" t="s">
        <v>1841</v>
      </c>
      <c r="C9" s="11" t="s">
        <v>1842</v>
      </c>
      <c r="D9" s="11" t="s">
        <v>1843</v>
      </c>
      <c r="E9" s="11">
        <v>1</v>
      </c>
      <c r="F9" s="11">
        <v>1</v>
      </c>
      <c r="G9" s="73" t="s">
        <v>1468</v>
      </c>
      <c r="H9" s="150" t="s">
        <v>2451</v>
      </c>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statusAtLastFollowUp ^comment = ##334#Alive, No Evidence of Disease (NED); Dead of Disease (DOD); Dead of Other Cause (DOC); Dead of Unknown Cause (DUC) ; Alive With Disease (AWD)##334#</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1844</v>
      </c>
      <c r="C10" s="11" t="s">
        <v>1845</v>
      </c>
      <c r="D10" s="11" t="s">
        <v>1846</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1"/>
        <v>* patientFollowUpDate ^comment = ##334#YYYY-MM-DD##334#</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1847</v>
      </c>
      <c r="C11" s="11" t="s">
        <v>1848</v>
      </c>
      <c r="D11" s="11" t="s">
        <v>1849</v>
      </c>
      <c r="E11" s="11">
        <v>1</v>
      </c>
      <c r="F11" s="11">
        <v>1</v>
      </c>
      <c r="G11" s="11" t="s">
        <v>1468</v>
      </c>
      <c r="H11" s="11" t="s">
        <v>2452</v>
      </c>
      <c r="I11" s="12" t="b">
        <v>1</v>
      </c>
      <c r="J11" s="12" t="b">
        <v>0</v>
      </c>
      <c r="K11" s="25"/>
      <c r="L11" s="12" t="str">
        <f t="shared" si="0"/>
        <v>* newCancerDiagnosis 1..1 CodeableConcept ##34#New cancer diagnosis##34# ##334#identifies whether the patient has developed a subsequent primary cancer##334#</v>
      </c>
      <c r="M11"/>
      <c r="N11" s="12" t="str">
        <f t="shared" si="1"/>
        <v>* newCancerDiagnosis ^comment = ##334#Yes; No; Unknown##334#</v>
      </c>
      <c r="P11" s="12" t="str">
        <f t="shared" si="2"/>
        <v>* newCancerDiagnosis insert ObligationActorAndCode($actor-headneck, #handle)</v>
      </c>
      <c r="Q11"/>
      <c r="R11" s="12" t="str">
        <f t="shared" si="3"/>
        <v/>
      </c>
    </row>
    <row r="12" spans="1:18" s="2" customFormat="1" ht="29.5" x14ac:dyDescent="0.75">
      <c r="A12" s="59">
        <v>4</v>
      </c>
      <c r="B12" s="11" t="s">
        <v>1850</v>
      </c>
      <c r="C12" s="11" t="s">
        <v>1851</v>
      </c>
      <c r="D12" s="11" t="s">
        <v>1852</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1"/>
        <v>* dateOfNewCancerDiagnosis ^comment = ##334#YYYY-MM-DD##334#</v>
      </c>
      <c r="P12" s="12" t="str">
        <f t="shared" si="2"/>
        <v>* dateOfNewCancerDiagnosis insert ObligationActorAndCode($actor-headneck, #handle)</v>
      </c>
      <c r="Q12"/>
      <c r="R12" s="12" t="str">
        <f t="shared" si="3"/>
        <v/>
      </c>
    </row>
    <row r="13" spans="1:18" s="2" customFormat="1" ht="44.25" x14ac:dyDescent="0.75">
      <c r="A13" s="59">
        <v>5</v>
      </c>
      <c r="B13" s="11" t="s">
        <v>1853</v>
      </c>
      <c r="C13" s="11" t="s">
        <v>1854</v>
      </c>
      <c r="D13" s="11" t="s">
        <v>1855</v>
      </c>
      <c r="E13" s="11">
        <v>1</v>
      </c>
      <c r="F13" s="11">
        <v>1</v>
      </c>
      <c r="G13" s="11" t="s">
        <v>1468</v>
      </c>
      <c r="H13" s="12" t="s">
        <v>2311</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newCancerTopography ^comment = ##334#TBD##334#</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1858</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5"/>
  <sheetViews>
    <sheetView topLeftCell="A8" workbookViewId="0">
      <selection activeCell="G17" sqref="G17"/>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v>
      </c>
    </row>
    <row r="4" spans="1:19" x14ac:dyDescent="0.75">
      <c r="B4" s="47" t="s">
        <v>16</v>
      </c>
      <c r="C4" s="28" t="s">
        <v>1930</v>
      </c>
      <c r="D4" s="47" t="s">
        <v>1474</v>
      </c>
      <c r="E4" s="151" t="s">
        <v>1929</v>
      </c>
      <c r="F4" s="152"/>
      <c r="G4" s="152"/>
    </row>
    <row r="5" spans="1:19" x14ac:dyDescent="0.75">
      <c r="B5" s="47" t="s">
        <v>10</v>
      </c>
      <c r="C5" s="7" t="s">
        <v>1931</v>
      </c>
      <c r="D5" s="47"/>
      <c r="E5" s="7"/>
    </row>
    <row r="6" spans="1:19" x14ac:dyDescent="0.75">
      <c r="B6" s="47" t="s">
        <v>18</v>
      </c>
      <c r="C6" s="41"/>
      <c r="D6" s="47" t="s">
        <v>1475</v>
      </c>
      <c r="E6" s="151" t="str">
        <f>E3</f>
        <v>http://hl7.eu/fhir/ig/idea4rc/StructureDefinition/PatientFollowUp</v>
      </c>
      <c r="F6" s="152"/>
      <c r="G6" s="152"/>
    </row>
    <row r="7" spans="1:19" x14ac:dyDescent="0.75">
      <c r="B7" s="47" t="s">
        <v>15</v>
      </c>
      <c r="C7" s="72"/>
      <c r="D7" s="47" t="s">
        <v>1476</v>
      </c>
      <c r="E7" s="151" t="str">
        <f>C1&amp;"Encounter-eu-i4rc"</f>
        <v>http://hl7.eu/fhir/ig/idea4rc/StructureDefinition/Encounter-eu-i4rc</v>
      </c>
      <c r="F7" s="152"/>
      <c r="G7" s="152"/>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53"/>
      <c r="F9" s="154"/>
      <c r="G9" s="155"/>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1933</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INDEX('PatientFollowUp-ConceptMap-1'!$I$15:$N$55,Q15+1,R15)</f>
        <v>* group[=].element[+].code = #PatientFollowUp.patient</v>
      </c>
    </row>
    <row r="16" spans="1:19" ht="44.25" x14ac:dyDescent="0.75">
      <c r="A16" s="44"/>
      <c r="B16" s="11" t="str">
        <f>PatientFollowUp!B9</f>
        <v>statusAtLastFollowUp</v>
      </c>
      <c r="C16" s="11" t="str">
        <f>PatientFollowUp!C9</f>
        <v>Status at last follow-up</v>
      </c>
      <c r="D16" s="12"/>
      <c r="E16" s="12"/>
      <c r="F16" s="49" t="s">
        <v>1294</v>
      </c>
      <c r="G16" s="76" t="s">
        <v>2455</v>
      </c>
      <c r="I16" s="12" t="str">
        <f t="shared" ref="I16:I21" si="7">"* group[=].element[+].code = #"&amp;$B$14&amp;"."&amp;B16</f>
        <v>* group[=].element[+].code = #PatientFollowUp.statusAtLastFollowUp</v>
      </c>
      <c r="J16" s="12" t="str">
        <f t="shared" ref="J16:J21" si="8">"* group[=].element[=].display = ##34#"&amp;C16&amp;"##34#"</f>
        <v>* group[=].element[=].display = ##34#Status at last follow-up##34#</v>
      </c>
      <c r="K16" s="12" t="str">
        <f t="shared" ref="K16:K21" si="9">IF(F16="unmatched","//-- unmatched","* group[=].element[=].target.code = #"&amp;$D$14&amp;"."&amp;D16)</f>
        <v>* group[=].element[=].target.code = #Encounter.</v>
      </c>
      <c r="L16" s="12" t="str">
        <f t="shared" ref="L16:L21" si="10">IF(F16="unmatched","//-- unmatched","* group[=].element[=].target.display = ##34#"&amp;E16&amp;"##34#")</f>
        <v>* group[=].element[=].target.display = ##34###34#</v>
      </c>
      <c r="M16" s="12" t="str">
        <f t="shared" ref="M16:M21" si="11">"* group[=].element[=].target.equivalence = #"&amp;F16</f>
        <v>* group[=].element[=].target.equivalence = #relatedto</v>
      </c>
      <c r="N16" s="12" t="str">
        <f t="shared" ref="N16:N21" si="12">IF(G16&lt;&gt;"",CONCATENATE("* group[=].element[=].target.comment = ","##34#",G16,"##34#"),"")</f>
        <v>* group[=].element[=].target.comment = ##34#TO BE MAPPED##34#</v>
      </c>
      <c r="P16" s="11">
        <v>2</v>
      </c>
      <c r="Q16" s="11">
        <f t="shared" ref="Q16:Q17" si="13">IF(MOD(P16,$Q$8)=0,P16/$Q$8-1,INT(P16/$Q$8))</f>
        <v>0</v>
      </c>
      <c r="R16" s="11">
        <f t="shared" ref="R16:R17" si="14">IF(MOD(P16,$Q$8)=0,$Q$8,MOD(P16,$Q$8))</f>
        <v>2</v>
      </c>
      <c r="S16" s="12" t="str" cm="1">
        <f t="array" ref="S16">INDEX('PatientFollowUp-ConceptMap-1'!$I$15:$N$55,Q16+1,R16)</f>
        <v>* group[=].element[=].display = ##34#Patient##34#</v>
      </c>
    </row>
    <row r="17" spans="1:19" ht="118" x14ac:dyDescent="0.75">
      <c r="A17" s="44"/>
      <c r="B17" s="11" t="str">
        <f>PatientFollowUp!B9</f>
        <v>statusAtLastFollowUp</v>
      </c>
      <c r="C17" s="11" t="str">
        <f>PatientFollowUp!C9</f>
        <v>Status at last follow-up</v>
      </c>
      <c r="D17" s="12" t="s">
        <v>2287</v>
      </c>
      <c r="E17" s="12"/>
      <c r="F17" s="49" t="s">
        <v>1294</v>
      </c>
      <c r="G17" s="77" t="s">
        <v>2454</v>
      </c>
      <c r="I17" s="12" t="str">
        <f t="shared" si="7"/>
        <v>* group[=].element[+].code = #PatientFollowUp.statusAtLastFollowUp</v>
      </c>
      <c r="J17" s="12" t="str">
        <f t="shared" si="8"/>
        <v>* group[=].element[=].display = ##34#Status at last follow-up##34#</v>
      </c>
      <c r="K17" s="12" t="str">
        <f t="shared" si="9"/>
        <v>* group[=].element[=].target.code = #Encounter.diagnosis.condition</v>
      </c>
      <c r="L17" s="12" t="str">
        <f t="shared" si="10"/>
        <v>* group[=].element[=].target.display = ##34###34#</v>
      </c>
      <c r="M17" s="12" t="str">
        <f t="shared" si="11"/>
        <v>* group[=].element[=].target.equivalence = #relatedto</v>
      </c>
      <c r="N17" s="12" t="str">
        <f t="shared" si="12"/>
        <v>* group[=].element[=].target.comment = ##34#Intended as the diagnosis at the last follow up. 
use = $diagnosis-role#AD (AdmissionDiagnosis)
Details in the referred Condition##34#</v>
      </c>
      <c r="P17" s="11">
        <v>3</v>
      </c>
      <c r="Q17" s="11">
        <f t="shared" si="13"/>
        <v>0</v>
      </c>
      <c r="R17" s="11">
        <f t="shared" si="14"/>
        <v>3</v>
      </c>
      <c r="S17" s="12" t="str" cm="1">
        <f t="array" ref="S17">INDEX('PatientFollowUp-ConceptMap-1'!$I$15:$N$55,Q17+1,R17)</f>
        <v>* group[=].element[=].target.code = #Encounter.subject</v>
      </c>
    </row>
    <row r="18" spans="1:19" ht="59" customHeight="1" x14ac:dyDescent="0.75">
      <c r="A18" s="44"/>
      <c r="B18" s="11" t="str">
        <f>PatientFollowUp!B10</f>
        <v>patientFollowUpDate</v>
      </c>
      <c r="C18" s="11" t="str">
        <f>PatientFollowUp!C10</f>
        <v>Patient Follow Up date</v>
      </c>
      <c r="D18" s="12" t="s">
        <v>1928</v>
      </c>
      <c r="E18" s="12"/>
      <c r="F18" s="49" t="s">
        <v>1294</v>
      </c>
      <c r="G18" s="49"/>
      <c r="H18" s="43"/>
      <c r="I18" s="12" t="str">
        <f t="shared" si="7"/>
        <v>* group[=].element[+].code = #PatientFollowUp.patientFollowUpDate</v>
      </c>
      <c r="J18" s="12" t="str">
        <f t="shared" si="8"/>
        <v>* group[=].element[=].display = ##34#Patient Follow Up date##34#</v>
      </c>
      <c r="K18" s="12" t="str">
        <f t="shared" si="9"/>
        <v>* group[=].element[=].target.code = #Encounter.period.start</v>
      </c>
      <c r="L18" s="12" t="str">
        <f t="shared" si="10"/>
        <v>* group[=].element[=].target.display = ##34###34#</v>
      </c>
      <c r="M18" s="12" t="str">
        <f t="shared" si="11"/>
        <v>* group[=].element[=].target.equivalence = #relatedto</v>
      </c>
      <c r="N18" s="12" t="str">
        <f t="shared" si="12"/>
        <v/>
      </c>
      <c r="P18" s="11">
        <v>4</v>
      </c>
      <c r="Q18" s="11">
        <f t="shared" ref="Q18:Q56" si="15">IF(MOD(P18,$Q$8)=0,P18/$Q$8-1,INT(P18/$Q$8))</f>
        <v>0</v>
      </c>
      <c r="R18" s="11">
        <f t="shared" ref="R18:R56" si="16">IF(MOD(P18,$Q$8)=0,$Q$8,MOD(P18,$Q$8))</f>
        <v>4</v>
      </c>
      <c r="S18" s="12" t="str" cm="1">
        <f t="array" ref="S18">INDEX('PatientFollowUp-ConceptMap-1'!$I$15:$N$55,Q18+1,R18)</f>
        <v>* group[=].element[=].target.display = ##34###34#</v>
      </c>
    </row>
    <row r="19" spans="1:19" ht="103.25" x14ac:dyDescent="0.75">
      <c r="A19" s="44"/>
      <c r="B19" s="11" t="str">
        <f>PatientFollowUp!B11</f>
        <v>newCancerDiagnosis</v>
      </c>
      <c r="C19" s="11" t="str">
        <f>PatientFollowUp!C11</f>
        <v>New cancer diagnosis</v>
      </c>
      <c r="D19" s="12" t="s">
        <v>2287</v>
      </c>
      <c r="E19" s="12"/>
      <c r="F19" s="49" t="s">
        <v>1294</v>
      </c>
      <c r="G19" s="77" t="s">
        <v>2289</v>
      </c>
      <c r="H19" s="43"/>
      <c r="I19" s="12" t="str">
        <f t="shared" si="7"/>
        <v>* group[=].element[+].code = #PatientFollowUp.newCancerDiagnosis</v>
      </c>
      <c r="J19" s="12" t="str">
        <f t="shared" si="8"/>
        <v>* group[=].element[=].display = ##34#New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5"/>
        <v>0</v>
      </c>
      <c r="R19" s="11">
        <f t="shared" si="16"/>
        <v>5</v>
      </c>
      <c r="S19" s="12" t="str" cm="1">
        <f t="array" ref="S19">INDEX('PatientFollowUp-ConceptMap-1'!$I$15:$N$55,Q19+1,R19)</f>
        <v>* group[=].element[=].target.equivalence = #equivalent</v>
      </c>
    </row>
    <row r="20" spans="1:19" ht="103.25" x14ac:dyDescent="0.75">
      <c r="A20" s="44"/>
      <c r="B20" s="11" t="str">
        <f>PatientFollowUp!B12</f>
        <v>dateOfNewCancerDiagnosis</v>
      </c>
      <c r="C20" s="11" t="str">
        <f>PatientFollowUp!C12</f>
        <v>Date of new cancer diagnosis</v>
      </c>
      <c r="D20" s="12" t="s">
        <v>2287</v>
      </c>
      <c r="E20" s="12"/>
      <c r="F20" s="49" t="s">
        <v>1294</v>
      </c>
      <c r="G20" s="77" t="s">
        <v>2289</v>
      </c>
      <c r="H20" s="43"/>
      <c r="I20" s="12" t="str">
        <f t="shared" si="7"/>
        <v>* group[=].element[+].code = #PatientFollowUp.dateOfNewCancerDiagnosis</v>
      </c>
      <c r="J20" s="12" t="str">
        <f t="shared" si="8"/>
        <v>* group[=].element[=].display = ##34#Date of new cancer diagnosis##34#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5"/>
        <v>0</v>
      </c>
      <c r="R20" s="11">
        <f t="shared" si="16"/>
        <v>6</v>
      </c>
      <c r="S20" s="12" t="str" cm="1">
        <f t="array" ref="S20">INDEX('PatientFollowUp-ConceptMap-1'!$I$15:$N$55,Q20+1,R20)</f>
        <v/>
      </c>
    </row>
    <row r="21" spans="1:19" ht="103.25" x14ac:dyDescent="0.75">
      <c r="A21" s="44"/>
      <c r="B21" s="11" t="str">
        <f>PatientFollowUp!B13</f>
        <v>newCancerTopography</v>
      </c>
      <c r="C21" s="11" t="str">
        <f>PatientFollowUp!C13</f>
        <v>New cancer topography</v>
      </c>
      <c r="D21" s="12" t="s">
        <v>2287</v>
      </c>
      <c r="E21" s="12"/>
      <c r="F21" s="49" t="s">
        <v>1294</v>
      </c>
      <c r="G21" s="77" t="s">
        <v>2289</v>
      </c>
      <c r="H21" s="43"/>
      <c r="I21" s="12" t="str">
        <f t="shared" si="7"/>
        <v>* group[=].element[+].code = #PatientFollowUp.newCancerTopography</v>
      </c>
      <c r="J21" s="12" t="str">
        <f t="shared" si="8"/>
        <v>* group[=].element[=].display = ##34#New cancer topography##34#</v>
      </c>
      <c r="K21" s="12" t="str">
        <f t="shared" si="9"/>
        <v>* group[=].element[=].target.code = #Encounter.diagnosis.condition</v>
      </c>
      <c r="L21" s="12" t="str">
        <f t="shared" si="10"/>
        <v>* group[=].element[=].target.display = ##34###34#</v>
      </c>
      <c r="M21" s="12" t="str">
        <f t="shared" si="11"/>
        <v>* group[=].element[=].target.equivalence = #relatedto</v>
      </c>
      <c r="N21" s="12" t="str">
        <f t="shared" si="12"/>
        <v>* group[=].element[=].target.comment = ##34#Where use = $diagnosis-role#DD (Discharge Diagnosis)
Details in the referred Condition##34#</v>
      </c>
      <c r="P21" s="11">
        <v>7</v>
      </c>
      <c r="Q21" s="11">
        <f t="shared" si="15"/>
        <v>1</v>
      </c>
      <c r="R21" s="11">
        <f t="shared" si="16"/>
        <v>1</v>
      </c>
      <c r="S21" s="12" t="str" cm="1">
        <f t="array" ref="S21">INDEX('PatientFollowUp-ConceptMap-1'!$I$15:$N$55,Q21+1,R21)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5"/>
        <v>1</v>
      </c>
      <c r="R22" s="11">
        <f t="shared" si="16"/>
        <v>2</v>
      </c>
      <c r="S22" s="12" t="str" cm="1">
        <f t="array" ref="S22">INDEX('PatientFollowUp-ConceptMap-1'!$I$15:$N$55,Q22+1,R22)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5"/>
        <v>1</v>
      </c>
      <c r="R23" s="11">
        <f t="shared" si="16"/>
        <v>3</v>
      </c>
      <c r="S23" s="12" t="str" cm="1">
        <f t="array" ref="S23">INDEX('PatientFollowUp-ConceptMap-1'!$I$15:$N$55,Q23+1,R23)</f>
        <v>* group[=].element[=].target.code = #Encounter.</v>
      </c>
    </row>
    <row r="24" spans="1:19" x14ac:dyDescent="0.75">
      <c r="A24" s="44"/>
      <c r="B24" s="11"/>
      <c r="C24" s="11"/>
      <c r="D24" s="12"/>
      <c r="E24" s="12"/>
      <c r="F24" s="49"/>
      <c r="G24" s="77"/>
      <c r="H24" s="43"/>
      <c r="I24" s="12"/>
      <c r="J24" s="12"/>
      <c r="K24" s="12"/>
      <c r="L24" s="12"/>
      <c r="M24" s="12"/>
      <c r="N24" s="12"/>
      <c r="P24" s="11">
        <v>10</v>
      </c>
      <c r="Q24" s="11">
        <f t="shared" si="15"/>
        <v>1</v>
      </c>
      <c r="R24" s="11">
        <f t="shared" si="16"/>
        <v>4</v>
      </c>
      <c r="S24" s="12" t="str" cm="1">
        <f t="array" ref="S24">INDEX('PatientFollowUp-ConceptMap-1'!$I$15:$N$55,Q24+1,R24)</f>
        <v>* group[=].element[=].target.display = ##34###34#</v>
      </c>
    </row>
    <row r="25" spans="1:19" ht="29.5" customHeight="1" x14ac:dyDescent="0.75">
      <c r="A25" s="44"/>
      <c r="B25" s="11"/>
      <c r="C25" s="11"/>
      <c r="D25" s="12"/>
      <c r="E25" s="12"/>
      <c r="F25" s="49"/>
      <c r="G25" s="77"/>
      <c r="H25" s="43"/>
      <c r="I25" s="12"/>
      <c r="J25" s="12"/>
      <c r="K25" s="12"/>
      <c r="L25" s="12"/>
      <c r="M25" s="12"/>
      <c r="N25" s="12"/>
      <c r="P25" s="11">
        <v>11</v>
      </c>
      <c r="Q25" s="11">
        <f t="shared" si="15"/>
        <v>1</v>
      </c>
      <c r="R25" s="11">
        <f t="shared" si="16"/>
        <v>5</v>
      </c>
      <c r="S25" s="12" t="str" cm="1">
        <f t="array" ref="S25">INDEX('PatientFollowUp-ConceptMap-1'!$I$15:$N$55,Q25+1,R25)</f>
        <v>* group[=].element[=].target.equivalence = #relatedto</v>
      </c>
    </row>
    <row r="26" spans="1:19" x14ac:dyDescent="0.75">
      <c r="A26" s="44"/>
      <c r="B26" s="11"/>
      <c r="C26" s="11"/>
      <c r="D26" s="12"/>
      <c r="E26" s="12"/>
      <c r="F26" s="49"/>
      <c r="G26" s="77"/>
      <c r="H26" s="43"/>
      <c r="I26" s="12"/>
      <c r="J26" s="12"/>
      <c r="K26" s="12"/>
      <c r="L26" s="12"/>
      <c r="M26" s="12"/>
      <c r="N26" s="12"/>
      <c r="P26" s="11">
        <v>12</v>
      </c>
      <c r="Q26" s="11">
        <f t="shared" si="15"/>
        <v>1</v>
      </c>
      <c r="R26" s="11">
        <f t="shared" si="16"/>
        <v>6</v>
      </c>
      <c r="S26" s="12" t="str" cm="1">
        <f t="array" ref="S26">INDEX('PatientFollowUp-ConceptMap-1'!$I$15:$N$55,Q26+1,R26)</f>
        <v>* group[=].element[=].target.comment = ##34#TO BE MAPPED##34#</v>
      </c>
    </row>
    <row r="27" spans="1:19" x14ac:dyDescent="0.75">
      <c r="A27" s="44"/>
      <c r="B27" s="11"/>
      <c r="C27" s="11"/>
      <c r="D27" s="12"/>
      <c r="E27" s="12"/>
      <c r="F27" s="49"/>
      <c r="G27" s="77"/>
      <c r="H27" s="43"/>
      <c r="I27" s="12"/>
      <c r="J27" s="12"/>
      <c r="K27" s="12"/>
      <c r="L27" s="12"/>
      <c r="M27" s="12"/>
      <c r="N27" s="12"/>
      <c r="P27" s="11">
        <v>13</v>
      </c>
      <c r="Q27" s="11">
        <f t="shared" si="15"/>
        <v>2</v>
      </c>
      <c r="R27" s="11">
        <f t="shared" si="16"/>
        <v>1</v>
      </c>
      <c r="S27" s="12" t="str" cm="1">
        <f t="array" ref="S27">INDEX('PatientFollowUp-ConceptMap-1'!$I$15:$N$55,Q27+1,R27)</f>
        <v>* group[=].element[+].code = #PatientFollowUp.statusAtLastFollowUp</v>
      </c>
    </row>
    <row r="28" spans="1:19" x14ac:dyDescent="0.75">
      <c r="A28" s="44"/>
      <c r="B28" s="11"/>
      <c r="C28" s="11"/>
      <c r="D28" s="12"/>
      <c r="E28" s="12"/>
      <c r="F28" s="49"/>
      <c r="G28" s="77"/>
      <c r="H28" s="43"/>
      <c r="I28" s="12"/>
      <c r="J28" s="12"/>
      <c r="K28" s="12"/>
      <c r="L28" s="12"/>
      <c r="M28" s="12"/>
      <c r="N28" s="12"/>
      <c r="P28" s="11">
        <v>14</v>
      </c>
      <c r="Q28" s="11">
        <f t="shared" si="15"/>
        <v>2</v>
      </c>
      <c r="R28" s="11">
        <f t="shared" si="16"/>
        <v>2</v>
      </c>
      <c r="S28" s="12" t="str" cm="1">
        <f t="array" ref="S28">INDEX('PatientFollowUp-ConceptMap-1'!$I$15:$N$55,Q28+1,R28)</f>
        <v>* group[=].element[=].display = ##34#Status at last follow-up##34#</v>
      </c>
    </row>
    <row r="29" spans="1:19" x14ac:dyDescent="0.75">
      <c r="B29" s="11"/>
      <c r="C29" s="11"/>
      <c r="D29" s="12"/>
      <c r="E29" s="12"/>
      <c r="F29" s="49"/>
      <c r="G29" s="77"/>
      <c r="H29" s="43"/>
      <c r="I29" s="12"/>
      <c r="J29" s="12"/>
      <c r="K29" s="12"/>
      <c r="L29" s="12"/>
      <c r="M29" s="12"/>
      <c r="N29" s="12"/>
      <c r="P29" s="11">
        <v>15</v>
      </c>
      <c r="Q29" s="11">
        <f t="shared" si="15"/>
        <v>2</v>
      </c>
      <c r="R29" s="11">
        <f t="shared" si="16"/>
        <v>3</v>
      </c>
      <c r="S29" s="12" t="str" cm="1">
        <f t="array" ref="S29">INDEX('PatientFollowUp-ConceptMap-1'!$I$15:$N$55,Q29+1,R29)</f>
        <v>* group[=].element[=].target.code = #Encounter.diagnosis.condition</v>
      </c>
    </row>
    <row r="30" spans="1:19" x14ac:dyDescent="0.75">
      <c r="B30" s="11"/>
      <c r="C30" s="11"/>
      <c r="D30" s="12"/>
      <c r="E30" s="12"/>
      <c r="F30" s="49"/>
      <c r="G30" s="77"/>
      <c r="H30" s="43"/>
      <c r="I30" s="12"/>
      <c r="J30" s="12"/>
      <c r="K30" s="12"/>
      <c r="L30" s="12"/>
      <c r="M30" s="12"/>
      <c r="N30" s="12"/>
      <c r="P30" s="11">
        <v>16</v>
      </c>
      <c r="Q30" s="11">
        <f t="shared" si="15"/>
        <v>2</v>
      </c>
      <c r="R30" s="11">
        <f t="shared" si="16"/>
        <v>4</v>
      </c>
      <c r="S30" s="12" t="str" cm="1">
        <f t="array" ref="S30">INDEX('PatientFollowUp-ConceptMap-1'!$I$15:$N$55,Q30+1,R30)</f>
        <v>* group[=].element[=].target.display = ##34###34#</v>
      </c>
    </row>
    <row r="31" spans="1:19" x14ac:dyDescent="0.75">
      <c r="B31" s="11"/>
      <c r="C31" s="11"/>
      <c r="D31" s="12"/>
      <c r="E31" s="12"/>
      <c r="F31" s="49"/>
      <c r="G31" s="77"/>
      <c r="H31" s="43"/>
      <c r="I31" s="12"/>
      <c r="J31" s="12"/>
      <c r="K31" s="12"/>
      <c r="L31" s="12"/>
      <c r="M31" s="12"/>
      <c r="N31" s="12"/>
      <c r="P31" s="11">
        <v>17</v>
      </c>
      <c r="Q31" s="11">
        <f t="shared" si="15"/>
        <v>2</v>
      </c>
      <c r="R31" s="11">
        <f t="shared" si="16"/>
        <v>5</v>
      </c>
      <c r="S31" s="12" t="str" cm="1">
        <f t="array" ref="S31">INDEX('PatientFollowUp-ConceptMap-1'!$I$15:$N$55,Q31+1,R31)</f>
        <v>* group[=].element[=].target.equivalence = #relatedto</v>
      </c>
    </row>
    <row r="32" spans="1:19" ht="59" x14ac:dyDescent="0.75">
      <c r="B32" s="11"/>
      <c r="C32" s="11"/>
      <c r="D32" s="12"/>
      <c r="E32" s="12"/>
      <c r="F32" s="49"/>
      <c r="G32" s="77"/>
      <c r="H32" s="43"/>
      <c r="I32" s="12"/>
      <c r="J32" s="12"/>
      <c r="K32" s="12"/>
      <c r="L32" s="12"/>
      <c r="M32" s="12"/>
      <c r="N32" s="12"/>
      <c r="P32" s="11">
        <v>18</v>
      </c>
      <c r="Q32" s="11">
        <f t="shared" si="15"/>
        <v>2</v>
      </c>
      <c r="R32" s="11">
        <f t="shared" si="16"/>
        <v>6</v>
      </c>
      <c r="S32" s="12" t="str" cm="1">
        <f t="array" ref="S32">INDEX('PatientFollowUp-ConceptMap-1'!$I$15:$N$55,Q32+1,R32)</f>
        <v>* group[=].element[=].target.comment = ##34#Intended as the diagnosis at the last follow up. 
use = $diagnosis-role#AD (AdmissionDiagnosis)
Details in the referred Condition##34#</v>
      </c>
    </row>
    <row r="33" spans="1:19" x14ac:dyDescent="0.75">
      <c r="B33" s="11"/>
      <c r="C33" s="11"/>
      <c r="D33" s="12"/>
      <c r="E33" s="12"/>
      <c r="F33" s="49"/>
      <c r="G33" s="77"/>
      <c r="H33" s="43"/>
      <c r="I33" s="12"/>
      <c r="J33" s="12"/>
      <c r="K33" s="12"/>
      <c r="L33" s="12"/>
      <c r="M33" s="12"/>
      <c r="N33" s="12"/>
      <c r="P33" s="11">
        <v>19</v>
      </c>
      <c r="Q33" s="11">
        <f t="shared" si="15"/>
        <v>3</v>
      </c>
      <c r="R33" s="11">
        <f t="shared" si="16"/>
        <v>1</v>
      </c>
      <c r="S33" s="12" t="str" cm="1">
        <f t="array" ref="S33">INDEX('PatientFollowUp-ConceptMap-1'!$I$15:$N$55,Q33+1,R33)</f>
        <v>* group[=].element[+].code = #PatientFollowUp.patientFollowUpDate</v>
      </c>
    </row>
    <row r="34" spans="1:19" x14ac:dyDescent="0.75">
      <c r="B34" s="11"/>
      <c r="C34" s="11"/>
      <c r="D34" s="12"/>
      <c r="E34" s="12"/>
      <c r="F34" s="49"/>
      <c r="G34" s="77"/>
      <c r="H34" s="43"/>
      <c r="I34" s="12"/>
      <c r="J34" s="12"/>
      <c r="K34" s="12"/>
      <c r="L34" s="12"/>
      <c r="M34" s="12"/>
      <c r="N34" s="12"/>
      <c r="P34" s="11">
        <v>20</v>
      </c>
      <c r="Q34" s="11">
        <f t="shared" si="15"/>
        <v>3</v>
      </c>
      <c r="R34" s="11">
        <f t="shared" si="16"/>
        <v>2</v>
      </c>
      <c r="S34" s="12" t="str" cm="1">
        <f t="array" ref="S34">INDEX('PatientFollowUp-ConceptMap-1'!$I$15:$N$55,Q34+1,R34)</f>
        <v>* group[=].element[=].display = ##34#Patient Follow Up date##34#</v>
      </c>
    </row>
    <row r="35" spans="1:19" x14ac:dyDescent="0.75">
      <c r="B35" s="11"/>
      <c r="C35" s="11"/>
      <c r="D35" s="12"/>
      <c r="E35" s="12"/>
      <c r="F35" s="49"/>
      <c r="G35" s="77"/>
      <c r="H35" s="43"/>
      <c r="I35" s="12"/>
      <c r="J35" s="12"/>
      <c r="K35" s="12"/>
      <c r="L35" s="12"/>
      <c r="M35" s="12"/>
      <c r="N35" s="12"/>
      <c r="P35" s="11">
        <v>21</v>
      </c>
      <c r="Q35" s="11">
        <f t="shared" si="15"/>
        <v>3</v>
      </c>
      <c r="R35" s="11">
        <f t="shared" si="16"/>
        <v>3</v>
      </c>
      <c r="S35" s="12" t="str" cm="1">
        <f t="array" ref="S35">INDEX('PatientFollowUp-ConceptMap-1'!$I$15:$N$55,Q35+1,R35)</f>
        <v>* group[=].element[=].target.code = #Encounter.period.start</v>
      </c>
    </row>
    <row r="36" spans="1:19" x14ac:dyDescent="0.75">
      <c r="B36" s="11"/>
      <c r="C36" s="11"/>
      <c r="D36" s="12"/>
      <c r="E36" s="12"/>
      <c r="F36" s="49"/>
      <c r="G36" s="77"/>
      <c r="H36" s="43"/>
      <c r="I36" s="12"/>
      <c r="J36" s="12"/>
      <c r="K36" s="12"/>
      <c r="L36" s="12"/>
      <c r="M36" s="12"/>
      <c r="N36" s="12"/>
      <c r="P36" s="11">
        <v>22</v>
      </c>
      <c r="Q36" s="11">
        <f t="shared" si="15"/>
        <v>3</v>
      </c>
      <c r="R36" s="11">
        <f t="shared" si="16"/>
        <v>4</v>
      </c>
      <c r="S36" s="12" t="str" cm="1">
        <f t="array" ref="S36">INDEX('PatientFollowUp-ConceptMap-1'!$I$15:$N$55,Q36+1,R36)</f>
        <v>* group[=].element[=].target.display = ##34###34#</v>
      </c>
    </row>
    <row r="37" spans="1:19" x14ac:dyDescent="0.75">
      <c r="B37" s="11"/>
      <c r="C37" s="11"/>
      <c r="D37" s="12"/>
      <c r="E37" s="12"/>
      <c r="F37" s="49"/>
      <c r="G37" s="77"/>
      <c r="H37" s="43"/>
      <c r="I37" s="12"/>
      <c r="J37" s="12"/>
      <c r="K37" s="12"/>
      <c r="L37" s="12"/>
      <c r="M37" s="12"/>
      <c r="N37" s="12"/>
      <c r="P37" s="11">
        <v>23</v>
      </c>
      <c r="Q37" s="11">
        <f t="shared" si="15"/>
        <v>3</v>
      </c>
      <c r="R37" s="11">
        <f t="shared" si="16"/>
        <v>5</v>
      </c>
      <c r="S37" s="12" t="str" cm="1">
        <f t="array" ref="S37">INDEX('PatientFollowUp-ConceptMap-1'!$I$15:$N$55,Q37+1,R37)</f>
        <v>* group[=].element[=].target.equivalence = #relatedto</v>
      </c>
    </row>
    <row r="38" spans="1:19" x14ac:dyDescent="0.75">
      <c r="B38" s="11"/>
      <c r="C38" s="11"/>
      <c r="D38" s="12"/>
      <c r="E38" s="12"/>
      <c r="F38" s="49"/>
      <c r="G38" s="77"/>
      <c r="H38" s="43"/>
      <c r="I38" s="12"/>
      <c r="J38" s="12"/>
      <c r="K38" s="12"/>
      <c r="L38" s="12"/>
      <c r="M38" s="12"/>
      <c r="N38" s="12"/>
      <c r="P38" s="11">
        <v>24</v>
      </c>
      <c r="Q38" s="11">
        <f t="shared" si="15"/>
        <v>3</v>
      </c>
      <c r="R38" s="11">
        <f t="shared" si="16"/>
        <v>6</v>
      </c>
      <c r="S38" s="12" t="str" cm="1">
        <f t="array" ref="S38">INDEX('PatientFollowUp-ConceptMap-1'!$I$15:$N$55,Q38+1,R38)</f>
        <v/>
      </c>
    </row>
    <row r="39" spans="1:19" ht="14.75" customHeight="1" x14ac:dyDescent="0.75">
      <c r="B39" s="11"/>
      <c r="C39" s="11"/>
      <c r="D39" s="12"/>
      <c r="E39" s="12"/>
      <c r="F39" s="49"/>
      <c r="G39" s="77"/>
      <c r="H39" s="43"/>
      <c r="I39" s="12"/>
      <c r="J39" s="12"/>
      <c r="K39" s="12"/>
      <c r="L39" s="12"/>
      <c r="M39" s="12"/>
      <c r="N39" s="12"/>
      <c r="P39" s="11">
        <v>25</v>
      </c>
      <c r="Q39" s="11">
        <f t="shared" si="15"/>
        <v>4</v>
      </c>
      <c r="R39" s="11">
        <f t="shared" si="16"/>
        <v>1</v>
      </c>
      <c r="S39" s="12" t="str" cm="1">
        <f t="array" ref="S39">INDEX('PatientFollowUp-ConceptMap-1'!$I$15:$N$55,Q39+1,R39)</f>
        <v>* group[=].element[+].code = #PatientFollowUp.newCancerDiagnosis</v>
      </c>
    </row>
    <row r="40" spans="1:19" x14ac:dyDescent="0.75">
      <c r="B40" s="11"/>
      <c r="C40" s="11"/>
      <c r="D40" s="12"/>
      <c r="E40" s="12"/>
      <c r="F40" s="49"/>
      <c r="G40" s="77"/>
      <c r="H40" s="43"/>
      <c r="I40" s="12"/>
      <c r="J40" s="12"/>
      <c r="K40" s="12"/>
      <c r="L40" s="12"/>
      <c r="M40" s="12"/>
      <c r="N40" s="12"/>
      <c r="P40" s="11">
        <v>26</v>
      </c>
      <c r="Q40" s="11">
        <f t="shared" si="15"/>
        <v>4</v>
      </c>
      <c r="R40" s="11">
        <f t="shared" si="16"/>
        <v>2</v>
      </c>
      <c r="S40" s="12" t="str" cm="1">
        <f t="array" ref="S40">INDEX('PatientFollowUp-ConceptMap-1'!$I$15:$N$55,Q40+1,R40)</f>
        <v>* group[=].element[=].display = ##34#New cancer diagnosis##34#</v>
      </c>
    </row>
    <row r="41" spans="1:19" s="2" customFormat="1" x14ac:dyDescent="0.75">
      <c r="A41"/>
      <c r="B41" s="11"/>
      <c r="C41" s="11"/>
      <c r="D41" s="12"/>
      <c r="E41" s="12"/>
      <c r="F41" s="49"/>
      <c r="G41" s="77"/>
      <c r="H41" s="43"/>
      <c r="I41" s="12"/>
      <c r="J41" s="12"/>
      <c r="K41" s="12"/>
      <c r="L41" s="12"/>
      <c r="M41" s="12"/>
      <c r="N41" s="12"/>
      <c r="P41" s="11">
        <v>27</v>
      </c>
      <c r="Q41" s="11">
        <f t="shared" si="15"/>
        <v>4</v>
      </c>
      <c r="R41" s="11">
        <f t="shared" si="16"/>
        <v>3</v>
      </c>
      <c r="S41" s="12" t="str" cm="1">
        <f t="array" ref="S41">INDEX('PatientFollowUp-ConceptMap-1'!$I$15:$N$55,Q41+1,R41)</f>
        <v>* group[=].element[=].target.code = #Encounter.diagnosis.condition</v>
      </c>
    </row>
    <row r="42" spans="1:19" s="2" customFormat="1" x14ac:dyDescent="0.75">
      <c r="A42"/>
      <c r="B42" s="11"/>
      <c r="C42" s="11"/>
      <c r="D42" s="12"/>
      <c r="E42" s="12"/>
      <c r="F42" s="49"/>
      <c r="G42" s="77"/>
      <c r="H42" s="43"/>
      <c r="I42" s="12"/>
      <c r="J42" s="12"/>
      <c r="K42" s="12"/>
      <c r="L42" s="12"/>
      <c r="M42" s="12"/>
      <c r="N42" s="12"/>
      <c r="P42" s="11">
        <v>28</v>
      </c>
      <c r="Q42" s="11">
        <f t="shared" si="15"/>
        <v>4</v>
      </c>
      <c r="R42" s="11">
        <f t="shared" si="16"/>
        <v>4</v>
      </c>
      <c r="S42" s="12" t="str" cm="1">
        <f t="array" ref="S42">INDEX('PatientFollowUp-ConceptMap-1'!$I$15:$N$55,Q42+1,R42)</f>
        <v>* group[=].element[=].target.display = ##34###34#</v>
      </c>
    </row>
    <row r="43" spans="1:19" s="2" customFormat="1" x14ac:dyDescent="0.75">
      <c r="A43"/>
      <c r="B43" s="11"/>
      <c r="C43" s="11"/>
      <c r="D43" s="12"/>
      <c r="E43" s="12"/>
      <c r="F43" s="49"/>
      <c r="G43" s="77"/>
      <c r="H43" s="43"/>
      <c r="J43"/>
      <c r="K43" s="43"/>
      <c r="L43" s="43"/>
      <c r="M43" s="51"/>
      <c r="N43" s="51"/>
      <c r="P43" s="11">
        <v>29</v>
      </c>
      <c r="Q43" s="11">
        <f t="shared" si="15"/>
        <v>4</v>
      </c>
      <c r="R43" s="11">
        <f t="shared" si="16"/>
        <v>5</v>
      </c>
      <c r="S43" s="12" t="str" cm="1">
        <f t="array" ref="S43">INDEX('PatientFollowUp-ConceptMap-1'!$I$15:$N$55,Q43+1,R43)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5"/>
        <v>4</v>
      </c>
      <c r="R44" s="11">
        <f t="shared" si="16"/>
        <v>6</v>
      </c>
      <c r="S44" s="12" t="str" cm="1">
        <f t="array" ref="S44">INDEX('PatientFollowUp-ConceptMap-1'!$I$15:$N$55,Q44+1,R44)</f>
        <v>* group[=].element[=].target.comment = ##34#Where use = $diagnosis-role#DD (Discharge Diagnosis)
Details in the referred Condition##34#</v>
      </c>
    </row>
    <row r="45" spans="1:19" s="2" customFormat="1" x14ac:dyDescent="0.75">
      <c r="A45"/>
      <c r="B45" s="11"/>
      <c r="C45" s="11"/>
      <c r="D45" s="12"/>
      <c r="E45" s="12"/>
      <c r="F45" s="49"/>
      <c r="G45" s="77"/>
      <c r="H45" s="43"/>
      <c r="J45" s="43"/>
      <c r="K45" s="43"/>
      <c r="L45" s="43"/>
      <c r="M45" s="51"/>
      <c r="N45" s="51"/>
      <c r="P45" s="11">
        <v>31</v>
      </c>
      <c r="Q45" s="11">
        <f t="shared" si="15"/>
        <v>5</v>
      </c>
      <c r="R45" s="11">
        <f t="shared" si="16"/>
        <v>1</v>
      </c>
      <c r="S45" s="12" t="str" cm="1">
        <f t="array" ref="S45">INDEX('PatientFollowUp-ConceptMap-1'!$I$15:$N$55,Q45+1,R45)</f>
        <v>* group[=].element[+].code = #PatientFollowUp.dateOfNewCancerDiagnosis</v>
      </c>
    </row>
    <row r="46" spans="1:19" x14ac:dyDescent="0.75">
      <c r="B46" s="11"/>
      <c r="C46" s="11"/>
      <c r="D46" s="12"/>
      <c r="E46" s="12"/>
      <c r="F46" s="49"/>
      <c r="G46" s="77"/>
      <c r="P46" s="11">
        <v>32</v>
      </c>
      <c r="Q46" s="11">
        <f t="shared" si="15"/>
        <v>5</v>
      </c>
      <c r="R46" s="11">
        <f t="shared" si="16"/>
        <v>2</v>
      </c>
      <c r="S46" s="12" t="str" cm="1">
        <f t="array" ref="S46">INDEX('PatientFollowUp-ConceptMap-1'!$I$15:$N$55,Q46+1,R46)</f>
        <v>* group[=].element[=].display = ##34#Date of new cancer diagnosis##34#</v>
      </c>
    </row>
    <row r="47" spans="1:19" x14ac:dyDescent="0.75">
      <c r="B47" s="11"/>
      <c r="C47" s="11"/>
      <c r="D47" s="12"/>
      <c r="E47" s="12"/>
      <c r="F47" s="49"/>
      <c r="G47" s="77"/>
      <c r="P47" s="11">
        <v>33</v>
      </c>
      <c r="Q47" s="11">
        <f t="shared" si="15"/>
        <v>5</v>
      </c>
      <c r="R47" s="11">
        <f t="shared" si="16"/>
        <v>3</v>
      </c>
      <c r="S47" s="12" t="str" cm="1">
        <f t="array" ref="S47">INDEX('PatientFollowUp-ConceptMap-1'!$I$15:$N$55,Q47+1,R47)</f>
        <v>* group[=].element[=].target.code = #Encounter.diagnosis.condition</v>
      </c>
    </row>
    <row r="48" spans="1:19" x14ac:dyDescent="0.75">
      <c r="B48" s="11"/>
      <c r="C48" s="11"/>
      <c r="D48" s="12"/>
      <c r="E48" s="12"/>
      <c r="F48" s="49"/>
      <c r="G48" s="77"/>
      <c r="P48" s="11">
        <v>34</v>
      </c>
      <c r="Q48" s="11">
        <f t="shared" si="15"/>
        <v>5</v>
      </c>
      <c r="R48" s="11">
        <f t="shared" si="16"/>
        <v>4</v>
      </c>
      <c r="S48" s="12" t="str" cm="1">
        <f t="array" ref="S48">INDEX('PatientFollowUp-ConceptMap-1'!$I$15:$N$55,Q48+1,R48)</f>
        <v>* group[=].element[=].target.display = ##34###34#</v>
      </c>
    </row>
    <row r="49" spans="2:19" x14ac:dyDescent="0.75">
      <c r="B49" s="11"/>
      <c r="C49" s="11"/>
      <c r="D49" s="12"/>
      <c r="E49" s="12"/>
      <c r="F49" s="49"/>
      <c r="G49" s="77"/>
      <c r="P49" s="11">
        <v>35</v>
      </c>
      <c r="Q49" s="11">
        <f t="shared" si="15"/>
        <v>5</v>
      </c>
      <c r="R49" s="11">
        <f t="shared" si="16"/>
        <v>5</v>
      </c>
      <c r="S49" s="12" t="str" cm="1">
        <f t="array" ref="S49">INDEX('PatientFollowUp-ConceptMap-1'!$I$15:$N$55,Q49+1,R49)</f>
        <v>* group[=].element[=].target.equivalence = #relatedto</v>
      </c>
    </row>
    <row r="50" spans="2:19" ht="44.25" x14ac:dyDescent="0.75">
      <c r="B50" s="11"/>
      <c r="C50" s="11"/>
      <c r="D50" s="12"/>
      <c r="E50" s="12"/>
      <c r="F50" s="49"/>
      <c r="G50" s="77"/>
      <c r="P50" s="11">
        <v>36</v>
      </c>
      <c r="Q50" s="11">
        <f t="shared" si="15"/>
        <v>5</v>
      </c>
      <c r="R50" s="11">
        <f t="shared" si="16"/>
        <v>6</v>
      </c>
      <c r="S50" s="12" t="str" cm="1">
        <f t="array" ref="S50">INDEX('PatientFollowUp-ConceptMap-1'!$I$15:$N$55,Q50+1,R50)</f>
        <v>* group[=].element[=].target.comment = ##34#Where use = $diagnosis-role#DD (Discharge Diagnosis)
Details in the referred Condition##34#</v>
      </c>
    </row>
    <row r="51" spans="2:19" x14ac:dyDescent="0.75">
      <c r="B51" s="11"/>
      <c r="C51" s="11"/>
      <c r="D51" s="12"/>
      <c r="E51" s="12"/>
      <c r="F51" s="49"/>
      <c r="G51" s="77"/>
      <c r="P51" s="11">
        <v>37</v>
      </c>
      <c r="Q51" s="11">
        <f t="shared" si="15"/>
        <v>6</v>
      </c>
      <c r="R51" s="11">
        <f t="shared" si="16"/>
        <v>1</v>
      </c>
      <c r="S51" s="12" t="str" cm="1">
        <f t="array" ref="S51">INDEX('PatientFollowUp-ConceptMap-1'!$I$15:$N$55,Q51+1,R51)</f>
        <v>* group[=].element[+].code = #PatientFollowUp.newCancerTopography</v>
      </c>
    </row>
    <row r="52" spans="2:19" x14ac:dyDescent="0.75">
      <c r="B52" s="11"/>
      <c r="C52" s="11"/>
      <c r="D52" s="12"/>
      <c r="E52" s="12"/>
      <c r="F52" s="49"/>
      <c r="G52" s="77"/>
      <c r="P52" s="11">
        <v>38</v>
      </c>
      <c r="Q52" s="11">
        <f t="shared" si="15"/>
        <v>6</v>
      </c>
      <c r="R52" s="11">
        <f t="shared" si="16"/>
        <v>2</v>
      </c>
      <c r="S52" s="12" t="str" cm="1">
        <f t="array" ref="S52">INDEX('PatientFollowUp-ConceptMap-1'!$I$15:$N$55,Q52+1,R52)</f>
        <v>* group[=].element[=].display = ##34#New cancer topography##34#</v>
      </c>
    </row>
    <row r="53" spans="2:19" x14ac:dyDescent="0.75">
      <c r="B53" s="11"/>
      <c r="C53" s="11"/>
      <c r="D53" s="12"/>
      <c r="E53" s="12"/>
      <c r="F53" s="49"/>
      <c r="G53" s="77"/>
      <c r="P53" s="11">
        <v>39</v>
      </c>
      <c r="Q53" s="11">
        <f t="shared" si="15"/>
        <v>6</v>
      </c>
      <c r="R53" s="11">
        <f t="shared" si="16"/>
        <v>3</v>
      </c>
      <c r="S53" s="12" t="str" cm="1">
        <f t="array" ref="S53">INDEX('PatientFollowUp-ConceptMap-1'!$I$15:$N$55,Q53+1,R53)</f>
        <v>* group[=].element[=].target.code = #Encounter.diagnosis.condition</v>
      </c>
    </row>
    <row r="54" spans="2:19" x14ac:dyDescent="0.75">
      <c r="B54" s="11"/>
      <c r="C54" s="11"/>
      <c r="D54" s="12"/>
      <c r="E54" s="12"/>
      <c r="F54" s="49"/>
      <c r="G54" s="77"/>
      <c r="P54" s="11">
        <v>40</v>
      </c>
      <c r="Q54" s="11">
        <f t="shared" si="15"/>
        <v>6</v>
      </c>
      <c r="R54" s="11">
        <f t="shared" si="16"/>
        <v>4</v>
      </c>
      <c r="S54" s="12" t="str" cm="1">
        <f t="array" ref="S54">INDEX('PatientFollowUp-ConceptMap-1'!$I$15:$N$55,Q54+1,R54)</f>
        <v>* group[=].element[=].target.display = ##34###34#</v>
      </c>
    </row>
    <row r="55" spans="2:19" x14ac:dyDescent="0.75">
      <c r="B55" s="11"/>
      <c r="C55" s="11"/>
      <c r="D55" s="12"/>
      <c r="E55" s="12"/>
      <c r="F55" s="49"/>
      <c r="G55" s="77"/>
      <c r="P55" s="11">
        <v>41</v>
      </c>
      <c r="Q55" s="11">
        <f t="shared" si="15"/>
        <v>6</v>
      </c>
      <c r="R55" s="11">
        <f t="shared" si="16"/>
        <v>5</v>
      </c>
      <c r="S55" s="12" t="str" cm="1">
        <f t="array" ref="S55">INDEX('PatientFollowUp-ConceptMap-1'!$I$15:$N$55,Q55+1,R55)</f>
        <v>* group[=].element[=].target.equivalence = #relatedto</v>
      </c>
    </row>
    <row r="56" spans="2:19" ht="44.25" x14ac:dyDescent="0.75">
      <c r="P56" s="11">
        <v>42</v>
      </c>
      <c r="Q56" s="11">
        <f t="shared" si="15"/>
        <v>6</v>
      </c>
      <c r="R56" s="11">
        <f t="shared" si="16"/>
        <v>6</v>
      </c>
      <c r="S56" s="12" t="str" cm="1">
        <f t="array" ref="S56">INDEX('PatientFollowUp-ConceptMap-1'!$I$15:$N$55,Q56+1,R56)</f>
        <v>* group[=].element[=].target.comment = ##34#Where use = $diagnosis-role#DD (Discharge Diagnosis)
Details in the referred Condition##34#</v>
      </c>
    </row>
    <row r="57" spans="2:19" x14ac:dyDescent="0.75">
      <c r="P57" s="11">
        <v>43</v>
      </c>
      <c r="Q57" s="11">
        <f t="shared" ref="Q57:Q65" si="17">IF(MOD(P57,$Q$8)=0,P57/$Q$8-1,INT(P57/$Q$8))</f>
        <v>7</v>
      </c>
      <c r="R57" s="11">
        <f t="shared" ref="R57:R65" si="18">IF(MOD(P57,$Q$8)=0,$Q$8,MOD(P57,$Q$8))</f>
        <v>1</v>
      </c>
      <c r="S57" s="12" cm="1">
        <f t="array" ref="S57">INDEX('PatientFollowUp-ConceptMap-1'!$I$15:$N$55,Q57+1,R57)</f>
        <v>0</v>
      </c>
    </row>
    <row r="58" spans="2:19" x14ac:dyDescent="0.75">
      <c r="P58" s="11">
        <v>44</v>
      </c>
      <c r="Q58" s="11">
        <f t="shared" si="17"/>
        <v>7</v>
      </c>
      <c r="R58" s="11">
        <f t="shared" si="18"/>
        <v>2</v>
      </c>
      <c r="S58" s="12" cm="1">
        <f t="array" ref="S58">INDEX('PatientFollowUp-ConceptMap-1'!$I$15:$N$55,Q58+1,R58)</f>
        <v>0</v>
      </c>
    </row>
    <row r="59" spans="2:19" x14ac:dyDescent="0.75">
      <c r="P59" s="11">
        <v>45</v>
      </c>
      <c r="Q59" s="11">
        <f t="shared" si="17"/>
        <v>7</v>
      </c>
      <c r="R59" s="11">
        <f t="shared" si="18"/>
        <v>3</v>
      </c>
      <c r="S59" s="12" cm="1">
        <f t="array" ref="S59">INDEX('PatientFollowUp-ConceptMap-1'!$I$15:$N$55,Q59+1,R59)</f>
        <v>0</v>
      </c>
    </row>
    <row r="60" spans="2:19" x14ac:dyDescent="0.75">
      <c r="P60" s="11">
        <v>46</v>
      </c>
      <c r="Q60" s="11">
        <f t="shared" si="17"/>
        <v>7</v>
      </c>
      <c r="R60" s="11">
        <f t="shared" si="18"/>
        <v>4</v>
      </c>
      <c r="S60" s="12" cm="1">
        <f t="array" ref="S60">INDEX('PatientFollowUp-ConceptMap-1'!$I$15:$N$55,Q60+1,R60)</f>
        <v>0</v>
      </c>
    </row>
    <row r="61" spans="2:19" x14ac:dyDescent="0.75">
      <c r="P61" s="11">
        <v>47</v>
      </c>
      <c r="Q61" s="11">
        <f t="shared" si="17"/>
        <v>7</v>
      </c>
      <c r="R61" s="11">
        <f t="shared" si="18"/>
        <v>5</v>
      </c>
      <c r="S61" s="12" cm="1">
        <f t="array" ref="S61">INDEX('PatientFollowUp-ConceptMap-1'!$I$15:$N$55,Q61+1,R61)</f>
        <v>0</v>
      </c>
    </row>
    <row r="62" spans="2:19" x14ac:dyDescent="0.75">
      <c r="P62" s="11">
        <v>48</v>
      </c>
      <c r="Q62" s="11">
        <f t="shared" si="17"/>
        <v>7</v>
      </c>
      <c r="R62" s="11">
        <f t="shared" si="18"/>
        <v>6</v>
      </c>
      <c r="S62" s="12" cm="1">
        <f t="array" ref="S62">INDEX('PatientFollowUp-ConceptMap-1'!$I$15:$N$55,Q62+1,R62)</f>
        <v>0</v>
      </c>
    </row>
    <row r="63" spans="2:19" x14ac:dyDescent="0.75">
      <c r="P63" s="11">
        <v>49</v>
      </c>
      <c r="Q63" s="11">
        <f t="shared" si="17"/>
        <v>8</v>
      </c>
      <c r="R63" s="11">
        <f t="shared" si="18"/>
        <v>1</v>
      </c>
      <c r="S63" s="12" cm="1">
        <f t="array" ref="S63">INDEX('PatientFollowUp-ConceptMap-1'!$I$15:$N$55,Q63+1,R63)</f>
        <v>0</v>
      </c>
    </row>
    <row r="64" spans="2:19" x14ac:dyDescent="0.75">
      <c r="P64" s="11">
        <v>50</v>
      </c>
      <c r="Q64" s="11">
        <f t="shared" si="17"/>
        <v>8</v>
      </c>
      <c r="R64" s="11">
        <f t="shared" si="18"/>
        <v>2</v>
      </c>
      <c r="S64" s="12" cm="1">
        <f t="array" ref="S64">INDEX('PatientFollowUp-ConceptMap-1'!$I$15:$N$55,Q64+1,R64)</f>
        <v>0</v>
      </c>
    </row>
    <row r="65" spans="16:19" x14ac:dyDescent="0.75">
      <c r="P65" s="11">
        <v>51</v>
      </c>
      <c r="Q65" s="11">
        <f t="shared" si="17"/>
        <v>8</v>
      </c>
      <c r="R65" s="11">
        <f t="shared" si="18"/>
        <v>3</v>
      </c>
      <c r="S65" s="12" cm="1">
        <f t="array" ref="S65">INDEX('PatientFollowUp-ConceptMap-1'!$I$15:$N$55,Q65+1,R65)</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J24" workbookViewId="0">
      <selection activeCell="P15" sqref="P15:S5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v>
      </c>
    </row>
    <row r="4" spans="1:19" x14ac:dyDescent="0.75">
      <c r="B4" s="47" t="s">
        <v>16</v>
      </c>
      <c r="C4" s="28" t="s">
        <v>1930</v>
      </c>
      <c r="D4" s="47" t="s">
        <v>1474</v>
      </c>
      <c r="E4" s="151" t="s">
        <v>2453</v>
      </c>
      <c r="F4" s="152"/>
      <c r="G4" s="152"/>
    </row>
    <row r="5" spans="1:19" x14ac:dyDescent="0.75">
      <c r="B5" s="47" t="s">
        <v>10</v>
      </c>
      <c r="C5" s="7" t="s">
        <v>1931</v>
      </c>
      <c r="D5" s="47"/>
      <c r="E5" s="7"/>
    </row>
    <row r="6" spans="1:19" x14ac:dyDescent="0.75">
      <c r="B6" s="47" t="s">
        <v>18</v>
      </c>
      <c r="C6" s="41"/>
      <c r="D6" s="47" t="s">
        <v>1475</v>
      </c>
      <c r="E6" s="151" t="str">
        <f>E3</f>
        <v>http://hl7.eu/fhir/ig/idea4rc/StructureDefinition/PatientFollowUp</v>
      </c>
      <c r="F6" s="152"/>
      <c r="G6" s="152"/>
    </row>
    <row r="7" spans="1:19" x14ac:dyDescent="0.75">
      <c r="B7" s="47" t="s">
        <v>15</v>
      </c>
      <c r="C7" s="72"/>
      <c r="D7" s="47" t="s">
        <v>1476</v>
      </c>
      <c r="E7" s="151" t="str">
        <f>C1&amp;"Condition-primaryCancer-eu-i4rc"</f>
        <v>http://hl7.eu/fhir/ig/idea4rc/StructureDefinition/Condition-primaryCancer-eu-i4rc</v>
      </c>
      <c r="F7" s="152"/>
      <c r="G7" s="152"/>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53"/>
      <c r="F9" s="154"/>
      <c r="G9" s="155"/>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2456</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##34#Intended as the diagnosis at the last follow up. 
Parent Encounter.diagnosis with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2288</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2300</v>
      </c>
      <c r="E19" s="12"/>
      <c r="F19" s="49" t="s">
        <v>1316</v>
      </c>
      <c r="G19" s="77" t="s">
        <v>2301</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2288</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##34#Intended as the diagnosis at the last follow up. 
Parent Encounter.diagnosis with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71" sqref="B71:B10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1859</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##34#TO BE MAPPED##34#</v>
      </c>
    </row>
    <row r="31" spans="2:7" x14ac:dyDescent="0.75">
      <c r="B31" s="12" t="str">
        <f>IF('PatientFollowUp-ConceptMap-1'!S27=0,"//---END",'PatientFollowUp-ConceptMap-1'!S27)</f>
        <v>* group[=].element[+].code = #PatientFollowUp.statusAtLastFollowUp</v>
      </c>
    </row>
    <row r="32" spans="2:7" x14ac:dyDescent="0.75">
      <c r="B32" s="12" t="str">
        <f>IF('PatientFollowUp-ConceptMap-1'!S28=0,"//---END",'PatientFollowUp-ConceptMap-1'!S28)</f>
        <v>* group[=].element[=].display = ##34#Status at last follow-up##34#</v>
      </c>
    </row>
    <row r="33" spans="2:2" x14ac:dyDescent="0.75">
      <c r="B33" s="12" t="str">
        <f>IF('PatientFollowUp-ConceptMap-1'!S29=0,"//---END",'PatientFollowUp-ConceptMap-1'!S29)</f>
        <v>* group[=].element[=].target.code = #Encounter.diagnosis.condition</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ht="44.25" x14ac:dyDescent="0.75">
      <c r="B36" s="12" t="str">
        <f>IF('PatientFollowUp-ConceptMap-1'!S32=0,"//---END",'PatientFollowUp-ConceptMap-1'!S32)</f>
        <v>* group[=].element[=].target.comment = ##34#Intended as the diagnosis at the last follow up. 
use = $diagnosis-role#AD (AdmissionDiagnosis)
Details in the referred Condition##34#</v>
      </c>
    </row>
    <row r="37" spans="2:2" x14ac:dyDescent="0.75">
      <c r="B37" s="12" t="str">
        <f>IF('PatientFollowUp-ConceptMap-1'!S33=0,"//---END",'PatientFollowUp-ConceptMap-1'!S33)</f>
        <v>* group[=].element[+].code = #PatientFollowUp.patientFollowUpDate</v>
      </c>
    </row>
    <row r="38" spans="2:2" x14ac:dyDescent="0.75">
      <c r="B38" s="12" t="str">
        <f>IF('PatientFollowUp-ConceptMap-1'!S34=0,"//---END",'PatientFollowUp-ConceptMap-1'!S34)</f>
        <v>* group[=].element[=].display = ##34#Patient Follow Up date##34#</v>
      </c>
    </row>
    <row r="39" spans="2:2" x14ac:dyDescent="0.75">
      <c r="B39" s="12" t="str">
        <f>IF('PatientFollowUp-ConceptMap-1'!S35=0,"//---END",'PatientFollowUp-ConceptMap-1'!S35)</f>
        <v>* group[=].element[=].target.code = #Encounter.period.start</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c>
    </row>
    <row r="43" spans="2:2" x14ac:dyDescent="0.75">
      <c r="B43" s="12" t="str">
        <f>IF('PatientFollowUp-ConceptMap-1'!S39=0,"//---END",'PatientFollowUp-ConceptMap-1'!S39)</f>
        <v>* group[=].element[+].code = #PatientFollowUp.newCancerDiagnosis</v>
      </c>
    </row>
    <row r="44" spans="2:2" x14ac:dyDescent="0.75">
      <c r="B44" s="12" t="str">
        <f>IF('PatientFollowUp-ConceptMap-1'!S40=0,"//---END",'PatientFollowUp-ConceptMap-1'!S40)</f>
        <v>* group[=].element[=].display = ##34#New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#PatientFollowUp.dateOfNewCancerDiagnosis</v>
      </c>
    </row>
    <row r="50" spans="2:2" x14ac:dyDescent="0.75">
      <c r="B50" s="12" t="str">
        <f>IF('PatientFollowUp-ConceptMap-1'!S46=0,"//---END",'PatientFollowUp-ConceptMap-1'!S46)</f>
        <v>* group[=].element[=].display = ##34#Date of new cancer diagnosis##34#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 group[=].element[+].code = #PatientFollowUp.newCancerTopography</v>
      </c>
    </row>
    <row r="56" spans="2:2" x14ac:dyDescent="0.75">
      <c r="B56" s="12" t="str">
        <f>IF('PatientFollowUp-ConceptMap-1'!S52=0,"//---END",'PatientFollowUp-ConceptMap-1'!S52)</f>
        <v>* group[=].element[=].display = ##34#New cancer topography##34#</v>
      </c>
    </row>
    <row r="57" spans="2:2" x14ac:dyDescent="0.75">
      <c r="B57" s="12" t="str">
        <f>IF('PatientFollowUp-ConceptMap-1'!S53=0,"//---END",'PatientFollowUp-ConceptMap-1'!S53)</f>
        <v>* group[=].element[=].target.code = #Encounter.diagnosis.condition</v>
      </c>
    </row>
    <row r="58" spans="2:2" x14ac:dyDescent="0.75">
      <c r="B58" s="12" t="str">
        <f>IF('PatientFollowUp-ConceptMap-1'!S54=0,"//---END",'PatientFollowUp-ConceptMap-1'!S54)</f>
        <v>* group[=].element[=].target.display = ##34###34#</v>
      </c>
    </row>
    <row r="59" spans="2:2" x14ac:dyDescent="0.75">
      <c r="B59" s="12" t="str">
        <f>IF('PatientFollowUp-ConceptMap-1'!S55=0,"//---END",'PatientFollowUp-ConceptMap-1'!S55)</f>
        <v>* group[=].element[=].target.equivalence = #relatedto</v>
      </c>
    </row>
    <row r="60" spans="2:2" ht="29.5" x14ac:dyDescent="0.75">
      <c r="B60" s="12" t="str">
        <f>IF('PatientFollowUp-ConceptMap-1'!S56=0,"//---END",'PatientFollowUp-ConceptMap-1'!S56)</f>
        <v>* group[=].element[=].target.comment = ##34#Where use = $diagnosis-role#DD (Discharge Diagnosis)
Details in the referred Condition##34#</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44.25" x14ac:dyDescent="0.75">
      <c r="B82" s="12" t="str">
        <f>IF('PatientFollowUp-ConceptMap-2'!S26=0,"//---END",'PatientFollowUp-ConceptMap-2'!S26)</f>
        <v>* group[=].element[=].target.comment = ##34#Intended as the diagnosis at the last follow up. 
Parent Encounter.diagnosis with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8" zoomScale="130" zoomScaleNormal="130" workbookViewId="0">
      <selection activeCell="D54" sqref="D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9" t="s">
        <v>2080</v>
      </c>
      <c r="J7" s="119" t="s">
        <v>2081</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1994</v>
      </c>
      <c r="C10" t="s">
        <v>1995</v>
      </c>
      <c r="D10" s="2" t="s">
        <v>1996</v>
      </c>
      <c r="E10" s="11">
        <v>1</v>
      </c>
      <c r="F10" s="11">
        <v>1</v>
      </c>
      <c r="G10" s="12" t="s">
        <v>1468</v>
      </c>
      <c r="H10" s="2" t="s">
        <v>2074</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1997</v>
      </c>
      <c r="C13" t="s">
        <v>1998</v>
      </c>
      <c r="D13" s="2" t="s">
        <v>1999</v>
      </c>
      <c r="E13" s="11">
        <v>1</v>
      </c>
      <c r="F13" s="11">
        <v>1</v>
      </c>
      <c r="G13" s="12" t="s">
        <v>44</v>
      </c>
      <c r="H13" s="2" t="s">
        <v>2075</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2076</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2100</v>
      </c>
      <c r="C15" s="4" t="s">
        <v>2101</v>
      </c>
      <c r="D15" s="4" t="s">
        <v>2101</v>
      </c>
      <c r="E15" s="6">
        <v>1</v>
      </c>
      <c r="F15" s="6">
        <v>1</v>
      </c>
      <c r="G15" s="4" t="s">
        <v>1</v>
      </c>
      <c r="H15" s="4" t="s">
        <v>2077</v>
      </c>
      <c r="I15" s="12" t="b">
        <v>1</v>
      </c>
      <c r="J15" s="12" t="b">
        <v>1</v>
      </c>
      <c r="K15" s="122"/>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2102</v>
      </c>
      <c r="C16" s="12" t="s">
        <v>1354</v>
      </c>
      <c r="D16" s="12" t="s">
        <v>1355</v>
      </c>
      <c r="E16" s="11">
        <v>1</v>
      </c>
      <c r="F16" s="11">
        <v>1</v>
      </c>
      <c r="G16" s="12" t="s">
        <v>1468</v>
      </c>
      <c r="H16" s="2" t="s">
        <v>2055</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2103</v>
      </c>
      <c r="C17" s="12" t="s">
        <v>1356</v>
      </c>
      <c r="D17" s="12" t="s">
        <v>1357</v>
      </c>
      <c r="E17" s="11">
        <v>1</v>
      </c>
      <c r="F17" s="11">
        <v>1</v>
      </c>
      <c r="G17" s="12" t="s">
        <v>1468</v>
      </c>
      <c r="H17" s="2" t="s">
        <v>2056</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2104</v>
      </c>
      <c r="C18" s="12" t="s">
        <v>1358</v>
      </c>
      <c r="D18" s="12" t="s">
        <v>1359</v>
      </c>
      <c r="E18" s="11">
        <v>1</v>
      </c>
      <c r="F18" s="11">
        <v>1</v>
      </c>
      <c r="G18" s="12" t="s">
        <v>1468</v>
      </c>
      <c r="H18" s="2" t="s">
        <v>2057</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2105</v>
      </c>
      <c r="C19" s="12" t="s">
        <v>1360</v>
      </c>
      <c r="D19" s="12" t="s">
        <v>1361</v>
      </c>
      <c r="E19" s="11">
        <v>1</v>
      </c>
      <c r="F19" s="11">
        <v>1</v>
      </c>
      <c r="G19" s="12" t="s">
        <v>1468</v>
      </c>
      <c r="H19" s="2" t="s">
        <v>2058</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2106</v>
      </c>
      <c r="C20" s="117" t="s">
        <v>1362</v>
      </c>
      <c r="D20" s="117" t="s">
        <v>1363</v>
      </c>
      <c r="E20" s="3">
        <v>1</v>
      </c>
      <c r="F20" s="3">
        <v>1</v>
      </c>
      <c r="G20" s="117" t="s">
        <v>1468</v>
      </c>
      <c r="H20" s="2" t="s">
        <v>2059</v>
      </c>
      <c r="I20" s="12" t="b">
        <v>1</v>
      </c>
      <c r="J20" s="12" t="b">
        <v>1</v>
      </c>
      <c r="K20" s="25"/>
      <c r="L20" s="117" t="str">
        <f t="shared" si="1"/>
        <v>* hnClassification.histologySNUC 1..1 CodeableConcept ##34#Histology Sinonasal undifferentiated carcinoma##34# ##334#Specifies the histological subgroup for sinonasl undifferentiated carcinomas##334#</v>
      </c>
      <c r="M20"/>
      <c r="N20" s="117"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2107</v>
      </c>
      <c r="C21" s="11" t="s">
        <v>2000</v>
      </c>
      <c r="D21" s="12" t="s">
        <v>2001</v>
      </c>
      <c r="E21" s="11">
        <v>1</v>
      </c>
      <c r="F21" s="11">
        <v>1</v>
      </c>
      <c r="G21" s="12" t="s">
        <v>1468</v>
      </c>
      <c r="H21" s="12" t="s">
        <v>2060</v>
      </c>
      <c r="I21" s="12" t="b">
        <v>0</v>
      </c>
      <c r="J21" s="12" t="b">
        <v>1</v>
      </c>
      <c r="K21" s="11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2108</v>
      </c>
      <c r="C22" s="11" t="s">
        <v>2002</v>
      </c>
      <c r="D22" s="73" t="s">
        <v>2002</v>
      </c>
      <c r="E22" s="11">
        <v>1</v>
      </c>
      <c r="F22" s="11">
        <v>1</v>
      </c>
      <c r="G22" s="12" t="s">
        <v>1468</v>
      </c>
      <c r="H22" s="12" t="s">
        <v>2061</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2109</v>
      </c>
      <c r="C23" s="11" t="s">
        <v>2003</v>
      </c>
      <c r="D23" s="11" t="s">
        <v>2003</v>
      </c>
      <c r="E23" s="11">
        <v>1</v>
      </c>
      <c r="F23" s="11">
        <v>1</v>
      </c>
      <c r="G23" s="12" t="s">
        <v>1468</v>
      </c>
      <c r="H23" s="12" t="s">
        <v>2062</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18" t="s">
        <v>2290</v>
      </c>
      <c r="B24" s="6" t="s">
        <v>2099</v>
      </c>
      <c r="C24" s="6" t="s">
        <v>2110</v>
      </c>
      <c r="D24" s="6" t="s">
        <v>2110</v>
      </c>
      <c r="E24" s="6">
        <v>1</v>
      </c>
      <c r="F24" s="6">
        <v>1</v>
      </c>
      <c r="G24" s="12" t="s">
        <v>1</v>
      </c>
      <c r="H24" s="61"/>
      <c r="I24" s="12" t="b">
        <v>0</v>
      </c>
      <c r="J24" s="12" t="b">
        <v>1</v>
      </c>
      <c r="K24" s="123"/>
      <c r="L24" s="116" t="str">
        <f t="shared" si="1"/>
        <v>* sarcomaClassification 1..1 BackboneElement ##34#Sarcoma classification##34# ##334#Sarcoma classification##334#</v>
      </c>
      <c r="M24"/>
      <c r="N24" s="116" t="str">
        <f t="shared" si="2"/>
        <v/>
      </c>
      <c r="P24" s="12" t="str">
        <f t="shared" si="3"/>
        <v/>
      </c>
      <c r="Q24"/>
      <c r="R24" s="12" t="str">
        <f t="shared" si="4"/>
        <v>* sarcomaClassification insert ObligationActorAndCode($actor-sarcoma-i4rc, #handle)</v>
      </c>
    </row>
    <row r="25" spans="1:18" s="2" customFormat="1" ht="324.5" x14ac:dyDescent="0.75">
      <c r="A25" s="11">
        <v>16</v>
      </c>
      <c r="B25" s="11" t="s">
        <v>2111</v>
      </c>
      <c r="C25" s="11" t="s">
        <v>2004</v>
      </c>
      <c r="D25" s="11" t="s">
        <v>2004</v>
      </c>
      <c r="E25" s="11">
        <v>1</v>
      </c>
      <c r="F25" s="11">
        <v>1</v>
      </c>
      <c r="G25" s="12" t="s">
        <v>1468</v>
      </c>
      <c r="H25" s="2" t="s">
        <v>2063</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2112</v>
      </c>
      <c r="C26" s="11" t="s">
        <v>2005</v>
      </c>
      <c r="D26" s="11" t="s">
        <v>2005</v>
      </c>
      <c r="E26" s="11">
        <v>1</v>
      </c>
      <c r="F26" s="11">
        <v>1</v>
      </c>
      <c r="G26" s="12" t="s">
        <v>1468</v>
      </c>
      <c r="H26" s="2" t="s">
        <v>2064</v>
      </c>
      <c r="I26" s="12" t="b">
        <v>0</v>
      </c>
      <c r="J26" s="12" t="b">
        <v>1</v>
      </c>
      <c r="K26" s="115"/>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2113</v>
      </c>
      <c r="C27" s="11" t="s">
        <v>2006</v>
      </c>
      <c r="D27" s="11" t="s">
        <v>2006</v>
      </c>
      <c r="E27" s="11">
        <v>1</v>
      </c>
      <c r="F27" s="11">
        <v>1</v>
      </c>
      <c r="G27" s="12" t="s">
        <v>1468</v>
      </c>
      <c r="H27" s="2" t="s">
        <v>2065</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2114</v>
      </c>
      <c r="C28" s="11" t="s">
        <v>2007</v>
      </c>
      <c r="D28" s="11" t="s">
        <v>2007</v>
      </c>
      <c r="E28" s="11">
        <v>1</v>
      </c>
      <c r="F28" s="11">
        <v>1</v>
      </c>
      <c r="G28" s="12" t="s">
        <v>1468</v>
      </c>
      <c r="H28" s="12" t="s">
        <v>2066</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2115</v>
      </c>
      <c r="C29" s="11" t="s">
        <v>2008</v>
      </c>
      <c r="D29" s="11" t="s">
        <v>2008</v>
      </c>
      <c r="E29" s="11">
        <v>1</v>
      </c>
      <c r="F29" s="11">
        <v>1</v>
      </c>
      <c r="G29" s="12" t="s">
        <v>1468</v>
      </c>
      <c r="H29" s="12" t="s">
        <v>2067</v>
      </c>
      <c r="I29" s="12" t="b">
        <v>0</v>
      </c>
      <c r="J29" s="12" t="b">
        <v>1</v>
      </c>
      <c r="K29" s="11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2116</v>
      </c>
      <c r="C30" s="11" t="s">
        <v>2009</v>
      </c>
      <c r="D30" s="11" t="s">
        <v>2009</v>
      </c>
      <c r="E30" s="11">
        <v>1</v>
      </c>
      <c r="F30" s="11">
        <v>1</v>
      </c>
      <c r="G30" s="12" t="s">
        <v>1468</v>
      </c>
      <c r="H30" s="12" t="s">
        <v>2068</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2117</v>
      </c>
      <c r="C31" s="11" t="s">
        <v>2010</v>
      </c>
      <c r="D31" s="11" t="s">
        <v>2010</v>
      </c>
      <c r="E31" s="11">
        <v>1</v>
      </c>
      <c r="F31" s="11">
        <v>1</v>
      </c>
      <c r="G31" s="12" t="s">
        <v>1468</v>
      </c>
      <c r="H31" s="12" t="s">
        <v>2069</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2118</v>
      </c>
      <c r="C32" s="11" t="s">
        <v>2011</v>
      </c>
      <c r="D32" s="11" t="s">
        <v>2011</v>
      </c>
      <c r="E32" s="11">
        <v>1</v>
      </c>
      <c r="F32" s="11">
        <v>1</v>
      </c>
      <c r="G32" s="12" t="s">
        <v>1468</v>
      </c>
      <c r="H32" s="12" t="s">
        <v>2070</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2119</v>
      </c>
      <c r="C33" s="11" t="s">
        <v>2012</v>
      </c>
      <c r="D33" s="11" t="s">
        <v>2012</v>
      </c>
      <c r="E33" s="11">
        <v>1</v>
      </c>
      <c r="F33" s="11">
        <v>1</v>
      </c>
      <c r="G33" s="12" t="s">
        <v>1468</v>
      </c>
      <c r="H33" s="12" t="s">
        <v>2071</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2120</v>
      </c>
      <c r="C34" s="11" t="s">
        <v>2013</v>
      </c>
      <c r="D34" s="11" t="s">
        <v>2013</v>
      </c>
      <c r="E34" s="11">
        <v>1</v>
      </c>
      <c r="F34" s="11">
        <v>1</v>
      </c>
      <c r="G34" s="12" t="s">
        <v>1468</v>
      </c>
      <c r="H34" s="12" t="s">
        <v>2072</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2121</v>
      </c>
      <c r="C35" s="11" t="s">
        <v>2014</v>
      </c>
      <c r="D35" s="11" t="s">
        <v>2014</v>
      </c>
      <c r="E35" s="11">
        <v>1</v>
      </c>
      <c r="F35" s="11">
        <v>1</v>
      </c>
      <c r="G35" s="12" t="s">
        <v>1468</v>
      </c>
      <c r="H35" s="12" t="s">
        <v>2073</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2033</v>
      </c>
      <c r="C36" s="11" t="s">
        <v>2033</v>
      </c>
      <c r="D36" s="11" t="s">
        <v>2033</v>
      </c>
      <c r="E36" s="11">
        <v>1</v>
      </c>
      <c r="F36" s="113">
        <v>1</v>
      </c>
      <c r="G36" s="12" t="s">
        <v>1</v>
      </c>
      <c r="H36" s="12"/>
      <c r="I36" s="12" t="b">
        <v>1</v>
      </c>
      <c r="J36" s="12" t="b">
        <v>0</v>
      </c>
      <c r="K36" s="123"/>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2123</v>
      </c>
      <c r="C37" s="12" t="s">
        <v>1364</v>
      </c>
      <c r="D37" s="12" t="s">
        <v>1365</v>
      </c>
      <c r="E37" s="11">
        <v>1</v>
      </c>
      <c r="F37" s="11">
        <v>1</v>
      </c>
      <c r="G37" s="12" t="s">
        <v>1468</v>
      </c>
      <c r="H37" s="12" t="s">
        <v>2039</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2124</v>
      </c>
      <c r="C38" s="12" t="s">
        <v>1366</v>
      </c>
      <c r="D38" s="12" t="s">
        <v>1367</v>
      </c>
      <c r="E38" s="11">
        <v>1</v>
      </c>
      <c r="F38" s="11">
        <v>1</v>
      </c>
      <c r="G38" s="12" t="s">
        <v>1468</v>
      </c>
      <c r="H38" s="12" t="s">
        <v>2040</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2125</v>
      </c>
      <c r="C39" s="116" t="s">
        <v>1368</v>
      </c>
      <c r="D39" s="116" t="s">
        <v>1369</v>
      </c>
      <c r="E39" s="46">
        <v>1</v>
      </c>
      <c r="F39" s="46">
        <v>1</v>
      </c>
      <c r="G39" s="116" t="s">
        <v>1468</v>
      </c>
      <c r="H39" s="116" t="s">
        <v>2041</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2126</v>
      </c>
      <c r="C40" s="12" t="s">
        <v>1370</v>
      </c>
      <c r="D40" s="12" t="s">
        <v>1371</v>
      </c>
      <c r="E40" s="11">
        <v>1</v>
      </c>
      <c r="F40" s="11">
        <v>1</v>
      </c>
      <c r="G40" s="12" t="s">
        <v>1468</v>
      </c>
      <c r="H40" s="12" t="s">
        <v>2042</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2127</v>
      </c>
      <c r="C41" s="12" t="s">
        <v>1372</v>
      </c>
      <c r="D41" s="12" t="s">
        <v>1373</v>
      </c>
      <c r="E41" s="11">
        <v>1</v>
      </c>
      <c r="F41" s="11">
        <v>1</v>
      </c>
      <c r="G41" s="12" t="s">
        <v>1468</v>
      </c>
      <c r="H41" s="12" t="s">
        <v>2043</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2128</v>
      </c>
      <c r="C42" s="12" t="s">
        <v>1374</v>
      </c>
      <c r="D42" s="12" t="s">
        <v>1375</v>
      </c>
      <c r="E42" s="11">
        <v>1</v>
      </c>
      <c r="F42" s="11">
        <v>1</v>
      </c>
      <c r="G42" s="12" t="s">
        <v>1468</v>
      </c>
      <c r="H42" s="12" t="s">
        <v>2044</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2129</v>
      </c>
      <c r="C43" s="12" t="s">
        <v>1376</v>
      </c>
      <c r="D43" s="12" t="s">
        <v>1377</v>
      </c>
      <c r="E43" s="11">
        <v>1</v>
      </c>
      <c r="F43" s="11">
        <v>1</v>
      </c>
      <c r="G43" s="12" t="s">
        <v>1468</v>
      </c>
      <c r="H43" s="12" t="s">
        <v>2045</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2130</v>
      </c>
      <c r="C44" s="11" t="s">
        <v>2015</v>
      </c>
      <c r="D44" s="12" t="s">
        <v>2016</v>
      </c>
      <c r="E44" s="11">
        <v>1</v>
      </c>
      <c r="F44" s="11">
        <v>1</v>
      </c>
      <c r="G44" s="12" t="s">
        <v>1468</v>
      </c>
      <c r="H44" s="12" t="s">
        <v>2046</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2034</v>
      </c>
      <c r="C45" s="11" t="s">
        <v>2017</v>
      </c>
      <c r="D45" s="12" t="s">
        <v>2016</v>
      </c>
      <c r="E45" s="11">
        <v>1</v>
      </c>
      <c r="F45" s="11">
        <v>1</v>
      </c>
      <c r="G45" s="12" t="s">
        <v>1468</v>
      </c>
      <c r="H45" s="12" t="s">
        <v>2047</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2035</v>
      </c>
      <c r="C46" s="11" t="s">
        <v>2018</v>
      </c>
      <c r="D46" s="12" t="s">
        <v>2016</v>
      </c>
      <c r="E46" s="11">
        <v>1</v>
      </c>
      <c r="F46" s="11">
        <v>1</v>
      </c>
      <c r="G46" s="12" t="s">
        <v>1468</v>
      </c>
      <c r="H46" s="12" t="s">
        <v>2048</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2036</v>
      </c>
      <c r="C47" s="11" t="s">
        <v>2019</v>
      </c>
      <c r="D47" s="12" t="s">
        <v>2016</v>
      </c>
      <c r="E47" s="11">
        <v>1</v>
      </c>
      <c r="F47" s="11">
        <v>1</v>
      </c>
      <c r="G47" s="12" t="s">
        <v>1468</v>
      </c>
      <c r="H47" s="12" t="s">
        <v>2049</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2037</v>
      </c>
      <c r="C48" s="11" t="s">
        <v>2020</v>
      </c>
      <c r="D48" s="12" t="s">
        <v>2016</v>
      </c>
      <c r="E48" s="11">
        <v>1</v>
      </c>
      <c r="F48" s="11">
        <v>1</v>
      </c>
      <c r="G48" s="12" t="s">
        <v>1468</v>
      </c>
      <c r="H48" s="12" t="s">
        <v>2449</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2038</v>
      </c>
      <c r="C49" s="11" t="s">
        <v>2021</v>
      </c>
      <c r="D49" s="12" t="s">
        <v>2016</v>
      </c>
      <c r="E49" s="11">
        <v>1</v>
      </c>
      <c r="F49" s="11">
        <v>1</v>
      </c>
      <c r="G49" s="12" t="s">
        <v>1468</v>
      </c>
      <c r="H49" s="12" t="s">
        <v>2050</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2291</v>
      </c>
      <c r="C50" s="11" t="s">
        <v>2022</v>
      </c>
      <c r="D50" s="12" t="s">
        <v>2016</v>
      </c>
      <c r="E50" s="11">
        <v>1</v>
      </c>
      <c r="F50" s="11">
        <v>1</v>
      </c>
      <c r="G50" s="12" t="s">
        <v>1468</v>
      </c>
      <c r="H50" s="12" t="s">
        <v>2051</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2122</v>
      </c>
      <c r="C51" s="11" t="s">
        <v>2023</v>
      </c>
      <c r="D51" s="12" t="s">
        <v>2016</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2024</v>
      </c>
      <c r="C52" s="11" t="s">
        <v>2025</v>
      </c>
      <c r="D52" s="12" t="s">
        <v>2026</v>
      </c>
      <c r="E52" s="11">
        <v>1</v>
      </c>
      <c r="F52" s="11">
        <v>1</v>
      </c>
      <c r="G52" s="12" t="s">
        <v>1990</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2027</v>
      </c>
      <c r="C53" s="11" t="s">
        <v>2028</v>
      </c>
      <c r="D53" s="12" t="s">
        <v>2029</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2030</v>
      </c>
      <c r="C54" s="11" t="s">
        <v>2031</v>
      </c>
      <c r="D54" s="12" t="s">
        <v>2032</v>
      </c>
      <c r="E54" s="11">
        <v>1</v>
      </c>
      <c r="F54" s="11">
        <v>1</v>
      </c>
      <c r="G54" s="12" t="s">
        <v>1990</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2052</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2053</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1805</v>
      </c>
      <c r="D57" s="12" t="s">
        <v>1382</v>
      </c>
      <c r="E57" s="11">
        <v>0</v>
      </c>
      <c r="F57" s="11">
        <v>1</v>
      </c>
      <c r="G57" s="12" t="s">
        <v>1468</v>
      </c>
      <c r="H57" s="12" t="s">
        <v>2054</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1" t="str">
        <f>CancerEpisode!P1</f>
        <v>// -------------------------------------------------------------------------------</v>
      </c>
    </row>
    <row r="125" spans="3:3" x14ac:dyDescent="0.75">
      <c r="C125" s="121" t="str">
        <f>CancerEpisode!P2</f>
        <v>// Obligations H&amp;N</v>
      </c>
    </row>
    <row r="126" spans="3:3" x14ac:dyDescent="0.75">
      <c r="C126" s="121"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1" t="str">
        <f>CancerEpisode!R1</f>
        <v>// -------------------------------------------------------------------------------</v>
      </c>
    </row>
    <row r="184" spans="3:3" x14ac:dyDescent="0.75">
      <c r="C184" s="121" t="str">
        <f>CancerEpisode!R2</f>
        <v>// Obligations Sarcoma</v>
      </c>
    </row>
    <row r="185" spans="3:3" x14ac:dyDescent="0.75">
      <c r="C185" s="121"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D63" sqref="D63"/>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1" t="s">
        <v>1486</v>
      </c>
      <c r="F4" s="152"/>
      <c r="G4" s="152"/>
    </row>
    <row r="5" spans="1:19" x14ac:dyDescent="0.75">
      <c r="B5" s="47" t="s">
        <v>10</v>
      </c>
      <c r="C5" s="7" t="s">
        <v>1483</v>
      </c>
      <c r="D5" s="47"/>
      <c r="E5" s="7"/>
    </row>
    <row r="6" spans="1:19" x14ac:dyDescent="0.75">
      <c r="B6" s="47" t="s">
        <v>18</v>
      </c>
      <c r="C6" s="41"/>
      <c r="D6" s="47" t="s">
        <v>1475</v>
      </c>
      <c r="E6" s="151" t="str">
        <f>E3</f>
        <v>http://hl7.eu/fhir/ig/idea4rc/StructureDefinition/CancerEpisode</v>
      </c>
      <c r="F6" s="152"/>
      <c r="G6" s="152"/>
    </row>
    <row r="7" spans="1:19" x14ac:dyDescent="0.75">
      <c r="B7" s="47" t="s">
        <v>15</v>
      </c>
      <c r="C7" s="72"/>
      <c r="D7" s="47" t="s">
        <v>1476</v>
      </c>
      <c r="E7" s="151" t="s">
        <v>1486</v>
      </c>
      <c r="F7" s="152"/>
      <c r="G7" s="152"/>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0"/>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2299</v>
      </c>
      <c r="E16" s="11"/>
      <c r="F16" s="49" t="s">
        <v>1294</v>
      </c>
      <c r="G16" s="74" t="s">
        <v>2418</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2414</v>
      </c>
      <c r="E17" s="11"/>
      <c r="F17" s="49" t="s">
        <v>1294</v>
      </c>
      <c r="G17" s="74" t="s">
        <v>2298</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2414</v>
      </c>
      <c r="E18" s="11"/>
      <c r="F18" s="49" t="s">
        <v>1294</v>
      </c>
      <c r="G18" s="74" t="s">
        <v>2298</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2414</v>
      </c>
      <c r="E19" s="11"/>
      <c r="F19" s="49" t="s">
        <v>1294</v>
      </c>
      <c r="G19" s="74" t="s">
        <v>2298</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2415</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2297</v>
      </c>
      <c r="E21" s="11"/>
      <c r="F21" s="49" t="s">
        <v>1316</v>
      </c>
      <c r="G21" s="144" t="s">
        <v>2416</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2417</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8"/>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8"/>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8"/>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8"/>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8"/>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8"/>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8"/>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 xml:space="preserve">Histology subgroup So-called fibrohistiocytic tumours
</v>
      </c>
      <c r="D31" s="12" t="s">
        <v>1329</v>
      </c>
      <c r="E31" s="12"/>
      <c r="F31" s="49" t="s">
        <v>1294</v>
      </c>
      <c r="G31" s="138"/>
      <c r="H31" s="43"/>
      <c r="I31" s="12" t="str">
        <f t="shared" si="15"/>
        <v>* group[=].element[+].code = #CancerEpisode.hnClassification.socalledFibrohistiocyticTumours</v>
      </c>
      <c r="J31" s="12" t="str">
        <f t="shared" si="16"/>
        <v>* group[=].element[=].display = ##34#Histology subgroup So-called fibrohistiocytic tumours
##34#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2417</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 xml:space="preserve">Vascular tumours </v>
      </c>
      <c r="D33" s="12" t="s">
        <v>1329</v>
      </c>
      <c r="E33" s="12"/>
      <c r="F33" s="49" t="s">
        <v>1294</v>
      </c>
      <c r="G33" s="138"/>
      <c r="H33" s="43"/>
      <c r="I33" s="12" t="str">
        <f t="shared" si="15"/>
        <v>* group[=].element[+].code = #CancerEpisode.sarcomaClassification.vascularTumours</v>
      </c>
      <c r="J33" s="12" t="str">
        <f t="shared" si="16"/>
        <v>* group[=].element[=].display = ##34#Vascular tumours ##34#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 xml:space="preserve">Pericytic (perivascular) tumours
</v>
      </c>
      <c r="D34" s="12" t="s">
        <v>1329</v>
      </c>
      <c r="E34" s="12"/>
      <c r="F34" s="49" t="s">
        <v>1294</v>
      </c>
      <c r="G34" s="138"/>
      <c r="H34" s="43"/>
      <c r="I34" s="12" t="str">
        <f t="shared" si="15"/>
        <v>* group[=].element[+].code = #CancerEpisode.sarcomaClassification.pericyticPerivascularTumours</v>
      </c>
      <c r="J34" s="12" t="str">
        <f t="shared" si="16"/>
        <v>* group[=].element[=].display = ##34#Pericytic (perivascular) tumours
##34#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8"/>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8"/>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 xml:space="preserve">Chondro-osseous tumours
</v>
      </c>
      <c r="D37" s="12" t="s">
        <v>1329</v>
      </c>
      <c r="E37" s="12"/>
      <c r="F37" s="49" t="s">
        <v>1294</v>
      </c>
      <c r="G37" s="138"/>
      <c r="H37" s="43"/>
      <c r="I37" s="12" t="str">
        <f t="shared" si="15"/>
        <v>* group[=].element[+].code = #CancerEpisode.sarcomaClassification.chondroOsseousTumours</v>
      </c>
      <c r="J37" s="12" t="str">
        <f t="shared" si="16"/>
        <v>* group[=].element[=].display = ##34#Chondro-osseous tumours
##34#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8"/>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8"/>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8"/>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8"/>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8"/>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8"/>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8"/>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8"/>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8"/>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8"/>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8"/>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8"/>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8"/>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8"/>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8"/>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8"/>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8"/>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8"/>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8"/>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8"/>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8"/>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8"/>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2419</v>
      </c>
      <c r="E60" s="12"/>
      <c r="F60" s="49" t="s">
        <v>1316</v>
      </c>
      <c r="G60" s="145" t="s">
        <v>2421</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 xml:space="preserve">Depth </v>
      </c>
      <c r="D61" s="12" t="s">
        <v>2296</v>
      </c>
      <c r="E61" s="12"/>
      <c r="F61" s="49" t="s">
        <v>1316</v>
      </c>
      <c r="G61" s="77"/>
      <c r="H61" s="43"/>
      <c r="I61" s="12" t="str">
        <f t="shared" si="15"/>
        <v>* group[=].element[+].code = #CancerEpisode.depth</v>
      </c>
      <c r="J61" s="12" t="str">
        <f t="shared" si="16"/>
        <v>* group[=].element[=].display = ##34#Depth ##34#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103.25" x14ac:dyDescent="0.75">
      <c r="A62" s="12" t="str">
        <f>CancerEpisode!B54</f>
        <v>biopsyMitoticCount</v>
      </c>
      <c r="B62" s="11" t="str">
        <f>CancerEpisode!B54</f>
        <v>biopsyMitoticCount</v>
      </c>
      <c r="C62" s="11" t="str">
        <f>CancerEpisode!C54</f>
        <v xml:space="preserve">Biopsy Mitotic count </v>
      </c>
      <c r="D62" s="12" t="s">
        <v>2422</v>
      </c>
      <c r="E62" s="12"/>
      <c r="F62" s="49" t="s">
        <v>1294</v>
      </c>
      <c r="G62" s="91" t="s">
        <v>2293</v>
      </c>
      <c r="H62" s="43"/>
      <c r="I62" s="12" t="str">
        <f t="shared" si="15"/>
        <v>* group[=].element[+].code = #CancerEpisode.biopsyMitoticCount</v>
      </c>
      <c r="J62" s="12" t="str">
        <f t="shared" si="16"/>
        <v>* group[=].element[=].display = ##34#Biopsy Mitotic count ##34#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$sct#371472000 Mitotic count score
NOTE : code to be checked !##34#</v>
      </c>
      <c r="P62" s="11">
        <v>48</v>
      </c>
      <c r="Q62" s="11">
        <f t="shared" si="13"/>
        <v>7</v>
      </c>
      <c r="R62" s="11">
        <f t="shared" si="14"/>
        <v>6</v>
      </c>
      <c r="S62" s="12" t="str" cm="1">
        <f t="array" ref="S62">INDEX('CancerEpisode-ConceptMap-1'!$I$15:$N$152,Q62+1,R62)</f>
        <v/>
      </c>
    </row>
    <row r="63" spans="1:19" ht="103.25" x14ac:dyDescent="0.75">
      <c r="A63" s="12" t="str">
        <f>CancerEpisode!B55</f>
        <v>plasmaticEbvDnaAtBaseline</v>
      </c>
      <c r="B63" s="11" t="str">
        <f>CancerEpisode!B55</f>
        <v>plasmaticEbvDnaAtBaseline</v>
      </c>
      <c r="C63" s="11" t="str">
        <f>CancerEpisode!C55</f>
        <v>Plasmatic EBV DNA at baseline</v>
      </c>
      <c r="D63" s="12" t="s">
        <v>2420</v>
      </c>
      <c r="E63" s="12"/>
      <c r="F63" s="49" t="s">
        <v>1294</v>
      </c>
      <c r="G63" s="91" t="s">
        <v>2292</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43730-1 EBV DNA NAA+probe Qn.
NOTE : code to be changed !##34#</v>
      </c>
      <c r="P63" s="11">
        <v>49</v>
      </c>
      <c r="Q63" s="11">
        <f t="shared" si="13"/>
        <v>8</v>
      </c>
      <c r="R63" s="11">
        <f t="shared" si="14"/>
        <v>1</v>
      </c>
      <c r="S63" s="12" t="str" cm="1">
        <f t="array" ref="S63">INDEX('CancerEpisode-ConceptMap-1'!$I$15:$N$152,Q63+1,R63)</f>
        <v>* group[=].element[+].code = #CancerEpisode.hnClassification</v>
      </c>
    </row>
    <row r="64" spans="1:19" ht="132.75" x14ac:dyDescent="0.75">
      <c r="A64" s="12" t="str">
        <f>CancerEpisode!B56</f>
        <v>hpvStatus</v>
      </c>
      <c r="B64" s="11" t="str">
        <f>CancerEpisode!B56</f>
        <v>hpvStatus</v>
      </c>
      <c r="C64" s="11" t="str">
        <f>CancerEpisode!C56</f>
        <v>HPV status</v>
      </c>
      <c r="D64" s="12" t="s">
        <v>2420</v>
      </c>
      <c r="E64" s="12"/>
      <c r="F64" s="49" t="s">
        <v>1294</v>
      </c>
      <c r="G64" s="91" t="s">
        <v>2294</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77377-0 HPV 16 and 18 and 31+33+35+39+45+51+52+56+58+59+66+68 DNA (Specimen) [Interp]
NOTE : code to be checked !##34#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2420</v>
      </c>
      <c r="E65" s="12"/>
      <c r="F65" s="49" t="s">
        <v>1294</v>
      </c>
      <c r="G65" s="91" t="s">
        <v>2295</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11039-5 C reactive protein [Presence] in Serum or Plasma
NOTE : code to be checked !##34#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59" x14ac:dyDescent="0.75">
      <c r="P112" s="11">
        <v>98</v>
      </c>
      <c r="Q112" s="11">
        <f t="shared" si="21"/>
        <v>16</v>
      </c>
      <c r="R112" s="11">
        <f t="shared" si="22"/>
        <v>2</v>
      </c>
      <c r="S112" s="12" t="str" cm="1">
        <f t="array" ref="S112">INDEX('CancerEpisode-ConceptMap-1'!$I$15:$N$152,Q112+1,R112)</f>
        <v>* group[=].element[=].display = ##34#Histology subgroup So-called fibrohistiocytic tumours
##34#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 ##34#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ht="29.5" x14ac:dyDescent="0.75">
      <c r="P130" s="11">
        <v>116</v>
      </c>
      <c r="Q130" s="11">
        <f t="shared" si="21"/>
        <v>19</v>
      </c>
      <c r="R130" s="11">
        <f t="shared" si="22"/>
        <v>2</v>
      </c>
      <c r="S130" s="12" t="str" cm="1">
        <f t="array" ref="S130">INDEX('CancerEpisode-ConceptMap-1'!$I$15:$N$152,Q130+1,R130)</f>
        <v>* group[=].element[=].display = ##34#Pericytic (perivascular) tumours
##34#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ht="29.5" x14ac:dyDescent="0.75">
      <c r="P148" s="11">
        <v>134</v>
      </c>
      <c r="Q148" s="11">
        <f t="shared" si="23"/>
        <v>22</v>
      </c>
      <c r="R148" s="11">
        <f t="shared" si="24"/>
        <v>2</v>
      </c>
      <c r="S148" s="12" t="str" cm="1">
        <f t="array" ref="S148">INDEX('CancerEpisode-ConceptMap-1'!$I$15:$N$152,Q148+1,R148)</f>
        <v>* group[=].element[=].display = ##34#Chondro-osseous tumours
##34#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 ##34#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 ##34#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44.25" x14ac:dyDescent="0.75">
      <c r="P302" s="11">
        <v>288</v>
      </c>
      <c r="Q302" s="11">
        <f t="shared" si="27"/>
        <v>47</v>
      </c>
      <c r="R302" s="11">
        <f t="shared" si="28"/>
        <v>6</v>
      </c>
      <c r="S302" s="12" t="str" cm="1">
        <f t="array" ref="S302">INDEX('CancerEpisode-ConceptMap-1'!$I$15:$N$152,Q302+1,R302)</f>
        <v>* group[=].element[=].target.comment = ##34#Where evidence.code is $sct#371472000 Mitotic count score
NOTE : code to be checked !##34#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44.25" x14ac:dyDescent="0.75">
      <c r="P308" s="11">
        <v>294</v>
      </c>
      <c r="Q308" s="11">
        <f t="shared" si="27"/>
        <v>48</v>
      </c>
      <c r="R308" s="11">
        <f t="shared" si="28"/>
        <v>6</v>
      </c>
      <c r="S308" s="12" t="str" cm="1">
        <f t="array" ref="S308">INDEX('CancerEpisode-ConceptMap-1'!$I$15:$N$152,Q308+1,R308)</f>
        <v>* group[=].element[=].target.comment = ##34#Where evidence.code is 43730-1 EBV DNA NAA+probe Qn.
NOTE : code to be changed !##34#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44.25" x14ac:dyDescent="0.75">
      <c r="P314" s="11">
        <v>300</v>
      </c>
      <c r="Q314" s="11">
        <f t="shared" si="27"/>
        <v>49</v>
      </c>
      <c r="R314" s="11">
        <f t="shared" si="28"/>
        <v>6</v>
      </c>
      <c r="S314" s="12" t="str" cm="1">
        <f t="array" ref="S314">INDEX('CancerEpisode-ConceptMap-1'!$I$15:$N$152,Q314+1,R314)</f>
        <v>* group[=].element[=].target.comment = ##34#Where evidence.code is 77377-0 HPV 16 and 18 and 31+33+35+39+45+51+52+56+58+59+66+68 DNA (Specimen) [Interp]
NOTE : code to be checked !##34#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44.25" x14ac:dyDescent="0.75">
      <c r="P320" s="11">
        <v>306</v>
      </c>
      <c r="Q320" s="11">
        <f t="shared" si="27"/>
        <v>50</v>
      </c>
      <c r="R320" s="11">
        <f t="shared" si="28"/>
        <v>6</v>
      </c>
      <c r="S320" s="12" t="str" cm="1">
        <f t="array" ref="S320">INDEX('CancerEpisode-ConceptMap-1'!$I$15:$N$152,Q320+1,R320)</f>
        <v>* group[=].element[=].target.comment = ##34#Where evidence.code is 11039-5 C reactive protein [Presence] in Serum or Plasma
NOTE : code to be checked !##34#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1" t="str">
        <f>E3</f>
        <v>http://hl7.eu/fhir/ig/idea4rc/StructureDefinition/CancerEpisode</v>
      </c>
      <c r="F6" s="152"/>
      <c r="G6" s="152"/>
    </row>
    <row r="7" spans="1:19" x14ac:dyDescent="0.75">
      <c r="B7" s="47" t="s">
        <v>15</v>
      </c>
      <c r="C7" s="72"/>
      <c r="D7" s="47" t="s">
        <v>1476</v>
      </c>
      <c r="E7" s="151" t="s">
        <v>1551</v>
      </c>
      <c r="F7" s="152"/>
      <c r="G7" s="152"/>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2302</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ht="44.25" x14ac:dyDescent="0.75">
      <c r="B116" s="12" t="str">
        <f>IF('CancerEpisode-ConceptMap-1'!S112=0,"//---END",'CancerEpisode-ConceptMap-1'!S112)</f>
        <v>* group[=].element[=].display = ##34#Histology subgroup So-called fibrohistiocytic tumours
##34#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 ##34#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ht="29.5" x14ac:dyDescent="0.75">
      <c r="B134" s="12" t="str">
        <f>IF('CancerEpisode-ConceptMap-1'!S130=0,"//---END",'CancerEpisode-ConceptMap-1'!S130)</f>
        <v>* group[=].element[=].display = ##34#Pericytic (perivascular)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ht="29.5" x14ac:dyDescent="0.75">
      <c r="B152" s="12" t="str">
        <f>IF('CancerEpisode-ConceptMap-1'!S148=0,"//---END",'CancerEpisode-ConceptMap-1'!S148)</f>
        <v>* group[=].element[=].display = ##34#Chondro-osseous tumours
##34#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 ##34#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 ##34#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ht="29.5" x14ac:dyDescent="0.75">
      <c r="B306" s="12" t="str">
        <f>IF('CancerEpisode-ConceptMap-1'!S302=0,"//---END",'CancerEpisode-ConceptMap-1'!S302)</f>
        <v>* group[=].element[=].target.comment = ##34#Where evidence.code is $sct#371472000 Mitotic count score
NOTE : code to be checked !##34#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43730-1 EBV DNA NAA+probe Qn.
NOTE : code to be changed !##34#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44.25" x14ac:dyDescent="0.75">
      <c r="B318" s="12" t="str">
        <f>IF('CancerEpisode-ConceptMap-1'!S314=0,"//---END",'CancerEpisode-ConceptMap-1'!S314)</f>
        <v>* group[=].element[=].target.comment = ##34#Where evidence.code is 77377-0 HPV 16 and 18 and 31+33+35+39+45+51+52+56+58+59+66+68 DNA (Specimen) [Interp]
NOTE : code to be checked !##34#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29.5" x14ac:dyDescent="0.75">
      <c r="B324" s="12" t="str">
        <f>IF('CancerEpisode-ConceptMap-1'!S320=0,"//---END",'CancerEpisode-ConceptMap-1'!S320)</f>
        <v>* group[=].element[=].target.comment = ##34#Where evidence.code is 11039-5 C reactive protein [Presence] in Serum or Plasma
NOTE : code to be checked !##34#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D21" sqref="D2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x14ac:dyDescent="0.75">
      <c r="A4" s="5" t="s">
        <v>11</v>
      </c>
      <c r="B4" s="30" t="s">
        <v>1917</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9" t="s">
        <v>2080</v>
      </c>
      <c r="J7" s="119" t="s">
        <v>2081</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4" t="s">
        <v>2078</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2079</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x14ac:dyDescent="0.75">
      <c r="A12" s="92"/>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x14ac:dyDescent="0.75">
      <c r="I14" s="12"/>
      <c r="J14" s="12"/>
      <c r="L14" s="12" t="str">
        <f t="shared" si="2"/>
        <v>*  ..  ##34###34# ##334###334#</v>
      </c>
      <c r="N14" s="12" t="str">
        <f t="shared" si="3"/>
        <v>*  ..  ##34###34# ##334###334#</v>
      </c>
      <c r="O14"/>
      <c r="P14" s="12" t="str">
        <f t="shared" si="4"/>
        <v>*  ..  ##34###34# ##334###334#</v>
      </c>
      <c r="R14" s="12" t="str">
        <f t="shared" si="5"/>
        <v>*  ..  ##34###34# ##334###334#</v>
      </c>
    </row>
    <row r="15" spans="1:18" x14ac:dyDescent="0.75">
      <c r="I15" s="12"/>
      <c r="J15" s="12"/>
      <c r="L15" s="12" t="str">
        <f t="shared" si="2"/>
        <v>*  ..  ##34###34# ##334###334#</v>
      </c>
      <c r="N15" s="12" t="str">
        <f t="shared" si="3"/>
        <v>*  ..  ##34###34# ##334###334#</v>
      </c>
      <c r="O15"/>
      <c r="P15" s="12" t="str">
        <f t="shared" si="4"/>
        <v>*  ..  ##34###34# ##334###334#</v>
      </c>
      <c r="R15" s="12" t="str">
        <f t="shared" si="5"/>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9" t="s">
        <v>2427</v>
      </c>
      <c r="D19" s="149" t="s">
        <v>2444</v>
      </c>
      <c r="I19" s="12"/>
      <c r="J19" s="12"/>
      <c r="P19" s="12"/>
      <c r="R19" s="12"/>
    </row>
    <row r="20" spans="2:18" x14ac:dyDescent="0.75">
      <c r="B20" s="147" t="s">
        <v>2423</v>
      </c>
      <c r="C20" s="148" t="s">
        <v>2428</v>
      </c>
      <c r="D20" s="148" t="s">
        <v>2450</v>
      </c>
      <c r="I20" s="12"/>
      <c r="J20" s="12"/>
      <c r="P20" s="12"/>
      <c r="R20" s="12"/>
    </row>
    <row r="21" spans="2:18" x14ac:dyDescent="0.75">
      <c r="B21" s="147" t="s">
        <v>2424</v>
      </c>
      <c r="C21" s="148" t="s">
        <v>2448</v>
      </c>
      <c r="D21" s="148" t="s">
        <v>2447</v>
      </c>
      <c r="I21" s="12"/>
      <c r="J21" s="12"/>
      <c r="P21" s="12"/>
      <c r="R21" s="12"/>
    </row>
    <row r="22" spans="2:18" x14ac:dyDescent="0.75">
      <c r="B22" s="147" t="s">
        <v>2425</v>
      </c>
      <c r="C22" s="148" t="s">
        <v>2448</v>
      </c>
      <c r="D22" s="148" t="s">
        <v>2446</v>
      </c>
      <c r="I22" s="12"/>
      <c r="J22" s="12"/>
      <c r="P22" s="12"/>
      <c r="R22" s="12"/>
    </row>
    <row r="23" spans="2:18" x14ac:dyDescent="0.75">
      <c r="B23" s="147" t="s">
        <v>2426</v>
      </c>
      <c r="C23" s="148" t="s">
        <v>2445</v>
      </c>
      <c r="D23" s="148" t="s">
        <v>2437</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2429</v>
      </c>
      <c r="C28" s="2" t="s">
        <v>2430</v>
      </c>
      <c r="F28" s="2"/>
      <c r="G28" s="12"/>
      <c r="H28" s="12"/>
      <c r="I28"/>
      <c r="L28"/>
      <c r="M28" s="2"/>
      <c r="N28" s="12"/>
      <c r="O28"/>
      <c r="P28" s="12"/>
    </row>
    <row r="29" spans="2:18" ht="44.25" x14ac:dyDescent="0.75">
      <c r="B29" t="s">
        <v>2431</v>
      </c>
      <c r="C29" s="2" t="s">
        <v>2432</v>
      </c>
      <c r="F29" s="2"/>
      <c r="G29" s="12"/>
      <c r="H29" s="12"/>
      <c r="I29"/>
      <c r="L29"/>
      <c r="M29" s="2"/>
      <c r="N29" s="12"/>
      <c r="O29"/>
      <c r="P29" s="12"/>
    </row>
    <row r="30" spans="2:18" ht="59" x14ac:dyDescent="0.75">
      <c r="B30" t="s">
        <v>2433</v>
      </c>
      <c r="C30" s="2" t="s">
        <v>2434</v>
      </c>
      <c r="F30" s="2"/>
      <c r="G30" s="12"/>
      <c r="H30" s="12"/>
      <c r="I30"/>
      <c r="L30"/>
      <c r="M30" s="2"/>
      <c r="N30" s="12"/>
      <c r="O30"/>
      <c r="P30" s="12"/>
    </row>
    <row r="31" spans="2:18" ht="88.5" x14ac:dyDescent="0.75">
      <c r="B31" t="s">
        <v>2435</v>
      </c>
      <c r="C31" s="2" t="s">
        <v>2436</v>
      </c>
      <c r="F31" s="2"/>
      <c r="G31" s="12"/>
      <c r="H31" s="12"/>
      <c r="I31"/>
      <c r="L31"/>
      <c r="M31" s="2"/>
      <c r="N31" s="12"/>
      <c r="O31"/>
      <c r="P31" s="12"/>
    </row>
    <row r="32" spans="2:18" ht="44.25" x14ac:dyDescent="0.75">
      <c r="B32" t="s">
        <v>2438</v>
      </c>
      <c r="C32" s="2" t="s">
        <v>2439</v>
      </c>
      <c r="F32" s="2"/>
      <c r="G32" s="12"/>
      <c r="H32" s="12"/>
      <c r="I32"/>
      <c r="L32"/>
      <c r="M32" s="2"/>
      <c r="N32" s="12"/>
      <c r="O32"/>
      <c r="P32" s="12"/>
    </row>
    <row r="33" spans="2:18" ht="44.25" x14ac:dyDescent="0.75">
      <c r="B33" t="s">
        <v>2440</v>
      </c>
      <c r="C33" s="2" t="s">
        <v>2441</v>
      </c>
      <c r="F33" s="2"/>
      <c r="G33" s="12"/>
      <c r="H33" s="12"/>
      <c r="I33"/>
      <c r="L33"/>
      <c r="M33" s="2"/>
      <c r="N33" s="12"/>
      <c r="O33"/>
      <c r="P33" s="12"/>
    </row>
    <row r="34" spans="2:18" ht="44.25" x14ac:dyDescent="0.75">
      <c r="B34" t="s">
        <v>2442</v>
      </c>
      <c r="C34" s="2" t="s">
        <v>2443</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6"/>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1" t="s">
        <v>1486</v>
      </c>
      <c r="F4" s="152"/>
      <c r="G4" s="152"/>
    </row>
    <row r="5" spans="1:19" x14ac:dyDescent="0.75">
      <c r="B5" s="47" t="s">
        <v>10</v>
      </c>
      <c r="C5" s="7" t="s">
        <v>1615</v>
      </c>
      <c r="D5" s="47"/>
      <c r="E5" s="7"/>
    </row>
    <row r="6" spans="1:19" x14ac:dyDescent="0.75">
      <c r="B6" s="47" t="s">
        <v>18</v>
      </c>
      <c r="C6" s="41"/>
      <c r="D6" s="47" t="s">
        <v>1475</v>
      </c>
      <c r="E6" s="151" t="str">
        <f>E3</f>
        <v>http://hl7.eu/fhir/ig/idea4rc/StructureDefinition/EpisodeEvent</v>
      </c>
      <c r="F6" s="152"/>
      <c r="G6" s="152"/>
    </row>
    <row r="7" spans="1:19" x14ac:dyDescent="0.75">
      <c r="B7" s="47" t="s">
        <v>15</v>
      </c>
      <c r="C7" s="72"/>
      <c r="D7" s="47" t="s">
        <v>1476</v>
      </c>
      <c r="E7" s="151" t="s">
        <v>1486</v>
      </c>
      <c r="F7" s="152"/>
      <c r="G7" s="152"/>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3"/>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2457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2369</v>
      </c>
      <c r="E18" s="12"/>
      <c r="F18" s="49" t="s">
        <v>1294</v>
      </c>
      <c r="G18" s="76" t="s">
        <v>2370</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7" t="str">
        <f>EpisodeEvent!B11</f>
        <v>dateOfEpisode</v>
      </c>
      <c r="C19" s="11" t="str">
        <f>EpisodeEvent!C11</f>
        <v>Date of episode</v>
      </c>
      <c r="D19" s="12" t="s">
        <v>2303</v>
      </c>
      <c r="E19" s="12"/>
      <c r="F19" s="49" t="s">
        <v>1317</v>
      </c>
      <c r="G19" s="76" t="s">
        <v>2304</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1914</v>
      </c>
      <c r="L4" s="16" t="str">
        <f>CONCATENATE("Logical: ",B4)</f>
        <v>Logical: GeneticTestExpressionI4rc</v>
      </c>
    </row>
    <row r="5" spans="1:18" ht="15.5" thickBot="1" x14ac:dyDescent="0.9">
      <c r="A5" s="14" t="s">
        <v>16</v>
      </c>
      <c r="B5" s="30" t="s">
        <v>1884</v>
      </c>
      <c r="L5" s="16" t="str">
        <f>CONCATENATE("Id: ",B5)</f>
        <v>Id: GeneticTestExpression</v>
      </c>
    </row>
    <row r="6" spans="1:18" ht="15.5" thickBot="1" x14ac:dyDescent="0.9">
      <c r="A6" s="14" t="s">
        <v>10</v>
      </c>
      <c r="B6" s="30" t="s">
        <v>1885</v>
      </c>
      <c r="L6" s="17" t="str">
        <f>CONCATENATE("Title: ##34#",B6,"##34#")</f>
        <v>Title: ##34#Genetic Test Expression##34#</v>
      </c>
    </row>
    <row r="7" spans="1:18" x14ac:dyDescent="0.75">
      <c r="A7" s="26" t="s">
        <v>2</v>
      </c>
      <c r="B7" s="96" t="s">
        <v>1885</v>
      </c>
      <c r="C7" s="9" t="s">
        <v>3</v>
      </c>
      <c r="D7" s="1" t="s">
        <v>4</v>
      </c>
      <c r="E7" s="3" t="s">
        <v>5</v>
      </c>
      <c r="F7" s="3" t="s">
        <v>6</v>
      </c>
      <c r="G7" s="3" t="s">
        <v>7</v>
      </c>
      <c r="H7" s="64" t="s">
        <v>1384</v>
      </c>
      <c r="I7" s="119" t="s">
        <v>2080</v>
      </c>
      <c r="J7" s="119" t="s">
        <v>2081</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1886</v>
      </c>
      <c r="C9" s="143" t="s">
        <v>2396</v>
      </c>
      <c r="D9" t="s">
        <v>1887</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1888</v>
      </c>
      <c r="C10" s="143" t="s">
        <v>1889</v>
      </c>
      <c r="D10" t="s">
        <v>1889</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1890</v>
      </c>
      <c r="C11" s="143" t="s">
        <v>2397</v>
      </c>
      <c r="D11" t="s">
        <v>1891</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1892</v>
      </c>
      <c r="C12" s="143" t="s">
        <v>1893</v>
      </c>
      <c r="D12" t="s">
        <v>1893</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1894</v>
      </c>
      <c r="C13" s="143" t="s">
        <v>2398</v>
      </c>
      <c r="D13" t="s">
        <v>1895</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1896</v>
      </c>
      <c r="C14" s="143" t="s">
        <v>1897</v>
      </c>
      <c r="D14" t="s">
        <v>1897</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2131</v>
      </c>
      <c r="C15" s="143" t="s">
        <v>2399</v>
      </c>
      <c r="D15" t="s">
        <v>1898</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1899</v>
      </c>
      <c r="C16" s="143" t="s">
        <v>1900</v>
      </c>
      <c r="D16" t="s">
        <v>1900</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2132</v>
      </c>
      <c r="C17" s="143" t="s">
        <v>2400</v>
      </c>
      <c r="D17" t="s">
        <v>1901</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1902</v>
      </c>
      <c r="C18" s="143" t="s">
        <v>1903</v>
      </c>
      <c r="D18" t="s">
        <v>1903</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1904</v>
      </c>
      <c r="C19" s="143" t="s">
        <v>2401</v>
      </c>
      <c r="D19" t="s">
        <v>1905</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44.25" x14ac:dyDescent="0.75">
      <c r="A20" s="59">
        <v>12</v>
      </c>
      <c r="B20" t="s">
        <v>1906</v>
      </c>
      <c r="C20" s="143" t="s">
        <v>1907</v>
      </c>
      <c r="D20" t="s">
        <v>1907</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2133</v>
      </c>
      <c r="C21" s="143" t="s">
        <v>2402</v>
      </c>
      <c r="D21" t="s">
        <v>1908</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1909</v>
      </c>
      <c r="C22" s="143" t="s">
        <v>1910</v>
      </c>
      <c r="D22" t="s">
        <v>1910</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GeneticTestExpression!L1</f>
        <v>//===================================================</v>
      </c>
    </row>
    <row r="2" spans="3:7" ht="16.75" thickBot="1" x14ac:dyDescent="0.9">
      <c r="C2" s="24" t="str">
        <f>GeneticTestExpression!L2</f>
        <v>//  Logical Model</v>
      </c>
      <c r="G2" s="29" t="s">
        <v>1911</v>
      </c>
    </row>
    <row r="3" spans="3:7" x14ac:dyDescent="0.75">
      <c r="C3" s="24" t="str">
        <f>GeneticTestExpression!L3</f>
        <v>//===================================================</v>
      </c>
    </row>
    <row r="4" spans="3:7" x14ac:dyDescent="0.75">
      <c r="C4" s="100" t="str">
        <f>GeneticTestExpression!L4</f>
        <v>Logical: GeneticTestExpressionI4rc</v>
      </c>
    </row>
    <row r="5" spans="3:7" x14ac:dyDescent="0.75">
      <c r="C5" s="100" t="str">
        <f>GeneticTestExpression!L5</f>
        <v>Id: GeneticTestExpression</v>
      </c>
    </row>
    <row r="6" spans="3:7" x14ac:dyDescent="0.75">
      <c r="C6" s="100" t="str">
        <f>GeneticTestExpression!L6</f>
        <v>Title: ##34#Genetic Test Expression##34#</v>
      </c>
    </row>
    <row r="7" spans="3:7" x14ac:dyDescent="0.75">
      <c r="C7" s="100" t="str">
        <f>GeneticTestExpression!L7</f>
        <v>Description:  ##334#Genetic Test Expression##334#</v>
      </c>
    </row>
    <row r="8" spans="3:7" ht="29.5" x14ac:dyDescent="0.75">
      <c r="C8" s="101"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1" t="str">
        <f>IF(GeneticTestExpression!L9="*  ..  ##34###34# ##334###334#","//--- END",GeneticTestExpression!L9)</f>
        <v>* geneExpressionAnalysisPerformed 0..1 boolean ##34#Is a gene expression analysis performed ?##34# ##334#Clarifies whether a gene expression analysis is performed##334#</v>
      </c>
    </row>
    <row r="10" spans="3:7" x14ac:dyDescent="0.75">
      <c r="C10" s="101" t="str">
        <f>IF(GeneticTestExpression!L10="*  ..  ##34###34# ##334###334#","//--- END",GeneticTestExpression!L10)</f>
        <v>* dateOfGeneExpression 0..1 date ##34#Date of the gene expression analysis##34# ##334#Date of the gene expression analysis##334#</v>
      </c>
    </row>
    <row r="11" spans="3:7" ht="29.5" x14ac:dyDescent="0.75">
      <c r="C11" s="101" t="str">
        <f>IF(GeneticTestExpression!L11="*  ..  ##34###34# ##334###334#","//--- END",GeneticTestExpression!L11)</f>
        <v>* geneMutationAnalysisPerformed 0..1 boolean ##34#Is a gene mutation analysis performed ?##34# ##334#Clarifies whether a gene mutation analysis is performed##334#</v>
      </c>
    </row>
    <row r="12" spans="3:7" x14ac:dyDescent="0.75">
      <c r="C12" s="101" t="str">
        <f>IF(GeneticTestExpression!L12="*  ..  ##34###34# ##334###334#","//--- END",GeneticTestExpression!L12)</f>
        <v>* dateOfGeneMutation 0..1 date ##34#Date of the gene mutation analysis##34# ##334#Date of the gene mutation analysis##334#</v>
      </c>
    </row>
    <row r="13" spans="3:7" ht="29.5" x14ac:dyDescent="0.75">
      <c r="C13" s="101"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1" t="str">
        <f>IF(GeneticTestExpression!L14="*  ..  ##34###34# ##334###334#","//--- END",GeneticTestExpression!L14)</f>
        <v>* dateOfTraslocation 0..1 date ##34#Date of the Chromosome translocation test##34# ##334#Date of the Chromosome translocation test##334#</v>
      </c>
    </row>
    <row r="15" spans="3:7" ht="29.5" x14ac:dyDescent="0.75">
      <c r="C15" s="101" t="str">
        <f>IF(GeneticTestExpression!L15="*  ..  ##34###34# ##334###334#","//--- END",GeneticTestExpression!L15)</f>
        <v>* ngsPerformed 0..1 boolean ##34#Is a NGS analysis performed ?##34# ##334#Clarifies whether a NGS analysis is performed##334#</v>
      </c>
    </row>
    <row r="16" spans="3:7" x14ac:dyDescent="0.75">
      <c r="C16" s="101" t="str">
        <f>IF(GeneticTestExpression!L16="*  ..  ##34###34# ##334###334#","//--- END",GeneticTestExpression!L16)</f>
        <v>* dateOfNgs 0..1 date ##34#Date of the NGS analysis##34# ##334#Date of the NGS analysis##334#</v>
      </c>
    </row>
    <row r="17" spans="3:3" ht="29.5" x14ac:dyDescent="0.75">
      <c r="C17" s="101" t="str">
        <f>IF(GeneticTestExpression!L17="*  ..  ##34###34# ##334###334#","//--- END",GeneticTestExpression!L17)</f>
        <v>* pcrTestPerformed 0..1 boolean ##34#Is a PCR analysis performed ?##34# ##334#Clarifies whether a PCR analysis is performed##334#</v>
      </c>
    </row>
    <row r="18" spans="3:3" x14ac:dyDescent="0.75">
      <c r="C18" s="101" t="str">
        <f>IF(GeneticTestExpression!L18="*  ..  ##34###34# ##334###334#","//--- END",GeneticTestExpression!L18)</f>
        <v>* dateOfPcr 0..1 date ##34#Date of the PCR analysis##34# ##334#Date of the PCR analysis##334#</v>
      </c>
    </row>
    <row r="19" spans="3:3" ht="29.5" x14ac:dyDescent="0.75">
      <c r="C19" s="101"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1" t="str">
        <f>IF(GeneticTestExpression!L20="*  ..  ##34###34# ##334###334#","//--- END",GeneticTestExpression!L20)</f>
        <v>* dateOfImmunohistochemistry 0..1 date ##34#Date of the immunohiostochemestry analysis##34# ##334#Date of the immunohiostochemestry analysis##334#</v>
      </c>
    </row>
    <row r="21" spans="3:3" ht="29.5" x14ac:dyDescent="0.75">
      <c r="C21" s="101" t="str">
        <f>IF(GeneticTestExpression!L21="*  ..  ##34###34# ##334###334#","//--- END",GeneticTestExpression!L21)</f>
        <v>* ctDnaPerformed 0..1 boolean ##34#Is a ctDNA analysis performed ?##34# ##334#Clarifies whether a ctDNA analysis is performed##334#</v>
      </c>
    </row>
    <row r="22" spans="3:3" x14ac:dyDescent="0.75">
      <c r="C22" s="101" t="str">
        <f>IF(GeneticTestExpression!L22="*  ..  ##34###34# ##334###334#","//--- END",GeneticTestExpression!L22)</f>
        <v>* dateOfCtdna 0..1 date ##34#Date of the ctDNA analysis##34# ##334#Date of the ctDNA analysis##334#</v>
      </c>
    </row>
    <row r="23" spans="3:3" x14ac:dyDescent="0.75">
      <c r="C23" s="101" t="str">
        <f>IF(GeneticTestExpression!L23="*  ..  ##34###34# ##334###334#","//--- END",GeneticTestExpression!L23)</f>
        <v>//--- END</v>
      </c>
    </row>
    <row r="24" spans="3:3" x14ac:dyDescent="0.75">
      <c r="C24" s="101" t="str">
        <f>IF(GeneticTestExpression!L24="*  ..  ##34###34# ##334###334#","//--- END",GeneticTestExpression!L24)</f>
        <v>//--- END</v>
      </c>
    </row>
    <row r="25" spans="3:3" x14ac:dyDescent="0.75">
      <c r="C25" s="101" t="str">
        <f>IF(GeneticTestExpression!L25="*  ..  ##34###34# ##334###334#","//--- END",GeneticTestExpression!L25)</f>
        <v>//--- END</v>
      </c>
    </row>
    <row r="26" spans="3:3" x14ac:dyDescent="0.75">
      <c r="C26" s="101" t="str">
        <f>IF(GeneticTestExpression!L26="*  ..  ##34###34# ##334###334#","//--- END",GeneticTestExpression!L26)</f>
        <v>//--- END</v>
      </c>
    </row>
    <row r="27" spans="3:3" x14ac:dyDescent="0.75">
      <c r="C27" s="101"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2393</v>
      </c>
      <c r="D3" s="47" t="s">
        <v>1473</v>
      </c>
      <c r="E3" s="71" t="str">
        <f>$C$1&amp;B14</f>
        <v>http://hl7.eu/fhir/ig/idea4rc/StructureDefinition/GeneticTestExpressionI4rc</v>
      </c>
    </row>
    <row r="4" spans="1:19" x14ac:dyDescent="0.75">
      <c r="B4" s="47" t="s">
        <v>16</v>
      </c>
      <c r="C4" s="28" t="s">
        <v>2392</v>
      </c>
      <c r="D4" s="47" t="s">
        <v>1474</v>
      </c>
      <c r="E4" s="151" t="s">
        <v>1486</v>
      </c>
      <c r="F4" s="152"/>
      <c r="G4" s="152"/>
    </row>
    <row r="5" spans="1:19" x14ac:dyDescent="0.75">
      <c r="B5" s="47" t="s">
        <v>10</v>
      </c>
      <c r="C5" s="7" t="s">
        <v>2394</v>
      </c>
      <c r="D5" s="47"/>
      <c r="E5" s="7"/>
    </row>
    <row r="6" spans="1:19" x14ac:dyDescent="0.75">
      <c r="B6" s="47" t="s">
        <v>18</v>
      </c>
      <c r="C6" s="41"/>
      <c r="D6" s="47" t="s">
        <v>1475</v>
      </c>
      <c r="E6" s="151" t="str">
        <f>E3</f>
        <v>http://hl7.eu/fhir/ig/idea4rc/StructureDefinition/GeneticTestExpressionI4rc</v>
      </c>
      <c r="F6" s="152"/>
      <c r="G6" s="152"/>
    </row>
    <row r="7" spans="1:19" x14ac:dyDescent="0.75">
      <c r="B7" s="47" t="s">
        <v>15</v>
      </c>
      <c r="C7" s="72"/>
      <c r="D7" s="47" t="s">
        <v>1476</v>
      </c>
      <c r="E7" s="151" t="s">
        <v>1486</v>
      </c>
      <c r="F7" s="152"/>
      <c r="G7" s="152"/>
    </row>
    <row r="8" spans="1:19" ht="45" thickBot="1" x14ac:dyDescent="0.9">
      <c r="B8" s="47" t="s">
        <v>1477</v>
      </c>
      <c r="C8" s="7" t="s">
        <v>2394</v>
      </c>
      <c r="D8" s="47"/>
      <c r="E8" s="7"/>
      <c r="I8" s="12" t="s">
        <v>1289</v>
      </c>
      <c r="J8" s="12" t="s">
        <v>1290</v>
      </c>
      <c r="K8" s="12" t="s">
        <v>1291</v>
      </c>
      <c r="L8" s="12" t="s">
        <v>1292</v>
      </c>
      <c r="M8" s="11" t="s">
        <v>1293</v>
      </c>
      <c r="P8" s="34" t="s">
        <v>1328</v>
      </c>
      <c r="Q8" s="34">
        <v>6</v>
      </c>
    </row>
    <row r="9" spans="1:19" ht="15.5" thickBot="1" x14ac:dyDescent="0.9">
      <c r="B9" s="47" t="s">
        <v>1478</v>
      </c>
      <c r="C9" s="12" t="s">
        <v>2395</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2403</v>
      </c>
      <c r="E16" s="12"/>
      <c r="F16" s="49" t="s">
        <v>1316</v>
      </c>
      <c r="G16" s="77" t="s">
        <v>2405</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2404</v>
      </c>
      <c r="E17" s="12"/>
      <c r="F17" s="49" t="s">
        <v>1316</v>
      </c>
      <c r="G17" s="77" t="s">
        <v>2406</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2403</v>
      </c>
      <c r="E18" s="12"/>
      <c r="F18" s="49" t="s">
        <v>1316</v>
      </c>
      <c r="G18" s="77" t="s">
        <v>2407</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2404</v>
      </c>
      <c r="E19" s="12"/>
      <c r="F19" s="49" t="s">
        <v>1316</v>
      </c>
      <c r="G19" s="77" t="s">
        <v>2407</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2403</v>
      </c>
      <c r="E20" s="12"/>
      <c r="F20" s="49" t="s">
        <v>1316</v>
      </c>
      <c r="G20" s="77" t="s">
        <v>2408</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2404</v>
      </c>
      <c r="E21" s="12"/>
      <c r="F21" s="49" t="s">
        <v>1316</v>
      </c>
      <c r="G21" s="77" t="s">
        <v>2408</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2403</v>
      </c>
      <c r="E22" s="12"/>
      <c r="F22" s="49" t="s">
        <v>1316</v>
      </c>
      <c r="G22" s="77" t="s">
        <v>2409</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2404</v>
      </c>
      <c r="E23" s="12"/>
      <c r="F23" s="49" t="s">
        <v>1316</v>
      </c>
      <c r="G23" s="77" t="s">
        <v>2409</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2403</v>
      </c>
      <c r="E24" s="12"/>
      <c r="F24" s="49" t="s">
        <v>1316</v>
      </c>
      <c r="G24" s="77" t="s">
        <v>2410</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2404</v>
      </c>
      <c r="E25" s="12"/>
      <c r="F25" s="49" t="s">
        <v>1316</v>
      </c>
      <c r="G25" s="77" t="s">
        <v>2410</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2403</v>
      </c>
      <c r="E26" s="12"/>
      <c r="F26" s="49" t="s">
        <v>1316</v>
      </c>
      <c r="G26" s="77" t="s">
        <v>2411</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2404</v>
      </c>
      <c r="E27" s="12"/>
      <c r="F27" s="49" t="s">
        <v>1316</v>
      </c>
      <c r="G27" s="77" t="s">
        <v>2411</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2403</v>
      </c>
      <c r="E28" s="12"/>
      <c r="F28" s="49" t="s">
        <v>1316</v>
      </c>
      <c r="G28" s="77" t="s">
        <v>2412</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2404</v>
      </c>
      <c r="E29" s="12"/>
      <c r="F29" s="49" t="s">
        <v>1316</v>
      </c>
      <c r="G29" s="77" t="s">
        <v>2412</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2413</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topLeftCell="A4"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2082</v>
      </c>
      <c r="R2" s="24" t="s">
        <v>2083</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2176</v>
      </c>
      <c r="L4" s="16" t="str">
        <f>CONCATENATE("Logical: ",B4)</f>
        <v>Logical: StageI4rc</v>
      </c>
    </row>
    <row r="5" spans="1:18" ht="19.899999999999999" customHeight="1" x14ac:dyDescent="0.75">
      <c r="A5" s="14" t="s">
        <v>16</v>
      </c>
      <c r="B5" s="31" t="s">
        <v>2177</v>
      </c>
      <c r="L5" s="16" t="str">
        <f>CONCATENATE("Id: ",B5)</f>
        <v>Id: Stage</v>
      </c>
    </row>
    <row r="6" spans="1:18" ht="19.899999999999999" customHeight="1" x14ac:dyDescent="0.75">
      <c r="A6" s="14" t="s">
        <v>10</v>
      </c>
      <c r="B6" s="32" t="s">
        <v>2177</v>
      </c>
      <c r="L6" s="17" t="str">
        <f>CONCATENATE("Title: ##34#",B6,"##34#")</f>
        <v>Title: ##34#Stage##34#</v>
      </c>
    </row>
    <row r="7" spans="1:18" ht="19.899999999999999" customHeight="1" x14ac:dyDescent="0.75">
      <c r="A7" s="26" t="s">
        <v>2</v>
      </c>
      <c r="B7" s="63" t="s">
        <v>2177</v>
      </c>
      <c r="C7" s="9" t="s">
        <v>3</v>
      </c>
      <c r="D7" s="1" t="s">
        <v>4</v>
      </c>
      <c r="E7" s="3" t="s">
        <v>5</v>
      </c>
      <c r="F7" s="3" t="s">
        <v>6</v>
      </c>
      <c r="G7" s="3" t="s">
        <v>7</v>
      </c>
      <c r="H7" s="64" t="s">
        <v>1384</v>
      </c>
      <c r="I7" s="119" t="s">
        <v>2080</v>
      </c>
      <c r="J7" s="119" t="s">
        <v>2081</v>
      </c>
      <c r="L7" s="17" t="str">
        <f>CONCATENATE("Description: "," ##334#",B7,"##334#",)</f>
        <v>Description:  ##334#Stage##334#</v>
      </c>
    </row>
    <row r="8" spans="1:18" ht="20.25" customHeight="1" x14ac:dyDescent="0.75">
      <c r="A8" s="125">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5">
        <v>1</v>
      </c>
      <c r="B9" s="11" t="s">
        <v>1879</v>
      </c>
      <c r="C9" s="11" t="s">
        <v>2143</v>
      </c>
      <c r="D9" s="11" t="s">
        <v>2143</v>
      </c>
      <c r="E9" s="11">
        <v>1</v>
      </c>
      <c r="F9" s="11">
        <v>1</v>
      </c>
      <c r="G9" t="s">
        <v>1468</v>
      </c>
      <c r="H9" s="12" t="s">
        <v>2153</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5">
        <v>2</v>
      </c>
      <c r="B10" s="11" t="s">
        <v>2134</v>
      </c>
      <c r="C10" s="11" t="s">
        <v>292</v>
      </c>
      <c r="D10" s="11" t="s">
        <v>1388</v>
      </c>
      <c r="E10" s="11">
        <v>1</v>
      </c>
      <c r="F10" s="11">
        <v>1</v>
      </c>
      <c r="G10" t="s">
        <v>1468</v>
      </c>
      <c r="H10" s="12" t="s">
        <v>2154</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6">
        <v>3</v>
      </c>
      <c r="B11" s="11" t="s">
        <v>2135</v>
      </c>
      <c r="C11" s="11" t="s">
        <v>299</v>
      </c>
      <c r="D11" s="11" t="s">
        <v>1389</v>
      </c>
      <c r="E11" s="11">
        <v>1</v>
      </c>
      <c r="F11" s="11">
        <v>1</v>
      </c>
      <c r="G11" t="s">
        <v>1468</v>
      </c>
      <c r="H11" s="12" t="s">
        <v>2155</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5">
        <v>4</v>
      </c>
      <c r="B12" s="11" t="s">
        <v>2136</v>
      </c>
      <c r="C12" s="11" t="s">
        <v>306</v>
      </c>
      <c r="D12" s="11" t="s">
        <v>1390</v>
      </c>
      <c r="E12" s="11">
        <v>1</v>
      </c>
      <c r="F12" s="11">
        <v>1</v>
      </c>
      <c r="G12" t="s">
        <v>1468</v>
      </c>
      <c r="H12" s="12" t="s">
        <v>2156</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5">
        <v>5</v>
      </c>
      <c r="B13" s="11" t="s">
        <v>2137</v>
      </c>
      <c r="C13" s="11" t="s">
        <v>1558</v>
      </c>
      <c r="D13" s="11" t="s">
        <v>1559</v>
      </c>
      <c r="E13" s="11">
        <v>1</v>
      </c>
      <c r="F13" s="11">
        <v>1</v>
      </c>
      <c r="G13" t="s">
        <v>1468</v>
      </c>
      <c r="H13" s="12" t="s">
        <v>2157</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5">
        <v>6</v>
      </c>
      <c r="B14" s="6" t="s">
        <v>2138</v>
      </c>
      <c r="C14" s="11" t="s">
        <v>2144</v>
      </c>
      <c r="D14" s="11" t="s">
        <v>2145</v>
      </c>
      <c r="E14" s="11">
        <v>1</v>
      </c>
      <c r="F14" s="11">
        <v>1</v>
      </c>
      <c r="G14" t="s">
        <v>1468</v>
      </c>
      <c r="H14" s="4" t="s">
        <v>2160</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7">
        <v>7</v>
      </c>
      <c r="B15" s="11" t="s">
        <v>2139</v>
      </c>
      <c r="C15" s="11" t="s">
        <v>2146</v>
      </c>
      <c r="D15" s="11" t="s">
        <v>2147</v>
      </c>
      <c r="E15" s="11">
        <v>1</v>
      </c>
      <c r="F15" s="11">
        <v>1</v>
      </c>
      <c r="G15" t="s">
        <v>1468</v>
      </c>
      <c r="H15" s="12" t="s">
        <v>2161</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7">
        <v>8</v>
      </c>
      <c r="B16" s="6" t="s">
        <v>2140</v>
      </c>
      <c r="C16" s="11" t="s">
        <v>2148</v>
      </c>
      <c r="D16" s="11" t="s">
        <v>2149</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7">
        <v>9</v>
      </c>
      <c r="B17" s="11" t="s">
        <v>1417</v>
      </c>
      <c r="C17" s="11" t="s">
        <v>1392</v>
      </c>
      <c r="D17" s="11" t="s">
        <v>1393</v>
      </c>
      <c r="E17" s="11">
        <v>1</v>
      </c>
      <c r="F17" s="11">
        <v>1</v>
      </c>
      <c r="G17" t="s">
        <v>1468</v>
      </c>
      <c r="H17" s="12" t="s">
        <v>2158</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7">
        <v>10</v>
      </c>
      <c r="B18" s="6" t="s">
        <v>2141</v>
      </c>
      <c r="C18" s="11" t="s">
        <v>2150</v>
      </c>
      <c r="D18" s="11" t="s">
        <v>2151</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7"/>
      <c r="B19" s="6" t="s">
        <v>2162</v>
      </c>
      <c r="C19" s="6" t="s">
        <v>2162</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7">
        <v>11</v>
      </c>
      <c r="B20" s="11" t="s">
        <v>2163</v>
      </c>
      <c r="C20" s="11" t="s">
        <v>1394</v>
      </c>
      <c r="D20" s="11" t="s">
        <v>2310</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7">
        <v>12</v>
      </c>
      <c r="B21" s="11" t="s">
        <v>2164</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7">
        <v>13</v>
      </c>
      <c r="B22" s="11" t="s">
        <v>2165</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7">
        <v>14</v>
      </c>
      <c r="B23" s="11" t="s">
        <v>2166</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7">
        <v>15</v>
      </c>
      <c r="B24" s="11" t="s">
        <v>2167</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7">
        <v>16</v>
      </c>
      <c r="B25" s="11" t="s">
        <v>2168</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8">
        <v>17</v>
      </c>
      <c r="B26" s="11" t="s">
        <v>2169</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5">
        <v>18</v>
      </c>
      <c r="B27" s="11" t="s">
        <v>2170</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8">
        <v>19</v>
      </c>
      <c r="B28" s="11" t="s">
        <v>2171</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5">
        <v>20</v>
      </c>
      <c r="B29" s="11" t="s">
        <v>2172</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8">
        <v>21</v>
      </c>
      <c r="B30" s="11" t="s">
        <v>2142</v>
      </c>
      <c r="C30" s="11" t="s">
        <v>2152</v>
      </c>
      <c r="D30" s="11" t="s">
        <v>1391</v>
      </c>
      <c r="E30" s="11">
        <v>1</v>
      </c>
      <c r="F30" s="11">
        <v>1</v>
      </c>
      <c r="G30" t="s">
        <v>1468</v>
      </c>
      <c r="H30" s="12" t="s">
        <v>2159</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2320</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workbookViewId="0">
      <selection activeCell="E4" sqref="E4: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2316</v>
      </c>
      <c r="D3" s="47" t="s">
        <v>1473</v>
      </c>
      <c r="E3" s="71" t="str">
        <f>$C$1&amp;B14</f>
        <v>http://hl7.eu/fhir/ig/idea4rc/StructureDefinition/Stage</v>
      </c>
    </row>
    <row r="4" spans="1:19" x14ac:dyDescent="0.75">
      <c r="B4" s="47" t="s">
        <v>16</v>
      </c>
      <c r="C4" s="28" t="s">
        <v>2317</v>
      </c>
      <c r="D4" s="47" t="s">
        <v>1474</v>
      </c>
      <c r="E4" s="151" t="s">
        <v>1625</v>
      </c>
      <c r="F4" s="152"/>
      <c r="G4" s="152"/>
    </row>
    <row r="5" spans="1:19" x14ac:dyDescent="0.75">
      <c r="B5" s="47" t="s">
        <v>10</v>
      </c>
      <c r="C5" s="7" t="s">
        <v>2318</v>
      </c>
      <c r="D5" s="47"/>
      <c r="E5" s="7"/>
    </row>
    <row r="6" spans="1:19" x14ac:dyDescent="0.75">
      <c r="B6" s="47" t="s">
        <v>18</v>
      </c>
      <c r="C6" s="41"/>
      <c r="D6" s="47" t="s">
        <v>1475</v>
      </c>
      <c r="E6" s="151" t="str">
        <f>E3</f>
        <v>http://hl7.eu/fhir/ig/idea4rc/StructureDefinition/Stage</v>
      </c>
      <c r="F6" s="152"/>
      <c r="G6" s="152"/>
    </row>
    <row r="7" spans="1:19" x14ac:dyDescent="0.75">
      <c r="B7" s="47" t="s">
        <v>15</v>
      </c>
      <c r="C7" s="72"/>
      <c r="D7" s="47" t="s">
        <v>1476</v>
      </c>
      <c r="E7" s="151" t="s">
        <v>1625</v>
      </c>
      <c r="F7" s="152"/>
      <c r="G7" s="152"/>
    </row>
    <row r="8" spans="1:19" ht="44.25" x14ac:dyDescent="0.75">
      <c r="B8" s="47" t="s">
        <v>1477</v>
      </c>
      <c r="C8" s="73" t="s">
        <v>2318</v>
      </c>
      <c r="D8" s="47"/>
      <c r="E8" s="7"/>
      <c r="I8" s="12" t="s">
        <v>1289</v>
      </c>
      <c r="J8" s="12" t="s">
        <v>1290</v>
      </c>
      <c r="K8" s="12" t="s">
        <v>1291</v>
      </c>
      <c r="L8" s="12" t="s">
        <v>1292</v>
      </c>
      <c r="M8" s="11" t="s">
        <v>1293</v>
      </c>
      <c r="P8" s="34" t="s">
        <v>1328</v>
      </c>
      <c r="Q8" s="34">
        <v>6</v>
      </c>
    </row>
    <row r="9" spans="1:19" x14ac:dyDescent="0.75">
      <c r="B9" s="47" t="s">
        <v>1478</v>
      </c>
      <c r="C9" s="12" t="s">
        <v>2319</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2308</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7"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79" si="13">IF(MOD(P16,$Q$8)=0,P16/$Q$8-1,INT(P16/$Q$8))</f>
        <v>0</v>
      </c>
      <c r="R16" s="11">
        <f t="shared" ref="R16:R79"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2305</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2306</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INDEX('Stage-ConceptMap-1'!$I$15:$N$114,Q18+1,R18)</f>
        <v>* group[=].element[=].target.display = ##34###34#</v>
      </c>
    </row>
    <row r="19" spans="1:20" ht="88.5" x14ac:dyDescent="0.75">
      <c r="A19" s="44"/>
      <c r="B19" s="11" t="str">
        <f>Stage!B12</f>
        <v>m</v>
      </c>
      <c r="C19" s="11" t="str">
        <f>Stage!C12</f>
        <v>M</v>
      </c>
      <c r="D19" s="12" t="s">
        <v>2307</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6" t="s">
        <v>2312</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3"/>
        <v>0</v>
      </c>
      <c r="R20" s="11">
        <f t="shared" si="14"/>
        <v>6</v>
      </c>
      <c r="S20" s="12" t="str" cm="1">
        <f t="array" ref="S20">INDEX('Stage-ConceptMap-1'!$I$15:$N$114,Q20+1,R20)</f>
        <v/>
      </c>
    </row>
    <row r="21" spans="1:20" ht="44.25" x14ac:dyDescent="0.75">
      <c r="B21" s="11" t="str">
        <f>Stage!B14</f>
        <v>localised</v>
      </c>
      <c r="C21" s="11" t="str">
        <f>Stage!C14</f>
        <v>Localised</v>
      </c>
      <c r="D21" s="12"/>
      <c r="E21" s="12"/>
      <c r="F21" s="49" t="s">
        <v>1294</v>
      </c>
      <c r="G21" s="76" t="s">
        <v>2311</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6" t="s">
        <v>2311</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3"/>
        <v>1</v>
      </c>
      <c r="R22" s="11">
        <f t="shared" si="14"/>
        <v>2</v>
      </c>
      <c r="S22" s="12" t="str" cm="1">
        <f t="array" ref="S22">INDEX('Stage-ConceptMap-1'!$I$15:$N$114,Q22+1,R22)</f>
        <v>* group[=].element[=].display = ##34#Type of stage##34#</v>
      </c>
    </row>
    <row r="23" spans="1:20" ht="88.5" x14ac:dyDescent="0.75">
      <c r="A23" s="44"/>
      <c r="B23" s="11" t="str">
        <f>Stage!B16</f>
        <v>isMetastatic</v>
      </c>
      <c r="C23" s="11" t="str">
        <f>Stage!C16</f>
        <v>Is metastatic</v>
      </c>
      <c r="D23" s="12" t="s">
        <v>2307</v>
      </c>
      <c r="E23" s="11"/>
      <c r="F23" s="49" t="s">
        <v>1294</v>
      </c>
      <c r="G23" s="76" t="s">
        <v>2375</v>
      </c>
      <c r="H23" s="43"/>
      <c r="I23" s="12" t="str">
        <f t="shared" si="7"/>
        <v>* group[=].element[+].code = #Stage.isMetastatic</v>
      </c>
      <c r="J23" s="12" t="str">
        <f t="shared" si="8"/>
        <v>* group[=].element[=].display = ##34#Is metastatic##34#</v>
      </c>
      <c r="K23" s="12" t="str">
        <f t="shared" si="9"/>
        <v>* group[=].element[=].target.code = #Observation.hasMember:tnmDistantMetastasesCategory.valueCodeableConcept</v>
      </c>
      <c r="L23" s="12" t="str">
        <f t="shared" si="10"/>
        <v>* group[=].element[=].target.display = ##34###34#</v>
      </c>
      <c r="M23" s="12" t="str">
        <f t="shared" si="11"/>
        <v>* group[=].element[=].target.equivalence = #relatedto</v>
      </c>
      <c r="N23" s="12" t="str">
        <f t="shared" si="12"/>
        <v>* group[=].element[=].target.comment = ##34#If M0  false otherwise true. Check if the unknown case is present##34#</v>
      </c>
      <c r="P23" s="11">
        <v>9</v>
      </c>
      <c r="Q23" s="11">
        <f t="shared" si="13"/>
        <v>1</v>
      </c>
      <c r="R23" s="11">
        <f t="shared" si="14"/>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1631</v>
      </c>
      <c r="E24" s="11"/>
      <c r="F24" s="49" t="s">
        <v>1294</v>
      </c>
      <c r="G24" s="76" t="s">
        <v>2313</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3"/>
        <v>1</v>
      </c>
      <c r="R24" s="11">
        <f t="shared" si="14"/>
        <v>4</v>
      </c>
      <c r="S24" s="12" t="str" cm="1">
        <f t="array" ref="S24">INDEX('Stage-ConceptMap-1'!$I$15:$N$114,Q24+1,R24)</f>
        <v>* group[=].element[=].target.display = ##34###34#</v>
      </c>
    </row>
    <row r="25" spans="1:20" ht="88.5" x14ac:dyDescent="0.75">
      <c r="A25" s="44"/>
      <c r="B25" s="11" t="str">
        <f>Stage!B18</f>
        <v>regionalNodalMetastases</v>
      </c>
      <c r="C25" s="11" t="str">
        <f>Stage!C18</f>
        <v>Regional nodal metastases</v>
      </c>
      <c r="D25" s="12" t="s">
        <v>2306</v>
      </c>
      <c r="E25" s="11"/>
      <c r="F25" s="49" t="s">
        <v>1294</v>
      </c>
      <c r="G25" s="76" t="s">
        <v>2376</v>
      </c>
      <c r="H25" s="43"/>
      <c r="I25" s="12" t="str">
        <f t="shared" si="7"/>
        <v>* group[=].element[+].code = #Stage.regionalNodalMetastases</v>
      </c>
      <c r="J25" s="12" t="str">
        <f t="shared" si="8"/>
        <v>* group[=].element[=].display = ##34#Regional nodal metastases##34#</v>
      </c>
      <c r="K25" s="12" t="str">
        <f t="shared" si="9"/>
        <v>* group[=].element[=].target.code = #Observation.hasMember:tnmRegionalNodesCategory.valueCodeableConcept</v>
      </c>
      <c r="L25" s="12" t="str">
        <f t="shared" si="10"/>
        <v>* group[=].element[=].target.display = ##34###34#</v>
      </c>
      <c r="M25" s="12" t="str">
        <f t="shared" si="11"/>
        <v>* group[=].element[=].target.equivalence = #relatedto</v>
      </c>
      <c r="N25" s="12" t="str">
        <f t="shared" si="12"/>
        <v>* group[=].element[=].target.comment = ##34#If N0  false otherwise true. Check if the unknown case is present##34#</v>
      </c>
      <c r="P25" s="11">
        <v>11</v>
      </c>
      <c r="Q25" s="11">
        <f t="shared" si="13"/>
        <v>1</v>
      </c>
      <c r="R25" s="11">
        <f t="shared" si="14"/>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7" t="s">
        <v>2314</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3"/>
        <v>1</v>
      </c>
      <c r="R26" s="11">
        <f t="shared" si="14"/>
        <v>6</v>
      </c>
      <c r="S26" s="12" t="str" cm="1">
        <f t="array" ref="S26">INDEX('Stage-ConceptMap-1'!$I$15:$N$114,Q26+1,R26)</f>
        <v/>
      </c>
    </row>
    <row r="27" spans="1:20" ht="73.75" x14ac:dyDescent="0.75">
      <c r="B27" s="11" t="str">
        <f>Stage!B30</f>
        <v>stagingClassification</v>
      </c>
      <c r="C27" s="11" t="str">
        <f>Stage!C30</f>
        <v>Staging classification</v>
      </c>
      <c r="D27" s="12" t="s">
        <v>1630</v>
      </c>
      <c r="E27" s="12"/>
      <c r="F27" s="49" t="s">
        <v>1316</v>
      </c>
      <c r="G27" s="77"/>
      <c r="H27" s="43"/>
      <c r="I27" s="12" t="str">
        <f t="shared" si="7"/>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INDEX('Stage-ConceptMap-1'!$I$15:$N$114,Q27+1,R27)</f>
        <v>* group[=].element[+].code = #Stage.t</v>
      </c>
    </row>
    <row r="28" spans="1:20"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INDEX('Stage-ConceptMap-1'!$I$15:$N$114,Q28+1,R28)</f>
        <v>* group[=].element[=].display = ##34#T##34#</v>
      </c>
    </row>
    <row r="29" spans="1:20" x14ac:dyDescent="0.75">
      <c r="B29" s="11"/>
      <c r="C29" s="11"/>
      <c r="D29" s="12"/>
      <c r="E29" s="12"/>
      <c r="F29" s="49"/>
      <c r="G29" s="77"/>
      <c r="H29" s="43"/>
      <c r="K29" s="43"/>
      <c r="L29" s="43"/>
      <c r="M29" s="51"/>
      <c r="N29" s="51"/>
      <c r="P29" s="11">
        <v>15</v>
      </c>
      <c r="Q29" s="11">
        <f t="shared" si="13"/>
        <v>2</v>
      </c>
      <c r="R29" s="11">
        <f t="shared" si="14"/>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7"/>
      <c r="H30" s="43"/>
      <c r="J30"/>
      <c r="K30" s="43"/>
      <c r="L30" s="43"/>
      <c r="M30" s="51"/>
      <c r="N30" s="51"/>
      <c r="P30" s="11">
        <v>16</v>
      </c>
      <c r="Q30" s="11">
        <f t="shared" si="13"/>
        <v>2</v>
      </c>
      <c r="R30" s="11">
        <f t="shared" si="14"/>
        <v>4</v>
      </c>
      <c r="S30" s="12" t="str" cm="1">
        <f t="array" ref="S30">INDEX('Stage-ConceptMap-1'!$I$15:$N$114,Q30+1,R30)</f>
        <v>* group[=].element[=].target.display = ##34###34#</v>
      </c>
      <c r="T30"/>
    </row>
    <row r="31" spans="1:20" s="2" customFormat="1" x14ac:dyDescent="0.75">
      <c r="A31"/>
      <c r="B31" s="11"/>
      <c r="C31" s="11"/>
      <c r="D31" s="12"/>
      <c r="F31" s="43"/>
      <c r="G31" s="77"/>
      <c r="H31" s="43"/>
      <c r="J31"/>
      <c r="K31" s="43"/>
      <c r="L31" s="43"/>
      <c r="M31" s="51"/>
      <c r="N31" s="51"/>
      <c r="P31" s="11">
        <v>17</v>
      </c>
      <c r="Q31" s="11">
        <f t="shared" si="13"/>
        <v>2</v>
      </c>
      <c r="R31" s="11">
        <f t="shared" si="14"/>
        <v>5</v>
      </c>
      <c r="S31" s="12" t="str" cm="1">
        <f t="array" ref="S31">INDEX('Stage-ConceptMap-1'!$I$15:$N$114,Q31+1,R31)</f>
        <v>* group[=].element[=].target.equivalence = #equivalent</v>
      </c>
      <c r="T31"/>
    </row>
    <row r="32" spans="1:20" s="2" customFormat="1" x14ac:dyDescent="0.75">
      <c r="A32"/>
      <c r="B32" s="11"/>
      <c r="C32" s="11"/>
      <c r="D32" s="12"/>
      <c r="F32" s="43"/>
      <c r="G32" s="77"/>
      <c r="H32" s="43"/>
      <c r="J32"/>
      <c r="K32" s="43"/>
      <c r="L32" s="43"/>
      <c r="M32" s="51"/>
      <c r="N32" s="51"/>
      <c r="P32" s="11">
        <v>18</v>
      </c>
      <c r="Q32" s="11">
        <f t="shared" si="13"/>
        <v>2</v>
      </c>
      <c r="R32" s="11">
        <f t="shared" si="14"/>
        <v>6</v>
      </c>
      <c r="S32" s="12" t="str" cm="1">
        <f t="array" ref="S32">INDEX('Stage-ConceptMap-1'!$I$15:$N$114,Q32+1,R32)</f>
        <v/>
      </c>
      <c r="T32"/>
    </row>
    <row r="33" spans="1:20" s="2" customFormat="1" x14ac:dyDescent="0.75">
      <c r="A33"/>
      <c r="B33" s="11"/>
      <c r="C33" s="11"/>
      <c r="D33" s="12"/>
      <c r="F33" s="43"/>
      <c r="G33" s="77"/>
      <c r="H33" s="43"/>
      <c r="J33" s="43"/>
      <c r="K33" s="43"/>
      <c r="L33" s="43"/>
      <c r="M33" s="51"/>
      <c r="N33" s="51"/>
      <c r="P33" s="11">
        <v>19</v>
      </c>
      <c r="Q33" s="11">
        <f t="shared" si="13"/>
        <v>3</v>
      </c>
      <c r="R33" s="11">
        <f t="shared" si="14"/>
        <v>1</v>
      </c>
      <c r="S33" s="12" t="str" cm="1">
        <f t="array" ref="S33">INDEX('Stage-ConceptMap-1'!$I$15:$N$114,Q33+1,R33)</f>
        <v>* group[=].element[+].code = #Stage.n</v>
      </c>
      <c r="T33"/>
    </row>
    <row r="34" spans="1:20" s="2" customFormat="1" x14ac:dyDescent="0.75">
      <c r="A34"/>
      <c r="B34" s="11"/>
      <c r="C34" s="11"/>
      <c r="F34" s="43"/>
      <c r="G34" s="77"/>
      <c r="H34" s="43"/>
      <c r="J34" s="43"/>
      <c r="K34" s="43"/>
      <c r="L34" s="43"/>
      <c r="M34" s="51"/>
      <c r="N34" s="51"/>
      <c r="P34" s="11">
        <v>20</v>
      </c>
      <c r="Q34" s="11">
        <f t="shared" si="13"/>
        <v>3</v>
      </c>
      <c r="R34" s="11">
        <f t="shared" si="14"/>
        <v>2</v>
      </c>
      <c r="S34" s="12" t="str" cm="1">
        <f t="array" ref="S34">INDEX('Stage-ConceptMap-1'!$I$15:$N$114,Q34+1,R34)</f>
        <v>* group[=].element[=].display = ##34#N##34#</v>
      </c>
      <c r="T34"/>
    </row>
    <row r="35" spans="1:20" x14ac:dyDescent="0.75">
      <c r="B35" s="11"/>
      <c r="C35" s="11"/>
      <c r="G35" s="77"/>
      <c r="P35" s="11">
        <v>21</v>
      </c>
      <c r="Q35" s="11">
        <f t="shared" si="13"/>
        <v>3</v>
      </c>
      <c r="R35" s="11">
        <f t="shared" si="14"/>
        <v>3</v>
      </c>
      <c r="S35" s="12" t="str" cm="1">
        <f t="array" ref="S35">INDEX('Stage-ConceptMap-1'!$I$15:$N$114,Q35+1,R35)</f>
        <v>* group[=].element[=].target.code = #Observation.hasMember:tnmRegionalNodesCategory.valueCodeableConcept</v>
      </c>
    </row>
    <row r="36" spans="1:20" x14ac:dyDescent="0.75">
      <c r="B36" s="11"/>
      <c r="C36" s="11"/>
      <c r="G36" s="77"/>
      <c r="P36" s="11">
        <v>22</v>
      </c>
      <c r="Q36" s="11">
        <f t="shared" si="13"/>
        <v>3</v>
      </c>
      <c r="R36" s="11">
        <f t="shared" si="14"/>
        <v>4</v>
      </c>
      <c r="S36" s="12" t="str" cm="1">
        <f t="array" ref="S36">INDEX('Stage-ConceptMap-1'!$I$15:$N$114,Q36+1,R36)</f>
        <v>* group[=].element[=].target.display = ##34###34#</v>
      </c>
    </row>
    <row r="37" spans="1:20" x14ac:dyDescent="0.75">
      <c r="G37" s="77"/>
      <c r="P37" s="11">
        <v>23</v>
      </c>
      <c r="Q37" s="11">
        <f t="shared" si="13"/>
        <v>3</v>
      </c>
      <c r="R37" s="11">
        <f t="shared" si="14"/>
        <v>5</v>
      </c>
      <c r="S37" s="12" t="str" cm="1">
        <f t="array" ref="S37">INDEX('Stage-ConceptMap-1'!$I$15:$N$114,Q37+1,R37)</f>
        <v>* group[=].element[=].target.equivalence = #equivalent</v>
      </c>
    </row>
    <row r="38" spans="1:20" x14ac:dyDescent="0.75">
      <c r="G38" s="77"/>
      <c r="P38" s="11">
        <v>24</v>
      </c>
      <c r="Q38" s="11">
        <f t="shared" si="13"/>
        <v>3</v>
      </c>
      <c r="R38" s="11">
        <f t="shared" si="14"/>
        <v>6</v>
      </c>
      <c r="S38" s="12" t="str" cm="1">
        <f t="array" ref="S38">INDEX('Stage-ConceptMap-1'!$I$15:$N$114,Q38+1,R38)</f>
        <v/>
      </c>
    </row>
    <row r="39" spans="1:20" x14ac:dyDescent="0.75">
      <c r="G39" s="77"/>
      <c r="P39" s="11">
        <v>25</v>
      </c>
      <c r="Q39" s="11">
        <f t="shared" si="13"/>
        <v>4</v>
      </c>
      <c r="R39" s="11">
        <f t="shared" si="14"/>
        <v>1</v>
      </c>
      <c r="S39" s="12" t="str" cm="1">
        <f t="array" ref="S39">INDEX('Stage-ConceptMap-1'!$I$15:$N$114,Q39+1,R39)</f>
        <v>* group[=].element[+].code = #Stage.m</v>
      </c>
    </row>
    <row r="40" spans="1:20" x14ac:dyDescent="0.75">
      <c r="G40" s="77"/>
      <c r="P40" s="11">
        <v>26</v>
      </c>
      <c r="Q40" s="11">
        <f t="shared" si="13"/>
        <v>4</v>
      </c>
      <c r="R40" s="11">
        <f t="shared" si="14"/>
        <v>2</v>
      </c>
      <c r="S40" s="12" t="str" cm="1">
        <f t="array" ref="S40">INDEX('Stage-ConceptMap-1'!$I$15:$N$114,Q40+1,R40)</f>
        <v>* group[=].element[=].display = ##34#M##34#</v>
      </c>
    </row>
    <row r="41" spans="1:20" x14ac:dyDescent="0.75">
      <c r="G41" s="77"/>
      <c r="P41" s="11">
        <v>27</v>
      </c>
      <c r="Q41" s="11">
        <f t="shared" si="13"/>
        <v>4</v>
      </c>
      <c r="R41" s="11">
        <f t="shared" si="14"/>
        <v>3</v>
      </c>
      <c r="S41" s="12" t="str" cm="1">
        <f t="array" ref="S41">INDEX('Stage-ConceptMap-1'!$I$15:$N$114,Q41+1,R41)</f>
        <v>* group[=].element[=].target.code = #Observation.hasMember:tnmDistantMetastasesCategory.valueCodeableConcept</v>
      </c>
    </row>
    <row r="42" spans="1:20" x14ac:dyDescent="0.75">
      <c r="G42" s="77"/>
      <c r="P42" s="11">
        <v>28</v>
      </c>
      <c r="Q42" s="11">
        <f t="shared" si="13"/>
        <v>4</v>
      </c>
      <c r="R42" s="11">
        <f t="shared" si="14"/>
        <v>4</v>
      </c>
      <c r="S42" s="12" t="str" cm="1">
        <f t="array" ref="S42">INDEX('Stage-ConceptMap-1'!$I$15:$N$114,Q42+1,R42)</f>
        <v>* group[=].element[=].target.display = ##34###34#</v>
      </c>
    </row>
    <row r="43" spans="1:20" x14ac:dyDescent="0.75">
      <c r="G43" s="77"/>
      <c r="P43" s="11">
        <v>29</v>
      </c>
      <c r="Q43" s="11">
        <f t="shared" si="13"/>
        <v>4</v>
      </c>
      <c r="R43" s="11">
        <f t="shared" si="14"/>
        <v>5</v>
      </c>
      <c r="S43" s="12" t="str" cm="1">
        <f t="array" ref="S43">INDEX('Stage-ConceptMap-1'!$I$15:$N$114,Q43+1,R43)</f>
        <v>* group[=].element[=].target.equivalence = #equivalent</v>
      </c>
    </row>
    <row r="44" spans="1:20" x14ac:dyDescent="0.75">
      <c r="G44" s="77"/>
      <c r="P44" s="11">
        <v>30</v>
      </c>
      <c r="Q44" s="11">
        <f t="shared" si="13"/>
        <v>4</v>
      </c>
      <c r="R44" s="11">
        <f t="shared" si="14"/>
        <v>6</v>
      </c>
      <c r="S44" s="12" t="str" cm="1">
        <f t="array" ref="S44">INDEX('Stage-ConceptMap-1'!$I$15:$N$114,Q44+1,R44)</f>
        <v/>
      </c>
    </row>
    <row r="45" spans="1:20" x14ac:dyDescent="0.75">
      <c r="G45" s="77"/>
      <c r="P45" s="11">
        <v>31</v>
      </c>
      <c r="Q45" s="11">
        <f t="shared" si="13"/>
        <v>5</v>
      </c>
      <c r="R45" s="11">
        <f t="shared" si="14"/>
        <v>1</v>
      </c>
      <c r="S45" s="12" t="str" cm="1">
        <f t="array" ref="S45">INDEX('Stage-ConceptMap-1'!$I$15:$N$114,Q45+1,R45)</f>
        <v>* group[=].element[+].code = #Stage.rENE</v>
      </c>
    </row>
    <row r="46" spans="1:20" x14ac:dyDescent="0.75">
      <c r="G46" s="77"/>
      <c r="P46" s="11">
        <v>32</v>
      </c>
      <c r="Q46" s="11">
        <f t="shared" si="13"/>
        <v>5</v>
      </c>
      <c r="R46" s="11">
        <f t="shared" si="14"/>
        <v>2</v>
      </c>
      <c r="S46" s="12" t="str" cm="1">
        <f t="array" ref="S46">INDEX('Stage-ConceptMap-1'!$I$15:$N$114,Q46+1,R46)</f>
        <v>* group[=].element[=].display = ##34#Radiological Extra-nodal extension (rENE)##34#</v>
      </c>
    </row>
    <row r="47" spans="1:20" x14ac:dyDescent="0.75">
      <c r="G47" s="77"/>
      <c r="P47" s="11">
        <v>33</v>
      </c>
      <c r="Q47" s="11">
        <f t="shared" si="13"/>
        <v>5</v>
      </c>
      <c r="R47" s="11">
        <f t="shared" si="14"/>
        <v>3</v>
      </c>
      <c r="S47" s="12" t="str" cm="1">
        <f t="array" ref="S47">INDEX('Stage-ConceptMap-1'!$I$15:$N$114,Q47+1,R47)</f>
        <v>* group[=].element[=].target.code = #Observation.</v>
      </c>
    </row>
    <row r="48" spans="1:20" x14ac:dyDescent="0.75">
      <c r="G48" s="77"/>
      <c r="P48" s="11">
        <v>34</v>
      </c>
      <c r="Q48" s="11">
        <f t="shared" si="13"/>
        <v>5</v>
      </c>
      <c r="R48" s="11">
        <f t="shared" si="14"/>
        <v>4</v>
      </c>
      <c r="S48" s="12" t="str" cm="1">
        <f t="array" ref="S48">INDEX('Stage-ConceptMap-1'!$I$15:$N$114,Q48+1,R48)</f>
        <v>* group[=].element[=].target.display = ##34###34#</v>
      </c>
    </row>
    <row r="49" spans="7:19" x14ac:dyDescent="0.75">
      <c r="G49" s="77"/>
      <c r="P49" s="11">
        <v>35</v>
      </c>
      <c r="Q49" s="11">
        <f t="shared" si="13"/>
        <v>5</v>
      </c>
      <c r="R49" s="11">
        <f t="shared" si="14"/>
        <v>5</v>
      </c>
      <c r="S49" s="12" t="str" cm="1">
        <f t="array" ref="S49">INDEX('Stage-ConceptMap-1'!$I$15:$N$114,Q49+1,R49)</f>
        <v>* group[=].element[=].target.equivalence = #relatedto</v>
      </c>
    </row>
    <row r="50" spans="7:19" x14ac:dyDescent="0.75">
      <c r="G50" s="77"/>
      <c r="P50" s="11">
        <v>36</v>
      </c>
      <c r="Q50" s="11">
        <f t="shared" si="13"/>
        <v>5</v>
      </c>
      <c r="R50" s="11">
        <f t="shared" si="14"/>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7"/>
      <c r="P51" s="11">
        <v>37</v>
      </c>
      <c r="Q51" s="11">
        <f t="shared" si="13"/>
        <v>6</v>
      </c>
      <c r="R51" s="11">
        <f t="shared" si="14"/>
        <v>1</v>
      </c>
      <c r="S51" s="12" t="str" cm="1">
        <f t="array" ref="S51">INDEX('Stage-ConceptMap-1'!$I$15:$N$114,Q51+1,R51)</f>
        <v>* group[=].element[+].code = #Stage.localised</v>
      </c>
    </row>
    <row r="52" spans="7:19" x14ac:dyDescent="0.75">
      <c r="G52" s="77"/>
      <c r="P52" s="11">
        <v>38</v>
      </c>
      <c r="Q52" s="11">
        <f t="shared" si="13"/>
        <v>6</v>
      </c>
      <c r="R52" s="11">
        <f t="shared" si="14"/>
        <v>2</v>
      </c>
      <c r="S52" s="12" t="str" cm="1">
        <f t="array" ref="S52">INDEX('Stage-ConceptMap-1'!$I$15:$N$114,Q52+1,R52)</f>
        <v>* group[=].element[=].display = ##34#Localised##34#</v>
      </c>
    </row>
    <row r="53" spans="7:19" x14ac:dyDescent="0.75">
      <c r="G53" s="77"/>
      <c r="P53" s="11">
        <v>39</v>
      </c>
      <c r="Q53" s="11">
        <f t="shared" si="13"/>
        <v>6</v>
      </c>
      <c r="R53" s="11">
        <f t="shared" si="14"/>
        <v>3</v>
      </c>
      <c r="S53" s="12" t="str" cm="1">
        <f t="array" ref="S53">INDEX('Stage-ConceptMap-1'!$I$15:$N$114,Q53+1,R53)</f>
        <v>* group[=].element[=].target.code = #Observation.</v>
      </c>
    </row>
    <row r="54" spans="7:19" x14ac:dyDescent="0.75">
      <c r="G54" s="77"/>
      <c r="P54" s="11">
        <v>40</v>
      </c>
      <c r="Q54" s="11">
        <f t="shared" si="13"/>
        <v>6</v>
      </c>
      <c r="R54" s="11">
        <f t="shared" si="14"/>
        <v>4</v>
      </c>
      <c r="S54" s="12" t="str" cm="1">
        <f t="array" ref="S54">INDEX('Stage-ConceptMap-1'!$I$15:$N$114,Q54+1,R54)</f>
        <v>* group[=].element[=].target.display = ##34###34#</v>
      </c>
    </row>
    <row r="55" spans="7:19" x14ac:dyDescent="0.75">
      <c r="G55" s="77"/>
      <c r="P55" s="11">
        <v>41</v>
      </c>
      <c r="Q55" s="11">
        <f t="shared" si="13"/>
        <v>6</v>
      </c>
      <c r="R55" s="11">
        <f t="shared" si="14"/>
        <v>5</v>
      </c>
      <c r="S55" s="12" t="str" cm="1">
        <f t="array" ref="S55">INDEX('Stage-ConceptMap-1'!$I$15:$N$114,Q55+1,R55)</f>
        <v>* group[=].element[=].target.equivalence = #relatedto</v>
      </c>
    </row>
    <row r="56" spans="7:19" x14ac:dyDescent="0.75">
      <c r="G56" s="77"/>
      <c r="P56" s="11">
        <v>42</v>
      </c>
      <c r="Q56" s="11">
        <f t="shared" si="13"/>
        <v>6</v>
      </c>
      <c r="R56" s="11">
        <f t="shared" si="14"/>
        <v>6</v>
      </c>
      <c r="S56" s="12" t="str" cm="1">
        <f t="array" ref="S56">INDEX('Stage-ConceptMap-1'!$I$15:$N$114,Q56+1,R56)</f>
        <v>* group[=].element[=].target.comment = ##34#TBD##34#</v>
      </c>
    </row>
    <row r="57" spans="7:19" x14ac:dyDescent="0.75">
      <c r="G57" s="77"/>
      <c r="P57" s="11">
        <v>43</v>
      </c>
      <c r="Q57" s="11">
        <f t="shared" si="13"/>
        <v>7</v>
      </c>
      <c r="R57" s="11">
        <f t="shared" si="14"/>
        <v>1</v>
      </c>
      <c r="S57" s="12" t="str" cm="1">
        <f t="array" ref="S57">INDEX('Stage-ConceptMap-1'!$I$15:$N$114,Q57+1,R57)</f>
        <v>* group[=].element[+].code = #Stage.locoRegional</v>
      </c>
    </row>
    <row r="58" spans="7:19" x14ac:dyDescent="0.75">
      <c r="G58" s="77"/>
      <c r="P58" s="11">
        <v>44</v>
      </c>
      <c r="Q58" s="11">
        <f t="shared" si="13"/>
        <v>7</v>
      </c>
      <c r="R58" s="11">
        <f t="shared" si="14"/>
        <v>2</v>
      </c>
      <c r="S58" s="12" t="str" cm="1">
        <f t="array" ref="S58">INDEX('Stage-ConceptMap-1'!$I$15:$N$114,Q58+1,R58)</f>
        <v>* group[=].element[=].display = ##34#Loco-regional##34#</v>
      </c>
    </row>
    <row r="59" spans="7:19" x14ac:dyDescent="0.75">
      <c r="G59" s="77"/>
      <c r="P59" s="11">
        <v>45</v>
      </c>
      <c r="Q59" s="11">
        <f t="shared" si="13"/>
        <v>7</v>
      </c>
      <c r="R59" s="11">
        <f t="shared" si="14"/>
        <v>3</v>
      </c>
      <c r="S59" s="12" t="str" cm="1">
        <f t="array" ref="S59">INDEX('Stage-ConceptMap-1'!$I$15:$N$114,Q59+1,R59)</f>
        <v>* group[=].element[=].target.code = #Observation.</v>
      </c>
    </row>
    <row r="60" spans="7:19" x14ac:dyDescent="0.75">
      <c r="G60" s="77"/>
      <c r="P60" s="11">
        <v>46</v>
      </c>
      <c r="Q60" s="11">
        <f t="shared" si="13"/>
        <v>7</v>
      </c>
      <c r="R60" s="11">
        <f t="shared" si="14"/>
        <v>4</v>
      </c>
      <c r="S60" s="12" t="str" cm="1">
        <f t="array" ref="S60">INDEX('Stage-ConceptMap-1'!$I$15:$N$114,Q60+1,R60)</f>
        <v>* group[=].element[=].target.display = ##34###34#</v>
      </c>
    </row>
    <row r="61" spans="7:19" x14ac:dyDescent="0.75">
      <c r="G61" s="77"/>
      <c r="P61" s="11">
        <v>47</v>
      </c>
      <c r="Q61" s="11">
        <f t="shared" si="13"/>
        <v>7</v>
      </c>
      <c r="R61" s="11">
        <f t="shared" si="14"/>
        <v>5</v>
      </c>
      <c r="S61" s="12" t="str" cm="1">
        <f t="array" ref="S61">INDEX('Stage-ConceptMap-1'!$I$15:$N$114,Q61+1,R61)</f>
        <v>* group[=].element[=].target.equivalence = #relatedto</v>
      </c>
    </row>
    <row r="62" spans="7:19" x14ac:dyDescent="0.75">
      <c r="G62" s="77"/>
      <c r="P62" s="11">
        <v>48</v>
      </c>
      <c r="Q62" s="11">
        <f t="shared" si="13"/>
        <v>7</v>
      </c>
      <c r="R62" s="11">
        <f t="shared" si="14"/>
        <v>6</v>
      </c>
      <c r="S62" s="12" t="str" cm="1">
        <f t="array" ref="S62">INDEX('Stage-ConceptMap-1'!$I$15:$N$114,Q62+1,R62)</f>
        <v>* group[=].element[=].target.comment = ##34#TBD##34#</v>
      </c>
    </row>
    <row r="63" spans="7:19" x14ac:dyDescent="0.75">
      <c r="G63" s="77"/>
      <c r="P63" s="11">
        <v>49</v>
      </c>
      <c r="Q63" s="11">
        <f t="shared" si="13"/>
        <v>8</v>
      </c>
      <c r="R63" s="11">
        <f t="shared" si="14"/>
        <v>1</v>
      </c>
      <c r="S63" s="12" t="str" cm="1">
        <f t="array" ref="S63">INDEX('Stage-ConceptMap-1'!$I$15:$N$114,Q63+1,R63)</f>
        <v>* group[=].element[+].code = #Stage.isMetastatic</v>
      </c>
    </row>
    <row r="64" spans="7:19" x14ac:dyDescent="0.75">
      <c r="G64" s="77"/>
      <c r="P64" s="11">
        <v>50</v>
      </c>
      <c r="Q64" s="11">
        <f t="shared" si="13"/>
        <v>8</v>
      </c>
      <c r="R64" s="11">
        <f t="shared" si="14"/>
        <v>2</v>
      </c>
      <c r="S64" s="12" t="str" cm="1">
        <f t="array" ref="S64">INDEX('Stage-ConceptMap-1'!$I$15:$N$114,Q64+1,R64)</f>
        <v>* group[=].element[=].display = ##34#Is metastatic##34#</v>
      </c>
    </row>
    <row r="65" spans="7:19" x14ac:dyDescent="0.75">
      <c r="G65" s="77"/>
      <c r="P65" s="11">
        <v>51</v>
      </c>
      <c r="Q65" s="11">
        <f t="shared" si="13"/>
        <v>8</v>
      </c>
      <c r="R65" s="11">
        <f t="shared" si="14"/>
        <v>3</v>
      </c>
      <c r="S65" s="12" t="str" cm="1">
        <f t="array" ref="S65">INDEX('Stage-ConceptMap-1'!$I$15:$N$114,Q65+1,R65)</f>
        <v>* group[=].element[=].target.code = #Observation.hasMember:tnmDistantMetastasesCategory.valueCodeableConcept</v>
      </c>
    </row>
    <row r="66" spans="7:19" x14ac:dyDescent="0.75">
      <c r="G66" s="77"/>
      <c r="P66" s="11">
        <v>52</v>
      </c>
      <c r="Q66" s="11">
        <f t="shared" si="13"/>
        <v>8</v>
      </c>
      <c r="R66" s="11">
        <f t="shared" si="14"/>
        <v>4</v>
      </c>
      <c r="S66" s="12" t="str" cm="1">
        <f t="array" ref="S66">INDEX('Stage-ConceptMap-1'!$I$15:$N$114,Q66+1,R66)</f>
        <v>* group[=].element[=].target.display = ##34###34#</v>
      </c>
    </row>
    <row r="67" spans="7:19" x14ac:dyDescent="0.75">
      <c r="G67" s="77"/>
      <c r="P67" s="11">
        <v>53</v>
      </c>
      <c r="Q67" s="11">
        <f t="shared" si="13"/>
        <v>8</v>
      </c>
      <c r="R67" s="11">
        <f t="shared" si="14"/>
        <v>5</v>
      </c>
      <c r="S67" s="12" t="str" cm="1">
        <f t="array" ref="S67">INDEX('Stage-ConceptMap-1'!$I$15:$N$114,Q67+1,R67)</f>
        <v>* group[=].element[=].target.equivalence = #relatedto</v>
      </c>
    </row>
    <row r="68" spans="7:19" x14ac:dyDescent="0.75">
      <c r="G68" s="77"/>
      <c r="P68" s="11">
        <v>54</v>
      </c>
      <c r="Q68" s="11">
        <f t="shared" si="13"/>
        <v>8</v>
      </c>
      <c r="R68" s="11">
        <f t="shared" si="14"/>
        <v>6</v>
      </c>
      <c r="S68" s="12" t="str" cm="1">
        <f t="array" ref="S68">INDEX('Stage-ConceptMap-1'!$I$15:$N$114,Q68+1,R68)</f>
        <v>* group[=].element[=].target.comment = ##34#If M0  false otherwise true. Check if the unknown case is present##34#</v>
      </c>
    </row>
    <row r="69" spans="7:19" x14ac:dyDescent="0.75">
      <c r="G69" s="77"/>
      <c r="P69" s="11">
        <v>55</v>
      </c>
      <c r="Q69" s="11">
        <f t="shared" si="13"/>
        <v>9</v>
      </c>
      <c r="R69" s="11">
        <f t="shared" si="14"/>
        <v>1</v>
      </c>
      <c r="S69" s="12" t="str" cm="1">
        <f t="array" ref="S69">INDEX('Stage-ConceptMap-1'!$I$15:$N$114,Q69+1,R69)</f>
        <v>* group[=].element[+].code = #Stage.ajccEdition</v>
      </c>
    </row>
    <row r="70" spans="7:19" x14ac:dyDescent="0.75">
      <c r="G70" s="77"/>
      <c r="P70" s="11">
        <v>56</v>
      </c>
      <c r="Q70" s="11">
        <f t="shared" si="13"/>
        <v>9</v>
      </c>
      <c r="R70" s="11">
        <f t="shared" si="14"/>
        <v>2</v>
      </c>
      <c r="S70" s="12" t="str" cm="1">
        <f t="array" ref="S70">INDEX('Stage-ConceptMap-1'!$I$15:$N$114,Q70+1,R70)</f>
        <v>* group[=].element[=].display = ##34#Ajcc edition##34#</v>
      </c>
    </row>
    <row r="71" spans="7:19" x14ac:dyDescent="0.75">
      <c r="G71" s="77"/>
      <c r="P71" s="11">
        <v>57</v>
      </c>
      <c r="Q71" s="11">
        <f t="shared" si="13"/>
        <v>9</v>
      </c>
      <c r="R71" s="11">
        <f t="shared" si="14"/>
        <v>3</v>
      </c>
      <c r="S71" s="12" t="str" cm="1">
        <f t="array" ref="S71">INDEX('Stage-ConceptMap-1'!$I$15:$N$114,Q71+1,R71)</f>
        <v>* group[=].element[=].target.code = #Observation.valueCodeableConcept.coding.system</v>
      </c>
    </row>
    <row r="72" spans="7:19" x14ac:dyDescent="0.75">
      <c r="G72" s="77"/>
      <c r="P72" s="11">
        <v>58</v>
      </c>
      <c r="Q72" s="11">
        <f t="shared" si="13"/>
        <v>9</v>
      </c>
      <c r="R72" s="11">
        <f t="shared" si="14"/>
        <v>4</v>
      </c>
      <c r="S72" s="12" t="str" cm="1">
        <f t="array" ref="S72">INDEX('Stage-ConceptMap-1'!$I$15:$N$114,Q72+1,R72)</f>
        <v>* group[=].element[=].target.display = ##34###34#</v>
      </c>
    </row>
    <row r="73" spans="7:19" x14ac:dyDescent="0.75">
      <c r="G73" s="77"/>
      <c r="P73" s="11">
        <v>59</v>
      </c>
      <c r="Q73" s="11">
        <f t="shared" si="13"/>
        <v>9</v>
      </c>
      <c r="R73" s="11">
        <f t="shared" si="14"/>
        <v>5</v>
      </c>
      <c r="S73" s="12" t="str" cm="1">
        <f t="array" ref="S73">INDEX('Stage-ConceptMap-1'!$I$15:$N$114,Q73+1,R73)</f>
        <v>* group[=].element[=].target.equivalence = #relatedto</v>
      </c>
    </row>
    <row r="74" spans="7:19" x14ac:dyDescent="0.75">
      <c r="G74" s="77"/>
      <c r="P74" s="11">
        <v>60</v>
      </c>
      <c r="Q74" s="11">
        <f t="shared" si="13"/>
        <v>9</v>
      </c>
      <c r="R74" s="11">
        <f t="shared" si="14"/>
        <v>6</v>
      </c>
      <c r="S74" s="12" t="str" cm="1">
        <f t="array" ref="S74">INDEX('Stage-ConceptMap-1'!$I$15:$N$114,Q74+1,R74)</f>
        <v>* group[=].element[=].target.comment = ##34#if the ajcc system is used for the classification (to be checked)##34#</v>
      </c>
    </row>
    <row r="75" spans="7:19" x14ac:dyDescent="0.75">
      <c r="G75" s="77"/>
      <c r="P75" s="11">
        <v>61</v>
      </c>
      <c r="Q75" s="11">
        <f t="shared" si="13"/>
        <v>10</v>
      </c>
      <c r="R75" s="11">
        <f t="shared" si="14"/>
        <v>1</v>
      </c>
      <c r="S75" s="12" t="str" cm="1">
        <f t="array" ref="S75">INDEX('Stage-ConceptMap-1'!$I$15:$N$114,Q75+1,R75)</f>
        <v>* group[=].element[+].code = #Stage.regionalNodalMetastases</v>
      </c>
    </row>
    <row r="76" spans="7:19" x14ac:dyDescent="0.75">
      <c r="G76" s="77"/>
      <c r="P76" s="11">
        <v>62</v>
      </c>
      <c r="Q76" s="11">
        <f t="shared" si="13"/>
        <v>10</v>
      </c>
      <c r="R76" s="11">
        <f t="shared" si="14"/>
        <v>2</v>
      </c>
      <c r="S76" s="12" t="str" cm="1">
        <f t="array" ref="S76">INDEX('Stage-ConceptMap-1'!$I$15:$N$114,Q76+1,R76)</f>
        <v>* group[=].element[=].display = ##34#Regional nodal metastases##34#</v>
      </c>
    </row>
    <row r="77" spans="7:19" x14ac:dyDescent="0.75">
      <c r="G77" s="77"/>
      <c r="P77" s="11">
        <v>63</v>
      </c>
      <c r="Q77" s="11">
        <f t="shared" si="13"/>
        <v>10</v>
      </c>
      <c r="R77" s="11">
        <f t="shared" si="14"/>
        <v>3</v>
      </c>
      <c r="S77" s="12" t="str" cm="1">
        <f t="array" ref="S77">INDEX('Stage-ConceptMap-1'!$I$15:$N$114,Q77+1,R77)</f>
        <v>* group[=].element[=].target.code = #Observation.hasMember:tnmRegionalNodesCategory.valueCodeableConcept</v>
      </c>
    </row>
    <row r="78" spans="7:19" x14ac:dyDescent="0.75">
      <c r="G78" s="77"/>
      <c r="P78" s="11">
        <v>64</v>
      </c>
      <c r="Q78" s="11">
        <f t="shared" si="13"/>
        <v>10</v>
      </c>
      <c r="R78" s="11">
        <f t="shared" si="14"/>
        <v>4</v>
      </c>
      <c r="S78" s="12" t="str" cm="1">
        <f t="array" ref="S78">INDEX('Stage-ConceptMap-1'!$I$15:$N$114,Q78+1,R78)</f>
        <v>* group[=].element[=].target.display = ##34###34#</v>
      </c>
    </row>
    <row r="79" spans="7:19" x14ac:dyDescent="0.75">
      <c r="G79" s="77"/>
      <c r="P79" s="11">
        <v>65</v>
      </c>
      <c r="Q79" s="11">
        <f t="shared" si="13"/>
        <v>10</v>
      </c>
      <c r="R79" s="11">
        <f t="shared" si="14"/>
        <v>5</v>
      </c>
      <c r="S79" s="12" t="str" cm="1">
        <f t="array" ref="S79">INDEX('Stage-ConceptMap-1'!$I$15:$N$114,Q79+1,R79)</f>
        <v>* group[=].element[=].target.equivalence = #relatedto</v>
      </c>
    </row>
    <row r="80" spans="7:19" x14ac:dyDescent="0.75">
      <c r="G80" s="77"/>
      <c r="P80" s="11">
        <v>66</v>
      </c>
      <c r="Q80" s="11">
        <f t="shared" ref="Q80:Q143" si="15">IF(MOD(P80,$Q$8)=0,P80/$Q$8-1,INT(P80/$Q$8))</f>
        <v>10</v>
      </c>
      <c r="R80" s="11">
        <f t="shared" ref="R80:R143" si="16">IF(MOD(P80,$Q$8)=0,$Q$8,MOD(P80,$Q$8))</f>
        <v>6</v>
      </c>
      <c r="S80" s="12" t="str" cm="1">
        <f t="array" ref="S80">INDEX('Stage-ConceptMap-1'!$I$15:$N$114,Q80+1,R80)</f>
        <v>* group[=].element[=].target.comment = ##34#If N0  false otherwise true. Check if the unknown case is present##34#</v>
      </c>
    </row>
    <row r="81" spans="7:19" x14ac:dyDescent="0.75">
      <c r="G81" s="77"/>
      <c r="P81" s="11">
        <v>67</v>
      </c>
      <c r="Q81" s="11">
        <f t="shared" si="15"/>
        <v>11</v>
      </c>
      <c r="R81" s="11">
        <f t="shared" si="16"/>
        <v>1</v>
      </c>
      <c r="S81" s="12" t="str" cm="1">
        <f t="array" ref="S81">INDEX('Stage-ConceptMap-1'!$I$15:$N$114,Q81+1,R81)</f>
        <v>* group[=].element[+].code = #Stage.sites</v>
      </c>
    </row>
    <row r="82" spans="7:19" x14ac:dyDescent="0.75">
      <c r="G82" s="77"/>
      <c r="P82" s="11">
        <v>68</v>
      </c>
      <c r="Q82" s="11">
        <f t="shared" si="15"/>
        <v>11</v>
      </c>
      <c r="R82" s="11">
        <f t="shared" si="16"/>
        <v>2</v>
      </c>
      <c r="S82" s="12" t="str" cm="1">
        <f t="array" ref="S82">INDEX('Stage-ConceptMap-1'!$I$15:$N$114,Q82+1,R82)</f>
        <v>* group[=].element[=].display = ##34#sites##34#</v>
      </c>
    </row>
    <row r="83" spans="7:19" x14ac:dyDescent="0.75">
      <c r="G83" s="77"/>
      <c r="P83" s="11">
        <v>69</v>
      </c>
      <c r="Q83" s="11">
        <f t="shared" si="15"/>
        <v>11</v>
      </c>
      <c r="R83" s="11">
        <f t="shared" si="16"/>
        <v>3</v>
      </c>
      <c r="S83" s="12" t="str" cm="1">
        <f t="array" ref="S83">INDEX('Stage-ConceptMap-1'!$I$15:$N$114,Q83+1,R83)</f>
        <v>//-- unmatched</v>
      </c>
    </row>
    <row r="84" spans="7:19" x14ac:dyDescent="0.75">
      <c r="G84" s="77"/>
      <c r="P84" s="11">
        <v>70</v>
      </c>
      <c r="Q84" s="11">
        <f t="shared" si="15"/>
        <v>11</v>
      </c>
      <c r="R84" s="11">
        <f t="shared" si="16"/>
        <v>4</v>
      </c>
      <c r="S84" s="12" t="str" cm="1">
        <f t="array" ref="S84">INDEX('Stage-ConceptMap-1'!$I$15:$N$114,Q84+1,R84)</f>
        <v>//-- unmatched</v>
      </c>
    </row>
    <row r="85" spans="7:19" x14ac:dyDescent="0.75">
      <c r="G85" s="77"/>
      <c r="P85" s="11">
        <v>71</v>
      </c>
      <c r="Q85" s="11">
        <f t="shared" si="15"/>
        <v>11</v>
      </c>
      <c r="R85" s="11">
        <f t="shared" si="16"/>
        <v>5</v>
      </c>
      <c r="S85" s="12" t="str" cm="1">
        <f t="array" ref="S85">INDEX('Stage-ConceptMap-1'!$I$15:$N$114,Q85+1,R85)</f>
        <v>* group[=].element[=].target.equivalence = #unmatched</v>
      </c>
    </row>
    <row r="86" spans="7:19" x14ac:dyDescent="0.75">
      <c r="G86" s="77"/>
      <c r="P86" s="11">
        <v>72</v>
      </c>
      <c r="Q86" s="11">
        <f t="shared" si="15"/>
        <v>11</v>
      </c>
      <c r="R86" s="11">
        <f t="shared" si="16"/>
        <v>6</v>
      </c>
      <c r="S86" s="12" t="str" cm="1">
        <f t="array" ref="S86">INDEX('Stage-ConceptMap-1'!$I$15:$N$114,Q86+1,R86)</f>
        <v>* group[=].element[=].target.comment = ##34#documented in the metastatic condiiton##34#</v>
      </c>
    </row>
    <row r="87" spans="7:19" x14ac:dyDescent="0.75">
      <c r="G87" s="77"/>
      <c r="P87" s="11">
        <v>73</v>
      </c>
      <c r="Q87" s="11">
        <f t="shared" si="15"/>
        <v>12</v>
      </c>
      <c r="R87" s="11">
        <f t="shared" si="16"/>
        <v>1</v>
      </c>
      <c r="S87" s="12" t="str" cm="1">
        <f t="array" ref="S87">INDEX('Stage-ConceptMap-1'!$I$15:$N$114,Q87+1,R87)</f>
        <v>* group[=].element[+].code = #Stage.stagingClassification</v>
      </c>
    </row>
    <row r="88" spans="7:19" x14ac:dyDescent="0.75">
      <c r="G88" s="77"/>
      <c r="P88" s="11">
        <v>74</v>
      </c>
      <c r="Q88" s="11">
        <f t="shared" si="15"/>
        <v>12</v>
      </c>
      <c r="R88" s="11">
        <f t="shared" si="16"/>
        <v>2</v>
      </c>
      <c r="S88" s="12" t="str" cm="1">
        <f t="array" ref="S88">INDEX('Stage-ConceptMap-1'!$I$15:$N$114,Q88+1,R88)</f>
        <v>* group[=].element[=].display = ##34#Staging classification##34#</v>
      </c>
    </row>
    <row r="89" spans="7:19" x14ac:dyDescent="0.75">
      <c r="G89" s="77"/>
      <c r="P89" s="11">
        <v>75</v>
      </c>
      <c r="Q89" s="11">
        <f t="shared" si="15"/>
        <v>12</v>
      </c>
      <c r="R89" s="11">
        <f t="shared" si="16"/>
        <v>3</v>
      </c>
      <c r="S89" s="12" t="str" cm="1">
        <f t="array" ref="S89">INDEX('Stage-ConceptMap-1'!$I$15:$N$114,Q89+1,R89)</f>
        <v>* group[=].element[=].target.code = #Observation.valueCodeableConcept</v>
      </c>
    </row>
    <row r="90" spans="7:19" x14ac:dyDescent="0.75">
      <c r="G90" s="77"/>
      <c r="P90" s="11">
        <v>76</v>
      </c>
      <c r="Q90" s="11">
        <f t="shared" si="15"/>
        <v>12</v>
      </c>
      <c r="R90" s="11">
        <f t="shared" si="16"/>
        <v>4</v>
      </c>
      <c r="S90" s="12" t="str" cm="1">
        <f t="array" ref="S90">INDEX('Stage-ConceptMap-1'!$I$15:$N$114,Q90+1,R90)</f>
        <v>* group[=].element[=].target.display = ##34###34#</v>
      </c>
    </row>
    <row r="91" spans="7:19" x14ac:dyDescent="0.75">
      <c r="G91" s="77"/>
      <c r="P91" s="11">
        <v>77</v>
      </c>
      <c r="Q91" s="11">
        <f t="shared" si="15"/>
        <v>12</v>
      </c>
      <c r="R91" s="11">
        <f t="shared" si="16"/>
        <v>5</v>
      </c>
      <c r="S91" s="12" t="str" cm="1">
        <f t="array" ref="S91">INDEX('Stage-ConceptMap-1'!$I$15:$N$114,Q91+1,R91)</f>
        <v>* group[=].element[=].target.equivalence = #equivalent</v>
      </c>
    </row>
    <row r="92" spans="7:19" x14ac:dyDescent="0.75">
      <c r="G92" s="77"/>
      <c r="P92" s="11">
        <v>78</v>
      </c>
      <c r="Q92" s="11">
        <f t="shared" si="15"/>
        <v>12</v>
      </c>
      <c r="R92" s="11">
        <f t="shared" si="16"/>
        <v>6</v>
      </c>
      <c r="S92" s="12" t="str" cm="1">
        <f t="array" ref="S92">INDEX('Stage-ConceptMap-1'!$I$15:$N$114,Q92+1,R92)</f>
        <v/>
      </c>
    </row>
    <row r="93" spans="7:19" x14ac:dyDescent="0.75">
      <c r="G93" s="77"/>
      <c r="P93" s="11">
        <v>79</v>
      </c>
      <c r="Q93" s="11">
        <f t="shared" si="15"/>
        <v>13</v>
      </c>
      <c r="R93" s="11">
        <f t="shared" si="16"/>
        <v>1</v>
      </c>
      <c r="S93" s="12" cm="1">
        <f t="array" ref="S93">INDEX('Stage-ConceptMap-1'!$I$15:$N$114,Q93+1,R93)</f>
        <v>0</v>
      </c>
    </row>
    <row r="94" spans="7:19" x14ac:dyDescent="0.75">
      <c r="G94" s="77"/>
      <c r="P94" s="11">
        <v>80</v>
      </c>
      <c r="Q94" s="11">
        <f t="shared" si="15"/>
        <v>13</v>
      </c>
      <c r="R94" s="11">
        <f t="shared" si="16"/>
        <v>2</v>
      </c>
      <c r="S94" s="12" cm="1">
        <f t="array" ref="S94">INDEX('Stage-ConceptMap-1'!$I$15:$N$114,Q94+1,R94)</f>
        <v>0</v>
      </c>
    </row>
    <row r="95" spans="7:19" x14ac:dyDescent="0.75">
      <c r="G95" s="77"/>
      <c r="P95" s="11">
        <v>81</v>
      </c>
      <c r="Q95" s="11">
        <f t="shared" si="15"/>
        <v>13</v>
      </c>
      <c r="R95" s="11">
        <f t="shared" si="16"/>
        <v>3</v>
      </c>
      <c r="S95" s="12" cm="1">
        <f t="array" ref="S95">INDEX('Stage-ConceptMap-1'!$I$15:$N$114,Q95+1,R95)</f>
        <v>0</v>
      </c>
    </row>
    <row r="96" spans="7:19" x14ac:dyDescent="0.75">
      <c r="G96" s="77"/>
      <c r="P96" s="11">
        <v>82</v>
      </c>
      <c r="Q96" s="11">
        <f t="shared" si="15"/>
        <v>13</v>
      </c>
      <c r="R96" s="11">
        <f t="shared" si="16"/>
        <v>4</v>
      </c>
      <c r="S96" s="12" cm="1">
        <f t="array" ref="S96">INDEX('Stage-ConceptMap-1'!$I$15:$N$114,Q96+1,R96)</f>
        <v>0</v>
      </c>
    </row>
    <row r="97" spans="7:19" x14ac:dyDescent="0.75">
      <c r="G97" s="77"/>
      <c r="P97" s="11">
        <v>83</v>
      </c>
      <c r="Q97" s="11">
        <f t="shared" si="15"/>
        <v>13</v>
      </c>
      <c r="R97" s="11">
        <f t="shared" si="16"/>
        <v>5</v>
      </c>
      <c r="S97" s="12" cm="1">
        <f t="array" ref="S97">INDEX('Stage-ConceptMap-1'!$I$15:$N$114,Q97+1,R97)</f>
        <v>0</v>
      </c>
    </row>
    <row r="98" spans="7:19" x14ac:dyDescent="0.75">
      <c r="G98" s="77"/>
      <c r="P98" s="11">
        <v>84</v>
      </c>
      <c r="Q98" s="11">
        <f t="shared" si="15"/>
        <v>13</v>
      </c>
      <c r="R98" s="11">
        <f t="shared" si="16"/>
        <v>6</v>
      </c>
      <c r="S98" s="12" cm="1">
        <f t="array" ref="S98">INDEX('Stage-ConceptMap-1'!$I$15:$N$114,Q98+1,R98)</f>
        <v>0</v>
      </c>
    </row>
    <row r="99" spans="7:19" x14ac:dyDescent="0.75">
      <c r="G99" s="77"/>
      <c r="P99" s="11">
        <v>85</v>
      </c>
      <c r="Q99" s="11">
        <f t="shared" si="15"/>
        <v>14</v>
      </c>
      <c r="R99" s="11">
        <f t="shared" si="16"/>
        <v>1</v>
      </c>
      <c r="S99" s="12" cm="1">
        <f t="array" ref="S99">INDEX('Stage-ConceptMap-1'!$I$15:$N$114,Q99+1,R99)</f>
        <v>0</v>
      </c>
    </row>
    <row r="100" spans="7:19" x14ac:dyDescent="0.75">
      <c r="G100" s="77"/>
      <c r="P100" s="11">
        <v>86</v>
      </c>
      <c r="Q100" s="11">
        <f t="shared" si="15"/>
        <v>14</v>
      </c>
      <c r="R100" s="11">
        <f t="shared" si="16"/>
        <v>2</v>
      </c>
      <c r="S100" s="12" cm="1">
        <f t="array" ref="S100">INDEX('Stage-ConceptMap-1'!$I$15:$N$114,Q100+1,R100)</f>
        <v>0</v>
      </c>
    </row>
    <row r="101" spans="7:19" x14ac:dyDescent="0.75">
      <c r="G101" s="77"/>
      <c r="P101" s="11">
        <v>87</v>
      </c>
      <c r="Q101" s="11">
        <f t="shared" si="15"/>
        <v>14</v>
      </c>
      <c r="R101" s="11">
        <f t="shared" si="16"/>
        <v>3</v>
      </c>
      <c r="S101" s="12" cm="1">
        <f t="array" ref="S101">INDEX('Stage-ConceptMap-1'!$I$15:$N$114,Q101+1,R101)</f>
        <v>0</v>
      </c>
    </row>
    <row r="102" spans="7:19" x14ac:dyDescent="0.75">
      <c r="G102" s="77"/>
      <c r="P102" s="11">
        <v>88</v>
      </c>
      <c r="Q102" s="11">
        <f t="shared" si="15"/>
        <v>14</v>
      </c>
      <c r="R102" s="11">
        <f t="shared" si="16"/>
        <v>4</v>
      </c>
      <c r="S102" s="12" cm="1">
        <f t="array" ref="S102">INDEX('Stage-ConceptMap-1'!$I$15:$N$114,Q102+1,R102)</f>
        <v>0</v>
      </c>
    </row>
    <row r="103" spans="7:19" x14ac:dyDescent="0.75">
      <c r="G103" s="77"/>
      <c r="P103" s="11">
        <v>89</v>
      </c>
      <c r="Q103" s="11">
        <f t="shared" si="15"/>
        <v>14</v>
      </c>
      <c r="R103" s="11">
        <f t="shared" si="16"/>
        <v>5</v>
      </c>
      <c r="S103" s="12" cm="1">
        <f t="array" ref="S103">INDEX('Stage-ConceptMap-1'!$I$15:$N$114,Q103+1,R103)</f>
        <v>0</v>
      </c>
    </row>
    <row r="104" spans="7:19" x14ac:dyDescent="0.75">
      <c r="G104" s="77"/>
      <c r="P104" s="11">
        <v>90</v>
      </c>
      <c r="Q104" s="11">
        <f t="shared" si="15"/>
        <v>14</v>
      </c>
      <c r="R104" s="11">
        <f t="shared" si="16"/>
        <v>6</v>
      </c>
      <c r="S104" s="12" cm="1">
        <f t="array" ref="S104">INDEX('Stage-ConceptMap-1'!$I$15:$N$114,Q104+1,R104)</f>
        <v>0</v>
      </c>
    </row>
    <row r="105" spans="7:19" x14ac:dyDescent="0.75">
      <c r="G105" s="77"/>
      <c r="P105" s="11">
        <v>91</v>
      </c>
      <c r="Q105" s="11">
        <f t="shared" si="15"/>
        <v>15</v>
      </c>
      <c r="R105" s="11">
        <f t="shared" si="16"/>
        <v>1</v>
      </c>
      <c r="S105" s="12" cm="1">
        <f t="array" ref="S105">INDEX('Stage-ConceptMap-1'!$I$15:$N$114,Q105+1,R105)</f>
        <v>0</v>
      </c>
    </row>
    <row r="106" spans="7:19" x14ac:dyDescent="0.75">
      <c r="G106" s="77"/>
      <c r="P106" s="11">
        <v>92</v>
      </c>
      <c r="Q106" s="11">
        <f t="shared" si="15"/>
        <v>15</v>
      </c>
      <c r="R106" s="11">
        <f t="shared" si="16"/>
        <v>2</v>
      </c>
      <c r="S106" s="12" cm="1">
        <f t="array" ref="S106">INDEX('Stage-ConceptMap-1'!$I$15:$N$114,Q106+1,R106)</f>
        <v>0</v>
      </c>
    </row>
    <row r="107" spans="7:19" x14ac:dyDescent="0.75">
      <c r="G107" s="77"/>
      <c r="P107" s="11">
        <v>93</v>
      </c>
      <c r="Q107" s="11">
        <f t="shared" si="15"/>
        <v>15</v>
      </c>
      <c r="R107" s="11">
        <f t="shared" si="16"/>
        <v>3</v>
      </c>
      <c r="S107" s="12" cm="1">
        <f t="array" ref="S107">INDEX('Stage-ConceptMap-1'!$I$15:$N$114,Q107+1,R107)</f>
        <v>0</v>
      </c>
    </row>
    <row r="108" spans="7:19" x14ac:dyDescent="0.75">
      <c r="P108" s="11">
        <v>94</v>
      </c>
      <c r="Q108" s="11">
        <f t="shared" si="15"/>
        <v>15</v>
      </c>
      <c r="R108" s="11">
        <f t="shared" si="16"/>
        <v>4</v>
      </c>
      <c r="S108" s="12" cm="1">
        <f t="array" ref="S108">INDEX('Stage-ConceptMap-1'!$I$15:$N$114,Q108+1,R108)</f>
        <v>0</v>
      </c>
    </row>
    <row r="109" spans="7:19" x14ac:dyDescent="0.75">
      <c r="P109" s="11">
        <v>95</v>
      </c>
      <c r="Q109" s="11">
        <f t="shared" si="15"/>
        <v>15</v>
      </c>
      <c r="R109" s="11">
        <f t="shared" si="16"/>
        <v>5</v>
      </c>
      <c r="S109" s="12" cm="1">
        <f t="array" ref="S109">INDEX('Stage-ConceptMap-1'!$I$15:$N$114,Q109+1,R109)</f>
        <v>0</v>
      </c>
    </row>
    <row r="110" spans="7:19" x14ac:dyDescent="0.75">
      <c r="P110" s="11">
        <v>96</v>
      </c>
      <c r="Q110" s="11">
        <f t="shared" si="15"/>
        <v>15</v>
      </c>
      <c r="R110" s="11">
        <f t="shared" si="16"/>
        <v>6</v>
      </c>
      <c r="S110" s="12" cm="1">
        <f t="array" ref="S110">INDEX('Stage-ConceptMap-1'!$I$15:$N$114,Q110+1,R110)</f>
        <v>0</v>
      </c>
    </row>
    <row r="111" spans="7:19" x14ac:dyDescent="0.75">
      <c r="P111" s="11">
        <v>97</v>
      </c>
      <c r="Q111" s="11">
        <f t="shared" si="15"/>
        <v>16</v>
      </c>
      <c r="R111" s="11">
        <f t="shared" si="16"/>
        <v>1</v>
      </c>
      <c r="S111" s="12" cm="1">
        <f t="array" ref="S111">INDEX('Stage-ConceptMap-1'!$I$15:$N$114,Q111+1,R111)</f>
        <v>0</v>
      </c>
    </row>
    <row r="112" spans="7:19" x14ac:dyDescent="0.75">
      <c r="P112" s="11">
        <v>98</v>
      </c>
      <c r="Q112" s="11">
        <f t="shared" si="15"/>
        <v>16</v>
      </c>
      <c r="R112" s="11">
        <f t="shared" si="16"/>
        <v>2</v>
      </c>
      <c r="S112" s="12" cm="1">
        <f t="array" ref="S112">INDEX('Stage-ConceptMap-1'!$I$15:$N$114,Q112+1,R112)</f>
        <v>0</v>
      </c>
    </row>
    <row r="113" spans="16:19" x14ac:dyDescent="0.75">
      <c r="P113" s="11">
        <v>99</v>
      </c>
      <c r="Q113" s="11">
        <f t="shared" si="15"/>
        <v>16</v>
      </c>
      <c r="R113" s="11">
        <f t="shared" si="16"/>
        <v>3</v>
      </c>
      <c r="S113" s="12" cm="1">
        <f t="array" ref="S113">INDEX('Stage-ConceptMap-1'!$I$15:$N$114,Q113+1,R113)</f>
        <v>0</v>
      </c>
    </row>
    <row r="114" spans="16:19" x14ac:dyDescent="0.75">
      <c r="P114" s="11">
        <v>100</v>
      </c>
      <c r="Q114" s="11">
        <f t="shared" si="15"/>
        <v>16</v>
      </c>
      <c r="R114" s="11">
        <f t="shared" si="16"/>
        <v>4</v>
      </c>
      <c r="S114" s="12" cm="1">
        <f t="array" ref="S114">INDEX('Stage-ConceptMap-1'!$I$15:$N$114,Q114+1,R114)</f>
        <v>0</v>
      </c>
    </row>
    <row r="115" spans="16:19" x14ac:dyDescent="0.75">
      <c r="P115" s="11">
        <v>101</v>
      </c>
      <c r="Q115" s="11">
        <f t="shared" si="15"/>
        <v>16</v>
      </c>
      <c r="R115" s="11">
        <f t="shared" si="16"/>
        <v>5</v>
      </c>
      <c r="S115" s="12" cm="1">
        <f t="array" ref="S115">INDEX('Stage-ConceptMap-1'!$I$15:$N$114,Q115+1,R115)</f>
        <v>0</v>
      </c>
    </row>
    <row r="116" spans="16:19" x14ac:dyDescent="0.75">
      <c r="P116" s="11">
        <v>102</v>
      </c>
      <c r="Q116" s="11">
        <f t="shared" si="15"/>
        <v>16</v>
      </c>
      <c r="R116" s="11">
        <f t="shared" si="16"/>
        <v>6</v>
      </c>
      <c r="S116" s="12" cm="1">
        <f t="array" ref="S116">INDEX('Stage-ConceptMap-1'!$I$15:$N$114,Q116+1,R116)</f>
        <v>0</v>
      </c>
    </row>
    <row r="117" spans="16:19" x14ac:dyDescent="0.75">
      <c r="P117" s="11">
        <v>103</v>
      </c>
      <c r="Q117" s="11">
        <f t="shared" si="15"/>
        <v>17</v>
      </c>
      <c r="R117" s="11">
        <f t="shared" si="16"/>
        <v>1</v>
      </c>
      <c r="S117" s="12" cm="1">
        <f t="array" ref="S117">INDEX('Stage-ConceptMap-1'!$I$15:$N$114,Q117+1,R117)</f>
        <v>0</v>
      </c>
    </row>
    <row r="118" spans="16:19" x14ac:dyDescent="0.75">
      <c r="P118" s="11">
        <v>104</v>
      </c>
      <c r="Q118" s="11">
        <f t="shared" si="15"/>
        <v>17</v>
      </c>
      <c r="R118" s="11">
        <f t="shared" si="16"/>
        <v>2</v>
      </c>
      <c r="S118" s="12" cm="1">
        <f t="array" ref="S118">INDEX('Stage-ConceptMap-1'!$I$15:$N$114,Q118+1,R118)</f>
        <v>0</v>
      </c>
    </row>
    <row r="119" spans="16:19" x14ac:dyDescent="0.75">
      <c r="P119" s="11">
        <v>105</v>
      </c>
      <c r="Q119" s="11">
        <f t="shared" si="15"/>
        <v>17</v>
      </c>
      <c r="R119" s="11">
        <f t="shared" si="16"/>
        <v>3</v>
      </c>
      <c r="S119" s="12" cm="1">
        <f t="array" ref="S119">INDEX('Stage-ConceptMap-1'!$I$15:$N$114,Q119+1,R119)</f>
        <v>0</v>
      </c>
    </row>
    <row r="120" spans="16:19" x14ac:dyDescent="0.75">
      <c r="P120" s="11">
        <v>106</v>
      </c>
      <c r="Q120" s="11">
        <f t="shared" si="15"/>
        <v>17</v>
      </c>
      <c r="R120" s="11">
        <f t="shared" si="16"/>
        <v>4</v>
      </c>
      <c r="S120" s="12" cm="1">
        <f t="array" ref="S120">INDEX('Stage-ConceptMap-1'!$I$15:$N$114,Q120+1,R120)</f>
        <v>0</v>
      </c>
    </row>
    <row r="121" spans="16:19" x14ac:dyDescent="0.75">
      <c r="P121" s="11">
        <v>107</v>
      </c>
      <c r="Q121" s="11">
        <f t="shared" si="15"/>
        <v>17</v>
      </c>
      <c r="R121" s="11">
        <f t="shared" si="16"/>
        <v>5</v>
      </c>
      <c r="S121" s="12" cm="1">
        <f t="array" ref="S121">INDEX('Stage-ConceptMap-1'!$I$15:$N$114,Q121+1,R121)</f>
        <v>0</v>
      </c>
    </row>
    <row r="122" spans="16:19" x14ac:dyDescent="0.75">
      <c r="P122" s="11">
        <v>108</v>
      </c>
      <c r="Q122" s="11">
        <f t="shared" si="15"/>
        <v>17</v>
      </c>
      <c r="R122" s="11">
        <f t="shared" si="16"/>
        <v>6</v>
      </c>
      <c r="S122" s="12" cm="1">
        <f t="array" ref="S122">INDEX('Stage-ConceptMap-1'!$I$15:$N$114,Q122+1,R122)</f>
        <v>0</v>
      </c>
    </row>
    <row r="123" spans="16:19" x14ac:dyDescent="0.75">
      <c r="P123" s="11">
        <v>109</v>
      </c>
      <c r="Q123" s="11">
        <f t="shared" si="15"/>
        <v>18</v>
      </c>
      <c r="R123" s="11">
        <f t="shared" si="16"/>
        <v>1</v>
      </c>
      <c r="S123" s="12" cm="1">
        <f t="array" ref="S123">INDEX('Stage-ConceptMap-1'!$I$15:$N$114,Q123+1,R123)</f>
        <v>0</v>
      </c>
    </row>
    <row r="124" spans="16:19" x14ac:dyDescent="0.75">
      <c r="P124" s="11">
        <v>110</v>
      </c>
      <c r="Q124" s="11">
        <f t="shared" si="15"/>
        <v>18</v>
      </c>
      <c r="R124" s="11">
        <f t="shared" si="16"/>
        <v>2</v>
      </c>
      <c r="S124" s="12" cm="1">
        <f t="array" ref="S124">INDEX('Stage-ConceptMap-1'!$I$15:$N$114,Q124+1,R124)</f>
        <v>0</v>
      </c>
    </row>
    <row r="125" spans="16:19" x14ac:dyDescent="0.75">
      <c r="P125" s="11">
        <v>111</v>
      </c>
      <c r="Q125" s="11">
        <f t="shared" si="15"/>
        <v>18</v>
      </c>
      <c r="R125" s="11">
        <f t="shared" si="16"/>
        <v>3</v>
      </c>
      <c r="S125" s="12" cm="1">
        <f t="array" ref="S125">INDEX('Stage-ConceptMap-1'!$I$15:$N$114,Q125+1,R125)</f>
        <v>0</v>
      </c>
    </row>
    <row r="126" spans="16:19" x14ac:dyDescent="0.75">
      <c r="P126" s="11">
        <v>112</v>
      </c>
      <c r="Q126" s="11">
        <f t="shared" si="15"/>
        <v>18</v>
      </c>
      <c r="R126" s="11">
        <f t="shared" si="16"/>
        <v>4</v>
      </c>
      <c r="S126" s="12" cm="1">
        <f t="array" ref="S126">INDEX('Stage-ConceptMap-1'!$I$15:$N$114,Q126+1,R126)</f>
        <v>0</v>
      </c>
    </row>
    <row r="127" spans="16:19" x14ac:dyDescent="0.75">
      <c r="P127" s="11">
        <v>113</v>
      </c>
      <c r="Q127" s="11">
        <f t="shared" si="15"/>
        <v>18</v>
      </c>
      <c r="R127" s="11">
        <f t="shared" si="16"/>
        <v>5</v>
      </c>
      <c r="S127" s="12" cm="1">
        <f t="array" ref="S127">INDEX('Stage-ConceptMap-1'!$I$15:$N$114,Q127+1,R127)</f>
        <v>0</v>
      </c>
    </row>
    <row r="128" spans="16:19" x14ac:dyDescent="0.75">
      <c r="P128" s="11">
        <v>114</v>
      </c>
      <c r="Q128" s="11">
        <f t="shared" si="15"/>
        <v>18</v>
      </c>
      <c r="R128" s="11">
        <f t="shared" si="16"/>
        <v>6</v>
      </c>
      <c r="S128" s="12" cm="1">
        <f t="array" ref="S128">INDEX('Stage-ConceptMap-1'!$I$15:$N$114,Q128+1,R128)</f>
        <v>0</v>
      </c>
    </row>
    <row r="129" spans="16:19" x14ac:dyDescent="0.75">
      <c r="P129" s="11">
        <v>115</v>
      </c>
      <c r="Q129" s="11">
        <f t="shared" si="15"/>
        <v>19</v>
      </c>
      <c r="R129" s="11">
        <f t="shared" si="16"/>
        <v>1</v>
      </c>
      <c r="S129" s="12" cm="1">
        <f t="array" ref="S129">INDEX('Stage-ConceptMap-1'!$I$15:$N$114,Q129+1,R129)</f>
        <v>0</v>
      </c>
    </row>
    <row r="130" spans="16:19" x14ac:dyDescent="0.75">
      <c r="P130" s="11">
        <v>116</v>
      </c>
      <c r="Q130" s="11">
        <f t="shared" si="15"/>
        <v>19</v>
      </c>
      <c r="R130" s="11">
        <f t="shared" si="16"/>
        <v>2</v>
      </c>
      <c r="S130" s="12" cm="1">
        <f t="array" ref="S130">INDEX('Stage-ConceptMap-1'!$I$15:$N$114,Q130+1,R130)</f>
        <v>0</v>
      </c>
    </row>
    <row r="131" spans="16:19" x14ac:dyDescent="0.75">
      <c r="P131" s="11">
        <v>117</v>
      </c>
      <c r="Q131" s="11">
        <f t="shared" si="15"/>
        <v>19</v>
      </c>
      <c r="R131" s="11">
        <f t="shared" si="16"/>
        <v>3</v>
      </c>
      <c r="S131" s="12" cm="1">
        <f t="array" ref="S131">INDEX('Stage-ConceptMap-1'!$I$15:$N$114,Q131+1,R131)</f>
        <v>0</v>
      </c>
    </row>
    <row r="132" spans="16:19" x14ac:dyDescent="0.75">
      <c r="P132" s="11">
        <v>118</v>
      </c>
      <c r="Q132" s="11">
        <f t="shared" si="15"/>
        <v>19</v>
      </c>
      <c r="R132" s="11">
        <f t="shared" si="16"/>
        <v>4</v>
      </c>
      <c r="S132" s="12" cm="1">
        <f t="array" ref="S132">INDEX('Stage-ConceptMap-1'!$I$15:$N$114,Q132+1,R132)</f>
        <v>0</v>
      </c>
    </row>
    <row r="133" spans="16:19" x14ac:dyDescent="0.75">
      <c r="P133" s="11">
        <v>119</v>
      </c>
      <c r="Q133" s="11">
        <f t="shared" si="15"/>
        <v>19</v>
      </c>
      <c r="R133" s="11">
        <f t="shared" si="16"/>
        <v>5</v>
      </c>
      <c r="S133" s="12" cm="1">
        <f t="array" ref="S133">INDEX('Stage-ConceptMap-1'!$I$15:$N$114,Q133+1,R133)</f>
        <v>0</v>
      </c>
    </row>
    <row r="134" spans="16:19" x14ac:dyDescent="0.75">
      <c r="P134" s="11">
        <v>120</v>
      </c>
      <c r="Q134" s="11">
        <f t="shared" si="15"/>
        <v>19</v>
      </c>
      <c r="R134" s="11">
        <f t="shared" si="16"/>
        <v>6</v>
      </c>
      <c r="S134" s="12" cm="1">
        <f t="array" ref="S134">INDEX('Stage-ConceptMap-1'!$I$15:$N$114,Q134+1,R134)</f>
        <v>0</v>
      </c>
    </row>
    <row r="135" spans="16:19" x14ac:dyDescent="0.75">
      <c r="P135" s="11">
        <v>121</v>
      </c>
      <c r="Q135" s="11">
        <f t="shared" si="15"/>
        <v>20</v>
      </c>
      <c r="R135" s="11">
        <f t="shared" si="16"/>
        <v>1</v>
      </c>
      <c r="S135" s="12" cm="1">
        <f t="array" ref="S135">INDEX('Stage-ConceptMap-1'!$I$15:$N$114,Q135+1,R135)</f>
        <v>0</v>
      </c>
    </row>
    <row r="136" spans="16:19" x14ac:dyDescent="0.75">
      <c r="P136" s="11">
        <v>122</v>
      </c>
      <c r="Q136" s="11">
        <f t="shared" si="15"/>
        <v>20</v>
      </c>
      <c r="R136" s="11">
        <f t="shared" si="16"/>
        <v>2</v>
      </c>
      <c r="S136" s="12" cm="1">
        <f t="array" ref="S136">INDEX('Stage-ConceptMap-1'!$I$15:$N$114,Q136+1,R136)</f>
        <v>0</v>
      </c>
    </row>
    <row r="137" spans="16:19" x14ac:dyDescent="0.75">
      <c r="P137" s="11">
        <v>123</v>
      </c>
      <c r="Q137" s="11">
        <f t="shared" si="15"/>
        <v>20</v>
      </c>
      <c r="R137" s="11">
        <f t="shared" si="16"/>
        <v>3</v>
      </c>
      <c r="S137" s="12" cm="1">
        <f t="array" ref="S137">INDEX('Stage-ConceptMap-1'!$I$15:$N$114,Q137+1,R137)</f>
        <v>0</v>
      </c>
    </row>
    <row r="138" spans="16:19" x14ac:dyDescent="0.75">
      <c r="P138" s="11">
        <v>124</v>
      </c>
      <c r="Q138" s="11">
        <f t="shared" si="15"/>
        <v>20</v>
      </c>
      <c r="R138" s="11">
        <f t="shared" si="16"/>
        <v>4</v>
      </c>
      <c r="S138" s="12" cm="1">
        <f t="array" ref="S138">INDEX('Stage-ConceptMap-1'!$I$15:$N$114,Q138+1,R138)</f>
        <v>0</v>
      </c>
    </row>
    <row r="139" spans="16:19" x14ac:dyDescent="0.75">
      <c r="P139" s="11">
        <v>125</v>
      </c>
      <c r="Q139" s="11">
        <f t="shared" si="15"/>
        <v>20</v>
      </c>
      <c r="R139" s="11">
        <f t="shared" si="16"/>
        <v>5</v>
      </c>
      <c r="S139" s="12" cm="1">
        <f t="array" ref="S139">INDEX('Stage-ConceptMap-1'!$I$15:$N$114,Q139+1,R139)</f>
        <v>0</v>
      </c>
    </row>
    <row r="140" spans="16:19" x14ac:dyDescent="0.75">
      <c r="P140" s="11">
        <v>126</v>
      </c>
      <c r="Q140" s="11">
        <f t="shared" si="15"/>
        <v>20</v>
      </c>
      <c r="R140" s="11">
        <f t="shared" si="16"/>
        <v>6</v>
      </c>
      <c r="S140" s="12" cm="1">
        <f t="array" ref="S140">INDEX('Stage-ConceptMap-1'!$I$15:$N$114,Q140+1,R140)</f>
        <v>0</v>
      </c>
    </row>
    <row r="141" spans="16:19" x14ac:dyDescent="0.75">
      <c r="P141" s="11">
        <v>127</v>
      </c>
      <c r="Q141" s="11">
        <f t="shared" si="15"/>
        <v>21</v>
      </c>
      <c r="R141" s="11">
        <f t="shared" si="16"/>
        <v>1</v>
      </c>
      <c r="S141" s="12" cm="1">
        <f t="array" ref="S141">INDEX('Stage-ConceptMap-1'!$I$15:$N$114,Q141+1,R141)</f>
        <v>0</v>
      </c>
    </row>
    <row r="142" spans="16:19" x14ac:dyDescent="0.75">
      <c r="P142" s="11">
        <v>128</v>
      </c>
      <c r="Q142" s="11">
        <f t="shared" si="15"/>
        <v>21</v>
      </c>
      <c r="R142" s="11">
        <f t="shared" si="16"/>
        <v>2</v>
      </c>
      <c r="S142" s="12" cm="1">
        <f t="array" ref="S142">INDEX('Stage-ConceptMap-1'!$I$15:$N$114,Q142+1,R142)</f>
        <v>0</v>
      </c>
    </row>
    <row r="143" spans="16:19" x14ac:dyDescent="0.75">
      <c r="P143" s="11">
        <v>129</v>
      </c>
      <c r="Q143" s="11">
        <f t="shared" si="15"/>
        <v>21</v>
      </c>
      <c r="R143" s="11">
        <f t="shared" si="16"/>
        <v>3</v>
      </c>
      <c r="S143" s="12" cm="1">
        <f t="array" ref="S143">INDEX('Stage-ConceptMap-1'!$I$15:$N$114,Q143+1,R143)</f>
        <v>0</v>
      </c>
    </row>
    <row r="144" spans="16:19" x14ac:dyDescent="0.75">
      <c r="P144" s="11">
        <v>130</v>
      </c>
      <c r="Q144" s="11">
        <f t="shared" ref="Q144:Q153" si="17">IF(MOD(P144,$Q$8)=0,P144/$Q$8-1,INT(P144/$Q$8))</f>
        <v>21</v>
      </c>
      <c r="R144" s="11">
        <f t="shared" ref="R144:R153" si="18">IF(MOD(P144,$Q$8)=0,$Q$8,MOD(P144,$Q$8))</f>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si="17"/>
        <v>21</v>
      </c>
      <c r="R146" s="11">
        <f t="shared" si="18"/>
        <v>6</v>
      </c>
      <c r="S146" s="12" cm="1">
        <f t="array" ref="S146">INDEX('Stage-ConceptMap-1'!$I$15:$N$114,Q146+1,R146)</f>
        <v>0</v>
      </c>
    </row>
    <row r="147" spans="16:19" x14ac:dyDescent="0.75">
      <c r="P147" s="11">
        <v>133</v>
      </c>
      <c r="Q147" s="11">
        <f t="shared" si="17"/>
        <v>22</v>
      </c>
      <c r="R147" s="11">
        <f t="shared" si="18"/>
        <v>1</v>
      </c>
      <c r="S147" s="12" cm="1">
        <f t="array" ref="S147">INDEX('Stage-ConceptMap-1'!$I$15:$N$114,Q147+1,R147)</f>
        <v>0</v>
      </c>
    </row>
    <row r="148" spans="16:19" x14ac:dyDescent="0.75">
      <c r="P148" s="11">
        <v>134</v>
      </c>
      <c r="Q148" s="11">
        <f t="shared" si="17"/>
        <v>22</v>
      </c>
      <c r="R148" s="11">
        <f t="shared" si="18"/>
        <v>2</v>
      </c>
      <c r="S148" s="12" cm="1">
        <f t="array" ref="S148">INDEX('Stage-ConceptMap-1'!$I$15:$N$114,Q148+1,R148)</f>
        <v>0</v>
      </c>
    </row>
    <row r="149" spans="16:19" x14ac:dyDescent="0.75">
      <c r="P149" s="11">
        <v>135</v>
      </c>
      <c r="Q149" s="11">
        <f t="shared" si="17"/>
        <v>22</v>
      </c>
      <c r="R149" s="11">
        <f t="shared" si="18"/>
        <v>3</v>
      </c>
      <c r="S149" s="12" cm="1">
        <f t="array" ref="S149">INDEX('Stage-ConceptMap-1'!$I$15:$N$114,Q149+1,R149)</f>
        <v>0</v>
      </c>
    </row>
    <row r="150" spans="16:19" x14ac:dyDescent="0.75">
      <c r="P150" s="11">
        <v>136</v>
      </c>
      <c r="Q150" s="11">
        <f t="shared" si="17"/>
        <v>22</v>
      </c>
      <c r="R150" s="11">
        <f t="shared" si="18"/>
        <v>4</v>
      </c>
      <c r="S150" s="12" cm="1">
        <f t="array" ref="S150">INDEX('Stage-ConceptMap-1'!$I$15:$N$114,Q150+1,R150)</f>
        <v>0</v>
      </c>
    </row>
    <row r="151" spans="16:19" x14ac:dyDescent="0.75">
      <c r="P151" s="11">
        <v>137</v>
      </c>
      <c r="Q151" s="11">
        <f t="shared" si="17"/>
        <v>22</v>
      </c>
      <c r="R151" s="11">
        <f t="shared" si="18"/>
        <v>5</v>
      </c>
      <c r="S151" s="12" cm="1">
        <f t="array" ref="S151">INDEX('Stage-ConceptMap-1'!$I$15:$N$114,Q151+1,R151)</f>
        <v>0</v>
      </c>
    </row>
    <row r="152" spans="16:19" x14ac:dyDescent="0.75">
      <c r="P152" s="11">
        <v>138</v>
      </c>
      <c r="Q152" s="11">
        <f t="shared" si="17"/>
        <v>22</v>
      </c>
      <c r="R152" s="11">
        <f t="shared" si="18"/>
        <v>6</v>
      </c>
      <c r="S152" s="12" cm="1">
        <f t="array" ref="S152">INDEX('Stage-ConceptMap-1'!$I$15:$N$114,Q152+1,R152)</f>
        <v>0</v>
      </c>
    </row>
    <row r="153" spans="16:19" x14ac:dyDescent="0.75">
      <c r="P153" s="11">
        <v>139</v>
      </c>
      <c r="Q153" s="11">
        <f t="shared" si="17"/>
        <v>23</v>
      </c>
      <c r="R153" s="11">
        <f t="shared" si="18"/>
        <v>1</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51" t="s">
        <v>1636</v>
      </c>
      <c r="F4" s="152"/>
      <c r="G4" s="152"/>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1" t="str">
        <f>E3</f>
        <v>http://hl7.eu/fhir/ig/idea4rc/StructureDefinition/StageI4rc</v>
      </c>
      <c r="F6" s="152"/>
      <c r="G6" s="152"/>
    </row>
    <row r="7" spans="1:19" ht="15.5" thickBot="1" x14ac:dyDescent="0.9">
      <c r="B7" s="47" t="s">
        <v>15</v>
      </c>
      <c r="C7" s="28">
        <f>'Stage-ConceptMap-1'!C7</f>
        <v>0</v>
      </c>
      <c r="D7" s="47" t="s">
        <v>1476</v>
      </c>
      <c r="E7" s="151" t="s">
        <v>1636</v>
      </c>
      <c r="F7" s="152"/>
      <c r="G7" s="152"/>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5" t="s">
        <v>1316</v>
      </c>
      <c r="G16" s="13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5"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51" t="s">
        <v>1637</v>
      </c>
      <c r="F4" s="152"/>
      <c r="G4" s="152"/>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1" t="str">
        <f>E3</f>
        <v>http://hl7.eu/fhir/ig/idea4rc/StructureDefinition/StageI4rc</v>
      </c>
      <c r="F6" s="152"/>
      <c r="G6" s="152"/>
    </row>
    <row r="7" spans="1:19" ht="15.5" thickBot="1" x14ac:dyDescent="0.9">
      <c r="B7" s="47" t="s">
        <v>15</v>
      </c>
      <c r="C7" s="28">
        <f>'Stage-ConceptMap-1'!C7</f>
        <v>0</v>
      </c>
      <c r="D7" s="47" t="s">
        <v>1476</v>
      </c>
      <c r="E7" s="151" t="s">
        <v>1637</v>
      </c>
      <c r="F7" s="152"/>
      <c r="G7" s="152"/>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5"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1638</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5" t="s">
        <v>1311</v>
      </c>
      <c r="G17" s="13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5" t="s">
        <v>1316</v>
      </c>
      <c r="G18" s="138"/>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2" t="str">
        <f>E3</f>
        <v>http://hl7.eu/fhir/ig/idea4rc/StructureDefinition/StageI4rc</v>
      </c>
      <c r="F6" s="152"/>
      <c r="G6" s="152"/>
    </row>
    <row r="7" spans="1:19" x14ac:dyDescent="0.75">
      <c r="B7" s="47" t="s">
        <v>15</v>
      </c>
      <c r="C7" s="72"/>
      <c r="D7" s="47" t="s">
        <v>1476</v>
      </c>
      <c r="E7" s="152" t="s">
        <v>2322</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5" t="s">
        <v>1316</v>
      </c>
      <c r="G15" s="76" t="s">
        <v>2312</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A8" zoomScale="70" zoomScaleNormal="70" workbookViewId="0">
      <selection activeCell="G8" sqref="G1:G104857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71" t="str">
        <f>$C$1&amp;Stage!B4</f>
        <v>http://hl7.eu/fhir/ig/idea4rc/StructureDefinition/StageI4rc</v>
      </c>
    </row>
    <row r="4" spans="1:19" x14ac:dyDescent="0.75">
      <c r="B4" s="47" t="s">
        <v>16</v>
      </c>
      <c r="C4" s="73" t="str">
        <f>'Stage-ConceptMap-1'!C4</f>
        <v>stage2FHIR</v>
      </c>
      <c r="D4" s="47" t="s">
        <v>1474</v>
      </c>
      <c r="E4" s="151" t="s">
        <v>1625</v>
      </c>
      <c r="F4" s="152"/>
      <c r="G4" s="152"/>
    </row>
    <row r="5" spans="1:19" x14ac:dyDescent="0.75">
      <c r="B5" s="47" t="s">
        <v>10</v>
      </c>
      <c r="C5" s="73" t="str">
        <f>'Stage-ConceptMap-1'!C5</f>
        <v>Stage Model to this guide Map</v>
      </c>
      <c r="D5" s="47"/>
      <c r="E5" s="7"/>
    </row>
    <row r="6" spans="1:19" x14ac:dyDescent="0.75">
      <c r="B6" s="47" t="s">
        <v>18</v>
      </c>
      <c r="C6" s="73">
        <f>'Stage-ConceptMap-1'!C6</f>
        <v>0</v>
      </c>
      <c r="D6" s="47" t="s">
        <v>1475</v>
      </c>
      <c r="E6" s="151" t="str">
        <f>E3</f>
        <v>http://hl7.eu/fhir/ig/idea4rc/StructureDefinition/StageI4rc</v>
      </c>
      <c r="F6" s="152"/>
      <c r="G6" s="152"/>
    </row>
    <row r="7" spans="1:19" x14ac:dyDescent="0.75">
      <c r="B7" s="47" t="s">
        <v>15</v>
      </c>
      <c r="C7" s="73">
        <f>'Stage-ConceptMap-1'!C7</f>
        <v>0</v>
      </c>
      <c r="D7" s="47" t="s">
        <v>1476</v>
      </c>
      <c r="E7" s="151" t="s">
        <v>2309</v>
      </c>
      <c r="F7" s="152"/>
      <c r="G7" s="152"/>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2321</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2377</v>
      </c>
      <c r="E16" s="12"/>
      <c r="F16" s="49" t="s">
        <v>1294</v>
      </c>
      <c r="G16" s="76" t="s">
        <v>2379</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2377</v>
      </c>
      <c r="E17" s="12"/>
      <c r="F17" s="49" t="s">
        <v>1294</v>
      </c>
      <c r="G17" s="76" t="s">
        <v>2378</v>
      </c>
      <c r="H17" s="43"/>
      <c r="I17" s="12" t="str">
        <f t="shared" si="8"/>
        <v>* group[=].element[+].code = #Stage.locoRegional</v>
      </c>
      <c r="J17" s="12" t="str">
        <f t="shared" si="9"/>
        <v>* group[=].element[=].display = ##34#Loco-regional##34#</v>
      </c>
      <c r="K17" s="12" t="str">
        <f t="shared" si="10"/>
        <v>* group[=].element[=].target.code = #Observation.bodySite.extension:qualifier.valueCodeableConcept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#Observation.extension:relatedPrimaryCancerCondition</v>
      </c>
    </row>
    <row r="18" spans="1:19" ht="88.5" x14ac:dyDescent="0.75">
      <c r="A18" s="44"/>
      <c r="B18" s="11" t="str">
        <f>Stage!B16</f>
        <v>isMetastatic</v>
      </c>
      <c r="C18" s="11" t="str">
        <f>Stage!C16</f>
        <v>Is metastatic</v>
      </c>
      <c r="D18" s="12"/>
      <c r="E18" s="11"/>
      <c r="F18" s="49" t="s">
        <v>1294</v>
      </c>
      <c r="G18" s="76" t="s">
        <v>2380</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2381</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2382</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2383</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2384</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#Observation.bodySite.extension:qualifier.valueCodeableConcept</v>
      </c>
    </row>
    <row r="24" spans="1:19" ht="73.75" x14ac:dyDescent="0.75">
      <c r="B24" s="11" t="str">
        <f>Stage!B23</f>
        <v>sites.bone</v>
      </c>
      <c r="C24" s="11" t="str">
        <f>Stage!C23</f>
        <v>bone</v>
      </c>
      <c r="D24" s="12" t="s">
        <v>1613</v>
      </c>
      <c r="E24" s="12"/>
      <c r="F24" s="49" t="s">
        <v>1316</v>
      </c>
      <c r="G24" s="77" t="s">
        <v>2385</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2386</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2387</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2388</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2389</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2390</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#Observation.bodySite.extension:qualifier.valueCodeableConcept</v>
      </c>
    </row>
    <row r="30" spans="1:19" ht="73.75" x14ac:dyDescent="0.75">
      <c r="B30" s="11" t="str">
        <f>Stage!B29</f>
        <v>sites.unknown</v>
      </c>
      <c r="C30" s="11" t="str">
        <f>Stage!C29</f>
        <v>unknown</v>
      </c>
      <c r="D30" s="12" t="s">
        <v>1613</v>
      </c>
      <c r="E30" s="12"/>
      <c r="F30" s="49" t="s">
        <v>1316</v>
      </c>
      <c r="G30" s="77" t="s">
        <v>2391</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#Observation.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#Observation.bodySite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#Observation.bodySite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#Observation.bodySite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#Observation.bodySite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#Observation.bodySite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#Observation.bodySite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#Observation.bodySite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#Observation.bodySite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#Observation.bodySite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#Observation.bodySite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#Observation.bodySite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tabSelected="1" workbookViewId="0">
      <selection activeCell="B218" sqref="B218:B31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2315</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#Observation.hasMember:tnmDistantMetastasesCategory.valueCodeableConcept</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##34#If M0  false otherwise true. Check if the unknown case is present##34#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#Observation.hasMember:tnmRegionalNodesCategory.valueCodeableConcept</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##34#If N0  false otherwise true. Check if the unknown case is present##34#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3"/>
    </row>
    <row r="105" spans="2:2" x14ac:dyDescent="0.75">
      <c r="B105" s="53" t="str">
        <f>"* group[+].source = ##34#"&amp;'Stage-ConceptMap-2'!E6&amp;"##34#"</f>
        <v>* group[+].source = ##34#http://hl7.eu/fhir/ig/idea4rc/StructureDefinition/StageI4rc##34#</v>
      </c>
    </row>
    <row r="106" spans="2:2" x14ac:dyDescent="0.75">
      <c r="B106" s="84" t="str">
        <f>"* group[=].target = ##34#"&amp;'Stage-ConceptMap-2'!E7&amp;"##34#"</f>
        <v>* group[=].target = ##34#http://hl7.eu/fhir/ig/idea4rc/StructureDefinition/mcode-tnm-primary-tumor-category##34#</v>
      </c>
    </row>
    <row r="107" spans="2:2" x14ac:dyDescent="0.75">
      <c r="B107" s="85"/>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3"/>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4" t="str">
        <f>"* group[=].target = ##34#"&amp;'Stage-ConceptMap-3'!E7&amp;"##34#"</f>
        <v>* group[=].target = ##34#http://hl7.eu/fhir/ig/idea4rc/StructureDefinition/mcode-tnm-regional-nodes-category##34#</v>
      </c>
      <c r="C137" s="7"/>
      <c r="D137" s="7"/>
      <c r="E137" s="7"/>
      <c r="F137" s="7"/>
      <c r="G137" s="7"/>
    </row>
    <row r="138" spans="2:7" x14ac:dyDescent="0.75">
      <c r="B138" s="85"/>
      <c r="C138" s="7"/>
      <c r="D138" s="7"/>
      <c r="E138" s="7"/>
      <c r="F138" s="7"/>
      <c r="G138" s="7"/>
    </row>
    <row r="139" spans="2:7" x14ac:dyDescent="0.75">
      <c r="B139" s="73" t="str">
        <f>IF('Stage-ConceptMap-3'!S15=0,"//---END",'Stage-ConceptMap-3'!S15)</f>
        <v>* group[=].element[+].code = #Stage.type</v>
      </c>
      <c r="C139" s="7"/>
      <c r="D139" s="7"/>
      <c r="E139" s="7"/>
      <c r="F139" s="7"/>
      <c r="G139" s="7"/>
    </row>
    <row r="140" spans="2:7" x14ac:dyDescent="0.75">
      <c r="B140" s="73" t="str">
        <f>IF('Stage-ConceptMap-3'!S16=0,"//---END",'Stage-ConceptMap-3'!S16)</f>
        <v>* group[=].element[=].display = ##34#Type of stage##34#</v>
      </c>
      <c r="C140" s="7"/>
      <c r="D140" s="7"/>
      <c r="E140" s="7"/>
      <c r="F140" s="7"/>
      <c r="G140" s="7"/>
    </row>
    <row r="141" spans="2:7" x14ac:dyDescent="0.75">
      <c r="B141" s="73" t="str">
        <f>IF('Stage-ConceptMap-3'!S17=0,"//---END",'Stage-ConceptMap-3'!S17)</f>
        <v>* group[=].element[=].target.code = #Observation.code</v>
      </c>
      <c r="C141" s="7"/>
      <c r="D141" s="7"/>
      <c r="E141" s="7"/>
      <c r="F141" s="7"/>
      <c r="G141" s="7"/>
    </row>
    <row r="142" spans="2:7" x14ac:dyDescent="0.75">
      <c r="B142" s="73" t="str">
        <f>IF('Stage-ConceptMap-3'!S18=0,"//---END",'Stage-ConceptMap-3'!S18)</f>
        <v>* group[=].element[=].target.display = ##34###34#</v>
      </c>
      <c r="C142" s="7"/>
      <c r="D142" s="7"/>
      <c r="E142" s="7"/>
      <c r="F142" s="7"/>
      <c r="G142" s="7"/>
    </row>
    <row r="143" spans="2:7" x14ac:dyDescent="0.75">
      <c r="B143" s="73" t="str">
        <f>IF('Stage-ConceptMap-3'!S19=0,"//---END",'Stage-ConceptMap-3'!S19)</f>
        <v>* group[=].element[=].target.equivalence = #equivalent</v>
      </c>
      <c r="C143" s="7"/>
      <c r="D143" s="7"/>
      <c r="E143" s="7"/>
      <c r="F143" s="7"/>
      <c r="G143" s="7"/>
    </row>
    <row r="144" spans="2:7" x14ac:dyDescent="0.75">
      <c r="B144" s="73" t="str">
        <f>IF('Stage-ConceptMap-3'!S20=0,"//---END",'Stage-ConceptMap-3'!S20)</f>
        <v/>
      </c>
      <c r="C144" s="7"/>
      <c r="D144" s="7"/>
      <c r="E144" s="7"/>
      <c r="F144" s="7"/>
      <c r="G144" s="7"/>
    </row>
    <row r="145" spans="2:7" x14ac:dyDescent="0.75">
      <c r="B145" s="73" t="str">
        <f>IF('Stage-ConceptMap-3'!S21=0,"//---END",'Stage-ConceptMap-3'!S21)</f>
        <v>* group[=].element[+].code = #Stage.t</v>
      </c>
      <c r="C145" s="7"/>
      <c r="D145" s="7"/>
      <c r="E145" s="7"/>
      <c r="F145" s="7"/>
      <c r="G145" s="7"/>
    </row>
    <row r="146" spans="2:7" x14ac:dyDescent="0.75">
      <c r="B146" s="73" t="str">
        <f>IF('Stage-ConceptMap-3'!S22=0,"//---END",'Stage-ConceptMap-3'!S22)</f>
        <v>* group[=].element[=].display = ##34#T##34#</v>
      </c>
      <c r="C146" s="7"/>
      <c r="D146" s="7"/>
      <c r="E146" s="7"/>
      <c r="F146" s="7"/>
      <c r="G146" s="7"/>
    </row>
    <row r="147" spans="2:7" x14ac:dyDescent="0.75">
      <c r="B147" s="73" t="str">
        <f>IF('Stage-ConceptMap-3'!S23=0,"//---END",'Stage-ConceptMap-3'!S23)</f>
        <v>//-- unmatched</v>
      </c>
      <c r="C147" s="7"/>
      <c r="D147" s="7"/>
      <c r="E147" s="7"/>
      <c r="F147" s="7"/>
      <c r="G147" s="7"/>
    </row>
    <row r="148" spans="2:7" x14ac:dyDescent="0.75">
      <c r="B148" s="73" t="str">
        <f>IF('Stage-ConceptMap-3'!S24=0,"//---END",'Stage-ConceptMap-3'!S24)</f>
        <v>//-- unmatched</v>
      </c>
      <c r="C148" s="7"/>
      <c r="D148" s="7"/>
      <c r="E148" s="7"/>
      <c r="F148" s="7"/>
      <c r="G148" s="7"/>
    </row>
    <row r="149" spans="2:7" x14ac:dyDescent="0.75">
      <c r="B149" s="73" t="str">
        <f>IF('Stage-ConceptMap-3'!S25=0,"//---END",'Stage-ConceptMap-3'!S25)</f>
        <v>* group[=].element[=].target.equivalence = #unmatched</v>
      </c>
      <c r="C149" s="7"/>
      <c r="D149" s="7"/>
      <c r="E149" s="7"/>
      <c r="F149" s="7"/>
      <c r="G149" s="7"/>
    </row>
    <row r="150" spans="2:7" x14ac:dyDescent="0.75">
      <c r="B150" s="73" t="str">
        <f>IF('Stage-ConceptMap-3'!S26=0,"//---END",'Stage-ConceptMap-3'!S26)</f>
        <v/>
      </c>
      <c r="C150" s="7"/>
      <c r="D150" s="7"/>
      <c r="E150" s="7"/>
      <c r="F150" s="7"/>
      <c r="G150" s="7"/>
    </row>
    <row r="151" spans="2:7" x14ac:dyDescent="0.75">
      <c r="B151" s="73" t="str">
        <f>IF('Stage-ConceptMap-3'!S27=0,"//---END",'Stage-ConceptMap-3'!S27)</f>
        <v>* group[=].element[+].code = #Stage.n</v>
      </c>
      <c r="C151" s="7"/>
      <c r="D151" s="7"/>
      <c r="E151" s="7"/>
      <c r="F151" s="7"/>
      <c r="G151" s="7"/>
    </row>
    <row r="152" spans="2:7" x14ac:dyDescent="0.75">
      <c r="B152" s="73" t="str">
        <f>IF('Stage-ConceptMap-3'!S28=0,"//---END",'Stage-ConceptMap-3'!S28)</f>
        <v>* group[=].element[=].display = ##34#N##34#</v>
      </c>
      <c r="C152" s="7"/>
      <c r="D152" s="7"/>
      <c r="E152" s="7"/>
      <c r="F152" s="7"/>
      <c r="G152" s="7"/>
    </row>
    <row r="153" spans="2:7" x14ac:dyDescent="0.75">
      <c r="B153" s="73" t="str">
        <f>IF('Stage-ConceptMap-3'!S29=0,"//---END",'Stage-ConceptMap-3'!S29)</f>
        <v>* group[=].element[=].target.code = #Observation.valueCodeableConcept</v>
      </c>
      <c r="C153" s="7"/>
      <c r="D153" s="7"/>
      <c r="E153" s="7"/>
      <c r="F153" s="7"/>
      <c r="G153" s="7"/>
    </row>
    <row r="154" spans="2:7" x14ac:dyDescent="0.75">
      <c r="B154" s="73" t="str">
        <f>IF('Stage-ConceptMap-3'!S30=0,"//---END",'Stage-ConceptMap-3'!S30)</f>
        <v>* group[=].element[=].target.display = ##34###34#</v>
      </c>
      <c r="C154" s="7"/>
      <c r="D154" s="7"/>
      <c r="E154" s="7"/>
      <c r="F154" s="7"/>
      <c r="G154" s="7"/>
    </row>
    <row r="155" spans="2:7" x14ac:dyDescent="0.75">
      <c r="B155" s="73" t="str">
        <f>IF('Stage-ConceptMap-3'!S31=0,"//---END",'Stage-ConceptMap-3'!S31)</f>
        <v>* group[=].element[=].target.equivalence = #equivalent</v>
      </c>
      <c r="C155" s="7"/>
      <c r="D155" s="7"/>
      <c r="E155" s="7"/>
      <c r="F155" s="7"/>
      <c r="G155" s="7"/>
    </row>
    <row r="156" spans="2:7" x14ac:dyDescent="0.75">
      <c r="B156" s="73" t="str">
        <f>IF('Stage-ConceptMap-3'!S32=0,"//---END",'Stage-ConceptMap-3'!S32)</f>
        <v/>
      </c>
      <c r="C156" s="7"/>
      <c r="D156" s="7"/>
      <c r="E156" s="7"/>
      <c r="F156" s="7"/>
      <c r="G156" s="7"/>
    </row>
    <row r="157" spans="2:7" x14ac:dyDescent="0.75">
      <c r="B157" s="73" t="str">
        <f>IF('Stage-ConceptMap-3'!S33=0,"//---END",'Stage-ConceptMap-3'!S33)</f>
        <v>* group[=].element[+].code = #Stage.m</v>
      </c>
      <c r="C157" s="7"/>
      <c r="D157" s="7"/>
      <c r="E157" s="7"/>
      <c r="F157" s="7"/>
      <c r="G157" s="7"/>
    </row>
    <row r="158" spans="2:7" x14ac:dyDescent="0.75">
      <c r="B158" s="73" t="str">
        <f>IF('Stage-ConceptMap-3'!S34=0,"//---END",'Stage-ConceptMap-3'!S34)</f>
        <v>* group[=].element[=].display = ##34#M##34#</v>
      </c>
      <c r="C158" s="7"/>
      <c r="D158" s="7"/>
      <c r="E158" s="7"/>
      <c r="F158" s="7"/>
      <c r="G158" s="7"/>
    </row>
    <row r="159" spans="2:7" x14ac:dyDescent="0.75">
      <c r="B159" s="73" t="str">
        <f>IF('Stage-ConceptMap-3'!S35=0,"//---END",'Stage-ConceptMap-3'!S35)</f>
        <v>//-- unmatched</v>
      </c>
      <c r="C159" s="7"/>
      <c r="D159" s="7"/>
      <c r="E159" s="7"/>
      <c r="F159" s="7"/>
      <c r="G159" s="7"/>
    </row>
    <row r="160" spans="2:7" x14ac:dyDescent="0.75">
      <c r="B160" s="73" t="str">
        <f>IF('Stage-ConceptMap-3'!S36=0,"//---END",'Stage-ConceptMap-3'!S36)</f>
        <v>//-- unmatched</v>
      </c>
      <c r="C160" s="7"/>
      <c r="D160" s="7"/>
      <c r="E160" s="7"/>
      <c r="F160" s="7"/>
      <c r="G160" s="7"/>
    </row>
    <row r="161" spans="2:7" x14ac:dyDescent="0.75">
      <c r="B161" s="73" t="str">
        <f>IF('Stage-ConceptMap-3'!S37=0,"//---END",'Stage-ConceptMap-3'!S37)</f>
        <v>* group[=].element[=].target.equivalence = #unmatched</v>
      </c>
      <c r="C161" s="7"/>
      <c r="D161" s="7"/>
      <c r="E161" s="7"/>
      <c r="F161" s="7"/>
      <c r="G161" s="7"/>
    </row>
    <row r="162" spans="2:7" x14ac:dyDescent="0.75">
      <c r="B162" s="73" t="str">
        <f>IF('Stage-ConceptMap-3'!S38=0,"//---END",'Stage-ConceptMap-3'!S38)</f>
        <v/>
      </c>
      <c r="C162" s="7"/>
      <c r="D162" s="7"/>
      <c r="E162" s="7"/>
      <c r="F162" s="7"/>
      <c r="G162" s="7"/>
    </row>
    <row r="163" spans="2:7" x14ac:dyDescent="0.75">
      <c r="B163" s="73" t="str">
        <f>IF('Stage-ConceptMap-3'!S39=0,"//---END",'Stage-ConceptMap-3'!S39)</f>
        <v>//---END</v>
      </c>
      <c r="C163" s="7"/>
      <c r="D163" s="7"/>
      <c r="E163" s="7"/>
      <c r="F163" s="7"/>
      <c r="G163" s="7"/>
    </row>
    <row r="164" spans="2:7" x14ac:dyDescent="0.75">
      <c r="B164" s="73" t="str">
        <f>IF('Stage-ConceptMap-3'!S40=0,"//---END",'Stage-ConceptMap-3'!S40)</f>
        <v>//---END</v>
      </c>
      <c r="C164" s="7"/>
      <c r="D164" s="7"/>
      <c r="E164" s="7"/>
      <c r="F164" s="7"/>
      <c r="G164" s="7"/>
    </row>
    <row r="165" spans="2:7" x14ac:dyDescent="0.75">
      <c r="B165" s="73" t="str">
        <f>IF('Stage-ConceptMap-3'!S41=0,"//---END",'Stage-ConceptMap-3'!S41)</f>
        <v>//---END</v>
      </c>
      <c r="C165" s="7"/>
      <c r="D165" s="7"/>
      <c r="E165" s="7"/>
      <c r="F165" s="7"/>
      <c r="G165" s="7"/>
    </row>
    <row r="166" spans="2:7" x14ac:dyDescent="0.75">
      <c r="B166" s="73" t="str">
        <f>IF('Stage-ConceptMap-3'!S42=0,"//---END",'Stage-ConceptMap-3'!S42)</f>
        <v>//---END</v>
      </c>
      <c r="C166" s="7"/>
      <c r="D166" s="7"/>
      <c r="E166" s="7"/>
      <c r="F166" s="7"/>
      <c r="G166" s="7"/>
    </row>
    <row r="167" spans="2:7" x14ac:dyDescent="0.75">
      <c r="B167" s="7"/>
      <c r="C167" s="7"/>
      <c r="D167" s="7"/>
      <c r="E167" s="7"/>
      <c r="F167" s="7"/>
      <c r="G167" s="7"/>
    </row>
    <row r="168" spans="2:7" x14ac:dyDescent="0.75">
      <c r="B168" s="83"/>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4" t="str">
        <f>"* group[=].target = ##34#"&amp;'Stage-ConceptMap-4'!E7&amp;"##34#"</f>
        <v>* group[=].target = ##34#http://hl7.eu/fhir/ig/idea4rc/StructureDefinition/mcode-tnm-distant-metastases-category##34#</v>
      </c>
      <c r="C170" s="7"/>
      <c r="D170" s="7"/>
      <c r="E170" s="7"/>
      <c r="F170" s="7"/>
      <c r="G170" s="7"/>
    </row>
    <row r="171" spans="2:7" x14ac:dyDescent="0.75">
      <c r="B171" s="85"/>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3"/>
    </row>
    <row r="202" spans="2:2" x14ac:dyDescent="0.75">
      <c r="B202" s="53" t="str">
        <f>"* group[+].source = ##34#"&amp;'Stage-ConceptMap-5'!E6&amp;"##34#"</f>
        <v>* group[+].source = ##34#http://hl7.eu/fhir/ig/idea4rc/StructureDefinition/StageI4rc##34#</v>
      </c>
    </row>
    <row r="203" spans="2:2" x14ac:dyDescent="0.75">
      <c r="B203" s="84" t="str">
        <f>"* group[=].target = ##34#"&amp;'Stage-ConceptMap-5'!E7&amp;"##34#"</f>
        <v>* group[=].target = ##34#http://hl7.eu/fhir/ig/idea4rc/StructureDefinition/observation-extraNodalExtension-eu-i4rc##34#</v>
      </c>
    </row>
    <row r="204" spans="2:2" x14ac:dyDescent="0.75">
      <c r="B204" s="85"/>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3"/>
    </row>
    <row r="215" spans="2:2" x14ac:dyDescent="0.75">
      <c r="B215" s="53" t="str">
        <f>"* group[+].source = ##34#"&amp;'Stage-ConceptMap-6'!E6&amp;"##34#"</f>
        <v>* group[+].source = ##34#http://hl7.eu/fhir/ig/idea4rc/StructureDefinition/StageI4rc##34#</v>
      </c>
    </row>
    <row r="216" spans="2:2" x14ac:dyDescent="0.75">
      <c r="B216" s="84" t="str">
        <f>"* group[=].target = ##34#"&amp;'Stage-ConceptMap-6'!E7&amp;"##34#"</f>
        <v>* group[=].target = ##34#http://hl7.eu/fhir/ig/idea4rc/StructureDefinition/Condition-secondaryCancer-eu-i4rc##34#</v>
      </c>
    </row>
    <row r="217" spans="2:2" x14ac:dyDescent="0.75">
      <c r="B217" s="85"/>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#Observation.bodySite.extension:qualifier.valueCodeableConcept</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##34#Where the qualifier is the SNOEMD CT concept 255471002 Localized##34#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#Observation.bodySite.extension:qualifier.valueCodeableConcept</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##34#Where the qualifier is the SNOEMD CT concept 410674003 Regional##34#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##34#A condition describing metastases exists, this should be however determined by the stage M##34#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##34#A condition describing regional nodal metastases exists, this should be however determined by the stage N##34#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##34#where bodySite is the Athena concept 87784001 'soft tissue'##34#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##34#where bodySite is the Athena concept 59441001 'distant lymph node'##34#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##34#where bodySite is the Athena concept 39607008 'lung'##34#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##34#where bodySite is the Athena concept 119186007 'bone'##34#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##34#where bodySite is the Athena concept 10200004 'liver'##34#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##34#where bodySite is the Athena concept 3120008 'pleura'##34#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##34#where bodySite is the Athena concept 15425007 'peritoneum'##34#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##34#where bodySite is the Athena concept 12738006 'brain'##34#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##34#where bodySite is the Athena concept 4159589 'Abdominal viscera'  // TO BE checked the original concept was OTHER VISCERA##34#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##34#where bodySite is the Athena concept 261665006 'unknown'##34#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2173</v>
      </c>
      <c r="L4" s="16" t="str">
        <f>CONCATENATE("Logical: ",B4)</f>
        <v>Logical: PathologicalReportInfoI4rc</v>
      </c>
    </row>
    <row r="5" spans="1:18" ht="15.5" thickBot="1" x14ac:dyDescent="0.9">
      <c r="A5" s="14" t="s">
        <v>16</v>
      </c>
      <c r="B5" s="30" t="s">
        <v>2174</v>
      </c>
      <c r="L5" s="16" t="str">
        <f>CONCATENATE("Id: ",B5)</f>
        <v>Id: PathologicalReportInfo</v>
      </c>
    </row>
    <row r="6" spans="1:18" ht="15.5" thickBot="1" x14ac:dyDescent="0.9">
      <c r="A6" s="14" t="s">
        <v>10</v>
      </c>
      <c r="B6" s="30" t="s">
        <v>2175</v>
      </c>
      <c r="L6" s="17" t="str">
        <f>CONCATENATE("Title: ##34#",B6,"##34#")</f>
        <v>Title: ##34#Pathological Report Info##34#</v>
      </c>
    </row>
    <row r="7" spans="1:18" x14ac:dyDescent="0.75">
      <c r="A7" s="26" t="s">
        <v>2</v>
      </c>
      <c r="B7" s="96" t="s">
        <v>2175</v>
      </c>
      <c r="C7" s="9" t="s">
        <v>3</v>
      </c>
      <c r="D7" s="1" t="s">
        <v>4</v>
      </c>
      <c r="E7" s="3" t="s">
        <v>5</v>
      </c>
      <c r="F7" s="3" t="s">
        <v>6</v>
      </c>
      <c r="G7" s="117" t="s">
        <v>7</v>
      </c>
      <c r="H7" s="64" t="s">
        <v>1384</v>
      </c>
      <c r="I7" s="119" t="s">
        <v>2080</v>
      </c>
      <c r="J7" s="119" t="s">
        <v>2081</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2246</v>
      </c>
      <c r="C9" s="11" t="s">
        <v>2254</v>
      </c>
      <c r="D9" s="11" t="s">
        <v>2255</v>
      </c>
      <c r="E9" s="11">
        <v>0</v>
      </c>
      <c r="F9" s="11">
        <v>1</v>
      </c>
      <c r="G9" s="12" t="s">
        <v>1468</v>
      </c>
      <c r="H9" s="12" t="s">
        <v>2256</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2247</v>
      </c>
      <c r="C10" s="11" t="s">
        <v>2257</v>
      </c>
      <c r="D10" s="11" t="s">
        <v>2257</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2248</v>
      </c>
      <c r="C11" s="11" t="s">
        <v>2258</v>
      </c>
      <c r="D11" s="11" t="s">
        <v>2258</v>
      </c>
      <c r="E11" s="11">
        <v>0</v>
      </c>
      <c r="F11" s="11">
        <v>1</v>
      </c>
      <c r="G11" s="12" t="s">
        <v>1990</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2249</v>
      </c>
      <c r="C12" s="11" t="s">
        <v>2259</v>
      </c>
      <c r="D12" s="11" t="s">
        <v>2259</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2250</v>
      </c>
      <c r="C13" s="11" t="s">
        <v>2260</v>
      </c>
      <c r="D13" s="11" t="s">
        <v>2260</v>
      </c>
      <c r="E13" s="11">
        <v>0</v>
      </c>
      <c r="F13" s="11">
        <v>1</v>
      </c>
      <c r="G13" s="12" t="s">
        <v>1468</v>
      </c>
      <c r="H13" s="12" t="s">
        <v>2261</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2251</v>
      </c>
      <c r="C14" s="11" t="s">
        <v>2262</v>
      </c>
      <c r="D14" s="11" t="s">
        <v>2262</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2252</v>
      </c>
      <c r="C15" s="11" t="s">
        <v>2263</v>
      </c>
      <c r="D15" s="11" t="s">
        <v>2263</v>
      </c>
      <c r="E15" s="11">
        <v>0</v>
      </c>
      <c r="F15" s="11">
        <v>1</v>
      </c>
      <c r="G15" s="12" t="s">
        <v>44</v>
      </c>
      <c r="H15" s="12" t="s">
        <v>2264</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2253</v>
      </c>
      <c r="C16" s="11" t="s">
        <v>2265</v>
      </c>
      <c r="D16" s="11" t="s">
        <v>2265</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PathologicalReportInfo!L1</f>
        <v>//===================================================</v>
      </c>
    </row>
    <row r="2" spans="3:7" ht="16.75" thickBot="1" x14ac:dyDescent="0.9">
      <c r="C2" s="24" t="str">
        <f>PathologicalReportInfo!L2</f>
        <v>//  Logical Model</v>
      </c>
      <c r="G2" s="29" t="s">
        <v>2266</v>
      </c>
    </row>
    <row r="3" spans="3:7" x14ac:dyDescent="0.75">
      <c r="C3" s="24" t="str">
        <f>PathologicalReportInfo!L3</f>
        <v>//===================================================</v>
      </c>
    </row>
    <row r="4" spans="3:7" x14ac:dyDescent="0.75">
      <c r="C4" s="100" t="str">
        <f>PathologicalReportInfo!L4</f>
        <v>Logical: PathologicalReportInfoI4rc</v>
      </c>
    </row>
    <row r="5" spans="3:7" x14ac:dyDescent="0.75">
      <c r="C5" s="100" t="str">
        <f>PathologicalReportInfo!L5</f>
        <v>Id: PathologicalReportInfo</v>
      </c>
    </row>
    <row r="6" spans="3:7" x14ac:dyDescent="0.75">
      <c r="C6" s="100" t="str">
        <f>PathologicalReportInfo!L6</f>
        <v>Title: ##34#Pathological Report Info##34#</v>
      </c>
    </row>
    <row r="7" spans="3:7" x14ac:dyDescent="0.75">
      <c r="C7" s="100" t="str">
        <f>PathologicalReportInfo!L7</f>
        <v>Description:  ##334#Pathological Report Info##334#</v>
      </c>
    </row>
    <row r="8" spans="3:7" ht="29.5" x14ac:dyDescent="0.75">
      <c r="C8" s="101"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1" t="str">
        <f>IF(PathologicalReportInfo!L9="*  ..  ##34###34# ##334###334#","//--- END",PathologicalReportInfo!L9)</f>
        <v>* degreeOfCytologicAtypia 0..1 CodeableConcept ##34#Degree of cytologic Atypia##34# ##334#Defines the degree of cytologic atypia##334#</v>
      </c>
    </row>
    <row r="10" spans="3:7" x14ac:dyDescent="0.75">
      <c r="C10" s="101" t="str">
        <f>IF(PathologicalReportInfo!L10="*  ..  ##34###34# ##334###334#","//--- END",PathologicalReportInfo!L10)</f>
        <v>* patternOfGrowth 0..1 BackboneElement ##34#Pattern of Growth##34# ##334#Pattern of Growth##334#</v>
      </c>
    </row>
    <row r="11" spans="3:7" x14ac:dyDescent="0.75">
      <c r="C11" s="101" t="str">
        <f>IF(PathologicalReportInfo!L11="*  ..  ##34###34# ##334###334#","//--- END",PathologicalReportInfo!L11)</f>
        <v>* mitoticActivity 0..1 Quantity ##34#Mitotic Activity##34# ##334#Mitotic Activity##334#</v>
      </c>
    </row>
    <row r="12" spans="3:7" ht="29.5" x14ac:dyDescent="0.75">
      <c r="C12" s="101" t="str">
        <f>IF(PathologicalReportInfo!L12="*  ..  ##34###34# ##334###334#","//--- END",PathologicalReportInfo!L12)</f>
        <v>* infiltrationOfSurroundingMyometrium 0..1 BackboneElement ##34#Infiltration of surrounding myometrium##34# ##334#Infiltration of surrounding myometrium##334#</v>
      </c>
    </row>
    <row r="13" spans="3:7" x14ac:dyDescent="0.75">
      <c r="C13" s="101" t="str">
        <f>IF(PathologicalReportInfo!L13="*  ..  ##34###34# ##334###334#","//--- END",PathologicalReportInfo!L13)</f>
        <v>* typeOfNecrosis 0..1 CodeableConcept ##34#Type of necrosis##34# ##334#Type of necrosis##334#</v>
      </c>
    </row>
    <row r="14" spans="3:7" x14ac:dyDescent="0.75">
      <c r="C14" s="101" t="str">
        <f>IF(PathologicalReportInfo!L14="*  ..  ##34###34# ##334###334#","//--- END",PathologicalReportInfo!L14)</f>
        <v>* expressionOfErPr 0..1 BackboneElement ##34#Expression of ER/PR##34# ##334#Expression of ER/PR##334#</v>
      </c>
    </row>
    <row r="15" spans="3:7" ht="29.5" x14ac:dyDescent="0.75">
      <c r="C15" s="101" t="str">
        <f>IF(PathologicalReportInfo!L15="*  ..  ##34###34# ##334###334#","//--- END",PathologicalReportInfo!L15)</f>
        <v>* vascularIntrusionOrInvasion 0..1 boolean ##34#vascular intrusion or invasion##34# ##334#vascular intrusion or invasion##334#</v>
      </c>
    </row>
    <row r="16" spans="3:7" x14ac:dyDescent="0.75">
      <c r="C16" s="101" t="str">
        <f>IF(PathologicalReportInfo!L16="*  ..  ##34###34# ##334###334#","//--- END",PathologicalReportInfo!L16)</f>
        <v>* p16AndP53Expression 0..1 BackboneElement ##34#p16 and p53 expression##34# ##334#p16 and p53 expression##334#</v>
      </c>
    </row>
    <row r="17" spans="3:3" x14ac:dyDescent="0.75">
      <c r="C17" s="101" t="str">
        <f>IF(PathologicalReportInfo!L17="*  ..  ##34###34# ##334###334#","//--- END",PathologicalReportInfo!L17)</f>
        <v>//--- END</v>
      </c>
    </row>
    <row r="18" spans="3:3" x14ac:dyDescent="0.75">
      <c r="C18" s="101" t="str">
        <f>IF(PathologicalReportInfo!L18="*  ..  ##34###34# ##334###334#","//--- END",PathologicalReportInfo!L18)</f>
        <v>//--- END</v>
      </c>
    </row>
    <row r="19" spans="3:3" x14ac:dyDescent="0.75">
      <c r="C19" s="101" t="str">
        <f>IF(PathologicalReportInfo!L19="*  ..  ##34###34# ##334###334#","//--- END",PathologicalReportInfo!L19)</f>
        <v>//--- END</v>
      </c>
    </row>
    <row r="23" spans="3:3" x14ac:dyDescent="0.75">
      <c r="C23" s="99" t="s">
        <v>1387</v>
      </c>
    </row>
    <row r="24" spans="3:3" x14ac:dyDescent="0.75">
      <c r="C24" s="24" t="s">
        <v>1421</v>
      </c>
    </row>
    <row r="25" spans="3:3" x14ac:dyDescent="0.75">
      <c r="C25" s="24" t="s">
        <v>1387</v>
      </c>
    </row>
    <row r="26" spans="3:3" x14ac:dyDescent="0.75">
      <c r="C26" s="101" t="str">
        <f>IF(PathologicalReportInfo!N8="*  ..  ##34###34# ##334###334#","//--- END",PathologicalReportInfo!N8)</f>
        <v/>
      </c>
    </row>
    <row r="27" spans="3:3" ht="59" x14ac:dyDescent="0.75">
      <c r="C27" s="101"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1" t="str">
        <f>IF(PathologicalReportInfo!N10="*  ..  ##34###34# ##334###334#","//--- END",PathologicalReportInfo!N10)</f>
        <v/>
      </c>
    </row>
    <row r="29" spans="3:3" x14ac:dyDescent="0.75">
      <c r="C29" s="101" t="str">
        <f>IF(PathologicalReportInfo!N11="*  ..  ##34###34# ##334###334#","//--- END",PathologicalReportInfo!N11)</f>
        <v/>
      </c>
    </row>
    <row r="30" spans="3:3" x14ac:dyDescent="0.75">
      <c r="C30" s="101" t="str">
        <f>IF(PathologicalReportInfo!N12="*  ..  ##34###34# ##334###334#","//--- END",PathologicalReportInfo!N12)</f>
        <v/>
      </c>
    </row>
    <row r="31" spans="3:3" ht="132.75" x14ac:dyDescent="0.75">
      <c r="C31" s="101"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1" t="str">
        <f>IF(PathologicalReportInfo!N14="*  ..  ##34###34# ##334###334#","//--- END",PathologicalReportInfo!N14)</f>
        <v/>
      </c>
    </row>
    <row r="33" spans="3:3" ht="29.5" x14ac:dyDescent="0.75">
      <c r="C33" s="101" t="str">
        <f>IF(PathologicalReportInfo!N15="*  ..  ##34###34# ##334###334#","//--- END",PathologicalReportInfo!N15)</f>
        <v>* vascularIntrusionOrInvasion ^comment = ##334#True;False
Vascular invasion by tumor present - 4163142##334#</v>
      </c>
    </row>
    <row r="34" spans="3:3" x14ac:dyDescent="0.75">
      <c r="C34" s="101" t="str">
        <f>IF(PathologicalReportInfo!N16="*  ..  ##34###34# ##334###334#","//--- END",PathologicalReportInfo!N16)</f>
        <v/>
      </c>
    </row>
    <row r="35" spans="3:3" x14ac:dyDescent="0.75">
      <c r="C35" s="101" t="str">
        <f>IF(PathologicalReportInfo!N17="*  ..  ##34###34# ##334###334#","//--- END",PathologicalReportInfo!N17)</f>
        <v>//--- END</v>
      </c>
    </row>
    <row r="36" spans="3:3" x14ac:dyDescent="0.75">
      <c r="C36" s="101" t="str">
        <f>IF(PathologicalReportInfo!N18="*  ..  ##34###34# ##334###334#","//--- END",PathologicalReportInfo!N18)</f>
        <v>//--- END</v>
      </c>
    </row>
    <row r="37" spans="3:3" x14ac:dyDescent="0.75">
      <c r="C37" s="101" t="str">
        <f>IF(PathologicalReportInfo!N19="*  ..  ##34###34# ##334###334#","//--- END",PathologicalReportInfo!N19)</f>
        <v>//--- END</v>
      </c>
    </row>
    <row r="40" spans="3:3" x14ac:dyDescent="0.75">
      <c r="C40" s="99" t="str">
        <f>PathologicalReportInfo!P1</f>
        <v>// -------------------------------------------------------------------------------</v>
      </c>
    </row>
    <row r="41" spans="3:3" x14ac:dyDescent="0.75">
      <c r="C41" s="24" t="str">
        <f>PathologicalReportInfo!P2</f>
        <v>// Obligations H&amp;N</v>
      </c>
    </row>
    <row r="42" spans="3:3" x14ac:dyDescent="0.75">
      <c r="C42" s="24" t="str">
        <f>PathologicalReportInfo!P3</f>
        <v>// -------------------------------------------------------------------------------</v>
      </c>
    </row>
    <row r="43" spans="3:3" x14ac:dyDescent="0.75">
      <c r="C43" s="101" t="str">
        <f>IF(PathologicalReportInfo!P8="*  ..  ##34###34# ##334###334#","//--- END",PathologicalReportInfo!P8)</f>
        <v/>
      </c>
    </row>
    <row r="44" spans="3:3" x14ac:dyDescent="0.75">
      <c r="C44" s="101" t="str">
        <f>IF(PathologicalReportInfo!P9="*  ..  ##34###34# ##334###334#","//--- END",PathologicalReportInfo!P9)</f>
        <v/>
      </c>
    </row>
    <row r="45" spans="3:3" x14ac:dyDescent="0.75">
      <c r="C45" s="101" t="str">
        <f>IF(PathologicalReportInfo!P10="*  ..  ##34###34# ##334###334#","//--- END",PathologicalReportInfo!P10)</f>
        <v/>
      </c>
    </row>
    <row r="46" spans="3:3" x14ac:dyDescent="0.75">
      <c r="C46" s="101" t="str">
        <f>IF(PathologicalReportInfo!P11="*  ..  ##34###34# ##334###334#","//--- END",PathologicalReportInfo!P11)</f>
        <v/>
      </c>
    </row>
    <row r="47" spans="3:3" x14ac:dyDescent="0.75">
      <c r="C47" s="101" t="str">
        <f>IF(PathologicalReportInfo!P12="*  ..  ##34###34# ##334###334#","//--- END",PathologicalReportInfo!P12)</f>
        <v/>
      </c>
    </row>
    <row r="48" spans="3:3" x14ac:dyDescent="0.75">
      <c r="C48" s="101" t="str">
        <f>IF(PathologicalReportInfo!P13="*  ..  ##34###34# ##334###334#","//--- END",PathologicalReportInfo!P13)</f>
        <v/>
      </c>
    </row>
    <row r="49" spans="3:3" x14ac:dyDescent="0.75">
      <c r="C49" s="101" t="str">
        <f>IF(PathologicalReportInfo!P14="*  ..  ##34###34# ##334###334#","//--- END",PathologicalReportInfo!P14)</f>
        <v/>
      </c>
    </row>
    <row r="50" spans="3:3" x14ac:dyDescent="0.75">
      <c r="C50" s="101" t="str">
        <f>IF(PathologicalReportInfo!P15="*  ..  ##34###34# ##334###334#","//--- END",PathologicalReportInfo!P15)</f>
        <v/>
      </c>
    </row>
    <row r="51" spans="3:3" x14ac:dyDescent="0.75">
      <c r="C51" s="101" t="str">
        <f>IF(PathologicalReportInfo!P16="*  ..  ##34###34# ##334###334#","//--- END",PathologicalReportInfo!P16)</f>
        <v/>
      </c>
    </row>
    <row r="52" spans="3:3" x14ac:dyDescent="0.75">
      <c r="C52" s="101" t="str">
        <f>IF(PathologicalReportInfo!P17="*  ..  ##34###34# ##334###334#","//--- END",PathologicalReportInfo!P17)</f>
        <v>//--- END</v>
      </c>
    </row>
    <row r="53" spans="3:3" x14ac:dyDescent="0.75">
      <c r="C53" s="101" t="str">
        <f>IF(PathologicalReportInfo!P18="*  ..  ##34###34# ##334###334#","//--- END",PathologicalReportInfo!P18)</f>
        <v>//--- END</v>
      </c>
    </row>
    <row r="54" spans="3:3" x14ac:dyDescent="0.75">
      <c r="C54" s="101" t="str">
        <f>IF(PathologicalReportInfo!P19="*  ..  ##34###34# ##334###334#","//--- END",PathologicalReportInfo!P19)</f>
        <v>//--- END</v>
      </c>
    </row>
    <row r="58" spans="3:3" x14ac:dyDescent="0.75">
      <c r="C58" s="99"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1" t="str">
        <f>IF(PathologicalReportInfo!R8="*  ..  ##34###34# ##334###334#","//--- END",PathologicalReportInfo!R8)</f>
        <v>* episodeEvent insert ObligationActorAndCode($actor-sarcoma-i4rc, #handle)</v>
      </c>
    </row>
    <row r="62" spans="3:3" x14ac:dyDescent="0.75">
      <c r="C62" s="101" t="str">
        <f>IF(PathologicalReportInfo!R9="*  ..  ##34###34# ##334###334#","//--- END",PathologicalReportInfo!R9)</f>
        <v>* degreeOfCytologicAtypia insert ObligationActorAndCode($actor-sarcoma-i4rc, #handle)</v>
      </c>
    </row>
    <row r="63" spans="3:3" x14ac:dyDescent="0.75">
      <c r="C63" s="101" t="str">
        <f>IF(PathologicalReportInfo!R10="*  ..  ##34###34# ##334###334#","//--- END",PathologicalReportInfo!R10)</f>
        <v>* patternOfGrowth insert ObligationActorAndCode($actor-sarcoma-i4rc, #handle)</v>
      </c>
    </row>
    <row r="64" spans="3:3" x14ac:dyDescent="0.75">
      <c r="C64" s="101" t="str">
        <f>IF(PathologicalReportInfo!R11="*  ..  ##34###34# ##334###334#","//--- END",PathologicalReportInfo!R11)</f>
        <v>* mitoticActivity insert ObligationActorAndCode($actor-sarcoma-i4rc, #handle)</v>
      </c>
    </row>
    <row r="65" spans="3:3" x14ac:dyDescent="0.75">
      <c r="C65" s="101" t="str">
        <f>IF(PathologicalReportInfo!R12="*  ..  ##34###34# ##334###334#","//--- END",PathologicalReportInfo!R12)</f>
        <v>* infiltrationOfSurroundingMyometrium insert ObligationActorAndCode($actor-sarcoma-i4rc, #handle)</v>
      </c>
    </row>
    <row r="66" spans="3:3" x14ac:dyDescent="0.75">
      <c r="C66" s="101" t="str">
        <f>IF(PathologicalReportInfo!R13="*  ..  ##34###34# ##334###334#","//--- END",PathologicalReportInfo!R13)</f>
        <v>* typeOfNecrosis insert ObligationActorAndCode($actor-sarcoma-i4rc, #handle)</v>
      </c>
    </row>
    <row r="67" spans="3:3" x14ac:dyDescent="0.75">
      <c r="C67" s="101" t="str">
        <f>IF(PathologicalReportInfo!R14="*  ..  ##34###34# ##334###334#","//--- END",PathologicalReportInfo!R14)</f>
        <v>* expressionOfErPr insert ObligationActorAndCode($actor-sarcoma-i4rc, #handle)</v>
      </c>
    </row>
    <row r="68" spans="3:3" x14ac:dyDescent="0.75">
      <c r="C68" s="101" t="str">
        <f>IF(PathologicalReportInfo!R15="*  ..  ##34###34# ##334###334#","//--- END",PathologicalReportInfo!R15)</f>
        <v>* vascularIntrusionOrInvasion insert ObligationActorAndCode($actor-sarcoma-i4rc, #handle)</v>
      </c>
    </row>
    <row r="69" spans="3:3" x14ac:dyDescent="0.75">
      <c r="C69" s="101" t="str">
        <f>IF(PathologicalReportInfo!R16="*  ..  ##34###34# ##334###334#","//--- END",PathologicalReportInfo!R16)</f>
        <v>* p16AndP53Expression insert ObligationActorAndCode($actor-sarcoma-i4rc, #handle)</v>
      </c>
    </row>
    <row r="70" spans="3:3" x14ac:dyDescent="0.75">
      <c r="C70" s="101" t="str">
        <f>IF(PathologicalReportInfo!R17="*  ..  ##34###34# ##334###334#","//--- END",PathologicalReportInfo!R17)</f>
        <v>//--- END</v>
      </c>
    </row>
    <row r="71" spans="3:3" x14ac:dyDescent="0.75">
      <c r="C71" s="101" t="str">
        <f>IF(PathologicalReportInfo!R18="*  ..  ##34###34# ##334###334#","//--- END",PathologicalReportInfo!R18)</f>
        <v>//--- END</v>
      </c>
    </row>
    <row r="72" spans="3:3" x14ac:dyDescent="0.75">
      <c r="C72" s="101"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http://hl7.eu/fhir/ig/idea4rc/StructureDefinition/PathologicalReportInfo</v>
      </c>
    </row>
    <row r="4" spans="1:19" x14ac:dyDescent="0.75">
      <c r="B4" s="47" t="s">
        <v>16</v>
      </c>
      <c r="C4" s="28" t="s">
        <v>1921</v>
      </c>
      <c r="D4" s="47" t="s">
        <v>1474</v>
      </c>
      <c r="E4" s="151" t="s">
        <v>1924</v>
      </c>
      <c r="F4" s="152"/>
      <c r="G4" s="152"/>
    </row>
    <row r="5" spans="1:19" x14ac:dyDescent="0.75">
      <c r="B5" s="47" t="s">
        <v>10</v>
      </c>
      <c r="C5" s="7" t="s">
        <v>1922</v>
      </c>
      <c r="D5" s="47"/>
      <c r="E5" s="7"/>
    </row>
    <row r="6" spans="1:19" x14ac:dyDescent="0.75">
      <c r="B6" s="47" t="s">
        <v>18</v>
      </c>
      <c r="C6" s="41"/>
      <c r="D6" s="47" t="s">
        <v>1475</v>
      </c>
      <c r="E6" s="151" t="str">
        <f>E3</f>
        <v>http://hl7.eu/fhir/ig/idea4rc/StructureDefinition/PathologicalReportInfo</v>
      </c>
      <c r="F6" s="152"/>
      <c r="G6" s="152"/>
    </row>
    <row r="7" spans="1:19" x14ac:dyDescent="0.75">
      <c r="B7" s="47" t="s">
        <v>15</v>
      </c>
      <c r="C7" s="72"/>
      <c r="D7" s="47" t="s">
        <v>1476</v>
      </c>
      <c r="E7" s="151" t="str">
        <f>E4</f>
        <v>http://hl7.eu/fhir/ig/idea4rc/StructureDefinition/episodeOfCare-eu-i4rc</v>
      </c>
      <c r="F7" s="152"/>
      <c r="G7" s="152"/>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1925</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1926</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1927</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1928</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9" zoomScale="85" zoomScaleNormal="85" workbookViewId="0">
      <selection activeCell="D22" sqref="D2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1919</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6" t="s">
        <v>1657</v>
      </c>
      <c r="C7" s="9" t="s">
        <v>3</v>
      </c>
      <c r="D7" s="1" t="s">
        <v>4</v>
      </c>
      <c r="E7" s="3" t="s">
        <v>5</v>
      </c>
      <c r="F7" s="3" t="s">
        <v>6</v>
      </c>
      <c r="G7" s="3" t="s">
        <v>7</v>
      </c>
      <c r="H7" s="64" t="s">
        <v>1384</v>
      </c>
      <c r="I7" s="119" t="s">
        <v>2080</v>
      </c>
      <c r="J7" s="119" t="s">
        <v>2081</v>
      </c>
      <c r="L7" s="17" t="str">
        <f>CONCATENATE("Description: "," ##334#",B7,"##334#",)</f>
        <v>Description:  ##334#Surgery##334#</v>
      </c>
    </row>
    <row r="8" spans="1:18" ht="59" x14ac:dyDescent="0.75">
      <c r="A8" s="129">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9">
        <v>1</v>
      </c>
      <c r="B9" s="11" t="s">
        <v>1879</v>
      </c>
      <c r="C9" s="11" t="s">
        <v>2182</v>
      </c>
      <c r="D9" s="11" t="s">
        <v>2183</v>
      </c>
      <c r="E9" s="11">
        <v>1</v>
      </c>
      <c r="F9" s="11">
        <v>1</v>
      </c>
      <c r="G9" s="11" t="s">
        <v>1468</v>
      </c>
      <c r="H9" s="12" t="s">
        <v>2190</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9">
        <v>2</v>
      </c>
      <c r="B10" s="6" t="s">
        <v>2178</v>
      </c>
      <c r="C10" s="11" t="s">
        <v>2184</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9">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9">
        <v>4</v>
      </c>
      <c r="B12" s="11" t="s">
        <v>2197</v>
      </c>
      <c r="C12" s="11" t="s">
        <v>1662</v>
      </c>
      <c r="D12" s="12" t="s">
        <v>1663</v>
      </c>
      <c r="E12" s="11">
        <v>1</v>
      </c>
      <c r="F12" s="11">
        <v>1</v>
      </c>
      <c r="G12" s="11" t="s">
        <v>1468</v>
      </c>
      <c r="H12" s="12" t="s">
        <v>2191</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9">
        <v>5</v>
      </c>
      <c r="B13" s="11" t="s">
        <v>2198</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9">
        <v>6</v>
      </c>
      <c r="B14" s="11" t="s">
        <v>1667</v>
      </c>
      <c r="C14" s="11" t="s">
        <v>1668</v>
      </c>
      <c r="D14" s="11" t="s">
        <v>1669</v>
      </c>
      <c r="E14" s="11">
        <v>0</v>
      </c>
      <c r="F14" s="11">
        <v>1</v>
      </c>
      <c r="G14" s="11" t="s">
        <v>1468</v>
      </c>
      <c r="H14" s="12" t="s">
        <v>2192</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9">
        <v>7</v>
      </c>
      <c r="B15" s="11" t="s">
        <v>2179</v>
      </c>
      <c r="C15" s="11" t="s">
        <v>2185</v>
      </c>
      <c r="D15" s="11" t="s">
        <v>2186</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9">
        <v>8</v>
      </c>
      <c r="B16" s="6" t="s">
        <v>2199</v>
      </c>
      <c r="C16" s="11" t="s">
        <v>2187</v>
      </c>
      <c r="D16" s="11" t="s">
        <v>2187</v>
      </c>
      <c r="E16" s="11">
        <v>1</v>
      </c>
      <c r="F16" s="11">
        <v>1</v>
      </c>
      <c r="G16" s="11" t="s">
        <v>1990</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9">
        <v>9</v>
      </c>
      <c r="B17" s="6" t="s">
        <v>2200</v>
      </c>
      <c r="C17" s="11" t="s">
        <v>2188</v>
      </c>
      <c r="D17" s="11" t="s">
        <v>2188</v>
      </c>
      <c r="E17" s="11">
        <v>1</v>
      </c>
      <c r="F17" s="11">
        <v>1</v>
      </c>
      <c r="G17" s="11" t="s">
        <v>1468</v>
      </c>
      <c r="H17" s="12" t="s">
        <v>2193</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9">
        <v>10</v>
      </c>
      <c r="B18" s="6" t="s">
        <v>2180</v>
      </c>
      <c r="C18" s="11" t="s">
        <v>2189</v>
      </c>
      <c r="D18" s="11" t="s">
        <v>2189</v>
      </c>
      <c r="E18" s="11">
        <v>1</v>
      </c>
      <c r="F18" s="11">
        <v>1</v>
      </c>
      <c r="G18" s="11" t="s">
        <v>1468</v>
      </c>
      <c r="H18" s="12" t="s">
        <v>2194</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9">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9">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9">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9">
        <v>14</v>
      </c>
      <c r="B22" s="11" t="s">
        <v>1681</v>
      </c>
      <c r="C22" s="11" t="s">
        <v>1682</v>
      </c>
      <c r="D22" s="11" t="s">
        <v>1683</v>
      </c>
      <c r="E22" s="11">
        <v>0</v>
      </c>
      <c r="F22" s="11">
        <v>1</v>
      </c>
      <c r="G22" s="11" t="s">
        <v>1468</v>
      </c>
      <c r="H22" s="12" t="s">
        <v>2195</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9">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9">
        <v>16</v>
      </c>
      <c r="B24" s="139"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9">
        <v>17</v>
      </c>
      <c r="B25" s="11" t="s">
        <v>2201</v>
      </c>
      <c r="C25" s="11" t="s">
        <v>1784</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9">
        <v>17</v>
      </c>
      <c r="B26" s="11" t="s">
        <v>2202</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9">
        <v>18</v>
      </c>
      <c r="B27" s="11" t="s">
        <v>2203</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9">
        <v>19</v>
      </c>
      <c r="B28" s="11" t="s">
        <v>2204</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9">
        <v>20</v>
      </c>
      <c r="B29" s="11" t="s">
        <v>2205</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9">
        <v>21</v>
      </c>
      <c r="B30" s="11" t="s">
        <v>2206</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9">
        <v>22</v>
      </c>
      <c r="B31" s="11" t="s">
        <v>2207</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9">
        <v>23</v>
      </c>
      <c r="B32" s="11" t="s">
        <v>2208</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9">
        <v>24</v>
      </c>
      <c r="B33" s="11" t="s">
        <v>2209</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9">
        <v>25</v>
      </c>
      <c r="B34" s="11" t="s">
        <v>2210</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9">
        <v>26</v>
      </c>
      <c r="B35" s="11" t="s">
        <v>2211</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9">
        <v>27</v>
      </c>
      <c r="B36" s="11" t="s">
        <v>2181</v>
      </c>
      <c r="C36" s="11" t="s">
        <v>1710</v>
      </c>
      <c r="D36" s="11" t="s">
        <v>1711</v>
      </c>
      <c r="E36">
        <v>1</v>
      </c>
      <c r="F36">
        <v>1</v>
      </c>
      <c r="G36" s="11" t="s">
        <v>1468</v>
      </c>
      <c r="H36" s="12" t="s">
        <v>2196</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A21" zoomScale="76" zoomScaleNormal="40" workbookViewId="0">
      <selection activeCell="G18" sqref="F18:G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1787</v>
      </c>
      <c r="D3" s="47" t="s">
        <v>1473</v>
      </c>
      <c r="E3" s="71" t="str">
        <f>$C$1&amp;B14</f>
        <v>http://hl7.eu/fhir/ig/idea4rc/StructureDefinition/SurgeryI4rc</v>
      </c>
    </row>
    <row r="4" spans="1:19" x14ac:dyDescent="0.75">
      <c r="B4" s="47" t="s">
        <v>16</v>
      </c>
      <c r="C4" s="28" t="s">
        <v>1787</v>
      </c>
      <c r="D4" s="47" t="s">
        <v>1474</v>
      </c>
      <c r="E4" s="151" t="s">
        <v>1790</v>
      </c>
      <c r="F4" s="152"/>
      <c r="G4" s="152"/>
    </row>
    <row r="5" spans="1:19" x14ac:dyDescent="0.75">
      <c r="B5" s="47" t="s">
        <v>10</v>
      </c>
      <c r="C5" s="7" t="s">
        <v>1788</v>
      </c>
      <c r="D5" s="47"/>
      <c r="E5" s="7"/>
    </row>
    <row r="6" spans="1:19" x14ac:dyDescent="0.75">
      <c r="B6" s="47" t="s">
        <v>18</v>
      </c>
      <c r="C6" s="41"/>
      <c r="D6" s="47" t="s">
        <v>1475</v>
      </c>
      <c r="E6" s="151" t="str">
        <f>E3</f>
        <v>http://hl7.eu/fhir/ig/idea4rc/StructureDefinition/SurgeryI4rc</v>
      </c>
      <c r="F6" s="152"/>
      <c r="G6" s="152"/>
    </row>
    <row r="7" spans="1:19" x14ac:dyDescent="0.75">
      <c r="B7" s="47" t="s">
        <v>15</v>
      </c>
      <c r="C7" s="72"/>
      <c r="D7" s="47" t="s">
        <v>1476</v>
      </c>
      <c r="E7" s="151" t="str">
        <f>E4</f>
        <v>http://hl7.eu/fhir/ig/idea4rc/StructureDefinition/Procedure-surgery-eu-i4rc</v>
      </c>
      <c r="F7" s="152"/>
      <c r="G7" s="152"/>
    </row>
    <row r="8" spans="1:19" ht="45" thickBot="1" x14ac:dyDescent="0.9">
      <c r="B8" s="47" t="s">
        <v>1477</v>
      </c>
      <c r="C8" s="7" t="s">
        <v>1788</v>
      </c>
      <c r="D8" s="47"/>
      <c r="E8" s="7"/>
      <c r="I8" s="12" t="s">
        <v>1289</v>
      </c>
      <c r="J8" s="12" t="s">
        <v>1290</v>
      </c>
      <c r="K8" s="12" t="s">
        <v>1291</v>
      </c>
      <c r="L8" s="12" t="s">
        <v>1292</v>
      </c>
      <c r="M8" s="11" t="s">
        <v>1293</v>
      </c>
      <c r="P8" s="34" t="s">
        <v>1328</v>
      </c>
      <c r="Q8" s="34">
        <v>6</v>
      </c>
    </row>
    <row r="9" spans="1:19" ht="15.5" thickBot="1" x14ac:dyDescent="0.9">
      <c r="B9" s="47" t="s">
        <v>1478</v>
      </c>
      <c r="C9" s="12" t="s">
        <v>1789</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1791</v>
      </c>
      <c r="E14" s="6"/>
      <c r="F14" s="49"/>
      <c r="G14" s="49"/>
      <c r="I14" s="12"/>
      <c r="J14" s="11"/>
      <c r="K14" s="11"/>
      <c r="L14" s="11"/>
      <c r="M14" s="48"/>
      <c r="N14" s="51"/>
    </row>
    <row r="15" spans="1:19" ht="44.25" x14ac:dyDescent="0.75">
      <c r="A15" s="44"/>
      <c r="B15" s="11" t="str">
        <f>Surgery!B8</f>
        <v>episodeEvent</v>
      </c>
      <c r="C15" s="11" t="str">
        <f>Surgery!C8</f>
        <v>Episode Event reference</v>
      </c>
      <c r="D15" s="12" t="s">
        <v>1792</v>
      </c>
      <c r="E15" s="12"/>
      <c r="F15" s="49" t="s">
        <v>1294</v>
      </c>
      <c r="G15" s="77"/>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#SurgeryI4rc.episodeEvent</v>
      </c>
    </row>
    <row r="16" spans="1:19" ht="103.25" x14ac:dyDescent="0.75">
      <c r="A16" s="44"/>
      <c r="B16" s="11" t="str">
        <f>Surgery!B9</f>
        <v>type</v>
      </c>
      <c r="C16" s="11" t="str">
        <f>Surgery!C9</f>
        <v>Surgery type</v>
      </c>
      <c r="D16" s="12" t="s">
        <v>1800</v>
      </c>
      <c r="E16" s="12"/>
      <c r="F16" s="49" t="s">
        <v>1294</v>
      </c>
      <c r="G16" s="76" t="s">
        <v>1793</v>
      </c>
      <c r="I16" s="12" t="str">
        <f t="shared" ref="I16" si="7">"* group[=].element[+].code = #"&amp;$B$14&amp;"."&amp;B16</f>
        <v>* group[=].element[+].code = #SurgeryI4rc.type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##34#to be analyzed: add a slice to the category.coding or derive this from a combination of elements or use other cathegories (R5 extension)##34#</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2371</v>
      </c>
      <c r="H17" s="43"/>
      <c r="I17" s="12" t="str">
        <f t="shared" ref="I17:I24" si="15">"* group[=].element[+].code = #"&amp;$B$14&amp;"."&amp;B17</f>
        <v>* group[=].element[+].code = #SurgeryI4rc.surgeryHospital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2372</v>
      </c>
      <c r="E18" s="12"/>
      <c r="F18" s="49" t="s">
        <v>1294</v>
      </c>
      <c r="G18" s="76" t="s">
        <v>2370</v>
      </c>
      <c r="H18" s="43"/>
      <c r="I18" s="12" t="str">
        <f t="shared" si="15"/>
        <v>* group[=].element[+].code = #SurgeryI4rc.surgeryHospital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2323</v>
      </c>
      <c r="E19" s="12"/>
      <c r="F19" s="49" t="s">
        <v>1317</v>
      </c>
      <c r="G19" s="77"/>
      <c r="H19" s="43"/>
      <c r="I19" s="12" t="str">
        <f t="shared" si="15"/>
        <v>* group[=].element[+].code = #SurgeryI4rc.date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1800</v>
      </c>
      <c r="E20" s="12"/>
      <c r="F20" s="49" t="s">
        <v>1294</v>
      </c>
      <c r="G20" s="76" t="s">
        <v>2324</v>
      </c>
      <c r="H20" s="43"/>
      <c r="I20" s="12" t="str">
        <f t="shared" si="15"/>
        <v>* group[=].element[+].code = #SurgeryI4rc.intention</v>
      </c>
      <c r="J20" s="12" t="str">
        <f t="shared" si="16"/>
        <v>* group[=].element[=].display = ##34#Surgery intention##34#</v>
      </c>
      <c r="K20" s="12" t="str">
        <f t="shared" si="17"/>
        <v>* group[=].element[=].target.code = #Procedure.extension:ProcedureCategoryR5</v>
      </c>
      <c r="L20" s="12" t="str">
        <f t="shared" si="18"/>
        <v>* group[=].element[=].target.display = ##34###34#</v>
      </c>
      <c r="M20" s="12" t="str">
        <f t="shared" si="19"/>
        <v>* group[=].element[=].target.equivalence = #relatedto</v>
      </c>
      <c r="N20" s="12" t="str">
        <f t="shared" si="20"/>
        <v>* group[=].element[=].target.comment = ##34#Managed as a procedure categorym to be further analyzed##34#</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1794</v>
      </c>
      <c r="E21" s="12"/>
      <c r="F21" s="49" t="s">
        <v>1294</v>
      </c>
      <c r="G21" s="76" t="s">
        <v>1795</v>
      </c>
      <c r="H21" s="43"/>
      <c r="I21" s="12" t="str">
        <f t="shared" si="15"/>
        <v>* group[=].element[+].code = #SurgeryI4rc.typeOfApproach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#SurgeryI4rc.type</v>
      </c>
    </row>
    <row r="22" spans="1:19" ht="44.25" x14ac:dyDescent="0.75">
      <c r="A22" s="44"/>
      <c r="B22" s="11" t="str">
        <f>Surgery!B14</f>
        <v>marginsAfterSurgery</v>
      </c>
      <c r="C22" s="11" t="str">
        <f>Surgery!C14</f>
        <v>Margins after surgery</v>
      </c>
      <c r="D22" s="12" t="s">
        <v>1796</v>
      </c>
      <c r="E22" s="12"/>
      <c r="F22" s="49" t="s">
        <v>1294</v>
      </c>
      <c r="G22" s="76" t="s">
        <v>2325</v>
      </c>
      <c r="H22" s="43"/>
      <c r="I22" s="12" t="str">
        <f t="shared" si="15"/>
        <v>* group[=].element[+].code = #SurgeryI4rc.marginsAfterSurgery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2326</v>
      </c>
      <c r="E23" s="12"/>
      <c r="F23" s="49" t="s">
        <v>1294</v>
      </c>
      <c r="G23" s="76" t="s">
        <v>2328</v>
      </c>
      <c r="H23" s="43"/>
      <c r="I23" s="12" t="str">
        <f t="shared" si="15"/>
        <v>* group[=].element[+].code = #SurgeryI4rc.tumorRupture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v>
      </c>
    </row>
    <row r="24" spans="1:19" ht="132.75" x14ac:dyDescent="0.75">
      <c r="A24" s="44"/>
      <c r="B24" s="11" t="str">
        <f>Surgery!B16</f>
        <v>SpecimenMitoticCount</v>
      </c>
      <c r="C24" s="11" t="str">
        <f>Surgery!C16</f>
        <v>Surgical specimen Mitotic count</v>
      </c>
      <c r="D24" s="12" t="s">
        <v>2326</v>
      </c>
      <c r="E24" s="11"/>
      <c r="F24" s="49" t="s">
        <v>1294</v>
      </c>
      <c r="G24" s="76" t="s">
        <v>2327</v>
      </c>
      <c r="H24" s="43"/>
      <c r="I24" s="12" t="str">
        <f t="shared" si="15"/>
        <v>* group[=].element[+].code = #SurgeryI4rc.SpecimenMitoticCount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1797</v>
      </c>
      <c r="E25" s="11"/>
      <c r="F25" s="49" t="s">
        <v>1294</v>
      </c>
      <c r="G25" s="76" t="s">
        <v>2311</v>
      </c>
      <c r="H25" s="43"/>
      <c r="I25" s="12" t="str">
        <f t="shared" ref="I25:I39" si="25">"* group[=].element[+].code = #"&amp;$B$14&amp;"."&amp;B25</f>
        <v>* group[=].element[+].code = #SurgeryI4rc.SpecimenGradingOnlyInUntreatedTumours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6" t="s">
        <v>2311</v>
      </c>
      <c r="H26" s="43"/>
      <c r="I26" s="12" t="str">
        <f t="shared" si="25"/>
        <v>* group[=].element[+].code = #SurgeryI4rc.isolatedLimbPerfusion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group[=].element[=].target.comment = ##34#to be analyzed: add a slice to the category.coding or derive this from a combination of elements or use other cathegories (R5 extension)##34#</v>
      </c>
    </row>
    <row r="27" spans="1:19" ht="44.25" x14ac:dyDescent="0.75">
      <c r="A27" s="44"/>
      <c r="B27" s="11" t="str">
        <f>Surgery!B19</f>
        <v>reconstruction</v>
      </c>
      <c r="C27" s="11" t="str">
        <f>Surgery!C19</f>
        <v>Reconstruction</v>
      </c>
      <c r="D27" s="12"/>
      <c r="E27" s="12"/>
      <c r="F27" s="49" t="s">
        <v>1294</v>
      </c>
      <c r="G27" s="76" t="s">
        <v>2311</v>
      </c>
      <c r="H27" s="43"/>
      <c r="I27" s="12" t="str">
        <f t="shared" si="25"/>
        <v>* group[=].element[+].code = #SurgeryI4rc.reconstruction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#SurgeryI4rc.surgeryHospital</v>
      </c>
    </row>
    <row r="28" spans="1:19" ht="73.75" x14ac:dyDescent="0.75">
      <c r="A28" s="44"/>
      <c r="B28" s="11" t="str">
        <f>Surgery!B20</f>
        <v>neckSurgery</v>
      </c>
      <c r="C28" s="11" t="str">
        <f>Surgery!C20</f>
        <v>Neck surgery</v>
      </c>
      <c r="D28" s="12"/>
      <c r="E28" s="12"/>
      <c r="F28" s="49" t="s">
        <v>1294</v>
      </c>
      <c r="G28" s="76" t="s">
        <v>2329</v>
      </c>
      <c r="H28" s="43"/>
      <c r="I28" s="12" t="str">
        <f t="shared" si="25"/>
        <v>* group[=].element[+].code = #SurgeryI4rc.neckSurgery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2323</v>
      </c>
      <c r="E29" s="12"/>
      <c r="F29" s="49" t="s">
        <v>1316</v>
      </c>
      <c r="G29" s="76" t="s">
        <v>2330</v>
      </c>
      <c r="H29" s="43"/>
      <c r="I29" s="12" t="str">
        <f t="shared" si="25"/>
        <v>* group[=].element[+].code = #SurgeryI4rc.dateOfNeckSurgey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2332</v>
      </c>
      <c r="E30" s="12"/>
      <c r="F30" s="49" t="s">
        <v>1316</v>
      </c>
      <c r="G30" s="76" t="s">
        <v>2331</v>
      </c>
      <c r="H30" s="43"/>
      <c r="I30" s="12" t="str">
        <f t="shared" si="25"/>
        <v>* group[=].element[+].code = #SurgeryI4rc.lateralityOfTheDissection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1798</v>
      </c>
      <c r="H31" s="43"/>
      <c r="I31" s="12" t="str">
        <f t="shared" si="25"/>
        <v>* group[=].element[+].code = #SurgeryI4rc.surgeryOnM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2323</v>
      </c>
      <c r="E32" s="12"/>
      <c r="F32" s="49" t="s">
        <v>1316</v>
      </c>
      <c r="G32" s="76" t="s">
        <v>2333</v>
      </c>
      <c r="H32" s="43"/>
      <c r="I32" s="12" t="str">
        <f t="shared" si="25"/>
        <v>* group[=].element[+].code = #SurgeryI4rc.dateOfSurgeryOnM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1613</v>
      </c>
      <c r="E33" s="12"/>
      <c r="F33" s="49" t="s">
        <v>1316</v>
      </c>
      <c r="G33" s="76" t="s">
        <v>2333</v>
      </c>
      <c r="H33" s="43"/>
      <c r="I33" s="12" t="str">
        <f t="shared" si="25"/>
        <v>* group[=].element[+].code = #SurgeryI4rc.siteOnMetastasis.softTissue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#SurgeryI4rc.surgeryHospital</v>
      </c>
    </row>
    <row r="34" spans="1:19" ht="44.25" x14ac:dyDescent="0.75">
      <c r="B34" s="11" t="str">
        <f>Surgery!B27</f>
        <v>siteOnMetastasis.distantLymphNodes</v>
      </c>
      <c r="C34" s="11" t="str">
        <f>Surgery!C27</f>
        <v>Site of surgery on metastasis_distant lymph nodes</v>
      </c>
      <c r="D34" s="12" t="s">
        <v>1613</v>
      </c>
      <c r="E34" s="12"/>
      <c r="F34" s="49" t="s">
        <v>1316</v>
      </c>
      <c r="G34" s="76" t="s">
        <v>2333</v>
      </c>
      <c r="H34" s="43"/>
      <c r="I34" s="12" t="str">
        <f t="shared" si="25"/>
        <v>* group[=].element[+].code = #SurgeryI4rc.siteOnMetastasis.distantLymphNodes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1613</v>
      </c>
      <c r="E35" s="12"/>
      <c r="F35" s="49" t="s">
        <v>1316</v>
      </c>
      <c r="G35" s="76" t="s">
        <v>2333</v>
      </c>
      <c r="H35" s="43"/>
      <c r="I35" s="12" t="str">
        <f t="shared" si="25"/>
        <v>* group[=].element[+].code = #SurgeryI4rc.siteOnMetastasis.lung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1613</v>
      </c>
      <c r="E36" s="12"/>
      <c r="F36" s="49" t="s">
        <v>1316</v>
      </c>
      <c r="G36" s="76" t="s">
        <v>2333</v>
      </c>
      <c r="H36" s="43"/>
      <c r="I36" s="12" t="str">
        <f t="shared" si="25"/>
        <v>* group[=].element[+].code = #SurgeryI4rc.siteOnMetastasis.bone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1613</v>
      </c>
      <c r="E37" s="12"/>
      <c r="F37" s="49" t="s">
        <v>1316</v>
      </c>
      <c r="G37" s="76" t="s">
        <v>2333</v>
      </c>
      <c r="H37" s="43"/>
      <c r="I37" s="12" t="str">
        <f t="shared" si="25"/>
        <v>* group[=].element[+].code = #SurgeryI4rc.siteOnMetastasis.liver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1613</v>
      </c>
      <c r="E38" s="12"/>
      <c r="F38" s="49" t="s">
        <v>1316</v>
      </c>
      <c r="G38" s="76" t="s">
        <v>2333</v>
      </c>
      <c r="H38" s="43"/>
      <c r="I38" s="12" t="str">
        <f t="shared" si="25"/>
        <v>* group[=].element[+].code = #SurgeryI4rc.siteOnMetastasis.pleura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2333</v>
      </c>
      <c r="H39" s="43"/>
      <c r="I39" s="12" t="str">
        <f t="shared" si="25"/>
        <v>* group[=].element[+].code = #SurgeryI4rc.siteOnMetastasis.peritoneum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#SurgeryI4rc.date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#SurgeryI4rc.intention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group[=].element[=].target.comment = ##34#Managed as a procedure categorym to be further analyzed##34#</v>
      </c>
    </row>
    <row r="51" spans="16:19" x14ac:dyDescent="0.75">
      <c r="P51" s="11">
        <v>37</v>
      </c>
      <c r="Q51" s="11">
        <f t="shared" si="23"/>
        <v>6</v>
      </c>
      <c r="R51" s="11">
        <f t="shared" si="24"/>
        <v>1</v>
      </c>
      <c r="S51" s="12" t="str" cm="1">
        <f t="array" ref="S51">INDEX('Surgery-ConceptMap-1'!$I$15:$N$125,Q51+1,R51)</f>
        <v>* group[=].element[+].code = #SurgeryI4rc.typeOfApproach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#SurgeryI4rc.marginsAfterSurgery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#SurgeryI4rc.tumorRupture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#SurgeryI4rc.SpecimenMitoticCount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ht="29.5" x14ac:dyDescent="0.75">
      <c r="P75" s="11">
        <v>61</v>
      </c>
      <c r="Q75" s="11">
        <f t="shared" si="23"/>
        <v>10</v>
      </c>
      <c r="R75" s="11">
        <f t="shared" si="24"/>
        <v>1</v>
      </c>
      <c r="S75" s="12" t="str" cm="1">
        <f t="array" ref="S75">INDEX('Surgery-ConceptMap-1'!$I$15:$N$125,Q75+1,R75)</f>
        <v>* group[=].element[+].code = #SurgeryI4rc.SpecimenGradingOnlyInUntreatedTumours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#SurgeryI4rc.isolatedLimbPerfusion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#SurgeryI4rc.reconstruction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#SurgeryI4rc.neckSurgery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#SurgeryI4rc.dateOfNeckSurgey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#SurgeryI4rc.lateralityOfTheDissection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#SurgeryI4rc.surgeryOnM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#SurgeryI4rc.dateOfSurgeryOnM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#SurgeryI4rc.siteOnMetastasis.softTissue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#SurgeryI4rc.siteOnMetastasis.distantLymphNodes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#SurgeryI4rc.siteOnMetastasis.lung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#SurgeryI4rc.siteOnMetastasis.bone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#SurgeryI4rc.siteOnMetastasis.liver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#SurgeryI4rc.siteOnMetastasis.pleura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#SurgeryI4rc.siteOnMetastasis.peritoneum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1799</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#SurgeryI4rc.surgeryHospital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#SurgeryI4rc.date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#SurgeryI4rc.intention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##34#Managed as a procedure categorym to be further analyzed##34#</v>
      </c>
    </row>
    <row r="55" spans="2:2" x14ac:dyDescent="0.75">
      <c r="B55" s="12" t="str">
        <f>IF('Surgery-ConceptMap-1'!S51=0,"//---END",'Surgery-ConceptMap-1'!S51)</f>
        <v>* group[=].element[+].code = #SurgeryI4rc.typeOfApproach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#SurgeryI4rc.marginsAfterSurgery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#SurgeryI4rc.tumorRupture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#SurgeryI4rc.SpecimenMitoticCount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#SurgeryI4rc.SpecimenGradingOnlyInUntreatedTumours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#SurgeryI4rc.neckSurgery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#SurgeryI4rc.dateOfNeckSurgey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#SurgeryI4rc.lateralityOfTheDissection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#SurgeryI4rc.surgeryOnM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#SurgeryI4rc.dateOfSurgeryOnM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#SurgeryI4rc.siteOnMetastasis.peritoneum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1"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ht="15.5" thickBot="1" x14ac:dyDescent="0.9">
      <c r="A4" s="5" t="s">
        <v>11</v>
      </c>
      <c r="B4" s="30" t="s">
        <v>2275</v>
      </c>
      <c r="L4" s="16" t="str">
        <f>CONCATENATE("Logical: ",B4)</f>
        <v>Logical: OtherTreatmentI4rc</v>
      </c>
    </row>
    <row r="5" spans="1:18" ht="15.5" thickBot="1" x14ac:dyDescent="0.9">
      <c r="A5" s="14" t="s">
        <v>16</v>
      </c>
      <c r="B5" s="30" t="s">
        <v>2276</v>
      </c>
      <c r="L5" s="16" t="str">
        <f>CONCATENATE("Id: ",B5)</f>
        <v>Id: OtherTreatment</v>
      </c>
    </row>
    <row r="6" spans="1:18" ht="15.5" thickBot="1" x14ac:dyDescent="0.9">
      <c r="A6" s="14" t="s">
        <v>10</v>
      </c>
      <c r="B6" s="30" t="s">
        <v>2351</v>
      </c>
      <c r="L6" s="17" t="str">
        <f>CONCATENATE("Title: ##34#",B6,"##34#")</f>
        <v>Title: ##34#Other Treatment##34#</v>
      </c>
    </row>
    <row r="7" spans="1:18" x14ac:dyDescent="0.75">
      <c r="A7" s="26" t="s">
        <v>2</v>
      </c>
      <c r="B7" s="30" t="s">
        <v>2351</v>
      </c>
      <c r="C7" s="9" t="s">
        <v>3</v>
      </c>
      <c r="D7" s="1" t="s">
        <v>4</v>
      </c>
      <c r="E7" s="3" t="s">
        <v>5</v>
      </c>
      <c r="F7" s="3" t="s">
        <v>6</v>
      </c>
      <c r="G7" s="3" t="s">
        <v>7</v>
      </c>
      <c r="H7" s="64" t="s">
        <v>1384</v>
      </c>
      <c r="I7" s="119" t="s">
        <v>2080</v>
      </c>
      <c r="J7" s="119" t="s">
        <v>2081</v>
      </c>
      <c r="L7" s="17" t="str">
        <f>CONCATENATE("Description: "," ##334#",B7,"##334#",)</f>
        <v>Description:  ##334#Other Treatment##334#</v>
      </c>
    </row>
    <row r="8" spans="1:18" ht="59" x14ac:dyDescent="0.75">
      <c r="A8" s="59">
        <v>0</v>
      </c>
      <c r="B8" s="12" t="s">
        <v>1588</v>
      </c>
      <c r="C8" s="12" t="s">
        <v>1644</v>
      </c>
      <c r="D8" s="12" t="s">
        <v>1557</v>
      </c>
      <c r="E8" s="11">
        <v>1</v>
      </c>
      <c r="F8" s="11">
        <v>1</v>
      </c>
      <c r="G8" s="130"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2352</v>
      </c>
      <c r="C9" s="12" t="s">
        <v>2353</v>
      </c>
      <c r="D9" s="12" t="s">
        <v>2354</v>
      </c>
      <c r="E9" s="11">
        <v>1</v>
      </c>
      <c r="F9" s="11">
        <v>1</v>
      </c>
      <c r="G9" s="86" t="s">
        <v>1468</v>
      </c>
      <c r="H9" s="12" t="s">
        <v>1645</v>
      </c>
      <c r="I9" s="12" t="b">
        <v>1</v>
      </c>
      <c r="J9" s="12" t="b">
        <v>1</v>
      </c>
      <c r="K9" s="25" t="s">
        <v>2352</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2355</v>
      </c>
      <c r="E10" s="11">
        <v>1</v>
      </c>
      <c r="F10" s="11">
        <v>1</v>
      </c>
      <c r="G10" s="101" t="s">
        <v>1468</v>
      </c>
      <c r="H10" s="12" t="s">
        <v>1646</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1647</v>
      </c>
      <c r="D11" s="12" t="s">
        <v>1648</v>
      </c>
      <c r="E11" s="11">
        <v>1</v>
      </c>
      <c r="F11" s="11">
        <v>1</v>
      </c>
      <c r="G11" s="101" t="s">
        <v>1468</v>
      </c>
      <c r="H11" s="12" t="s">
        <v>2356</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2212</v>
      </c>
      <c r="C12" s="11" t="s">
        <v>2218</v>
      </c>
      <c r="D12" s="11" t="s">
        <v>2219</v>
      </c>
      <c r="E12" s="11">
        <v>0</v>
      </c>
      <c r="F12" s="11">
        <v>1</v>
      </c>
      <c r="G12" t="s">
        <v>1468</v>
      </c>
      <c r="H12" s="2" t="s">
        <v>2220</v>
      </c>
      <c r="I12" s="12" t="b">
        <v>0</v>
      </c>
      <c r="J12" s="12" t="b">
        <v>1</v>
      </c>
      <c r="K12" s="25" t="s">
        <v>2212</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2357</v>
      </c>
      <c r="C13" s="12" t="s">
        <v>2358</v>
      </c>
      <c r="D13" s="12" t="s">
        <v>2359</v>
      </c>
      <c r="E13" s="11">
        <v>1</v>
      </c>
      <c r="F13" s="11">
        <v>1</v>
      </c>
      <c r="G13" s="86" t="s">
        <v>43</v>
      </c>
      <c r="H13" s="12"/>
      <c r="I13" s="12" t="b">
        <v>1</v>
      </c>
      <c r="J13" s="12" t="b">
        <v>1</v>
      </c>
      <c r="K13" s="25" t="s">
        <v>2357</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2360</v>
      </c>
      <c r="C14" s="12" t="s">
        <v>2361</v>
      </c>
      <c r="D14" s="12" t="s">
        <v>2362</v>
      </c>
      <c r="E14" s="11">
        <v>1</v>
      </c>
      <c r="F14" s="11">
        <v>1</v>
      </c>
      <c r="G14" s="86" t="s">
        <v>43</v>
      </c>
      <c r="H14" s="12"/>
      <c r="I14" s="12" t="b">
        <v>1</v>
      </c>
      <c r="J14" s="12" t="b">
        <v>1</v>
      </c>
      <c r="K14" s="25" t="s">
        <v>2360</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1649</v>
      </c>
      <c r="D15" s="12" t="s">
        <v>1650</v>
      </c>
      <c r="E15" s="11">
        <v>0</v>
      </c>
      <c r="F15" s="11">
        <v>1</v>
      </c>
      <c r="G15" s="131" t="s">
        <v>1785</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2"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1779</v>
      </c>
      <c r="C17" s="12" t="s">
        <v>1424</v>
      </c>
      <c r="D17" s="13" t="s">
        <v>1424</v>
      </c>
      <c r="E17" s="11">
        <v>1</v>
      </c>
      <c r="F17" s="11">
        <v>1</v>
      </c>
      <c r="G17" s="86" t="s">
        <v>1468</v>
      </c>
      <c r="H17" s="12" t="s">
        <v>1651</v>
      </c>
      <c r="I17" s="12" t="b">
        <v>1</v>
      </c>
      <c r="J17" s="12" t="b">
        <v>1</v>
      </c>
      <c r="K17" s="25" t="s">
        <v>2213</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1780</v>
      </c>
      <c r="C18" s="12" t="s">
        <v>1425</v>
      </c>
      <c r="D18" s="13" t="s">
        <v>1425</v>
      </c>
      <c r="E18" s="11">
        <v>1</v>
      </c>
      <c r="F18" s="11">
        <v>1</v>
      </c>
      <c r="G18" s="86" t="s">
        <v>1468</v>
      </c>
      <c r="H18" s="12" t="s">
        <v>1651</v>
      </c>
      <c r="I18" s="12" t="b">
        <v>1</v>
      </c>
      <c r="J18" s="12" t="b">
        <v>1</v>
      </c>
      <c r="K18" s="25" t="s">
        <v>2214</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1781</v>
      </c>
      <c r="C19" s="12" t="s">
        <v>1426</v>
      </c>
      <c r="D19" s="13" t="s">
        <v>1426</v>
      </c>
      <c r="E19" s="11">
        <v>1</v>
      </c>
      <c r="F19" s="11">
        <v>1</v>
      </c>
      <c r="G19" s="86" t="s">
        <v>1468</v>
      </c>
      <c r="H19" s="12" t="s">
        <v>1651</v>
      </c>
      <c r="I19" s="12" t="b">
        <v>1</v>
      </c>
      <c r="J19" s="12" t="b">
        <v>1</v>
      </c>
      <c r="K19" t="s">
        <v>2215</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1782</v>
      </c>
      <c r="C20" s="12" t="s">
        <v>1429</v>
      </c>
      <c r="D20" s="12" t="s">
        <v>2363</v>
      </c>
      <c r="E20" s="11">
        <v>1</v>
      </c>
      <c r="F20" s="11">
        <v>1</v>
      </c>
      <c r="G20" s="86" t="s">
        <v>43</v>
      </c>
      <c r="H20" s="12"/>
      <c r="I20" s="12" t="b">
        <v>1</v>
      </c>
      <c r="J20" s="12" t="b">
        <v>0</v>
      </c>
      <c r="K20" t="s">
        <v>2216</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1783</v>
      </c>
      <c r="C21" s="12" t="s">
        <v>1430</v>
      </c>
      <c r="D21" s="12" t="s">
        <v>2364</v>
      </c>
      <c r="E21" s="11">
        <v>1</v>
      </c>
      <c r="F21" s="11">
        <v>1</v>
      </c>
      <c r="G21" s="86" t="s">
        <v>43</v>
      </c>
      <c r="H21" s="12"/>
      <c r="I21" s="12" t="b">
        <v>1</v>
      </c>
      <c r="J21" s="12" t="b">
        <v>0</v>
      </c>
      <c r="K21" t="s">
        <v>2217</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1862</v>
      </c>
      <c r="C23" s="11" t="s">
        <v>1653</v>
      </c>
      <c r="D23" s="11" t="s">
        <v>1654</v>
      </c>
      <c r="E23" s="11">
        <v>1</v>
      </c>
      <c r="F23" s="11">
        <v>1</v>
      </c>
      <c r="G23" t="s">
        <v>1468</v>
      </c>
      <c r="H23" s="12" t="s">
        <v>1655</v>
      </c>
      <c r="I23" s="12" t="b">
        <v>1</v>
      </c>
      <c r="J23" s="12" t="b">
        <v>1</v>
      </c>
      <c r="K23" t="s">
        <v>1862</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2365</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2366</v>
      </c>
      <c r="D3" s="47" t="s">
        <v>1473</v>
      </c>
      <c r="E3" s="71" t="str">
        <f>$C$1&amp;B14</f>
        <v>http://hl7.eu/fhir/ig/idea4rc/StructureDefinition/OtherTreatment</v>
      </c>
    </row>
    <row r="4" spans="1:19" x14ac:dyDescent="0.75">
      <c r="B4" s="47" t="s">
        <v>16</v>
      </c>
      <c r="C4" s="28" t="s">
        <v>2366</v>
      </c>
      <c r="D4" s="47" t="s">
        <v>1474</v>
      </c>
      <c r="E4" s="151" t="s">
        <v>1822</v>
      </c>
      <c r="F4" s="159"/>
      <c r="G4" s="159"/>
    </row>
    <row r="5" spans="1:19" x14ac:dyDescent="0.75">
      <c r="B5" s="47" t="s">
        <v>10</v>
      </c>
      <c r="C5" s="7" t="s">
        <v>2367</v>
      </c>
      <c r="D5" s="47"/>
      <c r="E5" s="7"/>
    </row>
    <row r="6" spans="1:19" x14ac:dyDescent="0.75">
      <c r="B6" s="47" t="s">
        <v>18</v>
      </c>
      <c r="C6" s="41"/>
      <c r="D6" s="47" t="s">
        <v>1475</v>
      </c>
      <c r="E6" s="151" t="str">
        <f>E3</f>
        <v>http://hl7.eu/fhir/ig/idea4rc/StructureDefinition/OtherTreatment</v>
      </c>
      <c r="F6" s="152"/>
      <c r="G6" s="152"/>
    </row>
    <row r="7" spans="1:19" x14ac:dyDescent="0.75">
      <c r="B7" s="47" t="s">
        <v>15</v>
      </c>
      <c r="C7" s="72"/>
      <c r="D7" s="47" t="s">
        <v>1476</v>
      </c>
      <c r="E7" s="151" t="str">
        <f>E4</f>
        <v>http://hl7.eu/fhir/ig/idea4rc/StructureDefinition/MedicationAdministration-eu-i4rc</v>
      </c>
      <c r="F7" s="152"/>
      <c r="G7" s="152"/>
    </row>
    <row r="8" spans="1:19" ht="45" thickBot="1" x14ac:dyDescent="0.9">
      <c r="B8" s="47" t="s">
        <v>1477</v>
      </c>
      <c r="C8" s="7" t="s">
        <v>2367</v>
      </c>
      <c r="D8" s="47"/>
      <c r="E8" s="7"/>
      <c r="I8" s="12" t="s">
        <v>1289</v>
      </c>
      <c r="J8" s="12" t="s">
        <v>1290</v>
      </c>
      <c r="K8" s="12" t="s">
        <v>1291</v>
      </c>
      <c r="L8" s="12" t="s">
        <v>1292</v>
      </c>
      <c r="M8" s="11" t="s">
        <v>1293</v>
      </c>
      <c r="P8" s="34" t="s">
        <v>1328</v>
      </c>
      <c r="Q8" s="34">
        <v>6</v>
      </c>
    </row>
    <row r="9" spans="1:19" ht="30.25" thickBot="1" x14ac:dyDescent="0.9">
      <c r="B9" s="47" t="s">
        <v>1478</v>
      </c>
      <c r="C9" s="12" t="s">
        <v>2368</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1816</v>
      </c>
      <c r="E16" s="12"/>
      <c r="F16" s="49" t="s">
        <v>1316</v>
      </c>
      <c r="G16" s="77" t="s">
        <v>2334</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1816</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1816</v>
      </c>
      <c r="E18" s="12"/>
      <c r="F18" s="49" t="s">
        <v>1294</v>
      </c>
      <c r="G18" s="76"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1612</v>
      </c>
      <c r="E19" s="12"/>
      <c r="F19" s="49" t="s">
        <v>1316</v>
      </c>
      <c r="G19" s="77"/>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1817</v>
      </c>
      <c r="E20" s="12"/>
      <c r="F20" s="49" t="s">
        <v>1316</v>
      </c>
      <c r="G20" s="77"/>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6" t="s">
        <v>2311</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7"/>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1818</v>
      </c>
      <c r="E23" s="11"/>
      <c r="F23" s="49" t="s">
        <v>1294</v>
      </c>
      <c r="G23" s="76"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1818</v>
      </c>
      <c r="E24" s="11"/>
      <c r="F24" s="49" t="s">
        <v>1294</v>
      </c>
      <c r="G24" s="76"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1818</v>
      </c>
      <c r="E25" s="11"/>
      <c r="F25" s="49" t="s">
        <v>1294</v>
      </c>
      <c r="G25" s="76"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6"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6"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1819</v>
      </c>
      <c r="E28" s="12"/>
      <c r="F28" s="49" t="s">
        <v>1294</v>
      </c>
      <c r="G28" s="77"/>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1820</v>
      </c>
      <c r="E29" s="12"/>
      <c r="F29" s="49" t="s">
        <v>1294</v>
      </c>
      <c r="G29" s="76" t="s">
        <v>1821</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1823</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2"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1920</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9" t="s">
        <v>2080</v>
      </c>
      <c r="J7" s="119" t="s">
        <v>2081</v>
      </c>
      <c r="L7" s="17" t="str">
        <f>CONCATENATE("Description: "," ##334#",B7,"##334#",)</f>
        <v>Description:  ##334#Radiotherapy##334#</v>
      </c>
    </row>
    <row r="8" spans="1:18" ht="59" x14ac:dyDescent="0.75">
      <c r="A8" s="59">
        <v>0</v>
      </c>
      <c r="B8" s="11" t="s">
        <v>1588</v>
      </c>
      <c r="C8" s="11" t="s">
        <v>1644</v>
      </c>
      <c r="D8" s="12" t="s">
        <v>1557</v>
      </c>
      <c r="E8" s="11">
        <v>1</v>
      </c>
      <c r="F8" s="11">
        <v>1</v>
      </c>
      <c r="G8" s="133"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1712</v>
      </c>
      <c r="C9" s="11" t="s">
        <v>1713</v>
      </c>
      <c r="D9" s="12" t="s">
        <v>2374</v>
      </c>
      <c r="E9" s="11">
        <v>1</v>
      </c>
      <c r="F9" s="11">
        <v>1</v>
      </c>
      <c r="G9" s="11" t="s">
        <v>1468</v>
      </c>
      <c r="H9" s="12" t="s">
        <v>1659</v>
      </c>
      <c r="I9" s="12" t="b">
        <v>1</v>
      </c>
      <c r="J9" s="12" t="b">
        <v>1</v>
      </c>
      <c r="K9" s="25" t="s">
        <v>1712</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1717</v>
      </c>
      <c r="C12" s="11" t="s">
        <v>1718</v>
      </c>
      <c r="D12" s="12" t="s">
        <v>1719</v>
      </c>
      <c r="E12" s="11">
        <v>1</v>
      </c>
      <c r="F12" s="11">
        <v>1</v>
      </c>
      <c r="G12" s="11" t="s">
        <v>1468</v>
      </c>
      <c r="H12" s="12" t="s">
        <v>1720</v>
      </c>
      <c r="I12" s="12" t="b">
        <v>1</v>
      </c>
      <c r="J12" s="12" t="b">
        <v>1</v>
      </c>
      <c r="K12" s="25" t="s">
        <v>1717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7">
        <v>5</v>
      </c>
      <c r="B13" s="11" t="s">
        <v>1721</v>
      </c>
      <c r="C13" s="11" t="s">
        <v>1722</v>
      </c>
      <c r="D13" s="4" t="s">
        <v>1722</v>
      </c>
      <c r="E13" s="11">
        <v>0</v>
      </c>
      <c r="F13" s="11">
        <v>1</v>
      </c>
      <c r="G13" s="11" t="s">
        <v>0</v>
      </c>
      <c r="H13" s="12"/>
      <c r="I13" s="12" t="b">
        <v>1</v>
      </c>
      <c r="J13" s="12" t="b">
        <v>0</v>
      </c>
      <c r="K13" s="25" t="s">
        <v>1721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1723</v>
      </c>
      <c r="C14" s="11" t="s">
        <v>1724</v>
      </c>
      <c r="D14" s="12" t="s">
        <v>1725</v>
      </c>
      <c r="E14" s="11">
        <v>1</v>
      </c>
      <c r="F14" s="11">
        <v>1</v>
      </c>
      <c r="G14" s="11" t="s">
        <v>1468</v>
      </c>
      <c r="H14" s="12" t="s">
        <v>1726</v>
      </c>
      <c r="I14" s="12" t="b">
        <v>1</v>
      </c>
      <c r="J14" s="12" t="b">
        <v>1</v>
      </c>
      <c r="K14" s="25" t="s">
        <v>1723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1727</v>
      </c>
      <c r="C15" s="11" t="s">
        <v>1728</v>
      </c>
      <c r="D15" s="12" t="s">
        <v>1729</v>
      </c>
      <c r="E15" s="11">
        <v>1</v>
      </c>
      <c r="F15" s="11">
        <v>1</v>
      </c>
      <c r="G15" s="42" t="s">
        <v>1785</v>
      </c>
      <c r="H15" s="12"/>
      <c r="I15" s="12" t="b">
        <v>1</v>
      </c>
      <c r="J15" s="12" t="b">
        <v>1</v>
      </c>
      <c r="K15" s="25" t="s">
        <v>2221</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1">
        <v>8</v>
      </c>
      <c r="B16" s="11" t="s">
        <v>1730</v>
      </c>
      <c r="C16" s="11" t="s">
        <v>1731</v>
      </c>
      <c r="D16" s="12" t="s">
        <v>1732</v>
      </c>
      <c r="E16" s="11">
        <v>1</v>
      </c>
      <c r="F16" s="11">
        <v>1</v>
      </c>
      <c r="G16" s="42" t="s">
        <v>1785</v>
      </c>
      <c r="H16" s="12"/>
      <c r="I16" s="12" t="b">
        <v>1</v>
      </c>
      <c r="J16" s="12" t="b">
        <v>0</v>
      </c>
      <c r="K16" s="25" t="s">
        <v>2222</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1733</v>
      </c>
      <c r="C17" s="11" t="s">
        <v>1734</v>
      </c>
      <c r="D17" s="12" t="s">
        <v>1735</v>
      </c>
      <c r="E17" s="11">
        <v>1</v>
      </c>
      <c r="F17" s="11">
        <v>1</v>
      </c>
      <c r="G17" s="42" t="s">
        <v>1785</v>
      </c>
      <c r="H17" s="12"/>
      <c r="I17" s="12" t="b">
        <v>1</v>
      </c>
      <c r="J17" s="12" t="b">
        <v>1</v>
      </c>
      <c r="K17" s="25" t="s">
        <v>1733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1736</v>
      </c>
      <c r="C18" s="11" t="s">
        <v>1737</v>
      </c>
      <c r="D18" s="12" t="s">
        <v>1738</v>
      </c>
      <c r="E18" s="11">
        <v>0</v>
      </c>
      <c r="F18" s="11">
        <v>1</v>
      </c>
      <c r="G18" s="11" t="s">
        <v>1468</v>
      </c>
      <c r="H18" s="12" t="s">
        <v>1677</v>
      </c>
      <c r="I18" s="12" t="b">
        <v>1</v>
      </c>
      <c r="J18" s="12" t="b">
        <v>0</v>
      </c>
      <c r="K18" t="s">
        <v>1736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1739</v>
      </c>
      <c r="C19" s="11" t="s">
        <v>1740</v>
      </c>
      <c r="D19" s="12" t="s">
        <v>1741</v>
      </c>
      <c r="E19" s="11">
        <v>0</v>
      </c>
      <c r="F19" s="11">
        <v>1</v>
      </c>
      <c r="G19" s="11" t="s">
        <v>1468</v>
      </c>
      <c r="H19" s="12" t="s">
        <v>1677</v>
      </c>
      <c r="I19" s="12" t="b">
        <v>1</v>
      </c>
      <c r="J19" s="12" t="b">
        <v>0</v>
      </c>
      <c r="K19" t="s">
        <v>2223</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1742</v>
      </c>
      <c r="C20" s="11" t="s">
        <v>1743</v>
      </c>
      <c r="D20" s="12" t="s">
        <v>1744</v>
      </c>
      <c r="E20" s="11">
        <v>1</v>
      </c>
      <c r="F20" s="11">
        <v>1</v>
      </c>
      <c r="G20" s="11" t="s">
        <v>43</v>
      </c>
      <c r="H20" s="12"/>
      <c r="I20" s="12" t="b">
        <v>1</v>
      </c>
      <c r="J20" s="12" t="b">
        <v>1</v>
      </c>
      <c r="K20" t="s">
        <v>1742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1745</v>
      </c>
      <c r="C21" s="11" t="s">
        <v>1746</v>
      </c>
      <c r="D21" s="12" t="s">
        <v>1747</v>
      </c>
      <c r="E21" s="11">
        <v>1</v>
      </c>
      <c r="F21" s="11">
        <v>1</v>
      </c>
      <c r="G21" s="11" t="s">
        <v>43</v>
      </c>
      <c r="H21" s="12"/>
      <c r="I21" s="12" t="b">
        <v>1</v>
      </c>
      <c r="J21" s="12" t="b">
        <v>1</v>
      </c>
      <c r="K21" t="s">
        <v>1745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1748</v>
      </c>
      <c r="C22" s="11" t="s">
        <v>1749</v>
      </c>
      <c r="D22" s="12" t="s">
        <v>1750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1769</v>
      </c>
      <c r="C23" s="11" t="s">
        <v>1751</v>
      </c>
      <c r="D23" s="13" t="s">
        <v>1751</v>
      </c>
      <c r="E23" s="11">
        <v>0</v>
      </c>
      <c r="F23" s="11">
        <v>1</v>
      </c>
      <c r="G23" s="11" t="s">
        <v>44</v>
      </c>
      <c r="H23" s="12"/>
      <c r="I23" s="12" t="b">
        <v>1</v>
      </c>
      <c r="J23" s="12" t="b">
        <v>0</v>
      </c>
      <c r="K23" t="s">
        <v>2224</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1770</v>
      </c>
      <c r="C24" s="11" t="s">
        <v>1752</v>
      </c>
      <c r="D24" s="13" t="s">
        <v>1752</v>
      </c>
      <c r="E24" s="11">
        <v>0</v>
      </c>
      <c r="F24" s="11">
        <v>1</v>
      </c>
      <c r="G24" s="11" t="s">
        <v>44</v>
      </c>
      <c r="H24" s="12"/>
      <c r="I24" s="12" t="b">
        <v>1</v>
      </c>
      <c r="J24" s="12" t="b">
        <v>0</v>
      </c>
      <c r="K24" t="s">
        <v>2225</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1771</v>
      </c>
      <c r="C25" s="11" t="s">
        <v>1753</v>
      </c>
      <c r="D25" s="13" t="s">
        <v>1753</v>
      </c>
      <c r="E25" s="11">
        <v>1</v>
      </c>
      <c r="F25" s="11">
        <v>1</v>
      </c>
      <c r="G25" s="11" t="s">
        <v>44</v>
      </c>
      <c r="H25" s="12"/>
      <c r="I25" s="12" t="b">
        <v>1</v>
      </c>
      <c r="J25" s="12" t="b">
        <v>0</v>
      </c>
      <c r="K25" t="s">
        <v>2226</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1772</v>
      </c>
      <c r="C26" s="11" t="s">
        <v>1754</v>
      </c>
      <c r="D26" s="13" t="s">
        <v>1754</v>
      </c>
      <c r="E26" s="11">
        <v>1</v>
      </c>
      <c r="F26" s="11">
        <v>1</v>
      </c>
      <c r="G26" s="11" t="s">
        <v>44</v>
      </c>
      <c r="H26" s="12"/>
      <c r="I26" s="12" t="b">
        <v>1</v>
      </c>
      <c r="J26" s="12" t="b">
        <v>0</v>
      </c>
      <c r="K26" t="s">
        <v>2227</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1773</v>
      </c>
      <c r="C27" s="11" t="s">
        <v>1755</v>
      </c>
      <c r="D27" s="13" t="s">
        <v>1755</v>
      </c>
      <c r="E27" s="11">
        <v>1</v>
      </c>
      <c r="F27" s="11">
        <v>1</v>
      </c>
      <c r="G27" s="11" t="s">
        <v>44</v>
      </c>
      <c r="H27" s="12"/>
      <c r="I27" s="12" t="b">
        <v>1</v>
      </c>
      <c r="J27" s="12" t="b">
        <v>0</v>
      </c>
      <c r="K27" t="s">
        <v>2228</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1756</v>
      </c>
      <c r="C28" s="11" t="s">
        <v>1757</v>
      </c>
      <c r="D28" s="12" t="s">
        <v>1758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1774</v>
      </c>
      <c r="C29" s="11" t="s">
        <v>1759</v>
      </c>
      <c r="D29" s="13" t="s">
        <v>1759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1775</v>
      </c>
      <c r="C30" s="11" t="s">
        <v>1761</v>
      </c>
      <c r="D30" s="13" t="s">
        <v>1761</v>
      </c>
      <c r="E30" s="11">
        <v>0</v>
      </c>
      <c r="F30" s="11">
        <v>1</v>
      </c>
      <c r="G30" s="11" t="s">
        <v>44</v>
      </c>
      <c r="H30" s="12"/>
      <c r="I30" s="12" t="b">
        <v>1</v>
      </c>
      <c r="J30" s="12" t="b">
        <v>1</v>
      </c>
      <c r="K30" t="s">
        <v>1760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1776</v>
      </c>
      <c r="C31" s="12" t="s">
        <v>1762</v>
      </c>
      <c r="D31" s="13" t="s">
        <v>1762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1777</v>
      </c>
      <c r="C32" s="12" t="s">
        <v>1763</v>
      </c>
      <c r="D32" s="13" t="s">
        <v>1763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1778</v>
      </c>
      <c r="C33" s="12" t="s">
        <v>1764</v>
      </c>
      <c r="D33" s="13" t="s">
        <v>1764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1765</v>
      </c>
      <c r="C34" s="12" t="s">
        <v>1766</v>
      </c>
      <c r="D34" s="12" t="s">
        <v>1767</v>
      </c>
      <c r="E34" s="11">
        <v>1</v>
      </c>
      <c r="F34" s="11">
        <v>1</v>
      </c>
      <c r="G34" s="11" t="s">
        <v>1468</v>
      </c>
      <c r="H34" s="12" t="s">
        <v>1768</v>
      </c>
      <c r="I34" s="12" t="b">
        <v>1</v>
      </c>
      <c r="J34" s="12" t="b">
        <v>1</v>
      </c>
      <c r="K34" t="s">
        <v>1765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2229</v>
      </c>
      <c r="C35" s="11" t="s">
        <v>2233</v>
      </c>
      <c r="D35" s="12" t="s">
        <v>2233</v>
      </c>
      <c r="E35" s="11">
        <v>1</v>
      </c>
      <c r="F35" s="11">
        <v>1</v>
      </c>
      <c r="G35" s="98" t="s">
        <v>1</v>
      </c>
      <c r="H35" s="6"/>
      <c r="I35" s="12" t="b">
        <v>0</v>
      </c>
      <c r="J35" s="12" t="b">
        <v>1</v>
      </c>
      <c r="K35" t="s">
        <v>2229</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2239</v>
      </c>
      <c r="C36" s="11" t="s">
        <v>2233</v>
      </c>
      <c r="D36" s="12" t="s">
        <v>2234</v>
      </c>
      <c r="E36" s="11">
        <v>0</v>
      </c>
      <c r="F36" s="11">
        <v>1</v>
      </c>
      <c r="G36" s="98" t="s">
        <v>43</v>
      </c>
      <c r="H36" s="11"/>
      <c r="I36" s="12" t="b">
        <v>0</v>
      </c>
      <c r="J36" s="12" t="b">
        <v>1</v>
      </c>
      <c r="K36" t="s">
        <v>2230</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2240</v>
      </c>
      <c r="C37" s="11" t="s">
        <v>2233</v>
      </c>
      <c r="D37" s="12" t="s">
        <v>2235</v>
      </c>
      <c r="E37" s="11">
        <v>0</v>
      </c>
      <c r="F37" s="11">
        <v>1</v>
      </c>
      <c r="G37" s="98" t="s">
        <v>43</v>
      </c>
      <c r="H37" s="11"/>
      <c r="I37" s="12" t="b">
        <v>0</v>
      </c>
      <c r="J37" s="12" t="b">
        <v>1</v>
      </c>
      <c r="K37" t="s">
        <v>2231</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2232</v>
      </c>
      <c r="C38" s="11" t="s">
        <v>2236</v>
      </c>
      <c r="D38" s="12" t="s">
        <v>2237</v>
      </c>
      <c r="E38" s="11">
        <v>0</v>
      </c>
      <c r="F38" s="11">
        <v>1</v>
      </c>
      <c r="G38" s="11" t="s">
        <v>1468</v>
      </c>
      <c r="H38" s="12" t="s">
        <v>2238</v>
      </c>
      <c r="I38" s="12" t="b">
        <v>0</v>
      </c>
      <c r="J38" s="12" t="b">
        <v>1</v>
      </c>
      <c r="K38" t="s">
        <v>2232</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1801</v>
      </c>
      <c r="D3" s="47" t="s">
        <v>1473</v>
      </c>
      <c r="E3" s="71" t="str">
        <f>$C$1&amp;B14</f>
        <v>http://hl7.eu/fhir/ig/idea4rc/StructureDefinition/RadiotherapyI4rc</v>
      </c>
    </row>
    <row r="4" spans="1:19" x14ac:dyDescent="0.75">
      <c r="B4" s="47" t="s">
        <v>16</v>
      </c>
      <c r="C4" s="28" t="s">
        <v>1801</v>
      </c>
      <c r="D4" s="47" t="s">
        <v>1474</v>
      </c>
      <c r="E4" s="151" t="s">
        <v>1824</v>
      </c>
      <c r="F4" s="152"/>
      <c r="G4" s="152"/>
    </row>
    <row r="5" spans="1:19" x14ac:dyDescent="0.75">
      <c r="B5" s="47" t="s">
        <v>10</v>
      </c>
      <c r="C5" s="7" t="s">
        <v>1802</v>
      </c>
      <c r="D5" s="47"/>
      <c r="E5" s="7"/>
    </row>
    <row r="6" spans="1:19" x14ac:dyDescent="0.75">
      <c r="B6" s="47" t="s">
        <v>18</v>
      </c>
      <c r="C6" s="41"/>
      <c r="D6" s="47" t="s">
        <v>1475</v>
      </c>
      <c r="E6" s="151" t="str">
        <f>E3</f>
        <v>http://hl7.eu/fhir/ig/idea4rc/StructureDefinition/RadiotherapyI4rc</v>
      </c>
      <c r="F6" s="152"/>
      <c r="G6" s="152"/>
    </row>
    <row r="7" spans="1:19" x14ac:dyDescent="0.75">
      <c r="B7" s="47" t="s">
        <v>15</v>
      </c>
      <c r="C7" s="72"/>
      <c r="D7" s="47" t="s">
        <v>1476</v>
      </c>
      <c r="E7" s="151" t="str">
        <f>E4</f>
        <v>http://hl7.eu/fhir/ig/idea4rc/StructureDefinition/Procedure-radiotheraphy-eu-i4rc</v>
      </c>
      <c r="F7" s="152"/>
      <c r="G7" s="152"/>
    </row>
    <row r="8" spans="1:19" ht="15.5" thickBot="1" x14ac:dyDescent="0.9">
      <c r="B8" s="47" t="s">
        <v>1477</v>
      </c>
      <c r="C8" s="7" t="s">
        <v>1802</v>
      </c>
      <c r="D8" s="47"/>
      <c r="E8" s="7"/>
      <c r="I8" s="12"/>
      <c r="J8" s="12"/>
      <c r="K8" s="12"/>
      <c r="L8" s="12"/>
      <c r="M8" s="11"/>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1792</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2373</v>
      </c>
      <c r="E16" s="12"/>
      <c r="F16" s="49" t="s">
        <v>1294</v>
      </c>
      <c r="G16" s="76" t="s">
        <v>2370</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2335</v>
      </c>
      <c r="E17" s="12"/>
      <c r="F17" s="49" t="s">
        <v>1294</v>
      </c>
      <c r="G17" s="76" t="s">
        <v>2336</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1814</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1810</v>
      </c>
      <c r="E19" s="12"/>
      <c r="F19" s="49" t="s">
        <v>1294</v>
      </c>
      <c r="G19" s="77"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1811</v>
      </c>
      <c r="E20" s="12"/>
      <c r="F20" s="49" t="s">
        <v>1311</v>
      </c>
      <c r="G20" s="77"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1806</v>
      </c>
      <c r="E21" s="12"/>
      <c r="F21" s="49" t="s">
        <v>1294</v>
      </c>
      <c r="G21" s="77"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1807</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2337</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1808</v>
      </c>
      <c r="E24" s="11"/>
      <c r="F24" s="49" t="s">
        <v>1294</v>
      </c>
      <c r="G24" s="76" t="s">
        <v>1809</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1806</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1812</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1813</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2338</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1613</v>
      </c>
      <c r="E30" s="12"/>
      <c r="F30" s="49" t="s">
        <v>1294</v>
      </c>
      <c r="G30" s="76" t="s">
        <v>2338</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2338</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2338</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2338</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2340</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2338</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2338</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1613</v>
      </c>
      <c r="E37" s="12"/>
      <c r="F37" s="49" t="s">
        <v>1294</v>
      </c>
      <c r="G37" s="76" t="s">
        <v>2338</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1613</v>
      </c>
      <c r="E38" s="12"/>
      <c r="F38" s="49" t="s">
        <v>1294</v>
      </c>
      <c r="G38" s="76" t="s">
        <v>2338</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1613</v>
      </c>
      <c r="E39" s="12"/>
      <c r="F39" s="49" t="s">
        <v>1294</v>
      </c>
      <c r="G39" s="76" t="s">
        <v>2338</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1808</v>
      </c>
      <c r="E40" s="11"/>
      <c r="F40" s="49" t="s">
        <v>1294</v>
      </c>
      <c r="G40" s="76" t="s">
        <v>2339</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1815</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ht="15.5" thickBot="1" x14ac:dyDescent="0.9">
      <c r="A4" s="5" t="s">
        <v>11</v>
      </c>
      <c r="B4" s="30" t="s">
        <v>2275</v>
      </c>
      <c r="L4" s="16" t="str">
        <f>CONCATENATE("Logical: ",B4)</f>
        <v>Logical: OtherTreatmentI4rc</v>
      </c>
    </row>
    <row r="5" spans="1:18" ht="15.5" thickBot="1" x14ac:dyDescent="0.9">
      <c r="A5" s="14" t="s">
        <v>16</v>
      </c>
      <c r="B5" s="30" t="s">
        <v>2276</v>
      </c>
      <c r="L5" s="16" t="str">
        <f>CONCATENATE("Id: ",B5)</f>
        <v>Id: OtherTreatment</v>
      </c>
    </row>
    <row r="6" spans="1:18" ht="15.5" thickBot="1" x14ac:dyDescent="0.9">
      <c r="A6" s="14" t="s">
        <v>10</v>
      </c>
      <c r="B6" s="30" t="s">
        <v>2277</v>
      </c>
      <c r="L6" s="17" t="str">
        <f>CONCATENATE("Title: ##34#",B6,"##34#")</f>
        <v>Title: ##34#Other Local Treatment##34#</v>
      </c>
    </row>
    <row r="7" spans="1:18" x14ac:dyDescent="0.75">
      <c r="A7" s="26" t="s">
        <v>2</v>
      </c>
      <c r="B7" s="30" t="s">
        <v>2277</v>
      </c>
      <c r="C7" s="9" t="s">
        <v>3</v>
      </c>
      <c r="D7" s="1" t="s">
        <v>4</v>
      </c>
      <c r="E7" s="3" t="s">
        <v>5</v>
      </c>
      <c r="F7" s="3" t="s">
        <v>6</v>
      </c>
      <c r="G7" s="3" t="s">
        <v>7</v>
      </c>
      <c r="H7" s="64" t="s">
        <v>1384</v>
      </c>
      <c r="I7" s="119" t="s">
        <v>2080</v>
      </c>
      <c r="J7" s="119" t="s">
        <v>2081</v>
      </c>
      <c r="L7" s="17" t="str">
        <f>CONCATENATE("Description: "," ##334#",B7,"##334#",)</f>
        <v>Description:  ##334#Other Local Treatment##334#</v>
      </c>
    </row>
    <row r="8" spans="1:18" ht="59" x14ac:dyDescent="0.75">
      <c r="A8" s="59">
        <v>0</v>
      </c>
      <c r="B8" s="12" t="s">
        <v>1562</v>
      </c>
      <c r="C8" s="12" t="s">
        <v>1644</v>
      </c>
      <c r="D8" s="12" t="s">
        <v>1557</v>
      </c>
      <c r="E8" s="12">
        <v>1</v>
      </c>
      <c r="F8" s="12">
        <v>1</v>
      </c>
      <c r="G8" s="133"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1879</v>
      </c>
      <c r="C9" s="12" t="s">
        <v>2267</v>
      </c>
      <c r="D9" s="12" t="s">
        <v>2268</v>
      </c>
      <c r="E9" s="12">
        <v>1</v>
      </c>
      <c r="F9" s="12">
        <v>1</v>
      </c>
      <c r="G9" s="12" t="s">
        <v>1468</v>
      </c>
      <c r="H9" s="12" t="s">
        <v>2269</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1742</v>
      </c>
      <c r="C10" s="12" t="s">
        <v>1743</v>
      </c>
      <c r="D10" s="12" t="s">
        <v>2270</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1745</v>
      </c>
      <c r="C11" s="12" t="s">
        <v>1746</v>
      </c>
      <c r="D11" s="12" t="s">
        <v>2271</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1862</v>
      </c>
      <c r="C12" s="12" t="s">
        <v>2272</v>
      </c>
      <c r="D12" s="12" t="s">
        <v>1654</v>
      </c>
      <c r="E12" s="12">
        <v>0</v>
      </c>
      <c r="F12" s="12">
        <v>1</v>
      </c>
      <c r="G12" s="12" t="s">
        <v>1468</v>
      </c>
      <c r="H12" s="12" t="s">
        <v>2273</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4"/>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2274</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2350</v>
      </c>
      <c r="D3" s="47" t="s">
        <v>1473</v>
      </c>
      <c r="E3" s="71" t="str">
        <f>$C$1&amp;B14</f>
        <v>http://hl7.eu/fhir/ig/idea4rc/StructureDefinition/OtherTreatment</v>
      </c>
    </row>
    <row r="4" spans="1:19" x14ac:dyDescent="0.75">
      <c r="B4" s="47" t="s">
        <v>16</v>
      </c>
      <c r="C4" s="28" t="s">
        <v>2350</v>
      </c>
      <c r="D4" s="47" t="s">
        <v>1474</v>
      </c>
      <c r="E4" s="160" t="s">
        <v>2348</v>
      </c>
      <c r="F4" s="152"/>
      <c r="G4" s="152"/>
    </row>
    <row r="5" spans="1:19" x14ac:dyDescent="0.75">
      <c r="B5" s="47" t="s">
        <v>10</v>
      </c>
      <c r="C5" s="7" t="s">
        <v>2367</v>
      </c>
      <c r="D5" s="47"/>
      <c r="E5" s="7"/>
    </row>
    <row r="6" spans="1:19" x14ac:dyDescent="0.75">
      <c r="B6" s="47" t="s">
        <v>18</v>
      </c>
      <c r="C6" s="41"/>
      <c r="D6" s="47" t="s">
        <v>1475</v>
      </c>
      <c r="E6" s="151" t="str">
        <f>E3</f>
        <v>http://hl7.eu/fhir/ig/idea4rc/StructureDefinition/OtherTreatment</v>
      </c>
      <c r="F6" s="152"/>
      <c r="G6" s="152"/>
    </row>
    <row r="7" spans="1:19" x14ac:dyDescent="0.75">
      <c r="B7" s="47" t="s">
        <v>15</v>
      </c>
      <c r="C7" s="72"/>
      <c r="D7" s="47" t="s">
        <v>1476</v>
      </c>
      <c r="E7" s="151" t="str">
        <f>E4</f>
        <v>http://hl7.eu/fhir/ig/idea4rc/StructureDefinition/Procedure-otherTreatment-eu-i4rc</v>
      </c>
      <c r="F7" s="152"/>
      <c r="G7" s="152"/>
    </row>
    <row r="8" spans="1:19" ht="45" thickBot="1" x14ac:dyDescent="0.9">
      <c r="B8" s="47" t="s">
        <v>1477</v>
      </c>
      <c r="C8" s="7" t="s">
        <v>2367</v>
      </c>
      <c r="D8" s="47"/>
      <c r="E8" s="7"/>
      <c r="I8" s="12" t="s">
        <v>1289</v>
      </c>
      <c r="J8" s="12" t="s">
        <v>1290</v>
      </c>
      <c r="K8" s="12" t="s">
        <v>1291</v>
      </c>
      <c r="L8" s="12" t="s">
        <v>1292</v>
      </c>
      <c r="M8" s="11" t="s">
        <v>1293</v>
      </c>
      <c r="P8" s="34" t="s">
        <v>1328</v>
      </c>
      <c r="Q8" s="34">
        <v>6</v>
      </c>
    </row>
    <row r="9" spans="1:19" ht="30.25" thickBot="1" x14ac:dyDescent="0.9">
      <c r="B9" s="47" t="s">
        <v>1478</v>
      </c>
      <c r="C9" s="12" t="s">
        <v>2368</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2341</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1812</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1813</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1796</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2349</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142" t="s">
        <v>1915</v>
      </c>
      <c r="L4" s="16" t="str">
        <f>CONCATENATE("Logical: ",B4)</f>
        <v>Logical: TreatmentResponseI4rc</v>
      </c>
    </row>
    <row r="5" spans="1:18" ht="15.5" thickBot="1" x14ac:dyDescent="0.9">
      <c r="A5" s="14" t="s">
        <v>16</v>
      </c>
      <c r="B5" s="30" t="s">
        <v>1861</v>
      </c>
      <c r="L5" s="16" t="str">
        <f>CONCATENATE("Id: ",B5)</f>
        <v>Id: TreatmentResponse</v>
      </c>
    </row>
    <row r="6" spans="1:18" ht="15.5" thickBot="1" x14ac:dyDescent="0.9">
      <c r="A6" s="14" t="s">
        <v>10</v>
      </c>
      <c r="B6" s="30" t="s">
        <v>1863</v>
      </c>
      <c r="L6" s="17" t="str">
        <f>CONCATENATE("Title: ##34#",B6,"##34#")</f>
        <v>Title: ##34#Treatment Response##34#</v>
      </c>
    </row>
    <row r="7" spans="1:18" x14ac:dyDescent="0.75">
      <c r="A7" s="26" t="s">
        <v>2</v>
      </c>
      <c r="B7" s="30" t="s">
        <v>1863</v>
      </c>
      <c r="C7" s="9" t="s">
        <v>3</v>
      </c>
      <c r="D7" s="1" t="s">
        <v>4</v>
      </c>
      <c r="E7" s="3" t="s">
        <v>5</v>
      </c>
      <c r="F7" s="3" t="s">
        <v>6</v>
      </c>
      <c r="G7" s="3" t="s">
        <v>7</v>
      </c>
      <c r="H7" s="64" t="s">
        <v>1384</v>
      </c>
      <c r="I7" s="119" t="s">
        <v>2080</v>
      </c>
      <c r="J7" s="119" t="s">
        <v>2081</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1862</v>
      </c>
      <c r="C9" s="11" t="s">
        <v>1653</v>
      </c>
      <c r="D9" s="11" t="s">
        <v>1864</v>
      </c>
      <c r="E9" s="11">
        <v>1</v>
      </c>
      <c r="F9" s="11">
        <v>1</v>
      </c>
      <c r="G9" s="11" t="s">
        <v>1468</v>
      </c>
      <c r="H9" s="12" t="s">
        <v>2242</v>
      </c>
      <c r="I9" s="12" t="b">
        <v>1</v>
      </c>
      <c r="J9" s="12" t="b">
        <v>1</v>
      </c>
      <c r="K9" s="25" t="s">
        <v>1862</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2241</v>
      </c>
      <c r="C10" s="11" t="s">
        <v>1865</v>
      </c>
      <c r="D10" s="11" t="s">
        <v>1866</v>
      </c>
      <c r="E10" s="11">
        <v>1</v>
      </c>
      <c r="F10" s="11">
        <v>1</v>
      </c>
      <c r="G10" s="11" t="s">
        <v>1468</v>
      </c>
      <c r="H10" s="11" t="s">
        <v>1867</v>
      </c>
      <c r="I10" s="12" t="b">
        <v>1</v>
      </c>
      <c r="J10" s="12" t="b">
        <v>1</v>
      </c>
      <c r="K10" s="25" t="s">
        <v>2241</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1868</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http://hl7.eu/fhir/ig/idea4rc/StructureDefinition/TreatmentResponseI4rc</v>
      </c>
    </row>
    <row r="4" spans="1:19" x14ac:dyDescent="0.75">
      <c r="B4" s="47" t="s">
        <v>16</v>
      </c>
      <c r="C4" s="28" t="s">
        <v>1869</v>
      </c>
      <c r="D4" s="47" t="s">
        <v>1474</v>
      </c>
      <c r="E4" s="151" t="s">
        <v>1824</v>
      </c>
      <c r="F4" s="152"/>
      <c r="G4" s="152"/>
    </row>
    <row r="5" spans="1:19" x14ac:dyDescent="0.75">
      <c r="B5" s="47" t="s">
        <v>10</v>
      </c>
      <c r="C5" s="7" t="s">
        <v>1802</v>
      </c>
      <c r="D5" s="47"/>
      <c r="E5" s="7"/>
    </row>
    <row r="6" spans="1:19" x14ac:dyDescent="0.75">
      <c r="B6" s="47" t="s">
        <v>18</v>
      </c>
      <c r="C6" s="41"/>
      <c r="D6" s="47" t="s">
        <v>1475</v>
      </c>
      <c r="E6" s="151" t="str">
        <f>E3</f>
        <v>http://hl7.eu/fhir/ig/idea4rc/StructureDefinition/TreatmentResponseI4rc</v>
      </c>
      <c r="F6" s="152"/>
      <c r="G6" s="152"/>
    </row>
    <row r="7" spans="1:19" x14ac:dyDescent="0.75">
      <c r="B7" s="47" t="s">
        <v>15</v>
      </c>
      <c r="C7" s="72"/>
      <c r="D7" s="47" t="s">
        <v>1476</v>
      </c>
      <c r="E7" s="151" t="str">
        <f>E4</f>
        <v>http://hl7.eu/fhir/ig/idea4rc/StructureDefinition/Procedure-radiotheraphy-eu-i4rc</v>
      </c>
      <c r="F7" s="152"/>
      <c r="G7" s="152"/>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1870</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1878</v>
      </c>
      <c r="L6" s="17" t="str">
        <f>CONCATENATE("Title: ##34#",B6,"##34#")</f>
        <v>Title: ##34#Adverse Event##34#</v>
      </c>
    </row>
    <row r="7" spans="1:18" x14ac:dyDescent="0.75">
      <c r="A7" s="26" t="s">
        <v>2</v>
      </c>
      <c r="B7" s="30" t="s">
        <v>1878</v>
      </c>
      <c r="C7" s="9" t="s">
        <v>3</v>
      </c>
      <c r="D7" s="1" t="s">
        <v>4</v>
      </c>
      <c r="E7" s="3" t="s">
        <v>5</v>
      </c>
      <c r="F7" s="3" t="s">
        <v>6</v>
      </c>
      <c r="G7" s="3" t="s">
        <v>7</v>
      </c>
      <c r="H7" s="64" t="s">
        <v>1384</v>
      </c>
      <c r="I7" s="119" t="s">
        <v>2080</v>
      </c>
      <c r="J7" s="119" t="s">
        <v>2081</v>
      </c>
      <c r="L7" s="17" t="str">
        <f>CONCATENATE("Description: "," ##334#",B7,"##334#",)</f>
        <v>Description:  ##334#Adverse Event##334#</v>
      </c>
    </row>
    <row r="8" spans="1:18" ht="59" x14ac:dyDescent="0.75">
      <c r="A8" s="59">
        <v>0</v>
      </c>
      <c r="B8" s="140"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1879</v>
      </c>
      <c r="C9" s="11" t="s">
        <v>1871</v>
      </c>
      <c r="D9" s="11" t="s">
        <v>1872</v>
      </c>
      <c r="E9" s="11">
        <v>1</v>
      </c>
      <c r="F9" s="11">
        <v>1</v>
      </c>
      <c r="G9" s="11" t="s">
        <v>1468</v>
      </c>
      <c r="H9" s="11"/>
      <c r="I9" s="12" t="b">
        <v>1</v>
      </c>
      <c r="J9" s="12" t="b">
        <v>0</v>
      </c>
      <c r="K9" s="25" t="s">
        <v>2243</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1880</v>
      </c>
      <c r="C10" s="11" t="s">
        <v>1873</v>
      </c>
      <c r="D10" s="11" t="s">
        <v>1874</v>
      </c>
      <c r="E10" s="11">
        <v>1</v>
      </c>
      <c r="F10" s="11">
        <v>1</v>
      </c>
      <c r="G10" s="11" t="s">
        <v>43</v>
      </c>
      <c r="H10" s="11"/>
      <c r="I10" s="12" t="b">
        <v>1</v>
      </c>
      <c r="J10" s="12" t="b">
        <v>0</v>
      </c>
      <c r="K10" s="25" t="s">
        <v>2244</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1881</v>
      </c>
      <c r="C11" s="11" t="s">
        <v>1875</v>
      </c>
      <c r="D11" s="11" t="s">
        <v>1876</v>
      </c>
      <c r="E11" s="11">
        <v>1</v>
      </c>
      <c r="F11" s="11">
        <v>1</v>
      </c>
      <c r="G11" s="11" t="s">
        <v>1468</v>
      </c>
      <c r="H11" s="62" t="s">
        <v>1877</v>
      </c>
      <c r="I11" s="12" t="b">
        <v>1</v>
      </c>
      <c r="J11" s="12" t="b">
        <v>0</v>
      </c>
      <c r="K11" s="25" t="s">
        <v>2245</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AdverseEvent!L1</f>
        <v>//===================================================</v>
      </c>
    </row>
    <row r="2" spans="3:7" ht="16.75" thickBot="1" x14ac:dyDescent="0.9">
      <c r="C2" s="24" t="str">
        <f>AdverseEvent!L2</f>
        <v>//  Logical Model</v>
      </c>
      <c r="G2" s="29" t="s">
        <v>1882</v>
      </c>
    </row>
    <row r="3" spans="3:7" x14ac:dyDescent="0.75">
      <c r="C3" s="24" t="str">
        <f>AdverseEvent!L3</f>
        <v>//===================================================</v>
      </c>
    </row>
    <row r="4" spans="3:7" x14ac:dyDescent="0.75">
      <c r="C4" s="100" t="str">
        <f>AdverseEvent!L4</f>
        <v>Logical: AdverseEventI4rc</v>
      </c>
    </row>
    <row r="5" spans="3:7" x14ac:dyDescent="0.75">
      <c r="C5" s="100" t="str">
        <f>AdverseEvent!L5</f>
        <v>Id: AdverseEvent</v>
      </c>
    </row>
    <row r="6" spans="3:7" x14ac:dyDescent="0.75">
      <c r="C6" s="100" t="str">
        <f>AdverseEvent!L6</f>
        <v>Title: ##34#Adverse Event##34#</v>
      </c>
    </row>
    <row r="7" spans="3:7" x14ac:dyDescent="0.75">
      <c r="C7" s="100" t="str">
        <f>AdverseEvent!L7</f>
        <v>Description:  ##334#Adverse Event##334#</v>
      </c>
    </row>
    <row r="8" spans="3:7" ht="29.5" x14ac:dyDescent="0.75">
      <c r="C8" s="101"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1"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1" t="str">
        <f>IF(AdverseEvent!L10="*  ..  ##34###34# ##334###334#","//--- END",AdverseEvent!L10)</f>
        <v>* eventStartingDate 1..1 date ##34#Adverse event starting date  ##34# ##334#specifies when adverse events begins##334#</v>
      </c>
    </row>
    <row r="11" spans="3:7" ht="29.5" x14ac:dyDescent="0.75">
      <c r="C11" s="101" t="str">
        <f>IF(AdverseEvent!L11="*  ..  ##34###34# ##334###334#","//--- END",AdverseEvent!L11)</f>
        <v>* eventDuration 1..1 CodeableConcept ##34#Adverse event duration##34# ##334#specifies the duration of the adverse event##334#</v>
      </c>
    </row>
    <row r="12" spans="3:7" x14ac:dyDescent="0.75">
      <c r="C12" s="101" t="str">
        <f>IF(AdverseEvent!L12="*  ..  ##34###34# ##334###334#","//--- END",AdverseEvent!L12)</f>
        <v>//--- END</v>
      </c>
    </row>
    <row r="13" spans="3:7" x14ac:dyDescent="0.75">
      <c r="C13" s="101" t="str">
        <f>IF(AdverseEvent!L13="*  ..  ##34###34# ##334###334#","//--- END",AdverseEvent!L13)</f>
        <v>//--- END</v>
      </c>
    </row>
    <row r="14" spans="3:7" x14ac:dyDescent="0.75">
      <c r="C14" s="101" t="str">
        <f>IF(AdverseEvent!L14="*  ..  ##34###34# ##334###334#","//--- END",AdverseEvent!L14)</f>
        <v>//--- END</v>
      </c>
    </row>
    <row r="16" spans="3:7" x14ac:dyDescent="0.75">
      <c r="C16" s="99" t="s">
        <v>1387</v>
      </c>
    </row>
    <row r="17" spans="3:3" x14ac:dyDescent="0.75">
      <c r="C17" s="24" t="s">
        <v>1421</v>
      </c>
    </row>
    <row r="18" spans="3:3" x14ac:dyDescent="0.75">
      <c r="C18" s="24" t="s">
        <v>1387</v>
      </c>
    </row>
    <row r="19" spans="3:3" x14ac:dyDescent="0.75">
      <c r="C19" s="101" t="str">
        <f>IF(AdverseEvent!N8="*  ..  ##34###34# ##334###334#","//--- END",AdverseEvent!N8)</f>
        <v/>
      </c>
    </row>
    <row r="20" spans="3:3" x14ac:dyDescent="0.75">
      <c r="C20" s="101" t="str">
        <f>IF(AdverseEvent!N9="*  ..  ##34###34# ##334###334#","//--- END",AdverseEvent!N9)</f>
        <v/>
      </c>
    </row>
    <row r="21" spans="3:3" x14ac:dyDescent="0.75">
      <c r="C21" s="101" t="str">
        <f>IF(AdverseEvent!N10="*  ..  ##34###34# ##334###334#","//--- END",AdverseEvent!N10)</f>
        <v/>
      </c>
    </row>
    <row r="22" spans="3:3" ht="44.25" x14ac:dyDescent="0.75">
      <c r="C22" s="101" t="str">
        <f>IF(AdverseEvent!N11="*  ..  ##34###34# ##334###334#","//--- END",AdverseEvent!N11)</f>
        <v>* eventDuration ^comment = ##334#Less than one week; More than one week but  less than a month; More than a month but less than 3 months; More than 3 months; Unknown.
Custom##334#</v>
      </c>
    </row>
    <row r="23" spans="3:3" x14ac:dyDescent="0.75">
      <c r="C23" s="101" t="str">
        <f>IF(AdverseEvent!N12="*  ..  ##34###34# ##334###334#","//--- END",AdverseEvent!N12)</f>
        <v>//--- END</v>
      </c>
    </row>
    <row r="24" spans="3:3" x14ac:dyDescent="0.75">
      <c r="C24" s="101" t="str">
        <f>IF(AdverseEvent!N13="*  ..  ##34###34# ##334###334#","//--- END",AdverseEvent!N13)</f>
        <v>//--- END</v>
      </c>
    </row>
    <row r="25" spans="3:3" x14ac:dyDescent="0.75">
      <c r="C25" s="101"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http://hl7.eu/fhir/ig/idea4rc/StructureDefinition/AdverseEventI4rc</v>
      </c>
    </row>
    <row r="4" spans="1:19" x14ac:dyDescent="0.75">
      <c r="B4" s="47" t="s">
        <v>16</v>
      </c>
      <c r="C4" s="28" t="s">
        <v>1869</v>
      </c>
      <c r="D4" s="47" t="s">
        <v>1474</v>
      </c>
      <c r="E4" s="161" t="s">
        <v>2342</v>
      </c>
      <c r="F4" s="162"/>
      <c r="G4" s="162"/>
    </row>
    <row r="5" spans="1:19" x14ac:dyDescent="0.75">
      <c r="B5" s="47" t="s">
        <v>10</v>
      </c>
      <c r="C5" s="7" t="s">
        <v>1802</v>
      </c>
      <c r="D5" s="47"/>
      <c r="E5" s="7"/>
    </row>
    <row r="6" spans="1:19" x14ac:dyDescent="0.75">
      <c r="B6" s="47" t="s">
        <v>18</v>
      </c>
      <c r="C6" s="41"/>
      <c r="D6" s="47" t="s">
        <v>1475</v>
      </c>
      <c r="E6" s="151" t="str">
        <f>E3</f>
        <v>http://hl7.eu/fhir/ig/idea4rc/StructureDefinition/AdverseEventI4rc</v>
      </c>
      <c r="F6" s="152"/>
      <c r="G6" s="152"/>
    </row>
    <row r="7" spans="1:19" x14ac:dyDescent="0.75">
      <c r="B7" s="47" t="s">
        <v>15</v>
      </c>
      <c r="C7" s="72"/>
      <c r="D7" s="47" t="s">
        <v>1476</v>
      </c>
      <c r="E7" s="151" t="str">
        <f>E4</f>
        <v>http://hl7.eu/fhir/ig/idea4rc/StructureDefinition/AdverseEvent-eu-i4rc</v>
      </c>
      <c r="F7" s="152"/>
      <c r="G7" s="152"/>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2343</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2344</v>
      </c>
      <c r="E16" s="12"/>
      <c r="F16" s="49" t="s">
        <v>1294</v>
      </c>
      <c r="G16" s="76" t="s">
        <v>2345</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2346</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2347</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1883</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1918</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4" t="s">
        <v>1634</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51" t="s">
        <v>1625</v>
      </c>
      <c r="F4" s="152"/>
      <c r="G4" s="152"/>
    </row>
    <row r="5" spans="1:19" x14ac:dyDescent="0.75">
      <c r="B5" s="47" t="s">
        <v>10</v>
      </c>
      <c r="C5" s="7" t="s">
        <v>1640</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1625</v>
      </c>
      <c r="F7" s="152"/>
      <c r="G7" s="152"/>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5"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1804</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1804</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1804</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1804</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51" t="s">
        <v>1636</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1636</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1637</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1637</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5"/>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5"/>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1638</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2024-02-21T11:11:29Z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